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drawings/drawing10.xml" ContentType="application/vnd.openxmlformats-officedocument.drawing+xml"/>
  <Override PartName="/xl/activeX/activeX2.xml" ContentType="application/vnd.ms-office.activeX+xml"/>
  <Override PartName="/xl/activeX/activeX2.bin" ContentType="application/vnd.ms-office.activeX"/>
  <Override PartName="/xl/slicers/slicer1.xml" ContentType="application/vnd.ms-excel.slicer+xml"/>
  <Override PartName="/xl/comments3.xml" ContentType="application/vnd.openxmlformats-officedocument.spreadsheetml.comments+xml"/>
  <Override PartName="/xl/pivotTables/pivotTable2.xml" ContentType="application/vnd.openxmlformats-officedocument.spreadsheetml.pivotTable+xml"/>
  <Override PartName="/xl/drawings/drawing11.xml" ContentType="application/vnd.openxmlformats-officedocument.drawing+xml"/>
  <Override PartName="/xl/pivotTables/pivotTable3.xml" ContentType="application/vnd.openxmlformats-officedocument.spreadsheetml.pivotTable+xml"/>
  <Override PartName="/xl/drawings/drawing12.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3.xml" ContentType="application/vnd.openxmlformats-officedocument.drawing+xml"/>
  <Override PartName="/xl/activeX/activeX3.xml" ContentType="application/vnd.ms-office.activeX+xml"/>
  <Override PartName="/xl/activeX/activeX3.bin" ContentType="application/vnd.ms-office.activeX"/>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4.xml" ContentType="application/vnd.openxmlformats-officedocument.drawing+xml"/>
  <Override PartName="/xl/slicers/slicer3.xml" ContentType="application/vnd.ms-excel.slicer+xml"/>
  <Override PartName="/xl/pivotTables/pivotTable8.xml" ContentType="application/vnd.openxmlformats-officedocument.spreadsheetml.pivotTable+xml"/>
  <Override PartName="/xl/drawings/drawing15.xml" ContentType="application/vnd.openxmlformats-officedocument.drawing+xml"/>
  <Override PartName="/xl/slicers/slicer4.xml" ContentType="application/vnd.ms-excel.slicer+xml"/>
  <Override PartName="/xl/comments4.xml" ContentType="application/vnd.openxmlformats-officedocument.spreadsheetml.comments+xml"/>
  <Override PartName="/xl/pivotTables/pivotTable9.xml" ContentType="application/vnd.openxmlformats-officedocument.spreadsheetml.pivotTable+xml"/>
  <Override PartName="/xl/drawings/drawing16.xml" ContentType="application/vnd.openxmlformats-officedocument.drawing+xml"/>
  <Override PartName="/xl/pivotTables/pivotTable10.xml" ContentType="application/vnd.openxmlformats-officedocument.spreadsheetml.pivotTable+xml"/>
  <Override PartName="/xl/drawings/drawing17.xml" ContentType="application/vnd.openxmlformats-officedocument.drawing+xml"/>
  <Override PartName="/xl/activeX/activeX4.xml" ContentType="application/vnd.ms-office.activeX+xml"/>
  <Override PartName="/xl/activeX/activeX4.bin" ContentType="application/vnd.ms-office.activeX"/>
  <Override PartName="/xl/slicers/slicer5.xml" ContentType="application/vnd.ms-excel.slicer+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8.xml" ContentType="application/vnd.openxmlformats-officedocument.drawing+xml"/>
  <Override PartName="/xl/slicers/slicer6.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6.xml" ContentType="application/vnd.openxmlformats-officedocument.spreadsheetml.pivotTable+xml"/>
  <Override PartName="/xl/drawings/drawing19.xml" ContentType="application/vnd.openxmlformats-officedocument.drawing+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0.xml" ContentType="application/vnd.openxmlformats-officedocument.drawing+xml"/>
  <Override PartName="/xl/slicers/slicer7.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dinheiro.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33840b204f04d48"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showInkAnnotation="0" codeName="EstaPasta_de_trabalho" hidePivotFieldList="1"/>
  <mc:AlternateContent xmlns:mc="http://schemas.openxmlformats.org/markup-compatibility/2006">
    <mc:Choice Requires="x15">
      <x15ac:absPath xmlns:x15ac="http://schemas.microsoft.com/office/spreadsheetml/2010/11/ac" url="C:\Users\regispc\Downloads\"/>
    </mc:Choice>
  </mc:AlternateContent>
  <xr:revisionPtr revIDLastSave="0" documentId="13_ncr:1_{3998A9C7-D5E7-49CE-A5F7-888FF1BCA7F3}" xr6:coauthVersionLast="38" xr6:coauthVersionMax="38" xr10:uidLastSave="{00000000-0000-0000-0000-000000000000}"/>
  <bookViews>
    <workbookView xWindow="0" yWindow="0" windowWidth="20490" windowHeight="7545" tabRatio="747" xr2:uid="{00000000-000D-0000-FFFF-FFFF00000000}"/>
  </bookViews>
  <sheets>
    <sheet name="MENU" sheetId="6" r:id="rId1"/>
    <sheet name="TITULAR" sheetId="10" state="hidden" r:id="rId2"/>
    <sheet name="CLIENTES E FORNECEDORES" sheetId="19" state="hidden" r:id="rId3"/>
    <sheet name="CENTRO DE CUSTOS" sheetId="5" state="hidden" r:id="rId4"/>
    <sheet name="GRUPO DE CONTAS" sheetId="24" state="hidden" r:id="rId5"/>
    <sheet name="PLANO DE CONTAS" sheetId="2" state="hidden" r:id="rId6"/>
    <sheet name="CONTA CORRENTE" sheetId="7" state="hidden" r:id="rId7"/>
    <sheet name="ITENS DE ESTOQUE" sheetId="20" state="hidden" r:id="rId8"/>
    <sheet name="LANÇAMENTOS" sheetId="1" state="hidden" r:id="rId9"/>
    <sheet name="FLUXO DE CAIXA VERTICAL" sheetId="23" state="hidden" r:id="rId10"/>
    <sheet name="RELATÓRIO POR TITULARES" sheetId="17" state="hidden" r:id="rId11"/>
    <sheet name="RELATÓRIO FIXO x ESPORÁDICO" sheetId="11" state="hidden" r:id="rId12"/>
    <sheet name="CRIAR SEU RELATÓRIO" sheetId="18" state="hidden" r:id="rId13"/>
    <sheet name="FLUXO DE CAIXA HORIZONTAL" sheetId="3" state="hidden" r:id="rId14"/>
    <sheet name="Apoio TDs" sheetId="31" state="hidden" r:id="rId15"/>
    <sheet name="TÍTULOS BAIXADOS E A BAIXAR" sheetId="28" state="hidden" r:id="rId16"/>
    <sheet name="SALDO CONTAS CORRENTES" sheetId="29" state="hidden" r:id="rId17"/>
    <sheet name="REL. ANÁLISE DE RESULTADOS " sheetId="26" state="hidden" r:id="rId18"/>
    <sheet name="GRÁFICOS" sheetId="8" state="hidden" r:id="rId19"/>
    <sheet name="REL. CONTROLE DE ESTOQUE" sheetId="21" state="hidden" r:id="rId20"/>
    <sheet name="Apoio" sheetId="12" state="hidden" r:id="rId21"/>
  </sheets>
  <functionGroups builtInGroupCount="19"/>
  <definedNames>
    <definedName name="_xlnm._FilterDatabase" localSheetId="3" hidden="1">'CENTRO DE CUSTOS'!$B$2:$C$3</definedName>
    <definedName name="_xlnm._FilterDatabase" localSheetId="2" hidden="1">'CLIENTES E FORNECEDORES'!$B$2:$M$3</definedName>
    <definedName name="_xlnm._FilterDatabase" localSheetId="4" hidden="1">'GRUPO DE CONTAS'!$B$2:$C$3</definedName>
    <definedName name="_xlnm._FilterDatabase" localSheetId="7" hidden="1">'ITENS DE ESTOQUE'!$B$2:$G$3</definedName>
    <definedName name="_xlnm._FilterDatabase" localSheetId="8" hidden="1">LANÇAMENTOS!$A$3:$AJ$73</definedName>
    <definedName name="_xlnm._FilterDatabase" localSheetId="5" hidden="1">'PLANO DE CONTAS'!$B$2:$F$3</definedName>
    <definedName name="_xlnm._FilterDatabase" localSheetId="1" hidden="1">TITULAR!$B$2:$C$3</definedName>
    <definedName name="ApoioFLuxoCaixa">Apoio!$F$10</definedName>
    <definedName name="_xlnm.Print_Area" localSheetId="0">MENU!$B$1:$V$33</definedName>
    <definedName name="AreaCCor" localSheetId="4">OFFSET('CONTA CORRENTE'!#REF!,0,2,COUNTA('CONTA CORRENTE'!#REF!),1)</definedName>
    <definedName name="AreaCCor" localSheetId="16">OFFSET('CONTA CORRENTE'!#REF!,0,2,COUNTA('CONTA CORRENTE'!#REF!),1)</definedName>
    <definedName name="AreaCCor">OFFSET('CONTA CORRENTE'!#REF!,0,2,COUNTA('CONTA CORRENTE'!#REF!),1)</definedName>
    <definedName name="AreaLanctosDesloc">OFFSET(LANÇAMENTOS!$A$3,1,0,COUNTA(LANÇAMENTOS!$B$4:$B$59410),35)</definedName>
    <definedName name="CabecalhoTBFCH">'FLUXO DE CAIXA HORIZONTAL'!$B$11</definedName>
    <definedName name="FimRelAnaliseResultado">'REL. ANÁLISE DE RESULTADOS '!$A$16</definedName>
    <definedName name="FimRelAnResultado">'REL. ANÁLISE DE RESULTADOS '!$J$5</definedName>
    <definedName name="FimRelFCH">'FLUXO DE CAIXA HORIZONTAL'!$E$6</definedName>
    <definedName name="FimRelRealizadoARealizar">'TÍTULOS BAIXADOS E A BAIXAR'!$J$8</definedName>
    <definedName name="FormulaTDCPCR" localSheetId="16">'SALDO CONTAS CORRENTES'!#REF!</definedName>
    <definedName name="FormulaTDCPCR">'TÍTULOS BAIXADOS E A BAIXAR'!$K$12</definedName>
    <definedName name="FormulaTDFCV">'FLUXO DE CAIXA VERTICAL'!$D$2</definedName>
    <definedName name="InicioFormSFFCH">'FLUXO DE CAIXA HORIZONTAL'!$E$3000</definedName>
    <definedName name="InicioFormSIFCH">'FLUXO DE CAIXA HORIZONTAL'!$E$9</definedName>
    <definedName name="InicioFormulaFCV">'FLUXO DE CAIXA VERTICAL'!$D$11</definedName>
    <definedName name="InicioRelAnaliseResultado">'REL. ANÁLISE DE RESULTADOS '!$A$15</definedName>
    <definedName name="InicioRelAnResultado">'REL. ANÁLISE DE RESULTADOS '!$J$4</definedName>
    <definedName name="InicioRelFCH">'FLUXO DE CAIXA HORIZONTAL'!$E$5</definedName>
    <definedName name="InicioRelRealizadoARealizar">'TÍTULOS BAIXADOS E A BAIXAR'!$J$7</definedName>
    <definedName name="InicioTDFCV">'FLUXO DE CAIXA VERTICAL'!$B$6</definedName>
    <definedName name="Operante">Apoio!$F$21</definedName>
    <definedName name="Realizado_ARealizarFCH">'FLUXO DE CAIXA HORIZONTAL'!$B$8</definedName>
    <definedName name="Realizado_ARealizarFCV">'FLUXO DE CAIXA VERTICAL'!$B$8</definedName>
    <definedName name="ResultadoAcumuladoGrafico">'REL. ANÁLISE DE RESULTADOS '!$C$3:$N$3</definedName>
    <definedName name="ResultadoPeriodoGrafico">'REL. ANÁLISE DE RESULTADOS '!$C$1:$N$1</definedName>
    <definedName name="ResultadoValorGrafico">'REL. ANÁLISE DE RESULTADOS '!$C$2:$N$2</definedName>
    <definedName name="rng_DadosCCorrente">'CONTA CORRENTE'!#REF!</definedName>
    <definedName name="rng_DadosCentroCustos" localSheetId="4">'CENTRO DE CUSTOS'!#REF!</definedName>
    <definedName name="rng_DadosCentroCustos">'CENTRO DE CUSTOS'!#REF!</definedName>
    <definedName name="rng_DadosCliFor">'CLIENTES E FORNECEDORES'!$B$4:$M$4</definedName>
    <definedName name="rng_DadosGrupoContas">'GRUPO DE CONTAS'!#REF!</definedName>
    <definedName name="rng_DadosInsumos">'ITENS DE ESTOQUE'!$B$4:$G$4</definedName>
    <definedName name="rng_DadosLanctosTD">LANÇAMENTOS!$A$3:$AL$3</definedName>
    <definedName name="rng_DadosPlanoContas">'PLANO DE CONTAS'!#REF!</definedName>
    <definedName name="rng_DadosTitular">TITULAR!$B$4:$C$4</definedName>
    <definedName name="rng_NomeCCorrente">'CONTA CORRENTE'!#REF!</definedName>
    <definedName name="rng_NomeCentroCustos" localSheetId="4">'CENTRO DE CUSTOS'!#REF!</definedName>
    <definedName name="rng_NomeCentroCustos">'CENTRO DE CUSTOS'!#REF!</definedName>
    <definedName name="rng_NomeCliFor">'CLIENTES E FORNECEDORES'!$C$4</definedName>
    <definedName name="rng_NomeGrupoContas">'GRUPO DE CONTAS'!#REF!</definedName>
    <definedName name="rng_NomeInsumos">'ITENS DE ESTOQUE'!$C$4:$C$1048576</definedName>
    <definedName name="rng_NomePlanoContas">'PLANO DE CONTAS'!#REF!</definedName>
    <definedName name="rng_NomeTitular">TITULAR!$C$4</definedName>
    <definedName name="rng_NroCCorrente">'CONTA CORRENTE'!#REF!</definedName>
    <definedName name="rng_NroCentroCustos" localSheetId="4">'CENTRO DE CUSTOS'!#REF!</definedName>
    <definedName name="rng_NroCentroCustos">'CENTRO DE CUSTOS'!#REF!</definedName>
    <definedName name="rng_NroCliFor">'CLIENTES E FORNECEDORES'!$B$4</definedName>
    <definedName name="rng_NroGrupoContas">'GRUPO DE CONTAS'!#REF!</definedName>
    <definedName name="rng_NroInsumos">'ITENS DE ESTOQUE'!$B$4</definedName>
    <definedName name="rng_NroLancto">LANÇAMENTOS!$A$4:$A$4</definedName>
    <definedName name="rng_NroPlanoContas">'PLANO DE CONTAS'!#REF!</definedName>
    <definedName name="rng_NroTitular">TITULAR!$B$4</definedName>
    <definedName name="rng_SaldoCCorrente">'CONTA CORRENTE'!#REF!</definedName>
    <definedName name="rng_TiposDoctos">Apoio!$B$1:$C$35</definedName>
    <definedName name="SaldoInicialFCH">'FLUXO DE CAIXA HORIZONTAL'!$D$9</definedName>
    <definedName name="SaldoInicialFCV">'FLUXO DE CAIXA VERTICAL'!$D$9</definedName>
    <definedName name="SegmentaçãodeDados_ANO">#N/A</definedName>
    <definedName name="SegmentaçãodeDados_ANO1">#N/A</definedName>
    <definedName name="SegmentaçãodeDados_CENTRO_CUSTO">#N/A</definedName>
    <definedName name="SegmentaçãodeDados_CENTRO_CUSTO1">#N/A</definedName>
    <definedName name="SegmentaçãodeDados_CONTA_CORRENTE1">#N/A</definedName>
    <definedName name="SegmentaçãodeDados_MÊS">#N/A</definedName>
    <definedName name="SegmentaçãodeDados_MÊS4">#N/A</definedName>
    <definedName name="SegmentaçãodeDados_REALIZADO___A_REALIZAR">#N/A</definedName>
    <definedName name="SegmentaçãodeDados_REC._DESP.">#N/A</definedName>
    <definedName name="SegmentaçãodeDados_TITULAR">#N/A</definedName>
    <definedName name="SegmentaçãodeDados_TITULAR1">#N/A</definedName>
    <definedName name="TitulosABaixar">Apoio!$G$18</definedName>
    <definedName name="TitulosDespesa">Apoio!$G$20</definedName>
    <definedName name="TitulosRealizados">Apoio!$G$17</definedName>
    <definedName name="TitulosReceita">Apoio!$G$19</definedName>
  </definedNames>
  <calcPr calcId="179021"/>
  <pivotCaches>
    <pivotCache cacheId="1"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20" i="12" l="1"/>
  <c r="G19" i="12"/>
  <c r="G18" i="12"/>
  <c r="G17" i="12"/>
  <c r="O2" i="26" l="1"/>
  <c r="O1" i="26"/>
  <c r="N1" i="26"/>
  <c r="M1" i="26"/>
  <c r="L1" i="26"/>
  <c r="K1" i="26"/>
  <c r="J1" i="26"/>
  <c r="I1" i="26"/>
  <c r="H1" i="26"/>
  <c r="G1" i="26"/>
  <c r="F1" i="26"/>
  <c r="E1" i="26"/>
  <c r="D1" i="26"/>
  <c r="C3" i="26"/>
  <c r="C1" i="26"/>
  <c r="A1" i="26"/>
  <c r="K12" i="28"/>
  <c r="D9" i="3"/>
  <c r="D11" i="23"/>
  <c r="D12" i="23" s="1"/>
  <c r="D2" i="23"/>
  <c r="K2" i="26"/>
  <c r="J2" i="26"/>
  <c r="I2" i="26"/>
  <c r="H2" i="26"/>
  <c r="G2" i="26"/>
  <c r="N2" i="26"/>
  <c r="F2" i="26"/>
  <c r="M2" i="26"/>
  <c r="E2" i="26"/>
  <c r="L2" i="26"/>
  <c r="D2" i="26"/>
  <c r="C2" i="26"/>
  <c r="D3000" i="3"/>
  <c r="D3" i="26" l="1"/>
  <c r="E3" i="26" s="1"/>
  <c r="F3" i="26" s="1"/>
  <c r="G3" i="26" s="1"/>
  <c r="H3" i="26" s="1"/>
  <c r="I3" i="26" s="1"/>
  <c r="J3" i="26" s="1"/>
  <c r="K3" i="26" s="1"/>
  <c r="L3" i="26" s="1"/>
  <c r="M3" i="26" s="1"/>
  <c r="N3" i="26" s="1"/>
  <c r="O3" i="26" s="1"/>
  <c r="M6" i="26" l="1"/>
  <c r="F21" i="12" l="1"/>
  <c r="X1" i="1"/>
  <c r="W1" i="1"/>
  <c r="D2" i="28" l="1"/>
  <c r="C8" i="31"/>
  <c r="D9" i="23" l="1"/>
  <c r="D10" i="23"/>
  <c r="K10" i="28"/>
  <c r="C18" i="26"/>
  <c r="E9" i="3" l="1"/>
  <c r="A1" i="29"/>
  <c r="E3000" i="3"/>
  <c r="F9" i="3" l="1"/>
  <c r="F10" i="12"/>
  <c r="F3000" i="3"/>
  <c r="G9" i="3" l="1"/>
  <c r="A15" i="26"/>
  <c r="A16" i="26"/>
  <c r="G3000" i="3"/>
  <c r="H9" i="3" l="1"/>
  <c r="O5" i="26"/>
  <c r="O6" i="26" s="1"/>
  <c r="H3000" i="3"/>
  <c r="I9" i="3" l="1"/>
  <c r="AD1" i="1"/>
  <c r="L1" i="1"/>
  <c r="K1" i="1"/>
  <c r="J1" i="1"/>
  <c r="I1" i="1"/>
  <c r="H1" i="1"/>
  <c r="I3000" i="3"/>
  <c r="J9" i="3" l="1"/>
  <c r="G1" i="1"/>
  <c r="A1" i="23"/>
  <c r="A1" i="3"/>
  <c r="A1" i="28"/>
  <c r="J3000" i="3"/>
  <c r="K9" i="3" l="1"/>
  <c r="K3000" i="3"/>
  <c r="L9" i="3" l="1"/>
  <c r="L3000" i="3"/>
  <c r="M9" i="3" l="1"/>
  <c r="M3000" i="3"/>
  <c r="N9" i="3" l="1"/>
  <c r="N3000" i="3"/>
  <c r="O9" i="3" l="1"/>
  <c r="O3000" i="3"/>
  <c r="P9" i="3" l="1"/>
  <c r="P3000"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D7" authorId="0" shapeId="0" xr:uid="{00000000-0006-0000-0000-000001000000}">
      <text>
        <r>
          <rPr>
            <b/>
            <sz val="11"/>
            <color indexed="81"/>
            <rFont val="Calibri"/>
            <family val="2"/>
            <scheme val="minor"/>
          </rPr>
          <t xml:space="preserve">TITULAR(ES) DOS LANÇAMENTOS:
</t>
        </r>
        <r>
          <rPr>
            <sz val="11"/>
            <color indexed="81"/>
            <rFont val="Calibri"/>
            <family val="2"/>
            <scheme val="minor"/>
          </rPr>
          <t xml:space="preserve">
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empresas. 
Em suma, registra o titular ou titulares dos recebimentos e pagamentos realizados ou a realizar.</t>
        </r>
      </text>
    </comment>
    <comment ref="G7" authorId="0" shapeId="0" xr:uid="{00000000-0006-0000-0000-000007000000}">
      <text>
        <r>
          <rPr>
            <b/>
            <sz val="14"/>
            <color indexed="81"/>
            <rFont val="Calibri"/>
            <family val="2"/>
            <scheme val="minor"/>
          </rPr>
          <t>TÍTULOS DE LANÇAMENTOS:</t>
        </r>
        <r>
          <rPr>
            <b/>
            <sz val="11"/>
            <color indexed="81"/>
            <rFont val="Calibri"/>
            <family val="2"/>
            <scheme val="minor"/>
          </rPr>
          <t xml:space="preserve">
</t>
        </r>
        <r>
          <rPr>
            <sz val="11"/>
            <color indexed="81"/>
            <rFont val="Calibri"/>
            <family val="2"/>
            <scheme val="minor"/>
          </rPr>
          <t xml:space="preserve">
Principal aba deste aplicativo, em que são registrados os recebimentos e pagamentos realizados ou a realizar, além das movimentações financeiras (aplicação financeira, etc).
Mantendo o mouse sobre os campos no formulário de lançamentos surgirão informações resumidas sobre os mesmos.</t>
        </r>
      </text>
    </comment>
    <comment ref="D9" authorId="0" shapeId="0" xr:uid="{00000000-0006-0000-0000-000003000000}">
      <text>
        <r>
          <rPr>
            <b/>
            <sz val="11"/>
            <color indexed="81"/>
            <rFont val="Calibri"/>
            <family val="2"/>
            <scheme val="minor"/>
          </rPr>
          <t>CENTROS DE CUSTOS:</t>
        </r>
        <r>
          <rPr>
            <sz val="11"/>
            <color indexed="81"/>
            <rFont val="Calibri"/>
            <family val="2"/>
            <scheme val="minor"/>
          </rPr>
          <t xml:space="preserve">
Centro de Custos serve para concentrar os registros de recebimentos e pagamentos dentro de uma mesma unidade de controle. Você pode criar centros de custos para controle de seus gastos pessoais, como: "Moradia",  "Alimentação", "Educação", "Lazer" etc. 
Por exemplo: o centro de custos "Moradia" concentra as despesas com prestações da casa própria ou aluguel, contas de água, luz, telefone, mercado etc, as quais, por sua vez, são definidas através do Plano de Contas.  Assim, ao observar os relatórios, você verá que o valor informado para "Moradia" corresponderá à soma das despesas que você associou a esse Centro de Custos.</t>
        </r>
      </text>
    </comment>
    <comment ref="G9" authorId="0" shapeId="0" xr:uid="{DBA1C587-3A22-4DFB-A6FA-2EC0FD82447F}">
      <text>
        <r>
          <rPr>
            <b/>
            <sz val="11"/>
            <color indexed="81"/>
            <rFont val="Calibri"/>
            <family val="2"/>
            <scheme val="minor"/>
          </rPr>
          <t>TÍTULOS BAIXADOS / A BAIXAR:</t>
        </r>
        <r>
          <rPr>
            <sz val="11"/>
            <color indexed="81"/>
            <rFont val="Calibri"/>
            <family val="2"/>
            <scheme val="minor"/>
          </rPr>
          <t xml:space="preserve">
Gera um relatório contendo todos títulos registrados.
Através da opção "STATUS" você escolhe entre os títulos já baixados (REALIZADOS) ou a baixar (A REALIZAR).
Utilize a opção A REALIZAR para gerenciar os recebimentos e pagamentos futuros.</t>
        </r>
      </text>
    </comment>
    <comment ref="D11" authorId="0" shapeId="0" xr:uid="{E3A598CC-0AA3-407F-B800-BFFE3F015928}">
      <text>
        <r>
          <rPr>
            <b/>
            <sz val="11"/>
            <color indexed="81"/>
            <rFont val="Calibri"/>
            <family val="2"/>
            <scheme val="minor"/>
          </rPr>
          <t>GRUPO DE CONTAS:</t>
        </r>
        <r>
          <rPr>
            <sz val="11"/>
            <color indexed="81"/>
            <rFont val="Calibri"/>
            <family val="2"/>
            <scheme val="minor"/>
          </rPr>
          <t xml:space="preserve">
Grupo de Contas serve para aglutinar as contas do Plano de Contas, segundo a sua natureza.
</t>
        </r>
        <r>
          <rPr>
            <u/>
            <sz val="11"/>
            <color indexed="81"/>
            <rFont val="Calibri"/>
            <family val="2"/>
            <scheme val="minor"/>
          </rPr>
          <t>Exemplos</t>
        </r>
        <r>
          <rPr>
            <sz val="11"/>
            <color indexed="81"/>
            <rFont val="Calibri"/>
            <family val="2"/>
            <scheme val="minor"/>
          </rPr>
          <t>:
Ao cadastrar "Vendas"  e "Serviços Prestados" pelo Plano de Contas, você pode associá-los ao Grupo de Contas "Receitas Operacionais";
Assim como pode associar as contas "Compra de Insumos", "Custos com Pessoal", "Aluguel da Fábrrica" etc, com o Grupo de Contas "Custos Operacionais";
Da mesma forma pode, por exemplo, associar "Saldo Inicial", "Aporte de Sócio", "Transferência entre Contas", "Aplicação Financeira" com o Grupo de Contas "Recursos Financeiros".</t>
        </r>
      </text>
    </comment>
    <comment ref="G11" authorId="0" shapeId="0" xr:uid="{CFC1B0F4-E099-4DAF-A3A3-85ACAB0DC399}">
      <text>
        <r>
          <rPr>
            <b/>
            <sz val="11"/>
            <color indexed="81"/>
            <rFont val="Calibri"/>
            <family val="2"/>
            <scheme val="minor"/>
          </rPr>
          <t>SALDOS:</t>
        </r>
        <r>
          <rPr>
            <sz val="11"/>
            <color indexed="81"/>
            <rFont val="Calibri"/>
            <family val="2"/>
            <scheme val="minor"/>
          </rPr>
          <t xml:space="preserve">
Gera relatório demonstrando o saldo de todas as contas correntes utilizadas em títulos baixados.</t>
        </r>
      </text>
    </comment>
    <comment ref="D13" authorId="0" shapeId="0" xr:uid="{00000000-0006-0000-0000-000004000000}">
      <text>
        <r>
          <rPr>
            <b/>
            <sz val="11"/>
            <color indexed="81"/>
            <rFont val="Calibri"/>
            <family val="2"/>
            <scheme val="minor"/>
          </rPr>
          <t>PLANO DE CONTAS:</t>
        </r>
        <r>
          <rPr>
            <sz val="11"/>
            <color indexed="81"/>
            <rFont val="Calibri"/>
            <family val="2"/>
            <scheme val="minor"/>
          </rPr>
          <t xml:space="preserve">
Plano de Contas reune as contas de receitas, despesas e de movimentação financeira a serem utilizadas no controle financeiro, para identificação dos tipos de recebimentos e pagamentos efetuados ou a efetuar.
</t>
        </r>
        <r>
          <rPr>
            <u/>
            <sz val="11"/>
            <color indexed="81"/>
            <rFont val="Calibri"/>
            <family val="2"/>
            <scheme val="minor"/>
          </rPr>
          <t>Exemplos de contas de receita</t>
        </r>
        <r>
          <rPr>
            <sz val="11"/>
            <color indexed="81"/>
            <rFont val="Calibri"/>
            <family val="2"/>
            <scheme val="minor"/>
          </rPr>
          <t xml:space="preserve">:
"Venda", "Receita de Prestação de Serviços", "Receita Financeira", "Outras Receitas".
</t>
        </r>
        <r>
          <rPr>
            <u/>
            <sz val="11"/>
            <color indexed="81"/>
            <rFont val="Calibri"/>
            <family val="2"/>
            <scheme val="minor"/>
          </rPr>
          <t>Exemplos de contas de despesa:</t>
        </r>
        <r>
          <rPr>
            <sz val="11"/>
            <color indexed="81"/>
            <rFont val="Calibri"/>
            <family val="2"/>
            <scheme val="minor"/>
          </rPr>
          <t xml:space="preserve">
"Aluguéis", "Conta de Energia", "Tarifas Bancárias", "Impostos", "Outras Despesas".
</t>
        </r>
        <r>
          <rPr>
            <u/>
            <sz val="11"/>
            <color indexed="81"/>
            <rFont val="Calibri"/>
            <family val="2"/>
            <scheme val="minor"/>
          </rPr>
          <t>Exemplo de contas de movimentação financeira:</t>
        </r>
        <r>
          <rPr>
            <sz val="11"/>
            <color indexed="81"/>
            <rFont val="Calibri"/>
            <family val="2"/>
            <scheme val="minor"/>
          </rPr>
          <t xml:space="preserve">
"Transferência entre Contas", "Aplicação Financeira", "Aporte de Inverstidores'.</t>
        </r>
      </text>
    </comment>
    <comment ref="G13" authorId="0" shapeId="0" xr:uid="{A92A8692-227E-4BD1-B4D0-C5B54F99F40A}">
      <text>
        <r>
          <rPr>
            <b/>
            <sz val="11"/>
            <color indexed="81"/>
            <rFont val="Calibri"/>
            <family val="2"/>
            <scheme val="minor"/>
          </rPr>
          <t>FLUXOS DE CAIXA:</t>
        </r>
        <r>
          <rPr>
            <sz val="11"/>
            <color indexed="81"/>
            <rFont val="Calibri"/>
            <family val="2"/>
            <scheme val="minor"/>
          </rPr>
          <t xml:space="preserve">
Abre dois relatórios de fluxo de caixa:
1) Fluxo de Caixa Vertical, que é mais detalhado e com dados diários, indicado para uma visão de curto prazo e;
2) Fluxo de Caixa Horizontal, que é organizado pelo Grupo de Contas e Plano de Contas, com exposição mensal em colunas.</t>
        </r>
      </text>
    </comment>
    <comment ref="D15" authorId="0" shapeId="0" xr:uid="{00000000-0006-0000-0000-000002000000}">
      <text>
        <r>
          <rPr>
            <b/>
            <sz val="11"/>
            <color indexed="81"/>
            <rFont val="Calibri"/>
            <family val="2"/>
            <scheme val="minor"/>
          </rPr>
          <t>CLIENTES E FORNECEDORES:</t>
        </r>
        <r>
          <rPr>
            <sz val="11"/>
            <color indexed="81"/>
            <rFont val="Calibri"/>
            <family val="2"/>
            <scheme val="minor"/>
          </rPr>
          <t xml:space="preserve">
Serve para cadastrar as pessoas físicas e jurídicas com as quais o titular ou titulares mantêm operações de recebimentos, pagamentos e movimentações financeiras.</t>
        </r>
      </text>
    </comment>
    <comment ref="G15" authorId="0" shapeId="0" xr:uid="{99487BFE-24BC-4C4A-A006-5CDE94DBFBFE}">
      <text>
        <r>
          <rPr>
            <b/>
            <sz val="11"/>
            <color indexed="81"/>
            <rFont val="Calibri"/>
            <family val="2"/>
            <scheme val="minor"/>
          </rPr>
          <t>ANÁLISE DE RESULTADO</t>
        </r>
        <r>
          <rPr>
            <sz val="11"/>
            <color indexed="81"/>
            <rFont val="Calibri"/>
            <family val="2"/>
            <scheme val="minor"/>
          </rPr>
          <t xml:space="preserve">
Difere do fluxo de caixa por desconsiderar as movimentações financeiras decorrentes de aportes dos sócios, saldos anteriores etc, ficando restrita às contas de receitas e despesas (operacionais).</t>
        </r>
      </text>
    </comment>
    <comment ref="D17" authorId="0" shapeId="0" xr:uid="{00000000-0006-0000-0000-000005000000}">
      <text>
        <r>
          <rPr>
            <b/>
            <sz val="11"/>
            <color indexed="81"/>
            <rFont val="Calibri"/>
            <family val="2"/>
            <scheme val="minor"/>
          </rPr>
          <t>CONTAS CORRENTES:</t>
        </r>
        <r>
          <rPr>
            <sz val="11"/>
            <color indexed="81"/>
            <rFont val="Calibri"/>
            <family val="2"/>
            <scheme val="minor"/>
          </rPr>
          <t xml:space="preserve">
Em "Conta Corrente" você pode cadastrar uma ou mais contas bancárias, além da conta Caixa, podendo gerar relatórios individualizados ou pelo somatório das mesmas.
</t>
        </r>
        <r>
          <rPr>
            <u/>
            <sz val="11"/>
            <color indexed="81"/>
            <rFont val="Calibri"/>
            <family val="2"/>
            <scheme val="minor"/>
          </rPr>
          <t>Exemplos de cadastramento de contas correntes</t>
        </r>
        <r>
          <rPr>
            <sz val="11"/>
            <color indexed="81"/>
            <rFont val="Calibri"/>
            <family val="2"/>
            <scheme val="minor"/>
          </rPr>
          <t>:
. Caixa
. Banco X / Ag. 001 - C/C 11.222-4
. Banco Y / Ag. 444 - C/C 65432</t>
        </r>
      </text>
    </comment>
    <comment ref="G17" authorId="0" shapeId="0" xr:uid="{A95E5C01-172D-4D0B-835F-2EDF10F92710}">
      <text>
        <r>
          <rPr>
            <b/>
            <sz val="11"/>
            <color indexed="81"/>
            <rFont val="Calibri"/>
            <family val="2"/>
            <scheme val="minor"/>
          </rPr>
          <t>OUTROS RELATÓRIOS</t>
        </r>
        <r>
          <rPr>
            <sz val="11"/>
            <color indexed="81"/>
            <rFont val="Calibri"/>
            <family val="2"/>
            <scheme val="minor"/>
          </rPr>
          <t xml:space="preserve">
Apresenta relatório dos registros financeiros por titular e por tipo de receita e despesa (Fixo ou Esporádico).</t>
        </r>
      </text>
    </comment>
    <comment ref="D19" authorId="0" shapeId="0" xr:uid="{00000000-0006-0000-0000-000006000000}">
      <text>
        <r>
          <rPr>
            <b/>
            <sz val="11"/>
            <color indexed="81"/>
            <rFont val="Calibri"/>
            <family val="2"/>
            <scheme val="minor"/>
          </rPr>
          <t>ITENS DE ESTOQUE:</t>
        </r>
        <r>
          <rPr>
            <sz val="11"/>
            <color indexed="81"/>
            <rFont val="Calibri"/>
            <family val="2"/>
            <scheme val="minor"/>
          </rPr>
          <t xml:space="preserve">
Em 'Itens de Estoque' você pode cadastrar os materiais, produtos e mercadorias que compõem seu estoque, para controle de entrada e saída e de saldo dos mesmos.
Quando você registrar um título com plano de contas definido para controle de estoque, obrigatoriamente os campos de registro de movimentação de estoque deverão ser preenchidos no formulário de lançamenttos. Você pode acompanhar os efeitos de tais registros através do Relatório "CONTROLE DE ESTOQUE".</t>
        </r>
      </text>
    </comment>
    <comment ref="G19" authorId="0" shapeId="0" xr:uid="{EFB0CBAB-53C6-40C2-8A47-231BD1C2D884}">
      <text>
        <r>
          <rPr>
            <b/>
            <sz val="11"/>
            <color indexed="81"/>
            <rFont val="Calibri"/>
            <family val="2"/>
            <scheme val="minor"/>
          </rPr>
          <t xml:space="preserve">CRIAR SEU RELATÓRIO
</t>
        </r>
        <r>
          <rPr>
            <sz val="11"/>
            <color indexed="81"/>
            <rFont val="Calibri"/>
            <family val="2"/>
            <scheme val="minor"/>
          </rPr>
          <t>Espaço para que você possa criar o seu relatório, através de tabela dinâmica.</t>
        </r>
      </text>
    </comment>
    <comment ref="D21" authorId="0" shapeId="0" xr:uid="{A4C54CD6-1FD4-400B-B832-2088A377BEC2}">
      <text>
        <r>
          <rPr>
            <b/>
            <sz val="11"/>
            <color indexed="81"/>
            <rFont val="Calibri"/>
            <family val="2"/>
            <scheme val="minor"/>
          </rPr>
          <t>CONTROLE DE ESTOQUE</t>
        </r>
        <r>
          <rPr>
            <sz val="11"/>
            <color indexed="81"/>
            <rFont val="Calibri"/>
            <family val="2"/>
            <scheme val="minor"/>
          </rPr>
          <t xml:space="preserve">
Abre um relatório demonstrando as movimentações de compras e vendas de itens de estoque.</t>
        </r>
      </text>
    </comment>
    <comment ref="G21" authorId="0" shapeId="0" xr:uid="{49073D19-77DE-4FE1-A31D-7757C9E69B1C}">
      <text>
        <r>
          <rPr>
            <b/>
            <sz val="11"/>
            <color indexed="81"/>
            <rFont val="Calibri"/>
            <family val="2"/>
            <scheme val="minor"/>
          </rPr>
          <t>GRÁFICOS</t>
        </r>
        <r>
          <rPr>
            <sz val="11"/>
            <color indexed="81"/>
            <rFont val="Calibri"/>
            <family val="2"/>
            <scheme val="minor"/>
          </rPr>
          <t xml:space="preserve">
Apresenta diversos gráficos sobre os registros financeiros.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E2" authorId="0" shapeId="0" xr:uid="{6597BDBC-8256-4F5A-A473-01CBA0BD092F}">
      <text>
        <r>
          <rPr>
            <sz val="9"/>
            <color indexed="81"/>
            <rFont val="Segoe UI"/>
            <family val="2"/>
          </rPr>
          <t>Considera o somatório dos lançamentos baixados (realizados).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C9" authorId="0" shapeId="0" xr:uid="{0EE7BD88-05A4-4BC4-906C-8C7C091997FA}">
      <text>
        <r>
          <rPr>
            <sz val="9"/>
            <color indexed="81"/>
            <rFont val="Segoe UI"/>
            <family val="2"/>
          </rPr>
          <t>Considera somente os títulos baixados; ou seja, com o campo 'Data de Realização' preenchido.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J7" authorId="0" shapeId="0" xr:uid="{80C23634-04DA-4770-B72A-4BEF274723AB}">
      <text>
        <r>
          <rPr>
            <sz val="9"/>
            <color indexed="81"/>
            <rFont val="Segoe UI"/>
            <family val="2"/>
          </rPr>
          <t>Informar a data de início do relatório no formato "dd/mm/aaaa".
A data informada deve estar contida no período considerado nos campos "ANO" e "MÊS" escolhidos na tabela dinâmica ao lado.</t>
        </r>
      </text>
    </comment>
    <comment ref="J8" authorId="0" shapeId="0" xr:uid="{5A4EDAE1-0C67-4B6C-AF97-A630C1F3ABB8}">
      <text>
        <r>
          <rPr>
            <sz val="9"/>
            <color indexed="81"/>
            <rFont val="Segoe UI"/>
            <family val="2"/>
          </rPr>
          <t>Informar a data de início do relatório no formato "dd/mm/aaaa".
A data informada deve estar contida no período considerado nos campos "ANO" e "MÊS" escolhidos na tabela dinâmica ao lado.
Clique no botão de filtro a direita para ajustar as datas do relatório ao período aqui definido.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O4" authorId="0" shapeId="0" xr:uid="{FBEE789F-B9F3-48CD-8439-4ADACA86D8AF}">
      <text>
        <r>
          <rPr>
            <sz val="9"/>
            <color indexed="81"/>
            <rFont val="Segoe UI"/>
            <family val="2"/>
          </rPr>
          <t>TIR = Taxa Interna de Retonro</t>
        </r>
      </text>
    </comment>
    <comment ref="L5" authorId="0" shapeId="0" xr:uid="{7894D461-B338-4129-BAF8-AD0977BC2298}">
      <text>
        <r>
          <rPr>
            <sz val="9"/>
            <color indexed="81"/>
            <rFont val="Segoe UI"/>
            <family val="2"/>
          </rPr>
          <t>Taxa Mínima de Atratividade</t>
        </r>
      </text>
    </comment>
    <comment ref="M5" authorId="0" shapeId="0" xr:uid="{747CA3A2-01DC-468A-9731-4820F2BFD24C}">
      <text>
        <r>
          <rPr>
            <sz val="9"/>
            <color indexed="81"/>
            <rFont val="Segoe UI"/>
            <family val="2"/>
          </rPr>
          <t>T.M.A. = Taxa Mínima de Atratividade
Representa a taxa mensal de desconto aplicada para o cálculo do Valor Presente Líquido - VPL.
VPL positivo significa que o ganho com negócio é maior que aquele obtido com o reajuste dos valores pela taxa de referência (T.M.A.).</t>
        </r>
      </text>
    </comment>
    <comment ref="O5" authorId="0" shapeId="0" xr:uid="{795BD060-97B3-431B-A6E9-A4472CAC8BCB}">
      <text>
        <r>
          <rPr>
            <sz val="9"/>
            <color indexed="81"/>
            <rFont val="Segoe UI"/>
            <family val="2"/>
          </rPr>
          <t>TIR Mensal
A função TIR só trás resultado confiável quando tratar-se de fluxo de caixa regular, ou seja, que evolua de saldo negativo para o positivo.
Fluxo de caixa irregular é aquele em que ocorre oscilação no resultado de cada período analisado, entre positivo e negativo.
Na situação em que o saldo começa e permanece positivo a TIR apresenta erro, já que não consegue comparar investimento e retorno.</t>
        </r>
      </text>
    </comment>
    <comment ref="L6" authorId="0" shapeId="0" xr:uid="{D938DA01-A2CD-4AF0-8FEE-C4D305A8CED1}">
      <text>
        <r>
          <rPr>
            <sz val="9"/>
            <color indexed="81"/>
            <rFont val="Segoe UI"/>
            <family val="2"/>
          </rPr>
          <t>Foi utilizada a função VPL do Excel para trazer todo o período de resultado ao valor presente, através da T.M.A.</t>
        </r>
      </text>
    </comment>
    <comment ref="M6" authorId="0" shapeId="0" xr:uid="{91134935-EA25-45C1-80E7-F33E6FB32895}">
      <text>
        <r>
          <rPr>
            <sz val="9"/>
            <color indexed="81"/>
            <rFont val="Segoe UI"/>
            <family val="2"/>
          </rPr>
          <t>Valor positivo indica que o negócio é melhor que aquele cujo ganho se baseia no T.M.A.</t>
        </r>
      </text>
    </comment>
    <comment ref="O6" authorId="0" shapeId="0" xr:uid="{882F0949-4FB3-4FF6-B15A-4C32CB9B3E52}">
      <text>
        <r>
          <rPr>
            <sz val="9"/>
            <color indexed="81"/>
            <rFont val="Segoe UI"/>
            <family val="2"/>
          </rPr>
          <t>TIR anual.</t>
        </r>
      </text>
    </comment>
  </commentList>
</comments>
</file>

<file path=xl/sharedStrings.xml><?xml version="1.0" encoding="utf-8"?>
<sst xmlns="http://schemas.openxmlformats.org/spreadsheetml/2006/main" count="429" uniqueCount="192">
  <si>
    <t>PLANO DE CONTAS</t>
  </si>
  <si>
    <t>ANO</t>
  </si>
  <si>
    <t>Total Geral</t>
  </si>
  <si>
    <t>DESCRIÇÃO</t>
  </si>
  <si>
    <t>Nº</t>
  </si>
  <si>
    <t>REC./DESP.</t>
  </si>
  <si>
    <t>CENTRO DE CUSTOS</t>
  </si>
  <si>
    <t>CONTA CORRENTE</t>
  </si>
  <si>
    <t>?</t>
  </si>
  <si>
    <t>Não Avisar</t>
  </si>
  <si>
    <t>(Tudo)</t>
  </si>
  <si>
    <t>PERÍODO</t>
  </si>
  <si>
    <t xml:space="preserve">MÊS </t>
  </si>
  <si>
    <t xml:space="preserve">ANO: </t>
  </si>
  <si>
    <t>TITULAR DO LANÇAMENTO</t>
  </si>
  <si>
    <t>DATA VENCTO.</t>
  </si>
  <si>
    <t>DATA REALIZ.</t>
  </si>
  <si>
    <t>TITULAR</t>
  </si>
  <si>
    <t>CENTRO CUSTO</t>
  </si>
  <si>
    <t>MÊS</t>
  </si>
  <si>
    <t>TIPO REGISTRO</t>
  </si>
  <si>
    <t>TIPO REC./DESP.</t>
  </si>
  <si>
    <t>FK_TIT</t>
  </si>
  <si>
    <t>FK_CC</t>
  </si>
  <si>
    <t>FK_PC</t>
  </si>
  <si>
    <t>FK_CCor</t>
  </si>
  <si>
    <t>M</t>
  </si>
  <si>
    <t>Nº Cópias</t>
  </si>
  <si>
    <t/>
  </si>
  <si>
    <t>Ano:</t>
  </si>
  <si>
    <t>CLIENTE e/ou FORNECEDOR</t>
  </si>
  <si>
    <t>CPF/CNPJ</t>
  </si>
  <si>
    <t>ENDEREÇO</t>
  </si>
  <si>
    <t>TELEFONE</t>
  </si>
  <si>
    <t>CELULAR</t>
  </si>
  <si>
    <t>CONTATO</t>
  </si>
  <si>
    <t>E-MAIL</t>
  </si>
  <si>
    <t>OUTROS DADOS</t>
  </si>
  <si>
    <t>OBSERVAÇÕES</t>
  </si>
  <si>
    <t>PF/PJ</t>
  </si>
  <si>
    <t>CLIENTE OU FORNECEDOR</t>
  </si>
  <si>
    <t>RG/INSCR. EST.</t>
  </si>
  <si>
    <t>FK_CF</t>
  </si>
  <si>
    <t>PERÍODO:</t>
  </si>
  <si>
    <t xml:space="preserve">PERÍODO: </t>
  </si>
  <si>
    <t>TIPO</t>
  </si>
  <si>
    <t>DATA EMISSÃO</t>
  </si>
  <si>
    <t>DATA VENCTO. AJUSTADO</t>
  </si>
  <si>
    <t>DATA CONCILIAÇÃO</t>
  </si>
  <si>
    <t>DOCUMENTO</t>
  </si>
  <si>
    <t>OBS. INTERNA</t>
  </si>
  <si>
    <t>TIPO DE DOCTO.</t>
  </si>
  <si>
    <t>VALOR</t>
  </si>
  <si>
    <t>DATA LANÇ.</t>
  </si>
  <si>
    <t>NF</t>
  </si>
  <si>
    <t>NOVO/EDITAR</t>
  </si>
  <si>
    <t>TIPOS DE DOCUMENTOS</t>
  </si>
  <si>
    <t>DANFE</t>
  </si>
  <si>
    <t>REC</t>
  </si>
  <si>
    <t>TRAN</t>
  </si>
  <si>
    <t>AV</t>
  </si>
  <si>
    <t>AJ</t>
  </si>
  <si>
    <t>FAT</t>
  </si>
  <si>
    <t>Soma de VALOR</t>
  </si>
  <si>
    <t>CONTA DE ESTOQUE</t>
  </si>
  <si>
    <t>UNIDADE</t>
  </si>
  <si>
    <t>OBSERVAÇÃO</t>
  </si>
  <si>
    <t>MARCA</t>
  </si>
  <si>
    <t>FABRICANTE</t>
  </si>
  <si>
    <t>NOME DO INSUMO</t>
  </si>
  <si>
    <t>UNID.</t>
  </si>
  <si>
    <t>FK_INSUMO</t>
  </si>
  <si>
    <t>FK_CliFor</t>
  </si>
  <si>
    <t>VALOR INSUMO</t>
  </si>
  <si>
    <t>VENCTO. ORIGINAL</t>
  </si>
  <si>
    <t>VENCTO. AJUSTADO</t>
  </si>
  <si>
    <t>QUANT. INSUMO</t>
  </si>
  <si>
    <t>PRV</t>
  </si>
  <si>
    <t>MÊS COMPET.</t>
  </si>
  <si>
    <t>COMPETÊNCIA</t>
  </si>
  <si>
    <t>Nº LANÇ.</t>
  </si>
  <si>
    <t>ND</t>
  </si>
  <si>
    <t>CT</t>
  </si>
  <si>
    <t>NOME DO TIPO DE DOCTO.</t>
  </si>
  <si>
    <t>PLANO DE CONTAS DE ESTOQUE</t>
  </si>
  <si>
    <t>Total QDE.</t>
  </si>
  <si>
    <t>QDE.</t>
  </si>
  <si>
    <t>Total ACUM.</t>
  </si>
  <si>
    <t>ACUM.</t>
  </si>
  <si>
    <t>DATA</t>
  </si>
  <si>
    <t>DESCRIÇÃO DO MATERIAL/PRODUTO</t>
  </si>
  <si>
    <t xml:space="preserve">Valor </t>
  </si>
  <si>
    <t xml:space="preserve">VALOR </t>
  </si>
  <si>
    <t xml:space="preserve">Mês </t>
  </si>
  <si>
    <t>OPTCRÉDITO/OPTDÉBITO</t>
  </si>
  <si>
    <t>DATA REFERÊNCIA</t>
  </si>
  <si>
    <t>GRUPO DE CONTAS</t>
  </si>
  <si>
    <t>GRUPO</t>
  </si>
  <si>
    <t>FK_GC</t>
  </si>
  <si>
    <t>FKGC</t>
  </si>
  <si>
    <t>CONTROLE ESTOQUE</t>
  </si>
  <si>
    <t>NOME</t>
  </si>
  <si>
    <t>TIPO DE CONTA</t>
  </si>
  <si>
    <t>Não</t>
  </si>
  <si>
    <t>PKGC</t>
  </si>
  <si>
    <t>Resultado</t>
  </si>
  <si>
    <t>REC/DESP/MOV. FIN.</t>
  </si>
  <si>
    <t>SALDO INICIAL =&gt;&gt;</t>
  </si>
  <si>
    <t>REALIZADO / A REALIZAR</t>
  </si>
  <si>
    <t>SALDO FINAL =&gt;&gt;</t>
  </si>
  <si>
    <t>ANÁLISE DE RESULTADO - REG. CX - MÊS</t>
  </si>
  <si>
    <t>ANÁLISE DE RESULTADO - REG. CX - ACUM.</t>
  </si>
  <si>
    <t>VALOR PRESENTE LÍQUIDO</t>
  </si>
  <si>
    <t xml:space="preserve">T.M.A. </t>
  </si>
  <si>
    <t xml:space="preserve">VPL </t>
  </si>
  <si>
    <t>Período:</t>
  </si>
  <si>
    <t>TIR</t>
  </si>
  <si>
    <t>FK_ESTOQUE</t>
  </si>
  <si>
    <t>FK_GRUPO CONTAS</t>
  </si>
  <si>
    <t>FIXA</t>
  </si>
  <si>
    <t xml:space="preserve">Total Valor </t>
  </si>
  <si>
    <t>Total Saldo</t>
  </si>
  <si>
    <t>Saldo</t>
  </si>
  <si>
    <t>CAIXA</t>
  </si>
  <si>
    <t>SALDO
(Realizado)</t>
  </si>
  <si>
    <t>TITULAR ORIGINAL</t>
  </si>
  <si>
    <t>C/C ORIGINAL</t>
  </si>
  <si>
    <t>A REALIZAR</t>
  </si>
  <si>
    <t>TITULAR / CONTA</t>
  </si>
  <si>
    <t>STATUS:</t>
  </si>
  <si>
    <t>TITULAR:</t>
  </si>
  <si>
    <t>-</t>
  </si>
  <si>
    <t>DE:</t>
  </si>
  <si>
    <t>ATÉ:</t>
  </si>
  <si>
    <t>ACUMULADO</t>
  </si>
  <si>
    <t>SALDO INICIAL =</t>
  </si>
  <si>
    <t>C. CUSTOS:</t>
  </si>
  <si>
    <t>TIPO DOC.</t>
  </si>
  <si>
    <t>ANO:</t>
  </si>
  <si>
    <t>MÊS:</t>
  </si>
  <si>
    <t>PERÍODO EM DIAS:</t>
  </si>
  <si>
    <t>DATA:</t>
  </si>
  <si>
    <t>RECEITA</t>
  </si>
  <si>
    <t>Ajuste de Lançamento</t>
  </si>
  <si>
    <t>Aviso de Lançamento</t>
  </si>
  <si>
    <t>Contrato</t>
  </si>
  <si>
    <t>Documento Fiscal de Venda</t>
  </si>
  <si>
    <t>Fatura</t>
  </si>
  <si>
    <t>Nota de Débito</t>
  </si>
  <si>
    <t>Nota Fiscal</t>
  </si>
  <si>
    <t>Previsão de Recebimento ou Pagamento</t>
  </si>
  <si>
    <t>Recibo</t>
  </si>
  <si>
    <t>Transferência Financeira</t>
  </si>
  <si>
    <t>Gerencial</t>
  </si>
  <si>
    <t>RPG</t>
  </si>
  <si>
    <t>DESPESA</t>
  </si>
  <si>
    <t>TÍTULOS BAIXADOS =&gt;</t>
  </si>
  <si>
    <t>SAÍDA</t>
  </si>
  <si>
    <t>INSUMO:</t>
  </si>
  <si>
    <t>C</t>
  </si>
  <si>
    <t>Preenchendo cadastros pelo Título</t>
  </si>
  <si>
    <t>C O N T R O L E   F I N A N C E I R O</t>
  </si>
  <si>
    <t>TÍTULOS A BAIXAR =&gt;</t>
  </si>
  <si>
    <t>TÍTULOS RECEITA =&gt;</t>
  </si>
  <si>
    <t>TÍTULOS DESPESA =&gt;</t>
  </si>
  <si>
    <t>REALIZADO</t>
  </si>
  <si>
    <t>VENCTO.</t>
  </si>
  <si>
    <t>de:</t>
  </si>
  <si>
    <t>até:</t>
  </si>
  <si>
    <t>STATUS</t>
  </si>
  <si>
    <t>ENTRADA</t>
  </si>
  <si>
    <t>NÃO</t>
  </si>
  <si>
    <t>EDITAR LANÇAMENTO</t>
  </si>
  <si>
    <t>COMPRAS</t>
  </si>
  <si>
    <t>R. MARINHO</t>
  </si>
  <si>
    <t>ADMINISTRATIVO</t>
  </si>
  <si>
    <t>MOVIMENTAÇÃO FINANCEIRA</t>
  </si>
  <si>
    <t>15/10/2018</t>
  </si>
  <si>
    <t>VENDAS</t>
  </si>
  <si>
    <t>002</t>
  </si>
  <si>
    <t>12</t>
  </si>
  <si>
    <t>15/11/2018</t>
  </si>
  <si>
    <t>20.000,00</t>
  </si>
  <si>
    <t>11/2018</t>
  </si>
  <si>
    <t>3</t>
  </si>
  <si>
    <t>Despesa</t>
  </si>
  <si>
    <t>compras</t>
  </si>
  <si>
    <t>(Vários itens)</t>
  </si>
  <si>
    <t>RÉGIS</t>
  </si>
  <si>
    <t>ADM.</t>
  </si>
  <si>
    <t>FINANCEIRO</t>
  </si>
  <si>
    <t>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</si>
</sst>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8" formatCode="&quot;R$&quot;#,##0.00;[Red]\-&quot;R$&quot;#,##0.00"/>
    <numFmt numFmtId="44" formatCode="_-&quot;R$&quot;* #,##0.00_-;\-&quot;R$&quot;* #,##0.00_-;_-&quot;R$&quot;* &quot;-&quot;??_-;_-@_-"/>
    <numFmt numFmtId="43" formatCode="_-* #,##0.00_-;\-* #,##0.00_-;_-* &quot;-&quot;??_-;_-@_-"/>
    <numFmt numFmtId="164" formatCode="_(* #,##0.00_);_(* \(#,##0.00\);_(* &quot;-&quot;??_);_(@_)"/>
    <numFmt numFmtId="165" formatCode="dd/mm/yy;@"/>
    <numFmt numFmtId="166" formatCode="#,##0.00_ ;[Red]\-#,##0.00\ "/>
    <numFmt numFmtId="167" formatCode="[$-416]mmm\-yy;@"/>
    <numFmt numFmtId="168" formatCode="000"/>
    <numFmt numFmtId="169" formatCode="0.0%"/>
    <numFmt numFmtId="170" formatCode="0.0%&quot; ao mês&quot;"/>
  </numFmts>
  <fonts count="29"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sz val="11"/>
      <color theme="0"/>
      <name val="Calibri"/>
      <family val="2"/>
      <scheme val="minor"/>
    </font>
    <font>
      <sz val="9"/>
      <color indexed="81"/>
      <name val="Segoe UI"/>
      <family val="2"/>
    </font>
    <font>
      <i/>
      <u/>
      <sz val="8"/>
      <color theme="0"/>
      <name val="Tahoma"/>
      <family val="2"/>
    </font>
    <font>
      <sz val="8"/>
      <color theme="1"/>
      <name val="Calibri"/>
      <family val="2"/>
      <scheme val="minor"/>
    </font>
    <font>
      <u/>
      <sz val="11"/>
      <color theme="1"/>
      <name val="Calibri"/>
      <family val="2"/>
      <scheme val="minor"/>
    </font>
    <font>
      <b/>
      <sz val="11"/>
      <color theme="0"/>
      <name val="Calibri"/>
      <family val="2"/>
      <scheme val="minor"/>
    </font>
    <font>
      <sz val="11"/>
      <color theme="8" tint="-0.249977111117893"/>
      <name val="Calibri"/>
      <family val="2"/>
      <scheme val="minor"/>
    </font>
    <font>
      <b/>
      <sz val="14"/>
      <color theme="8" tint="-0.249977111117893"/>
      <name val="Calibri"/>
      <family val="2"/>
      <scheme val="minor"/>
    </font>
    <font>
      <sz val="11"/>
      <color rgb="FF0070C0"/>
      <name val="Calibri"/>
      <family val="2"/>
      <scheme val="minor"/>
    </font>
    <font>
      <u/>
      <sz val="8"/>
      <color theme="1"/>
      <name val="Calibri"/>
      <family val="2"/>
      <scheme val="minor"/>
    </font>
    <font>
      <sz val="9"/>
      <color theme="0"/>
      <name val="Calibri"/>
      <family val="2"/>
      <scheme val="minor"/>
    </font>
    <font>
      <sz val="9"/>
      <color theme="1"/>
      <name val="Calibri"/>
      <family val="2"/>
      <scheme val="minor"/>
    </font>
    <font>
      <b/>
      <sz val="9"/>
      <color theme="1"/>
      <name val="Calibri"/>
      <family val="2"/>
      <scheme val="minor"/>
    </font>
    <font>
      <u/>
      <sz val="9"/>
      <color theme="1"/>
      <name val="Calibri"/>
      <family val="2"/>
      <scheme val="minor"/>
    </font>
    <font>
      <i/>
      <sz val="9"/>
      <color theme="0" tint="-0.499984740745262"/>
      <name val="Calibri"/>
      <family val="2"/>
      <scheme val="minor"/>
    </font>
    <font>
      <b/>
      <sz val="11"/>
      <color rgb="FFC00000"/>
      <name val="Calibri"/>
      <family val="2"/>
      <scheme val="minor"/>
    </font>
    <font>
      <b/>
      <sz val="11"/>
      <color indexed="81"/>
      <name val="Calibri"/>
      <family val="2"/>
      <scheme val="minor"/>
    </font>
    <font>
      <sz val="11"/>
      <color indexed="81"/>
      <name val="Calibri"/>
      <family val="2"/>
      <scheme val="minor"/>
    </font>
    <font>
      <u/>
      <sz val="11"/>
      <color indexed="81"/>
      <name val="Calibri"/>
      <family val="2"/>
      <scheme val="minor"/>
    </font>
    <font>
      <b/>
      <sz val="14"/>
      <color indexed="81"/>
      <name val="Calibri"/>
      <family val="2"/>
      <scheme val="minor"/>
    </font>
    <font>
      <sz val="11"/>
      <color rgb="FFFF0000"/>
      <name val="Calibri"/>
      <family val="2"/>
      <scheme val="minor"/>
    </font>
    <font>
      <sz val="9"/>
      <name val="Calibri"/>
      <family val="2"/>
      <scheme val="minor"/>
    </font>
    <font>
      <sz val="10"/>
      <color theme="1"/>
      <name val="Calibri"/>
      <family val="2"/>
      <scheme val="minor"/>
    </font>
    <font>
      <b/>
      <sz val="20"/>
      <color theme="0"/>
      <name val="Calibri"/>
      <family val="2"/>
      <scheme val="minor"/>
    </font>
  </fonts>
  <fills count="20">
    <fill>
      <patternFill patternType="none"/>
    </fill>
    <fill>
      <patternFill patternType="gray125"/>
    </fill>
    <fill>
      <gradientFill degree="270">
        <stop position="0">
          <color theme="0"/>
        </stop>
        <stop position="1">
          <color theme="9" tint="-0.25098422193060094"/>
        </stop>
      </gradientFill>
    </fill>
    <fill>
      <gradientFill degree="270">
        <stop position="0">
          <color theme="0"/>
        </stop>
        <stop position="1">
          <color theme="7" tint="-0.25098422193060094"/>
        </stop>
      </gradientFill>
    </fill>
    <fill>
      <gradientFill degree="270">
        <stop position="0">
          <color theme="0"/>
        </stop>
        <stop position="1">
          <color rgb="FF66FF33"/>
        </stop>
      </gradientFill>
    </fill>
    <fill>
      <gradientFill degree="270">
        <stop position="0">
          <color theme="0"/>
        </stop>
        <stop position="1">
          <color theme="1" tint="0.49803155613879818"/>
        </stop>
      </gradientFill>
    </fill>
    <fill>
      <gradientFill degree="270">
        <stop position="0">
          <color theme="0"/>
        </stop>
        <stop position="1">
          <color rgb="FFFFFF66"/>
        </stop>
      </gradientFill>
    </fill>
    <fill>
      <gradientFill degree="270">
        <stop position="0">
          <color theme="0"/>
        </stop>
        <stop position="1">
          <color theme="2" tint="-0.74901577806939912"/>
        </stop>
      </gradientFill>
    </fill>
    <fill>
      <gradientFill degree="270">
        <stop position="0">
          <color theme="0"/>
        </stop>
        <stop position="1">
          <color theme="4" tint="0.40000610370189521"/>
        </stop>
      </gradientFill>
    </fill>
    <fill>
      <gradientFill degree="270">
        <stop position="0">
          <color theme="0"/>
        </stop>
        <stop position="1">
          <color theme="9" tint="-0.49803155613879818"/>
        </stop>
      </gradientFill>
    </fill>
    <fill>
      <patternFill patternType="solid">
        <fgColor theme="0" tint="-0.14999847407452621"/>
        <bgColor indexed="64"/>
      </patternFill>
    </fill>
    <fill>
      <gradientFill degree="90">
        <stop position="0">
          <color theme="0"/>
        </stop>
        <stop position="1">
          <color theme="5" tint="0.40000610370189521"/>
        </stop>
      </gradientFill>
    </fill>
    <fill>
      <gradientFill degree="90">
        <stop position="0">
          <color theme="0"/>
        </stop>
        <stop position="0.5">
          <color theme="2" tint="-0.25098422193060094"/>
        </stop>
        <stop position="1">
          <color theme="0"/>
        </stop>
      </gradientFill>
    </fill>
    <fill>
      <gradientFill type="path" left="0.5" right="0.5" top="0.5" bottom="0.5">
        <stop position="0">
          <color theme="0"/>
        </stop>
        <stop position="1">
          <color theme="7" tint="-0.25098422193060094"/>
        </stop>
      </gradientFill>
    </fill>
    <fill>
      <patternFill patternType="solid">
        <fgColor theme="4" tint="-0.249977111117893"/>
        <bgColor theme="4" tint="-0.249977111117893"/>
      </patternFill>
    </fill>
    <fill>
      <gradientFill degree="90">
        <stop position="0">
          <color theme="0"/>
        </stop>
        <stop position="0.5">
          <color theme="4" tint="0.40000610370189521"/>
        </stop>
        <stop position="1">
          <color theme="0"/>
        </stop>
      </gradientFill>
    </fill>
    <fill>
      <gradientFill degree="90">
        <stop position="0">
          <color theme="0"/>
        </stop>
        <stop position="0.5">
          <color theme="8" tint="0.40000610370189521"/>
        </stop>
        <stop position="1">
          <color theme="0"/>
        </stop>
      </gradientFill>
    </fill>
    <fill>
      <gradientFill degree="90">
        <stop position="0">
          <color theme="4" tint="0.40000610370189521"/>
        </stop>
        <stop position="0.5">
          <color theme="0"/>
        </stop>
        <stop position="1">
          <color theme="4" tint="0.40000610370189521"/>
        </stop>
      </gradientFill>
    </fill>
    <fill>
      <gradientFill degree="180">
        <stop position="0">
          <color theme="4" tint="0.40000610370189521"/>
        </stop>
        <stop position="1">
          <color theme="0"/>
        </stop>
      </gradientFill>
    </fill>
    <fill>
      <gradientFill>
        <stop position="0">
          <color theme="0"/>
        </stop>
        <stop position="1">
          <color theme="4" tint="0.40000610370189521"/>
        </stop>
      </gradientFill>
    </fill>
  </fills>
  <borders count="13">
    <border>
      <left/>
      <right/>
      <top/>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medium">
        <color theme="0"/>
      </bottom>
      <diagonal/>
    </border>
  </borders>
  <cellStyleXfs count="3">
    <xf numFmtId="0" fontId="0" fillId="0" borderId="0"/>
    <xf numFmtId="164" fontId="1" fillId="0" borderId="0" applyFont="0" applyFill="0" applyBorder="0" applyAlignment="0" applyProtection="0"/>
    <xf numFmtId="44" fontId="1" fillId="0" borderId="0" applyFont="0" applyFill="0" applyBorder="0" applyAlignment="0" applyProtection="0"/>
  </cellStyleXfs>
  <cellXfs count="183">
    <xf numFmtId="0" fontId="0" fillId="0" borderId="0" xfId="0"/>
    <xf numFmtId="166" fontId="0" fillId="0" borderId="0" xfId="0" applyNumberFormat="1"/>
    <xf numFmtId="0" fontId="0" fillId="0" borderId="0" xfId="0" pivotButton="1"/>
    <xf numFmtId="0" fontId="0" fillId="0" borderId="0" xfId="0" applyAlignment="1">
      <alignment horizontal="left"/>
    </xf>
    <xf numFmtId="0" fontId="4" fillId="0" borderId="0" xfId="0" applyFont="1" applyAlignment="1">
      <alignment vertical="center"/>
    </xf>
    <xf numFmtId="0" fontId="4" fillId="0" borderId="0" xfId="0" applyFont="1"/>
    <xf numFmtId="0" fontId="4" fillId="0" borderId="0" xfId="0" applyFont="1" applyAlignment="1">
      <alignment horizontal="center"/>
    </xf>
    <xf numFmtId="164" fontId="2" fillId="0" borderId="0" xfId="1" applyFont="1" applyBorder="1" applyAlignment="1">
      <alignment vertical="top" wrapText="1"/>
    </xf>
    <xf numFmtId="0" fontId="5" fillId="0" borderId="0" xfId="0" applyFont="1"/>
    <xf numFmtId="0" fontId="8" fillId="0" borderId="0" xfId="0" applyFont="1"/>
    <xf numFmtId="0" fontId="8" fillId="0" borderId="0" xfId="0" pivotButton="1" applyFont="1"/>
    <xf numFmtId="0" fontId="8" fillId="0" borderId="0" xfId="0" applyFont="1" applyAlignment="1">
      <alignment horizontal="left"/>
    </xf>
    <xf numFmtId="166" fontId="8" fillId="0" borderId="0" xfId="0" applyNumberFormat="1" applyFont="1"/>
    <xf numFmtId="0" fontId="3" fillId="3" borderId="1" xfId="0" applyFont="1" applyFill="1" applyBorder="1" applyAlignment="1">
      <alignment horizontal="center" vertical="top"/>
    </xf>
    <xf numFmtId="0" fontId="8" fillId="0" borderId="0" xfId="0" applyFont="1" applyAlignment="1">
      <alignment horizontal="center"/>
    </xf>
    <xf numFmtId="0" fontId="3" fillId="5" borderId="1" xfId="0" applyFont="1" applyFill="1" applyBorder="1" applyAlignment="1">
      <alignment horizontal="center" vertical="center"/>
    </xf>
    <xf numFmtId="0" fontId="9" fillId="0" borderId="0" xfId="0" pivotButton="1" applyFont="1"/>
    <xf numFmtId="0" fontId="8" fillId="0" borderId="0" xfId="0" pivotButton="1" applyFont="1" applyAlignment="1">
      <alignment horizontal="center"/>
    </xf>
    <xf numFmtId="0" fontId="4" fillId="0" borderId="0" xfId="0" applyFont="1" applyFill="1"/>
    <xf numFmtId="0" fontId="11" fillId="0" borderId="0" xfId="0" applyFont="1" applyFill="1"/>
    <xf numFmtId="164" fontId="7" fillId="0" borderId="0" xfId="1" applyFont="1" applyFill="1" applyAlignment="1">
      <alignment horizontal="right"/>
    </xf>
    <xf numFmtId="0" fontId="12" fillId="0" borderId="0" xfId="0" applyFont="1" applyFill="1" applyAlignment="1">
      <alignment horizontal="center"/>
    </xf>
    <xf numFmtId="0" fontId="3" fillId="6" borderId="1" xfId="0" applyNumberFormat="1" applyFont="1" applyFill="1" applyBorder="1" applyAlignment="1">
      <alignment horizontal="center" vertical="top"/>
    </xf>
    <xf numFmtId="0" fontId="1" fillId="0" borderId="0" xfId="1" applyNumberFormat="1" applyFont="1" applyAlignment="1">
      <alignment horizontal="left" vertical="center"/>
    </xf>
    <xf numFmtId="0" fontId="0" fillId="0" borderId="0" xfId="0" pivotButton="1" applyFont="1"/>
    <xf numFmtId="0" fontId="2" fillId="0" borderId="0" xfId="0" applyFont="1" applyAlignment="1">
      <alignment horizontal="left" indent="1"/>
    </xf>
    <xf numFmtId="0" fontId="0" fillId="0" borderId="0" xfId="0" applyFont="1"/>
    <xf numFmtId="0" fontId="0" fillId="0" borderId="0" xfId="0" pivotButton="1" applyFont="1" applyAlignment="1">
      <alignment horizontal="right"/>
    </xf>
    <xf numFmtId="167" fontId="0" fillId="0" borderId="0" xfId="0" applyNumberFormat="1" applyFont="1" applyAlignment="1">
      <alignment horizontal="center"/>
    </xf>
    <xf numFmtId="0" fontId="2" fillId="0" borderId="0" xfId="0" applyFont="1" applyAlignment="1">
      <alignment horizontal="left"/>
    </xf>
    <xf numFmtId="166" fontId="0" fillId="0" borderId="0" xfId="0" applyNumberFormat="1" applyFont="1"/>
    <xf numFmtId="0" fontId="2" fillId="0" borderId="0" xfId="0" applyFont="1" applyAlignment="1">
      <alignment horizontal="left" indent="2"/>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10" fillId="7" borderId="1" xfId="0" applyFont="1" applyFill="1" applyBorder="1" applyAlignment="1">
      <alignment horizontal="center" vertical="top"/>
    </xf>
    <xf numFmtId="0" fontId="3" fillId="8" borderId="1" xfId="0" applyFont="1" applyFill="1" applyBorder="1" applyAlignment="1">
      <alignment horizontal="center" vertical="center"/>
    </xf>
    <xf numFmtId="0" fontId="8" fillId="0" borderId="0" xfId="0" quotePrefix="1" applyFont="1"/>
    <xf numFmtId="0" fontId="4" fillId="0" borderId="0" xfId="1" applyNumberFormat="1" applyFont="1" applyAlignment="1">
      <alignment horizontal="left" vertical="center"/>
    </xf>
    <xf numFmtId="0" fontId="13" fillId="0" borderId="0" xfId="0" applyFont="1"/>
    <xf numFmtId="0" fontId="13" fillId="0" borderId="0" xfId="0" applyFont="1" applyAlignment="1">
      <alignment horizontal="left"/>
    </xf>
    <xf numFmtId="0" fontId="10" fillId="2" borderId="1" xfId="0" applyFont="1" applyFill="1" applyBorder="1" applyAlignment="1">
      <alignment horizontal="center" vertical="top"/>
    </xf>
    <xf numFmtId="0" fontId="4" fillId="0" borderId="0" xfId="0" applyFont="1" applyAlignment="1">
      <alignment horizontal="left"/>
    </xf>
    <xf numFmtId="0" fontId="9" fillId="0" borderId="0" xfId="0" applyFont="1"/>
    <xf numFmtId="0" fontId="0" fillId="0" borderId="0" xfId="0" applyFont="1" applyAlignment="1">
      <alignment horizontal="center"/>
    </xf>
    <xf numFmtId="166" fontId="0" fillId="0" borderId="0" xfId="1" applyNumberFormat="1" applyFont="1"/>
    <xf numFmtId="167" fontId="0" fillId="0" borderId="0" xfId="0" applyNumberFormat="1" applyFont="1"/>
    <xf numFmtId="0" fontId="0" fillId="0" borderId="0" xfId="0" pivotButton="1" applyAlignment="1">
      <alignment vertical="center"/>
    </xf>
    <xf numFmtId="0" fontId="0" fillId="0" borderId="0" xfId="0" applyAlignment="1">
      <alignment horizontal="center" vertical="center"/>
    </xf>
    <xf numFmtId="166" fontId="0" fillId="0" borderId="0" xfId="1" applyNumberFormat="1" applyFont="1" applyAlignment="1">
      <alignment vertical="center"/>
    </xf>
    <xf numFmtId="0" fontId="0" fillId="0" borderId="0" xfId="0" applyAlignment="1">
      <alignment vertical="center"/>
    </xf>
    <xf numFmtId="0" fontId="3" fillId="4" borderId="2" xfId="0" applyFont="1" applyFill="1" applyBorder="1" applyAlignment="1">
      <alignment horizontal="center" vertical="center"/>
    </xf>
    <xf numFmtId="164" fontId="4" fillId="0" borderId="0" xfId="1" applyFont="1"/>
    <xf numFmtId="165" fontId="0" fillId="0" borderId="0" xfId="0" applyNumberFormat="1" applyFont="1" applyAlignment="1">
      <alignment horizontal="left"/>
    </xf>
    <xf numFmtId="0" fontId="3" fillId="11" borderId="1" xfId="0" applyFont="1" applyFill="1" applyBorder="1" applyAlignment="1">
      <alignment horizontal="center" vertical="top"/>
    </xf>
    <xf numFmtId="0" fontId="0" fillId="0" borderId="5" xfId="0" applyBorder="1"/>
    <xf numFmtId="0" fontId="0" fillId="0" borderId="6" xfId="0" applyBorder="1"/>
    <xf numFmtId="0" fontId="0" fillId="0" borderId="7" xfId="0" applyBorder="1"/>
    <xf numFmtId="0" fontId="0" fillId="0" borderId="8" xfId="0" applyBorder="1"/>
    <xf numFmtId="0" fontId="0" fillId="0" borderId="5" xfId="0" applyFill="1" applyBorder="1"/>
    <xf numFmtId="167" fontId="0" fillId="0" borderId="0" xfId="0" applyNumberFormat="1" applyAlignment="1">
      <alignment horizontal="left"/>
    </xf>
    <xf numFmtId="164" fontId="0" fillId="0" borderId="0" xfId="1" applyFont="1"/>
    <xf numFmtId="0" fontId="2" fillId="12" borderId="0" xfId="0" applyFont="1" applyFill="1" applyAlignment="1">
      <alignment horizontal="right" vertical="center"/>
    </xf>
    <xf numFmtId="166" fontId="2" fillId="12" borderId="0" xfId="1" applyNumberFormat="1" applyFont="1" applyFill="1" applyAlignment="1">
      <alignment vertical="center"/>
    </xf>
    <xf numFmtId="0" fontId="0" fillId="0" borderId="0" xfId="0" applyAlignment="1">
      <alignment horizontal="center"/>
    </xf>
    <xf numFmtId="167" fontId="0" fillId="0" borderId="0" xfId="0" applyNumberFormat="1" applyAlignment="1">
      <alignment horizontal="center"/>
    </xf>
    <xf numFmtId="164" fontId="3" fillId="0" borderId="0" xfId="1" applyFont="1" applyAlignment="1">
      <alignment horizontal="right" vertical="center"/>
    </xf>
    <xf numFmtId="164" fontId="3" fillId="0" borderId="0" xfId="1" applyFont="1" applyAlignment="1">
      <alignment vertical="center"/>
    </xf>
    <xf numFmtId="164" fontId="3" fillId="0" borderId="0" xfId="1" applyFont="1" applyFill="1" applyAlignment="1">
      <alignment horizontal="right" vertical="center"/>
    </xf>
    <xf numFmtId="164" fontId="3" fillId="0" borderId="0" xfId="1" applyFont="1" applyFill="1" applyAlignment="1">
      <alignment vertical="center"/>
    </xf>
    <xf numFmtId="0" fontId="15" fillId="0" borderId="0" xfId="0" applyFont="1"/>
    <xf numFmtId="164" fontId="15" fillId="0" borderId="0" xfId="1" applyFont="1"/>
    <xf numFmtId="0" fontId="16" fillId="0" borderId="0" xfId="0" applyFont="1"/>
    <xf numFmtId="0" fontId="16" fillId="0" borderId="0" xfId="0" pivotButton="1" applyFont="1"/>
    <xf numFmtId="0" fontId="18" fillId="0" borderId="0" xfId="0" applyFont="1"/>
    <xf numFmtId="0" fontId="16" fillId="0" borderId="0" xfId="0" pivotButton="1" applyFont="1" applyAlignment="1">
      <alignment horizontal="left"/>
    </xf>
    <xf numFmtId="167" fontId="16" fillId="0" borderId="0" xfId="0" applyNumberFormat="1" applyFont="1" applyAlignment="1">
      <alignment horizontal="center"/>
    </xf>
    <xf numFmtId="0" fontId="16" fillId="0" borderId="0" xfId="0" applyFont="1" applyAlignment="1">
      <alignment horizontal="center"/>
    </xf>
    <xf numFmtId="0" fontId="16" fillId="0" borderId="0" xfId="0" applyFont="1" applyAlignment="1">
      <alignment horizontal="left"/>
    </xf>
    <xf numFmtId="166" fontId="16" fillId="0" borderId="0" xfId="0" applyNumberFormat="1" applyFont="1"/>
    <xf numFmtId="166" fontId="19" fillId="0" borderId="0" xfId="0" applyNumberFormat="1" applyFont="1"/>
    <xf numFmtId="167" fontId="16" fillId="0" borderId="0" xfId="0" applyNumberFormat="1" applyFont="1" applyAlignment="1">
      <alignment horizontal="left"/>
    </xf>
    <xf numFmtId="168" fontId="1" fillId="0" borderId="0" xfId="1" applyNumberFormat="1" applyFont="1" applyAlignment="1">
      <alignment horizontal="center" vertical="center"/>
    </xf>
    <xf numFmtId="165" fontId="1" fillId="0" borderId="0" xfId="1" applyNumberFormat="1" applyFont="1" applyAlignment="1">
      <alignment horizontal="center" vertical="center"/>
    </xf>
    <xf numFmtId="166" fontId="1" fillId="0" borderId="0" xfId="2" applyNumberFormat="1" applyFont="1" applyAlignment="1">
      <alignment vertical="center"/>
    </xf>
    <xf numFmtId="0" fontId="4" fillId="0" borderId="0" xfId="1" applyNumberFormat="1" applyFont="1" applyAlignment="1">
      <alignment vertical="center"/>
    </xf>
    <xf numFmtId="0" fontId="1" fillId="0" borderId="0" xfId="1" applyNumberFormat="1" applyFont="1" applyAlignment="1">
      <alignment horizontal="center" vertical="center"/>
    </xf>
    <xf numFmtId="167" fontId="1" fillId="0" borderId="0" xfId="1" applyNumberFormat="1" applyFont="1" applyAlignment="1">
      <alignment horizontal="center" vertical="center"/>
    </xf>
    <xf numFmtId="164" fontId="1" fillId="0" borderId="0" xfId="1" applyFont="1" applyAlignment="1">
      <alignment horizontal="center" vertical="center"/>
    </xf>
    <xf numFmtId="167" fontId="1" fillId="0" borderId="0" xfId="1" applyNumberFormat="1" applyFont="1" applyAlignment="1">
      <alignment horizontal="left" vertical="center"/>
    </xf>
    <xf numFmtId="164" fontId="1" fillId="0" borderId="0" xfId="1" applyFont="1" applyAlignment="1">
      <alignment vertical="center"/>
    </xf>
    <xf numFmtId="0" fontId="1" fillId="0" borderId="0" xfId="1" applyNumberFormat="1" applyFont="1" applyAlignment="1">
      <alignment vertical="center"/>
    </xf>
    <xf numFmtId="0" fontId="16" fillId="0" borderId="0" xfId="0" applyFont="1" applyAlignment="1">
      <alignment horizontal="left" indent="3"/>
    </xf>
    <xf numFmtId="0" fontId="19" fillId="0" borderId="0" xfId="0" applyFont="1" applyAlignment="1">
      <alignment horizontal="left" indent="3"/>
    </xf>
    <xf numFmtId="0" fontId="0" fillId="0" borderId="0" xfId="0" applyFill="1"/>
    <xf numFmtId="0" fontId="2" fillId="0" borderId="0" xfId="0" applyFont="1" applyFill="1" applyAlignment="1">
      <alignment horizontal="right" vertical="center"/>
    </xf>
    <xf numFmtId="166" fontId="2" fillId="0" borderId="0" xfId="1" applyNumberFormat="1" applyFont="1" applyFill="1" applyAlignment="1">
      <alignment vertical="center"/>
    </xf>
    <xf numFmtId="0" fontId="3" fillId="4" borderId="2" xfId="0" applyFont="1" applyFill="1" applyBorder="1" applyAlignment="1">
      <alignment horizontal="center" vertical="center" wrapText="1"/>
    </xf>
    <xf numFmtId="168" fontId="10" fillId="9" borderId="2" xfId="1" applyNumberFormat="1" applyFont="1" applyFill="1" applyBorder="1" applyAlignment="1">
      <alignment horizontal="center" vertical="top" wrapText="1"/>
    </xf>
    <xf numFmtId="165" fontId="10" fillId="9" borderId="2" xfId="1" applyNumberFormat="1" applyFont="1" applyFill="1" applyBorder="1" applyAlignment="1">
      <alignment horizontal="center" vertical="top" wrapText="1"/>
    </xf>
    <xf numFmtId="166" fontId="10" fillId="9" borderId="2" xfId="2" applyNumberFormat="1" applyFont="1" applyFill="1" applyBorder="1" applyAlignment="1">
      <alignment horizontal="center" vertical="top" wrapText="1"/>
    </xf>
    <xf numFmtId="0" fontId="10" fillId="9" borderId="2" xfId="1" applyNumberFormat="1" applyFont="1" applyFill="1" applyBorder="1" applyAlignment="1">
      <alignment horizontal="center" vertical="top" wrapText="1"/>
    </xf>
    <xf numFmtId="167" fontId="10" fillId="9" borderId="2" xfId="1" applyNumberFormat="1" applyFont="1" applyFill="1" applyBorder="1" applyAlignment="1">
      <alignment horizontal="center" vertical="top" wrapText="1"/>
    </xf>
    <xf numFmtId="164" fontId="10" fillId="9" borderId="2" xfId="1" applyFont="1" applyFill="1" applyBorder="1" applyAlignment="1">
      <alignment horizontal="center" vertical="top" wrapText="1"/>
    </xf>
    <xf numFmtId="0" fontId="0" fillId="0" borderId="0" xfId="0" applyAlignment="1">
      <alignment horizontal="left" indent="1"/>
    </xf>
    <xf numFmtId="0" fontId="0" fillId="0" borderId="3" xfId="0" applyFill="1" applyBorder="1"/>
    <xf numFmtId="0" fontId="0" fillId="0" borderId="4" xfId="0" applyBorder="1"/>
    <xf numFmtId="0" fontId="0" fillId="0" borderId="7" xfId="0" applyFill="1" applyBorder="1"/>
    <xf numFmtId="0" fontId="0" fillId="0" borderId="0" xfId="0" pivotButton="1" applyAlignment="1">
      <alignment horizontal="center" vertical="center"/>
    </xf>
    <xf numFmtId="0" fontId="5" fillId="0" borderId="0" xfId="0" applyFont="1" applyAlignment="1">
      <alignment vertical="center"/>
    </xf>
    <xf numFmtId="166" fontId="0" fillId="0" borderId="0" xfId="0" applyNumberFormat="1" applyAlignment="1">
      <alignment vertical="center"/>
    </xf>
    <xf numFmtId="164" fontId="0" fillId="0" borderId="0" xfId="1" applyFont="1" applyAlignment="1">
      <alignment vertical="center"/>
    </xf>
    <xf numFmtId="0" fontId="0" fillId="0" borderId="0" xfId="0" applyFill="1" applyAlignment="1">
      <alignment vertical="center"/>
    </xf>
    <xf numFmtId="0" fontId="0" fillId="0" borderId="0" xfId="0" pivotButton="1" applyAlignment="1">
      <alignment horizontal="left" vertical="center"/>
    </xf>
    <xf numFmtId="0" fontId="1" fillId="0" borderId="0" xfId="0" applyFont="1" applyAlignment="1">
      <alignment horizontal="left" vertical="center"/>
    </xf>
    <xf numFmtId="0" fontId="2" fillId="0" borderId="0" xfId="1" applyNumberFormat="1" applyFont="1" applyAlignment="1">
      <alignment horizontal="left" vertical="center"/>
    </xf>
    <xf numFmtId="166" fontId="0" fillId="15" borderId="0" xfId="1" applyNumberFormat="1" applyFont="1" applyFill="1" applyAlignment="1">
      <alignment vertical="center"/>
    </xf>
    <xf numFmtId="14" fontId="2" fillId="15" borderId="0" xfId="0" applyNumberFormat="1" applyFont="1" applyFill="1" applyAlignment="1">
      <alignment horizontal="center" vertical="center"/>
    </xf>
    <xf numFmtId="0" fontId="16" fillId="0" borderId="0" xfId="0" applyFont="1" applyAlignment="1">
      <alignment vertical="center"/>
    </xf>
    <xf numFmtId="0" fontId="16" fillId="0" borderId="2" xfId="0" applyFont="1" applyBorder="1" applyAlignment="1">
      <alignment horizontal="center" vertical="center"/>
    </xf>
    <xf numFmtId="0" fontId="17" fillId="0" borderId="2" xfId="0" applyFont="1" applyBorder="1" applyAlignment="1">
      <alignment horizontal="center" vertical="center"/>
    </xf>
    <xf numFmtId="14" fontId="15" fillId="0" borderId="0" xfId="0" applyNumberFormat="1" applyFont="1" applyFill="1" applyBorder="1" applyAlignment="1">
      <alignment horizontal="left" vertical="center"/>
    </xf>
    <xf numFmtId="164" fontId="0" fillId="0" borderId="0" xfId="0" pivotButton="1" applyNumberFormat="1" applyAlignment="1">
      <alignment horizontal="right"/>
    </xf>
    <xf numFmtId="164" fontId="0" fillId="0" borderId="0" xfId="0" applyNumberFormat="1" applyFill="1" applyAlignment="1">
      <alignment horizontal="right" vertical="center"/>
    </xf>
    <xf numFmtId="168" fontId="25" fillId="0" borderId="0" xfId="1" applyNumberFormat="1" applyFont="1" applyAlignment="1">
      <alignment horizontal="center" vertical="center"/>
    </xf>
    <xf numFmtId="165" fontId="25" fillId="0" borderId="0" xfId="1" applyNumberFormat="1" applyFont="1" applyAlignment="1">
      <alignment horizontal="center" vertical="center"/>
    </xf>
    <xf numFmtId="166" fontId="25" fillId="0" borderId="0" xfId="2" applyNumberFormat="1" applyFont="1" applyAlignment="1">
      <alignment vertical="center"/>
    </xf>
    <xf numFmtId="0" fontId="25" fillId="0" borderId="0" xfId="1" applyNumberFormat="1" applyFont="1" applyFill="1" applyAlignment="1">
      <alignment horizontal="left" vertical="center"/>
    </xf>
    <xf numFmtId="0" fontId="25" fillId="0" borderId="0" xfId="1" applyNumberFormat="1" applyFont="1" applyFill="1" applyAlignment="1">
      <alignment vertical="center"/>
    </xf>
    <xf numFmtId="0" fontId="25" fillId="0" borderId="0" xfId="2" applyNumberFormat="1" applyFont="1" applyFill="1" applyAlignment="1">
      <alignment vertical="center"/>
    </xf>
    <xf numFmtId="0" fontId="25" fillId="0" borderId="0" xfId="1" applyNumberFormat="1" applyFont="1" applyFill="1" applyAlignment="1">
      <alignment horizontal="center" vertical="center"/>
    </xf>
    <xf numFmtId="0" fontId="25" fillId="0" borderId="0" xfId="1" applyNumberFormat="1" applyFont="1" applyAlignment="1">
      <alignment vertical="center"/>
    </xf>
    <xf numFmtId="0" fontId="25" fillId="0" borderId="0" xfId="1" applyNumberFormat="1" applyFont="1" applyAlignment="1">
      <alignment horizontal="left" vertical="center"/>
    </xf>
    <xf numFmtId="0" fontId="25" fillId="0" borderId="0" xfId="1" applyNumberFormat="1" applyFont="1" applyAlignment="1">
      <alignment horizontal="center" vertical="center"/>
    </xf>
    <xf numFmtId="167" fontId="25" fillId="0" borderId="0" xfId="1" applyNumberFormat="1" applyFont="1" applyAlignment="1">
      <alignment horizontal="center" vertical="center"/>
    </xf>
    <xf numFmtId="164" fontId="25" fillId="0" borderId="0" xfId="1" applyFont="1" applyAlignment="1">
      <alignment horizontal="center" vertical="center"/>
    </xf>
    <xf numFmtId="167" fontId="25" fillId="0" borderId="0" xfId="1" applyNumberFormat="1" applyFont="1" applyAlignment="1">
      <alignment horizontal="left" vertical="center"/>
    </xf>
    <xf numFmtId="164" fontId="25" fillId="0" borderId="0" xfId="1" applyFont="1" applyAlignment="1">
      <alignment vertical="center"/>
    </xf>
    <xf numFmtId="166" fontId="10" fillId="9" borderId="2" xfId="1" applyNumberFormat="1" applyFont="1" applyFill="1" applyBorder="1" applyAlignment="1">
      <alignment horizontal="center" vertical="top" wrapText="1"/>
    </xf>
    <xf numFmtId="166" fontId="25" fillId="0" borderId="0" xfId="1" applyNumberFormat="1" applyFont="1" applyAlignment="1">
      <alignment horizontal="right" vertical="center"/>
    </xf>
    <xf numFmtId="166" fontId="1" fillId="0" borderId="0" xfId="1" applyNumberFormat="1" applyFont="1" applyAlignment="1">
      <alignment horizontal="right" vertical="center"/>
    </xf>
    <xf numFmtId="164" fontId="0" fillId="0" borderId="0" xfId="0" pivotButton="1" applyNumberFormat="1" applyFont="1" applyAlignment="1">
      <alignment horizontal="right"/>
    </xf>
    <xf numFmtId="0" fontId="0" fillId="0" borderId="0" xfId="0" applyAlignment="1">
      <alignment horizontal="right"/>
    </xf>
    <xf numFmtId="169" fontId="17" fillId="13" borderId="9" xfId="0" applyNumberFormat="1" applyFont="1" applyFill="1" applyBorder="1" applyAlignment="1">
      <alignment horizontal="center" vertical="center"/>
    </xf>
    <xf numFmtId="169" fontId="17" fillId="13" borderId="10" xfId="0" applyNumberFormat="1" applyFont="1" applyFill="1" applyBorder="1" applyAlignment="1">
      <alignment horizontal="center" vertical="center"/>
    </xf>
    <xf numFmtId="0" fontId="8" fillId="0" borderId="0" xfId="0" pivotButton="1" applyFont="1" applyAlignment="1">
      <alignment horizontal="left"/>
    </xf>
    <xf numFmtId="0" fontId="14" fillId="0" borderId="0" xfId="0" pivotButton="1" applyFont="1" applyAlignment="1">
      <alignment horizontal="left"/>
    </xf>
    <xf numFmtId="0" fontId="26" fillId="0" borderId="0" xfId="0" applyFont="1"/>
    <xf numFmtId="166" fontId="5" fillId="14" borderId="0" xfId="0" applyNumberFormat="1" applyFont="1" applyFill="1" applyBorder="1" applyAlignment="1">
      <alignment horizontal="center" vertical="center"/>
    </xf>
    <xf numFmtId="166" fontId="0" fillId="0" borderId="11" xfId="0" applyNumberFormat="1" applyBorder="1" applyAlignment="1">
      <alignment vertical="center"/>
    </xf>
    <xf numFmtId="0" fontId="15" fillId="0" borderId="0" xfId="0" applyNumberFormat="1" applyFont="1" applyAlignment="1">
      <alignment horizontal="right"/>
    </xf>
    <xf numFmtId="167" fontId="15" fillId="0" borderId="0" xfId="0" applyNumberFormat="1" applyFont="1" applyAlignment="1">
      <alignment horizontal="center"/>
    </xf>
    <xf numFmtId="43" fontId="15" fillId="0" borderId="0" xfId="0" applyNumberFormat="1" applyFont="1"/>
    <xf numFmtId="167" fontId="15" fillId="0" borderId="0" xfId="0" applyNumberFormat="1" applyFont="1"/>
    <xf numFmtId="167" fontId="17" fillId="17" borderId="0" xfId="0" applyNumberFormat="1" applyFont="1" applyFill="1" applyBorder="1" applyAlignment="1" applyProtection="1">
      <alignment horizontal="center" vertical="center"/>
      <protection locked="0"/>
    </xf>
    <xf numFmtId="167" fontId="17" fillId="17" borderId="12" xfId="0" applyNumberFormat="1" applyFont="1" applyFill="1" applyBorder="1" applyAlignment="1" applyProtection="1">
      <alignment horizontal="center" vertical="center"/>
      <protection locked="0"/>
    </xf>
    <xf numFmtId="167" fontId="2" fillId="17" borderId="12" xfId="0" applyNumberFormat="1" applyFont="1" applyFill="1" applyBorder="1" applyAlignment="1" applyProtection="1">
      <alignment horizontal="center" vertical="center"/>
      <protection locked="0"/>
    </xf>
    <xf numFmtId="167" fontId="2" fillId="17" borderId="0" xfId="0" applyNumberFormat="1" applyFont="1" applyFill="1" applyBorder="1" applyAlignment="1" applyProtection="1">
      <alignment horizontal="center" vertical="center"/>
      <protection locked="0"/>
    </xf>
    <xf numFmtId="164" fontId="27" fillId="18" borderId="12" xfId="1" applyFont="1" applyFill="1" applyBorder="1" applyAlignment="1">
      <alignment horizontal="right" vertical="center"/>
    </xf>
    <xf numFmtId="164" fontId="27" fillId="18" borderId="0" xfId="1" applyFont="1" applyFill="1" applyBorder="1" applyAlignment="1">
      <alignment horizontal="right" vertical="center"/>
    </xf>
    <xf numFmtId="167" fontId="8" fillId="0" borderId="0" xfId="0" applyNumberFormat="1" applyFont="1" applyAlignment="1">
      <alignment horizontal="left"/>
    </xf>
    <xf numFmtId="164" fontId="16" fillId="19" borderId="12" xfId="1" applyFont="1" applyFill="1" applyBorder="1" applyAlignment="1">
      <alignment horizontal="right" vertical="center"/>
    </xf>
    <xf numFmtId="164" fontId="16" fillId="19" borderId="0" xfId="1" applyFont="1" applyFill="1" applyBorder="1" applyAlignment="1">
      <alignment horizontal="right" vertical="center"/>
    </xf>
    <xf numFmtId="0" fontId="0" fillId="0" borderId="0" xfId="0" applyBorder="1"/>
    <xf numFmtId="0" fontId="0" fillId="0" borderId="0" xfId="0" applyFont="1" applyBorder="1" applyAlignment="1">
      <alignment horizontal="center"/>
    </xf>
    <xf numFmtId="166" fontId="0" fillId="0" borderId="0" xfId="0" applyNumberFormat="1" applyFont="1" applyBorder="1"/>
    <xf numFmtId="0" fontId="0" fillId="0" borderId="0" xfId="0" applyFont="1" applyBorder="1"/>
    <xf numFmtId="14" fontId="0" fillId="17" borderId="0" xfId="0" applyNumberFormat="1" applyFill="1" applyAlignment="1" applyProtection="1">
      <alignment horizontal="center" vertical="center"/>
      <protection locked="0"/>
    </xf>
    <xf numFmtId="166" fontId="0" fillId="19" borderId="0" xfId="1" applyNumberFormat="1" applyFont="1" applyFill="1" applyAlignment="1">
      <alignment horizontal="right" vertical="center"/>
    </xf>
    <xf numFmtId="166" fontId="0" fillId="19" borderId="12" xfId="1" applyNumberFormat="1" applyFont="1" applyFill="1" applyBorder="1" applyAlignment="1">
      <alignment horizontal="right" vertical="center"/>
    </xf>
    <xf numFmtId="14" fontId="0" fillId="17" borderId="12" xfId="0" applyNumberFormat="1" applyFill="1" applyBorder="1" applyAlignment="1" applyProtection="1">
      <alignment horizontal="center" vertical="center"/>
      <protection locked="0"/>
    </xf>
    <xf numFmtId="0" fontId="4" fillId="0" borderId="2" xfId="0" applyFont="1" applyBorder="1" applyAlignment="1">
      <alignment horizontal="center"/>
    </xf>
    <xf numFmtId="0" fontId="4" fillId="0" borderId="2" xfId="0" applyFont="1" applyBorder="1"/>
    <xf numFmtId="0" fontId="28" fillId="16" borderId="0" xfId="0" applyFont="1" applyFill="1" applyAlignment="1">
      <alignment horizontal="center" vertical="center"/>
    </xf>
    <xf numFmtId="164" fontId="2" fillId="0" borderId="0" xfId="1" applyFont="1" applyAlignment="1">
      <alignment horizontal="right" vertical="center"/>
    </xf>
    <xf numFmtId="8" fontId="17" fillId="13" borderId="2" xfId="2" applyNumberFormat="1" applyFont="1" applyFill="1" applyBorder="1" applyAlignment="1">
      <alignment horizontal="center" vertical="center"/>
    </xf>
    <xf numFmtId="170" fontId="17" fillId="17" borderId="2" xfId="0" applyNumberFormat="1" applyFont="1" applyFill="1" applyBorder="1" applyAlignment="1" applyProtection="1">
      <alignment horizontal="center" vertical="center"/>
      <protection locked="0"/>
    </xf>
    <xf numFmtId="0" fontId="17" fillId="0" borderId="2" xfId="0" applyFont="1" applyBorder="1" applyAlignment="1">
      <alignment horizontal="center" vertical="center"/>
    </xf>
    <xf numFmtId="0" fontId="2" fillId="10" borderId="0" xfId="0" applyFont="1" applyFill="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166" fontId="2" fillId="0" borderId="0" xfId="0" applyNumberFormat="1" applyFont="1" applyAlignment="1">
      <alignment horizontal="center"/>
    </xf>
    <xf numFmtId="0" fontId="20" fillId="0" borderId="0" xfId="0" applyFont="1" applyAlignment="1">
      <alignment horizontal="center"/>
    </xf>
  </cellXfs>
  <cellStyles count="3">
    <cellStyle name="Moeda" xfId="2" builtinId="4"/>
    <cellStyle name="Normal" xfId="0" builtinId="0"/>
    <cellStyle name="Vírgula" xfId="1" builtinId="3"/>
  </cellStyles>
  <dxfs count="187">
    <dxf>
      <numFmt numFmtId="166" formatCode="#,##0.00_ ;[Red]\-#,##0.00\ "/>
    </dxf>
    <dxf>
      <font>
        <u/>
      </font>
    </dxf>
    <dxf>
      <numFmt numFmtId="166" formatCode="#,##0.00_ ;[Red]\-#,##0.00\ "/>
    </dxf>
    <dxf>
      <font>
        <u/>
      </font>
    </dxf>
    <dxf>
      <border>
        <left/>
        <right/>
      </border>
    </dxf>
    <dxf>
      <border>
        <left/>
        <right/>
      </border>
    </dxf>
    <dxf>
      <border>
        <left/>
        <right/>
      </border>
    </dxf>
    <dxf>
      <alignment horizontal="center"/>
    </dxf>
    <dxf>
      <alignment horizontal="center"/>
    </dxf>
    <dxf>
      <alignment horizontal="center"/>
    </dxf>
    <dxf>
      <numFmt numFmtId="166" formatCode="#,##0.00_ ;[Red]\-#,##0.00\ "/>
    </dxf>
    <dxf>
      <alignment horizontal="center"/>
    </dxf>
    <dxf>
      <numFmt numFmtId="166" formatCode="#,##0.00_ ;[Red]\-#,##0.00\ "/>
    </dxf>
    <dxf>
      <font>
        <sz val="11"/>
      </font>
    </dxf>
    <dxf>
      <alignment horizontal="right" readingOrder="0"/>
    </dxf>
    <dxf>
      <font>
        <sz val="8"/>
      </font>
    </dxf>
    <dxf>
      <font>
        <u/>
      </font>
    </dxf>
    <dxf>
      <font>
        <sz val="8"/>
      </font>
    </dxf>
    <dxf>
      <font>
        <sz val="8"/>
      </font>
    </dxf>
    <dxf>
      <font>
        <sz val="8"/>
      </font>
    </dxf>
    <dxf>
      <font>
        <sz val="8"/>
      </font>
    </dxf>
    <dxf>
      <font>
        <sz val="8"/>
      </font>
    </dxf>
    <dxf>
      <font>
        <sz val="8"/>
      </font>
    </dxf>
    <dxf>
      <font>
        <sz val="8"/>
      </font>
    </dxf>
    <dxf>
      <numFmt numFmtId="166" formatCode="#,##0.00_ ;[Red]\-#,##0.00\ "/>
    </dxf>
    <dxf>
      <font>
        <sz val="8"/>
      </font>
    </dxf>
    <dxf>
      <font>
        <sz val="8"/>
      </font>
    </dxf>
    <dxf>
      <font>
        <sz val="8"/>
      </font>
    </dxf>
    <dxf>
      <font>
        <sz val="8"/>
      </font>
    </dxf>
    <dxf>
      <font>
        <sz val="8"/>
      </font>
    </dxf>
    <dxf>
      <font>
        <sz val="8"/>
      </font>
    </dxf>
    <dxf>
      <font>
        <sz val="8"/>
      </font>
    </dxf>
    <dxf>
      <numFmt numFmtId="166" formatCode="#,##0.00_ ;[Red]\-#,##0.00\ "/>
    </dxf>
    <dxf>
      <font>
        <sz val="8"/>
      </font>
    </dxf>
    <dxf>
      <numFmt numFmtId="166" formatCode="#,##0.00_ ;[Red]\-#,##0.00\ "/>
    </dxf>
    <dxf>
      <font>
        <sz val="8"/>
      </font>
    </dxf>
    <dxf>
      <numFmt numFmtId="166" formatCode="#,##0.00_ ;[Red]\-#,##0.00\ "/>
    </dxf>
    <dxf>
      <font>
        <sz val="8"/>
      </font>
    </dxf>
    <dxf>
      <font>
        <sz val="8"/>
      </font>
    </dxf>
    <dxf>
      <font>
        <sz val="8"/>
      </font>
    </dxf>
    <dxf>
      <font>
        <sz val="8"/>
      </font>
    </dxf>
    <dxf>
      <font>
        <sz val="8"/>
      </font>
    </dxf>
    <dxf>
      <font>
        <sz val="8"/>
      </font>
    </dxf>
    <dxf>
      <font>
        <sz val="8"/>
      </font>
    </dxf>
    <dxf>
      <numFmt numFmtId="166" formatCode="#,##0.00_ ;[Red]\-#,##0.00\ "/>
    </dxf>
    <dxf>
      <font>
        <sz val="8"/>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alignment horizontal="left"/>
    </dxf>
    <dxf>
      <font>
        <sz val="8"/>
      </font>
    </dxf>
    <dxf>
      <font>
        <sz val="8"/>
      </font>
    </dxf>
    <dxf>
      <alignment horizontal="center"/>
    </dxf>
    <dxf>
      <alignment horizontal="center"/>
    </dxf>
    <dxf>
      <alignment horizontal="center"/>
    </dxf>
    <dxf>
      <font>
        <color theme="0" tint="-0.499984740745262"/>
      </font>
    </dxf>
    <dxf>
      <font>
        <i/>
      </font>
    </dxf>
    <dxf>
      <numFmt numFmtId="166" formatCode="#,##0.00_ ;[Red]\-#,##0.00\ "/>
    </dxf>
    <dxf>
      <numFmt numFmtId="166" formatCode="#,##0.00_ ;[Red]\-#,##0.00\ "/>
    </dxf>
    <dxf>
      <font>
        <u/>
      </font>
    </dxf>
    <dxf>
      <numFmt numFmtId="164" formatCode="_(* #,##0.00_);_(* \(#,##0.00\);_(* &quot;-&quot;??_);_(@_)"/>
    </dxf>
    <dxf>
      <alignment horizontal="right"/>
    </dxf>
    <dxf>
      <alignment vertical="center"/>
    </dxf>
    <dxf>
      <alignment vertical="center"/>
    </dxf>
    <dxf>
      <alignment vertical="center"/>
    </dxf>
    <dxf>
      <alignment horizontal="center"/>
    </dxf>
    <dxf>
      <font>
        <b/>
      </font>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alignment vertical="center"/>
    </dxf>
    <dxf>
      <alignment vertical="center"/>
    </dxf>
    <dxf>
      <alignment horizontal="center"/>
    </dxf>
    <dxf>
      <font>
        <sz val="9"/>
      </font>
    </dxf>
    <dxf>
      <font>
        <sz val="9"/>
      </font>
    </dxf>
    <dxf>
      <font>
        <sz val="9"/>
      </font>
    </dxf>
    <dxf>
      <font>
        <sz val="9"/>
      </font>
    </dxf>
    <dxf>
      <font>
        <sz val="9"/>
      </font>
    </dxf>
    <dxf>
      <font>
        <sz val="9"/>
      </font>
    </dxf>
    <dxf>
      <numFmt numFmtId="166" formatCode="#,##0.00_ ;[Red]\-#,##0.00\ "/>
    </dxf>
    <dxf>
      <font>
        <u/>
      </font>
    </dxf>
    <dxf>
      <alignment horizontal="center"/>
    </dxf>
    <dxf>
      <alignment horizontal="center"/>
    </dxf>
    <dxf>
      <numFmt numFmtId="166" formatCode="#,##0.00_ ;[Red]\-#,##0.00\ "/>
    </dxf>
    <dxf>
      <font>
        <u/>
      </font>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alignment horizontal="left"/>
    </dxf>
    <dxf>
      <alignment horizontal="left"/>
    </dxf>
    <dxf>
      <alignment horizontal="left"/>
    </dxf>
    <dxf>
      <numFmt numFmtId="166" formatCode="#,##0.00_ ;[Red]\-#,##0.00\ "/>
    </dxf>
    <dxf>
      <alignment horizontal="center"/>
    </dxf>
    <dxf>
      <alignment horizontal="right"/>
    </dxf>
    <dxf>
      <alignment horizontal="center"/>
    </dxf>
    <dxf>
      <alignment horizontal="center"/>
    </dxf>
    <dxf>
      <alignment horizontal="center"/>
    </dxf>
    <dxf>
      <font>
        <u/>
      </font>
    </dxf>
    <dxf>
      <font>
        <sz val="8"/>
      </font>
    </dxf>
    <dxf>
      <font>
        <sz val="8"/>
      </font>
    </dxf>
    <dxf>
      <font>
        <sz val="8"/>
      </font>
    </dxf>
    <dxf>
      <font>
        <sz val="8"/>
      </font>
    </dxf>
    <dxf>
      <font>
        <sz val="8"/>
      </font>
    </dxf>
    <dxf>
      <font>
        <sz val="8"/>
      </font>
    </dxf>
    <dxf>
      <font>
        <sz val="8"/>
      </font>
    </dxf>
    <dxf>
      <numFmt numFmtId="166" formatCode="#,##0.00_ ;[Red]\-#,##0.00\ "/>
    </dxf>
    <dxf>
      <font>
        <sz val="11"/>
      </font>
    </dxf>
    <dxf>
      <alignment horizontal="right" readingOrder="0"/>
    </dxf>
    <dxf>
      <font>
        <sz val="8"/>
      </font>
    </dxf>
    <dxf>
      <alignment horizontal="center" readingOrder="0"/>
    </dxf>
    <dxf>
      <font>
        <u/>
      </font>
    </dxf>
    <dxf>
      <alignment horizontal="center"/>
    </dxf>
    <dxf>
      <font>
        <b/>
      </font>
    </dxf>
    <dxf>
      <font>
        <sz val="8"/>
      </font>
    </dxf>
    <dxf>
      <numFmt numFmtId="164" formatCode="_(* #,##0.00_);_(* \(#,##0.00\);_(* &quot;-&quot;??_);_(@_)"/>
    </dxf>
    <dxf>
      <alignment horizontal="right"/>
    </dxf>
    <dxf>
      <alignment horizontal="right"/>
    </dxf>
    <dxf>
      <numFmt numFmtId="166" formatCode="#,##0.00_ ;[Red]\-#,##0.00\ "/>
    </dxf>
    <dxf>
      <font>
        <sz val="11"/>
      </font>
    </dxf>
    <dxf>
      <alignment horizontal="right" readingOrder="0"/>
    </dxf>
    <dxf>
      <font>
        <sz val="8"/>
      </font>
    </dxf>
    <dxf>
      <alignment horizontal="center" readingOrder="0"/>
    </dxf>
    <dxf>
      <font>
        <u/>
      </font>
    </dxf>
    <dxf>
      <font>
        <sz val="8"/>
      </font>
    </dxf>
    <dxf>
      <font>
        <sz val="8"/>
      </font>
    </dxf>
    <dxf>
      <font>
        <sz val="8"/>
      </font>
    </dxf>
    <dxf>
      <font>
        <sz val="8"/>
      </font>
    </dxf>
    <dxf>
      <font>
        <sz val="8"/>
      </font>
    </dxf>
    <dxf>
      <font>
        <sz val="8"/>
      </font>
    </dxf>
    <dxf>
      <font>
        <sz val="8"/>
      </font>
    </dxf>
    <dxf>
      <alignment vertical="center"/>
    </dxf>
    <dxf>
      <alignment vertical="center"/>
    </dxf>
    <dxf>
      <alignment horizontal="cent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MySqlDefault" pivot="0" table="0" count="0" xr9:uid="{00000000-0011-0000-FFFF-FFFF00000000}"/>
  </tableStyles>
  <colors>
    <mruColors>
      <color rgb="FF3260F2"/>
      <color rgb="FF48AFB2"/>
      <color rgb="FF388A8C"/>
      <color rgb="FFCC3300"/>
      <color rgb="FFFFFF66"/>
      <color rgb="FF990033"/>
      <color rgb="FFC1D02E"/>
      <color rgb="FF759F79"/>
      <color rgb="FFCFD24A"/>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07/relationships/slicerCache" Target="slicerCaches/slicerCache1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pt-BR" sz="900" b="1"/>
              <a:t>RESULTADO</a:t>
            </a:r>
            <a:r>
              <a:rPr lang="pt-BR" sz="900" b="1" baseline="0"/>
              <a:t> ACUMULADO - REGIME DE CAIXA</a:t>
            </a:r>
            <a:endParaRPr lang="pt-BR"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[0]!ResultadoPeriodoGrafico</c:f>
              <c:numCache>
                <c:formatCode>[$-416]mmm\-yy;@</c:formatCode>
                <c:ptCount val="12"/>
                <c:pt idx="0">
                  <c:v>43434</c:v>
                </c:pt>
                <c:pt idx="1">
                  <c:v>43465</c:v>
                </c:pt>
                <c:pt idx="2">
                  <c:v>43496</c:v>
                </c:pt>
                <c:pt idx="3">
                  <c:v>43524</c:v>
                </c:pt>
                <c:pt idx="4">
                  <c:v>43555</c:v>
                </c:pt>
                <c:pt idx="5">
                  <c:v>43585</c:v>
                </c:pt>
                <c:pt idx="6">
                  <c:v>43616</c:v>
                </c:pt>
                <c:pt idx="7">
                  <c:v>43646</c:v>
                </c:pt>
                <c:pt idx="8">
                  <c:v>43677</c:v>
                </c:pt>
                <c:pt idx="9">
                  <c:v>43708</c:v>
                </c:pt>
                <c:pt idx="10">
                  <c:v>43738</c:v>
                </c:pt>
                <c:pt idx="11">
                  <c:v>43769</c:v>
                </c:pt>
              </c:numCache>
            </c:numRef>
          </c:cat>
          <c:val>
            <c:numRef>
              <c:f>[0]!ResultadoAcumuladoGrafico</c:f>
              <c:numCache>
                <c:formatCode>_(* #,##0.00_);_(* \(#,##0.00\);_(* "-"??_);_(@_)</c:formatCode>
                <c:ptCount val="12"/>
                <c:pt idx="0">
                  <c:v>5000</c:v>
                </c:pt>
                <c:pt idx="1">
                  <c:v>10000</c:v>
                </c:pt>
                <c:pt idx="2">
                  <c:v>15000</c:v>
                </c:pt>
                <c:pt idx="3">
                  <c:v>20000</c:v>
                </c:pt>
                <c:pt idx="4">
                  <c:v>25000</c:v>
                </c:pt>
                <c:pt idx="5">
                  <c:v>30000</c:v>
                </c:pt>
                <c:pt idx="6">
                  <c:v>35000</c:v>
                </c:pt>
                <c:pt idx="7">
                  <c:v>40000</c:v>
                </c:pt>
                <c:pt idx="8">
                  <c:v>45000</c:v>
                </c:pt>
                <c:pt idx="9">
                  <c:v>50000</c:v>
                </c:pt>
                <c:pt idx="10">
                  <c:v>55000</c:v>
                </c:pt>
                <c:pt idx="11">
                  <c:v>60000</c:v>
                </c:pt>
              </c:numCache>
            </c:numRef>
          </c:val>
          <c:smooth val="0"/>
          <c:extLst>
            <c:ext xmlns:c16="http://schemas.microsoft.com/office/drawing/2014/chart" uri="{C3380CC4-5D6E-409C-BE32-E72D297353CC}">
              <c16:uniqueId val="{00000000-86DC-4D24-A95C-57EBE24EA1D2}"/>
            </c:ext>
          </c:extLst>
        </c:ser>
        <c:dLbls>
          <c:showLegendKey val="0"/>
          <c:showVal val="0"/>
          <c:showCatName val="0"/>
          <c:showSerName val="0"/>
          <c:showPercent val="0"/>
          <c:showBubbleSize val="0"/>
        </c:dLbls>
        <c:smooth val="0"/>
        <c:axId val="564839000"/>
        <c:axId val="564838672"/>
      </c:lineChart>
      <c:dateAx>
        <c:axId val="564839000"/>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64838672"/>
        <c:crosses val="autoZero"/>
        <c:auto val="1"/>
        <c:lblOffset val="100"/>
        <c:baseTimeUnit val="months"/>
      </c:dateAx>
      <c:valAx>
        <c:axId val="564838672"/>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64839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Gratuita.xlsm]GRÁFICOS!Relatorio</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RESULTADO</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pt-BR"/>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dLbl>
          <c:idx val="0"/>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15"/>
      </c:pivotFmt>
      <c:pivotFmt>
        <c:idx val="16"/>
      </c:pivotFmt>
      <c:pivotFmt>
        <c:idx val="17"/>
      </c:pivotFmt>
      <c:pivotFmt>
        <c:idx val="18"/>
      </c:pivotFmt>
      <c:pivotFmt>
        <c:idx val="19"/>
      </c:pivotFmt>
      <c:pivotFmt>
        <c:idx val="20"/>
        <c:marker>
          <c:symbol val="circle"/>
          <c:size val="5"/>
          <c:spPr>
            <a:solidFill>
              <a:schemeClr val="accent1"/>
            </a:solidFill>
            <a:ln w="22225">
              <a:solidFill>
                <a:schemeClr val="lt1"/>
              </a:solidFill>
              <a:round/>
            </a:ln>
            <a:effectLst/>
          </c:spPr>
        </c:marker>
      </c:pivotFmt>
      <c:pivotFmt>
        <c:idx val="21"/>
        <c:marker>
          <c:symbol val="circle"/>
          <c:size val="5"/>
          <c:spPr>
            <a:solidFill>
              <a:schemeClr val="accent1"/>
            </a:solidFill>
            <a:ln w="22225">
              <a:solidFill>
                <a:schemeClr val="lt1"/>
              </a:solidFill>
              <a:round/>
            </a:ln>
            <a:effectLst/>
          </c:spPr>
        </c:marker>
      </c:pivotFmt>
      <c:pivotFmt>
        <c:idx val="2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2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24"/>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s>
    <c:plotArea>
      <c:layout>
        <c:manualLayout>
          <c:layoutTarget val="inner"/>
          <c:xMode val="edge"/>
          <c:yMode val="edge"/>
          <c:x val="0"/>
          <c:y val="0.1481262705280075"/>
          <c:w val="1"/>
          <c:h val="0.75726498455512781"/>
        </c:manualLayout>
      </c:layout>
      <c:lineChart>
        <c:grouping val="standard"/>
        <c:varyColors val="0"/>
        <c:ser>
          <c:idx val="0"/>
          <c:order val="0"/>
          <c:tx>
            <c:strRef>
              <c:f>GRÁFICOS!$E$58</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Pt>
            <c:idx val="0"/>
            <c:marker>
              <c:symbol val="circle"/>
              <c:size val="5"/>
              <c:spPr>
                <a:solidFill>
                  <a:schemeClr val="accent1"/>
                </a:solidFill>
                <a:ln w="22225">
                  <a:solidFill>
                    <a:schemeClr val="lt1"/>
                  </a:solidFill>
                  <a:round/>
                </a:ln>
                <a:effectLst/>
              </c:spPr>
            </c:marker>
            <c:bubble3D val="0"/>
            <c:extLst>
              <c:ext xmlns:c16="http://schemas.microsoft.com/office/drawing/2014/chart" uri="{C3380CC4-5D6E-409C-BE32-E72D297353CC}">
                <c16:uniqueId val="{00000001-87CB-4617-B707-52613C51392E}"/>
              </c:ext>
            </c:extLst>
          </c:dPt>
          <c:dPt>
            <c:idx val="1"/>
            <c:marker>
              <c:symbol val="circle"/>
              <c:size val="5"/>
              <c:spPr>
                <a:solidFill>
                  <a:schemeClr val="accent1"/>
                </a:solidFill>
                <a:ln w="22225">
                  <a:solidFill>
                    <a:schemeClr val="lt1"/>
                  </a:solidFill>
                  <a:round/>
                </a:ln>
                <a:effectLst/>
              </c:spPr>
            </c:marker>
            <c:bubble3D val="0"/>
            <c:extLst>
              <c:ext xmlns:c16="http://schemas.microsoft.com/office/drawing/2014/chart" uri="{C3380CC4-5D6E-409C-BE32-E72D297353CC}">
                <c16:uniqueId val="{00000000-4BA8-4210-A8CD-C93CDC3BE6AA}"/>
              </c:ext>
            </c:extLst>
          </c:dPt>
          <c:cat>
            <c:strRef>
              <c:f>GRÁFICOS!$D$59:$D$71</c:f>
              <c:strCache>
                <c:ptCount val="12"/>
                <c:pt idx="0">
                  <c:v>nov-18</c:v>
                </c:pt>
                <c:pt idx="1">
                  <c:v>dez-18</c:v>
                </c:pt>
                <c:pt idx="2">
                  <c:v>jan-19</c:v>
                </c:pt>
                <c:pt idx="3">
                  <c:v>fev-19</c:v>
                </c:pt>
                <c:pt idx="4">
                  <c:v>mar-19</c:v>
                </c:pt>
                <c:pt idx="5">
                  <c:v>abr-19</c:v>
                </c:pt>
                <c:pt idx="6">
                  <c:v>mai-19</c:v>
                </c:pt>
                <c:pt idx="7">
                  <c:v>jun-19</c:v>
                </c:pt>
                <c:pt idx="8">
                  <c:v>jul-19</c:v>
                </c:pt>
                <c:pt idx="9">
                  <c:v>ago-19</c:v>
                </c:pt>
                <c:pt idx="10">
                  <c:v>set-19</c:v>
                </c:pt>
                <c:pt idx="11">
                  <c:v>out-19</c:v>
                </c:pt>
              </c:strCache>
            </c:strRef>
          </c:cat>
          <c:val>
            <c:numRef>
              <c:f>GRÁFICOS!$E$59:$E$71</c:f>
              <c:numCache>
                <c:formatCode>#,##0.00_ ;[Red]\-#,##0.00\ </c:formatCode>
                <c:ptCount val="12"/>
                <c:pt idx="0">
                  <c:v>5000</c:v>
                </c:pt>
                <c:pt idx="1">
                  <c:v>5000</c:v>
                </c:pt>
                <c:pt idx="2">
                  <c:v>5000</c:v>
                </c:pt>
                <c:pt idx="3">
                  <c:v>5000</c:v>
                </c:pt>
                <c:pt idx="4">
                  <c:v>5000</c:v>
                </c:pt>
                <c:pt idx="5">
                  <c:v>5000</c:v>
                </c:pt>
                <c:pt idx="6">
                  <c:v>5000</c:v>
                </c:pt>
                <c:pt idx="7">
                  <c:v>5000</c:v>
                </c:pt>
                <c:pt idx="8">
                  <c:v>5000</c:v>
                </c:pt>
                <c:pt idx="9">
                  <c:v>5000</c:v>
                </c:pt>
                <c:pt idx="10">
                  <c:v>5000</c:v>
                </c:pt>
                <c:pt idx="11">
                  <c:v>5000</c:v>
                </c:pt>
              </c:numCache>
            </c:numRef>
          </c:val>
          <c:smooth val="0"/>
          <c:extLst>
            <c:ext xmlns:c16="http://schemas.microsoft.com/office/drawing/2014/chart" uri="{C3380CC4-5D6E-409C-BE32-E72D297353CC}">
              <c16:uniqueId val="{00000002-AC4F-4500-BF2E-630FD9BF7BCA}"/>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67039144"/>
        <c:axId val="367042096"/>
      </c:lineChart>
      <c:catAx>
        <c:axId val="36703914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27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pt-BR"/>
          </a:p>
        </c:txPr>
        <c:crossAx val="367042096"/>
        <c:crosses val="autoZero"/>
        <c:auto val="1"/>
        <c:lblAlgn val="ctr"/>
        <c:lblOffset val="100"/>
        <c:noMultiLvlLbl val="0"/>
      </c:catAx>
      <c:valAx>
        <c:axId val="367042096"/>
        <c:scaling>
          <c:orientation val="minMax"/>
        </c:scaling>
        <c:delete val="0"/>
        <c:axPos val="l"/>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pt-BR"/>
          </a:p>
        </c:txPr>
        <c:crossAx val="367039144"/>
        <c:crosses val="autoZero"/>
        <c:crossBetween val="between"/>
      </c:valAx>
      <c:spPr>
        <a:noFill/>
        <a:ln>
          <a:noFill/>
        </a:ln>
        <a:effectLst/>
      </c:spPr>
    </c:plotArea>
    <c:plotVisOnly val="1"/>
    <c:dispBlanksAs val="zero"/>
    <c:showDLblsOverMax val="0"/>
  </c:chart>
  <c:spPr>
    <a:solidFill>
      <a:schemeClr val="accent1"/>
    </a:solidFill>
    <a:ln w="9525" cap="flat" cmpd="sng" algn="ctr">
      <a:solidFill>
        <a:schemeClr val="accent1"/>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Gratuita.xlsm]GRÁFICOS!Tabela dinâmica2</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chemeClr val="accent1">
                    <a:lumMod val="75000"/>
                  </a:schemeClr>
                </a:solidFill>
              </a:rPr>
              <a:t>RECEITAS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GRÁFICOS!$AG$8</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GRÁFICOS!$AF$9:$AF$10</c:f>
              <c:strCache>
                <c:ptCount val="1"/>
                <c:pt idx="0">
                  <c:v>VENDAS</c:v>
                </c:pt>
              </c:strCache>
            </c:strRef>
          </c:cat>
          <c:val>
            <c:numRef>
              <c:f>GRÁFICOS!$AG$9:$AG$10</c:f>
              <c:numCache>
                <c:formatCode>#,##0.00_ ;[Red]\-#,##0.00\ </c:formatCode>
                <c:ptCount val="1"/>
                <c:pt idx="0">
                  <c:v>240000</c:v>
                </c:pt>
              </c:numCache>
            </c:numRef>
          </c:val>
          <c:extLst>
            <c:ext xmlns:c16="http://schemas.microsoft.com/office/drawing/2014/chart" uri="{C3380CC4-5D6E-409C-BE32-E72D297353CC}">
              <c16:uniqueId val="{00000007-96C3-4415-A070-8AA5829B4A2E}"/>
            </c:ext>
          </c:extLst>
        </c:ser>
        <c:dLbls>
          <c:dLblPos val="inEnd"/>
          <c:showLegendKey val="0"/>
          <c:showVal val="1"/>
          <c:showCatName val="0"/>
          <c:showSerName val="0"/>
          <c:showPercent val="0"/>
          <c:showBubbleSize val="0"/>
        </c:dLbls>
        <c:gapWidth val="65"/>
        <c:axId val="200000640"/>
        <c:axId val="200002176"/>
      </c:barChart>
      <c:catAx>
        <c:axId val="2000006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200002176"/>
        <c:crosses val="autoZero"/>
        <c:auto val="1"/>
        <c:lblAlgn val="ctr"/>
        <c:lblOffset val="100"/>
        <c:noMultiLvlLbl val="0"/>
      </c:catAx>
      <c:valAx>
        <c:axId val="20000217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none"/>
        <c:minorTickMark val="none"/>
        <c:tickLblPos val="nextTo"/>
        <c:crossAx val="20000064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Gratuita.xlsm]GRÁFICOS!Tabela dinâmica4</c:name>
    <c:fmtId val="4"/>
  </c:pivotSource>
  <c:chart>
    <c:title>
      <c:tx>
        <c:rich>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900"/>
              <a:t>TITULARES</a:t>
            </a:r>
          </a:p>
        </c:rich>
      </c:tx>
      <c:overlay val="0"/>
      <c:spPr>
        <a:noFill/>
        <a:ln>
          <a:noFill/>
        </a:ln>
        <a:effectLst/>
      </c:spPr>
      <c:txPr>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GRÁFICOS!$E$22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F25F-490F-8223-4B29A1251355}"/>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GRÁFICOS!$D$23:$D$24</c:f>
              <c:strCache>
                <c:ptCount val="1"/>
                <c:pt idx="0">
                  <c:v>R. MARINHO</c:v>
                </c:pt>
              </c:strCache>
            </c:strRef>
          </c:cat>
          <c:val>
            <c:numRef>
              <c:f>GRÁFICOS!$E$23:$E$24</c:f>
              <c:numCache>
                <c:formatCode>#,##0.00_ ;[Red]\-#,##0.00\ </c:formatCode>
                <c:ptCount val="1"/>
                <c:pt idx="0">
                  <c:v>70000</c:v>
                </c:pt>
              </c:numCache>
            </c:numRef>
          </c:val>
          <c:extLst>
            <c:ext xmlns:c16="http://schemas.microsoft.com/office/drawing/2014/chart" uri="{C3380CC4-5D6E-409C-BE32-E72D297353CC}">
              <c16:uniqueId val="{00000000-9FDF-44B9-AAB8-0F996808C040}"/>
            </c:ext>
          </c:extLst>
        </c:ser>
        <c:dLbls>
          <c:showLegendKey val="0"/>
          <c:showVal val="0"/>
          <c:showCatName val="1"/>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pivotSource>
    <c:name>[Programa de Controle Financeiro - Versão Gratuita.xlsm]GRÁFICOS!Tabela dinâmica3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DESPESAS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GRÁFICOS!$R$23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GRÁFICOS!$Q$24:$Q$25</c:f>
              <c:strCache>
                <c:ptCount val="1"/>
                <c:pt idx="0">
                  <c:v>COMPRAS</c:v>
                </c:pt>
              </c:strCache>
            </c:strRef>
          </c:cat>
          <c:val>
            <c:numRef>
              <c:f>GRÁFICOS!$R$24:$R$25</c:f>
              <c:numCache>
                <c:formatCode>#,##0.00_ ;[Red]\-#,##0.00\ </c:formatCode>
                <c:ptCount val="1"/>
                <c:pt idx="0">
                  <c:v>-180000</c:v>
                </c:pt>
              </c:numCache>
            </c:numRef>
          </c:val>
          <c:extLst>
            <c:ext xmlns:c16="http://schemas.microsoft.com/office/drawing/2014/chart" uri="{C3380CC4-5D6E-409C-BE32-E72D297353CC}">
              <c16:uniqueId val="{00000000-C99F-4F1D-A31B-7C6A3C6384F6}"/>
            </c:ext>
          </c:extLst>
        </c:ser>
        <c:dLbls>
          <c:showLegendKey val="0"/>
          <c:showVal val="0"/>
          <c:showCatName val="0"/>
          <c:showSerName val="0"/>
          <c:showPercent val="0"/>
          <c:showBubbleSize val="0"/>
        </c:dLbls>
        <c:gapWidth val="100"/>
        <c:overlap val="-24"/>
        <c:axId val="201423872"/>
        <c:axId val="201429760"/>
      </c:barChart>
      <c:catAx>
        <c:axId val="201423872"/>
        <c:scaling>
          <c:orientation val="minMax"/>
        </c:scaling>
        <c:delete val="0"/>
        <c:axPos val="t"/>
        <c:numFmt formatCode="General" sourceLinked="0"/>
        <c:majorTickMark val="none"/>
        <c:minorTickMark val="none"/>
        <c:tickLblPos val="high"/>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1429760"/>
        <c:crosses val="autoZero"/>
        <c:auto val="1"/>
        <c:lblAlgn val="ctr"/>
        <c:lblOffset val="100"/>
        <c:noMultiLvlLbl val="0"/>
      </c:catAx>
      <c:valAx>
        <c:axId val="201429760"/>
        <c:scaling>
          <c:orientation val="maxMin"/>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1423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Gratuita.xlsm]GRÁFICOS!TDCCustos</c:name>
    <c:fmtId val="2"/>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pt-BR" sz="900" b="1"/>
              <a:t>RESULTADO</a:t>
            </a:r>
            <a:r>
              <a:rPr lang="pt-BR" sz="900" b="1" baseline="0"/>
              <a:t> POR CENTRO DE CUSTOS</a:t>
            </a:r>
            <a:endParaRPr lang="pt-BR"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GRÁFICOS!$I$59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044-49AB-BB04-E0C9E7457BF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044-49AB-BB04-E0C9E7457BF2}"/>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GRÁFICOS!$H$60:$H$61</c:f>
              <c:strCache>
                <c:ptCount val="1"/>
                <c:pt idx="0">
                  <c:v>ADMINISTRATIVO</c:v>
                </c:pt>
              </c:strCache>
            </c:strRef>
          </c:cat>
          <c:val>
            <c:numRef>
              <c:f>GRÁFICOS!$I$60:$I$61</c:f>
              <c:numCache>
                <c:formatCode>#,##0.00_ ;[Red]\-#,##0.00\ </c:formatCode>
                <c:ptCount val="1"/>
                <c:pt idx="0">
                  <c:v>70000</c:v>
                </c:pt>
              </c:numCache>
            </c:numRef>
          </c:val>
          <c:extLst>
            <c:ext xmlns:c16="http://schemas.microsoft.com/office/drawing/2014/chart" uri="{C3380CC4-5D6E-409C-BE32-E72D297353CC}">
              <c16:uniqueId val="{00000000-E255-4B8F-861A-1E481F30F9C2}"/>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5</xdr:col>
      <xdr:colOff>0</xdr:colOff>
      <xdr:row>6</xdr:row>
      <xdr:rowOff>0</xdr:rowOff>
    </xdr:from>
    <xdr:to>
      <xdr:col>6</xdr:col>
      <xdr:colOff>0</xdr:colOff>
      <xdr:row>7</xdr:row>
      <xdr:rowOff>0</xdr:rowOff>
    </xdr:to>
    <xdr:sp macro="[0]!Ir_Registros" textlink="">
      <xdr:nvSpPr>
        <xdr:cNvPr id="2" name="CaixaDeTexto 1">
          <a:extLst>
            <a:ext uri="{FF2B5EF4-FFF2-40B4-BE49-F238E27FC236}">
              <a16:creationId xmlns:a16="http://schemas.microsoft.com/office/drawing/2014/main" id="{00000000-0008-0000-0000-000002000000}"/>
            </a:ext>
          </a:extLst>
        </xdr:cNvPr>
        <xdr:cNvSpPr txBox="1"/>
      </xdr:nvSpPr>
      <xdr:spPr>
        <a:xfrm>
          <a:off x="3473824" y="1008529"/>
          <a:ext cx="2711823" cy="224118"/>
        </a:xfrm>
        <a:prstGeom prst="rect">
          <a:avLst/>
        </a:prstGeom>
        <a:solidFill>
          <a:schemeClr val="accent1">
            <a:lumMod val="7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ÁREA</a:t>
          </a:r>
          <a:r>
            <a:rPr lang="pt-BR" sz="1100" b="1" baseline="0">
              <a:solidFill>
                <a:schemeClr val="bg1"/>
              </a:solidFill>
            </a:rPr>
            <a:t> DE REGISTROS -</a:t>
          </a:r>
          <a:r>
            <a:rPr lang="pt-BR" sz="1100" b="1">
              <a:solidFill>
                <a:schemeClr val="bg1"/>
              </a:solidFill>
            </a:rPr>
            <a:t> LANÇAMENTOS</a:t>
          </a:r>
        </a:p>
      </xdr:txBody>
    </xdr:sp>
    <xdr:clientData/>
  </xdr:twoCellAnchor>
  <xdr:twoCellAnchor editAs="absolute">
    <xdr:from>
      <xdr:col>7</xdr:col>
      <xdr:colOff>336175</xdr:colOff>
      <xdr:row>0</xdr:row>
      <xdr:rowOff>104776</xdr:rowOff>
    </xdr:from>
    <xdr:to>
      <xdr:col>21</xdr:col>
      <xdr:colOff>89647</xdr:colOff>
      <xdr:row>32</xdr:row>
      <xdr:rowOff>78440</xdr:rowOff>
    </xdr:to>
    <xdr:sp macro="" textlink="">
      <xdr:nvSpPr>
        <xdr:cNvPr id="18" name="ShpDicas">
          <a:extLst>
            <a:ext uri="{FF2B5EF4-FFF2-40B4-BE49-F238E27FC236}">
              <a16:creationId xmlns:a16="http://schemas.microsoft.com/office/drawing/2014/main" id="{00000000-0008-0000-0000-000012000000}"/>
            </a:ext>
          </a:extLst>
        </xdr:cNvPr>
        <xdr:cNvSpPr/>
      </xdr:nvSpPr>
      <xdr:spPr>
        <a:xfrm>
          <a:off x="6734734" y="104776"/>
          <a:ext cx="8225119" cy="5632635"/>
        </a:xfrm>
        <a:prstGeom prst="round2DiagRect">
          <a:avLst/>
        </a:prstGeom>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200" b="1" u="none" baseline="0">
              <a:solidFill>
                <a:schemeClr val="accent5">
                  <a:lumMod val="50000"/>
                </a:schemeClr>
              </a:solidFill>
              <a:effectLst/>
              <a:latin typeface="+mn-lt"/>
              <a:ea typeface="+mn-ea"/>
              <a:cs typeface="+mn-cs"/>
            </a:rPr>
            <a:t>D I C A S   G E R A I S</a:t>
          </a: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50" b="1" u="sng" baseline="0">
            <a:solidFill>
              <a:schemeClr val="accent5">
                <a:lumMod val="50000"/>
              </a:schemeClr>
            </a:solidFill>
            <a:effectLst/>
            <a:latin typeface="+mn-lt"/>
            <a:ea typeface="+mn-ea"/>
            <a:cs typeface="+mn-cs"/>
          </a:endParaRPr>
        </a:p>
        <a:p>
          <a:pPr algn="ctr" eaLnBrk="1" fontAlgn="auto" latinLnBrk="0" hangingPunct="1"/>
          <a:r>
            <a:rPr lang="pt-BR" sz="11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Utilize  a guia  "PROGRAMA FINANCEIRO", localizada na Faixa de Opções, acima, para navegar por este programa. Você pode navegar também através do menu ao lado;</a:t>
          </a:r>
          <a:endParaRPr lang="pt-BR" sz="1000">
            <a:solidFill>
              <a:schemeClr val="accent5">
                <a:lumMod val="50000"/>
              </a:schemeClr>
            </a:solidFill>
            <a:effectLst/>
            <a:latin typeface="+mn-l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5">
                <a:lumMod val="50000"/>
              </a:schemeClr>
            </a:solidFill>
            <a:effectLst/>
            <a:latin typeface="+mn-lt"/>
            <a:ea typeface="+mn-ea"/>
            <a:cs typeface="+mn-cs"/>
          </a:endParaRPr>
        </a:p>
        <a:p>
          <a:pPr algn="ctr" eaLnBrk="1" fontAlgn="auto" latinLnBrk="0" hangingPunct="1"/>
          <a:r>
            <a:rPr lang="pt-BR" sz="10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Ao pousar o mouse sobre as interrogações  do menu ao lado </a:t>
          </a:r>
          <a:r>
            <a:rPr lang="pt-BR" sz="1000" baseline="0">
              <a:ln w="0">
                <a:noFill/>
              </a:ln>
              <a:solidFill>
                <a:schemeClr val="accent5">
                  <a:lumMod val="50000"/>
                </a:schemeClr>
              </a:solidFill>
              <a:latin typeface="+mn-lt"/>
              <a:ea typeface="+mn-ea"/>
              <a:cs typeface="+mn-cs"/>
            </a:rPr>
            <a:t>você</a:t>
          </a:r>
          <a:r>
            <a:rPr lang="pt-BR" sz="1000" baseline="0">
              <a:solidFill>
                <a:schemeClr val="accent5">
                  <a:lumMod val="50000"/>
                </a:schemeClr>
              </a:solidFill>
              <a:effectLst/>
              <a:latin typeface="+mn-lt"/>
              <a:ea typeface="+mn-ea"/>
              <a:cs typeface="+mn-cs"/>
            </a:rPr>
            <a:t> obterá informações sobre a utilidade e/ou forma de uso de cada um dos itens de cadastramentos e relatórios. Por meio do link colocado na parte inferior esquerda deste menu, você abre um vídeo contendo exemplo prático da forma de utilização dos itens de cadastramentos. O correto entendimento da utilização desses itens, em particular do CENTRO DE CUSTOS e do PLANO DE CONTAS FINANCEIRO, por serem muito confundidos um com o outro, é imprescindível para se obter relatórios claros e precisos; </a:t>
          </a:r>
          <a:endParaRPr lang="pt-BR" sz="1000" u="sng" baseline="0">
            <a:solidFill>
              <a:schemeClr val="accent5">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5">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Todos os cadastramentos são feitos através de formulário e em todas as áreas de cadastro há um botão 'NOVO' para abri-lo. </a:t>
          </a:r>
          <a:r>
            <a:rPr lang="pt-BR" sz="1000" b="0" u="none" baseline="0">
              <a:ln>
                <a:noFill/>
              </a:ln>
              <a:solidFill>
                <a:schemeClr val="accent5">
                  <a:lumMod val="50000"/>
                </a:schemeClr>
              </a:solidFill>
              <a:effectLst/>
              <a:latin typeface="+mn-lt"/>
              <a:ea typeface="+mn-ea"/>
              <a:cs typeface="+mn-cs"/>
            </a:rPr>
            <a:t>C</a:t>
          </a:r>
          <a:r>
            <a:rPr lang="pt-BR" sz="1000" b="0">
              <a:ln w="0">
                <a:noFill/>
              </a:ln>
              <a:solidFill>
                <a:schemeClr val="accent5">
                  <a:lumMod val="50000"/>
                </a:schemeClr>
              </a:solidFill>
              <a:latin typeface="+mn-lt"/>
            </a:rPr>
            <a:t>om </a:t>
          </a:r>
          <a:r>
            <a:rPr lang="pt-BR" sz="1000">
              <a:ln w="0">
                <a:noFill/>
              </a:ln>
              <a:solidFill>
                <a:schemeClr val="accent5">
                  <a:lumMod val="50000"/>
                </a:schemeClr>
              </a:solidFill>
              <a:latin typeface="+mn-lt"/>
            </a:rPr>
            <a:t>um </a:t>
          </a:r>
          <a:r>
            <a:rPr lang="pt-BR" sz="1000" b="1">
              <a:ln w="0">
                <a:noFill/>
              </a:ln>
              <a:solidFill>
                <a:schemeClr val="accent5">
                  <a:lumMod val="50000"/>
                </a:schemeClr>
              </a:solidFill>
              <a:latin typeface="+mn-lt"/>
            </a:rPr>
            <a:t>duplo clique </a:t>
          </a:r>
          <a:r>
            <a:rPr lang="pt-BR" sz="1000">
              <a:ln w="0">
                <a:noFill/>
              </a:ln>
              <a:solidFill>
                <a:schemeClr val="accent5">
                  <a:lumMod val="50000"/>
                </a:schemeClr>
              </a:solidFill>
              <a:latin typeface="+mn-lt"/>
            </a:rPr>
            <a:t>na linha de um registro você abre o formulário com os respectivos dados daquela</a:t>
          </a:r>
          <a:r>
            <a:rPr lang="pt-BR" sz="1000" baseline="0">
              <a:ln w="0">
                <a:noFill/>
              </a:ln>
              <a:solidFill>
                <a:schemeClr val="accent5">
                  <a:lumMod val="50000"/>
                </a:schemeClr>
              </a:solidFill>
              <a:latin typeface="+mn-lt"/>
            </a:rPr>
            <a:t> linha</a:t>
          </a:r>
          <a:r>
            <a:rPr lang="pt-BR" sz="1000">
              <a:ln w="0">
                <a:noFill/>
              </a:ln>
              <a:solidFill>
                <a:schemeClr val="accent5">
                  <a:lumMod val="50000"/>
                </a:schemeClr>
              </a:solidFill>
              <a:latin typeface="+mn-lt"/>
            </a:rPr>
            <a:t> e pode alterá-los ou excluir</a:t>
          </a:r>
          <a:r>
            <a:rPr lang="pt-BR" sz="1000" baseline="0">
              <a:ln w="0">
                <a:noFill/>
              </a:ln>
              <a:solidFill>
                <a:schemeClr val="accent5">
                  <a:lumMod val="50000"/>
                </a:schemeClr>
              </a:solidFill>
              <a:latin typeface="+mn-lt"/>
            </a:rPr>
            <a:t> todo o registro</a:t>
          </a:r>
          <a:r>
            <a:rPr lang="pt-BR" sz="1000">
              <a:ln w="0">
                <a:noFill/>
              </a:ln>
              <a:solidFill>
                <a:schemeClr val="accent5">
                  <a:lumMod val="50000"/>
                </a:schemeClr>
              </a:solidFill>
              <a:latin typeface="+mn-lt"/>
            </a:rPr>
            <a:t>;</a:t>
          </a:r>
        </a:p>
        <a:p>
          <a:pPr algn="ctr"/>
          <a:endParaRPr lang="pt-BR" sz="1000">
            <a:ln w="0">
              <a:noFill/>
            </a:ln>
            <a:solidFill>
              <a:schemeClr val="accent5">
                <a:lumMod val="50000"/>
              </a:schemeClr>
            </a:solidFill>
            <a:latin typeface="+mn-lt"/>
          </a:endParaRPr>
        </a:p>
        <a:p>
          <a:pPr algn="ct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Na área de LANÇAMENTOS, </a:t>
          </a:r>
          <a:r>
            <a:rPr lang="pt-BR" sz="1000" b="0" baseline="0">
              <a:ln w="0">
                <a:noFill/>
              </a:ln>
              <a:solidFill>
                <a:schemeClr val="accent5">
                  <a:lumMod val="50000"/>
                </a:schemeClr>
              </a:solidFill>
              <a:effectLst/>
              <a:latin typeface="+mn-lt"/>
              <a:ea typeface="+mn-ea"/>
              <a:cs typeface="+mn-cs"/>
            </a:rPr>
            <a:t>p</a:t>
          </a:r>
          <a:r>
            <a:rPr lang="pt-BR" sz="1000" b="0">
              <a:ln w="0">
                <a:noFill/>
              </a:ln>
              <a:solidFill>
                <a:schemeClr val="accent5">
                  <a:lumMod val="50000"/>
                </a:schemeClr>
              </a:solidFill>
              <a:latin typeface="+mn-lt"/>
            </a:rPr>
            <a:t>ousando </a:t>
          </a:r>
          <a:r>
            <a:rPr lang="pt-BR" sz="1000">
              <a:ln w="0">
                <a:noFill/>
              </a:ln>
              <a:solidFill>
                <a:schemeClr val="accent5">
                  <a:lumMod val="50000"/>
                </a:schemeClr>
              </a:solidFill>
              <a:latin typeface="+mn-lt"/>
            </a:rPr>
            <a:t>o mouse sobre alguns campos </a:t>
          </a:r>
          <a:r>
            <a:rPr lang="pt-BR" sz="1000" baseline="0">
              <a:ln w="0">
                <a:noFill/>
              </a:ln>
              <a:solidFill>
                <a:schemeClr val="accent5">
                  <a:lumMod val="50000"/>
                </a:schemeClr>
              </a:solidFill>
              <a:latin typeface="+mn-lt"/>
            </a:rPr>
            <a:t>do formulário você terá informações sobre a finalidade deles;</a:t>
          </a:r>
        </a:p>
        <a:p>
          <a:pPr algn="ctr"/>
          <a:endParaRPr lang="pt-BR" sz="1000">
            <a:solidFill>
              <a:schemeClr val="accent5">
                <a:lumMod val="50000"/>
              </a:schemeClr>
            </a:solidFill>
            <a:effectLst/>
            <a:latin typeface="+mn-lt"/>
          </a:endParaRPr>
        </a:p>
        <a:p>
          <a:pPr algn="ct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Também na área de LANÇAMENTOS, c</a:t>
          </a:r>
          <a:r>
            <a:rPr lang="pt-BR" sz="1000">
              <a:solidFill>
                <a:schemeClr val="accent5">
                  <a:lumMod val="50000"/>
                </a:schemeClr>
              </a:solidFill>
              <a:effectLst/>
              <a:latin typeface="+mn-lt"/>
              <a:ea typeface="+mn-ea"/>
              <a:cs typeface="+mn-cs"/>
            </a:rPr>
            <a:t>licando nos botões com</a:t>
          </a:r>
          <a:r>
            <a:rPr lang="pt-BR" sz="1000" baseline="0">
              <a:solidFill>
                <a:schemeClr val="accent5">
                  <a:lumMod val="50000"/>
                </a:schemeClr>
              </a:solidFill>
              <a:effectLst/>
              <a:latin typeface="+mn-lt"/>
              <a:ea typeface="+mn-ea"/>
              <a:cs typeface="+mn-cs"/>
            </a:rPr>
            <a:t> sinal de mais (+) no Formulário de Título, que ficam a esquerda dos campos 'Nome do Titular', 'Centro de Custos', 'Grupo de Contas', 'Plano de Contas', 'Cliente ou Fornecedor' e 'Conta Corrente', você é direcionado para a respectiva planilha de cadastro e, após o novo cadastramento, retorna automaticamente para o formulário de lançamentos;</a:t>
          </a:r>
        </a:p>
        <a:p>
          <a:pPr algn="ctr"/>
          <a:endParaRPr lang="pt-BR" sz="1000" baseline="0">
            <a:ln w="0">
              <a:noFill/>
            </a:ln>
            <a:solidFill>
              <a:schemeClr val="accent5">
                <a:lumMod val="50000"/>
              </a:schemeClr>
            </a:solidFill>
            <a:effectLst/>
            <a:latin typeface="+mn-lt"/>
            <a:ea typeface="+mn-ea"/>
            <a:cs typeface="+mn-cs"/>
          </a:endParaRPr>
        </a:p>
        <a:p>
          <a:pPr algn="ctr"/>
          <a:r>
            <a:rPr lang="pt-BR" sz="1000" b="1" baseline="0">
              <a:solidFill>
                <a:schemeClr val="accent5">
                  <a:lumMod val="50000"/>
                </a:schemeClr>
              </a:solidFill>
              <a:effectLst/>
              <a:latin typeface="+mn-lt"/>
              <a:ea typeface="+mn-ea"/>
              <a:cs typeface="+mn-cs"/>
            </a:rPr>
            <a:t>✧  P</a:t>
          </a:r>
          <a:r>
            <a:rPr lang="pt-BR" sz="1000" b="0" baseline="0">
              <a:ln w="0">
                <a:noFill/>
              </a:ln>
              <a:solidFill>
                <a:schemeClr val="accent5">
                  <a:lumMod val="50000"/>
                </a:schemeClr>
              </a:solidFill>
              <a:effectLst/>
              <a:latin typeface="+mn-lt"/>
              <a:ea typeface="+mn-ea"/>
              <a:cs typeface="+mn-cs"/>
            </a:rPr>
            <a:t>ara excluir</a:t>
          </a:r>
          <a:r>
            <a:rPr lang="pt-BR" sz="1000" baseline="0">
              <a:ln w="0">
                <a:noFill/>
              </a:ln>
              <a:solidFill>
                <a:schemeClr val="accent5">
                  <a:lumMod val="50000"/>
                </a:schemeClr>
              </a:solidFill>
              <a:effectLst/>
              <a:latin typeface="+mn-lt"/>
              <a:ea typeface="+mn-ea"/>
              <a:cs typeface="+mn-cs"/>
            </a:rPr>
            <a:t> o registro de títulos basta selecionar a linha do registro e clicar em 'Excluir Título' na seção 'LANÇAMENTOS' do Menu 'PROGRAMA FINANCEIRO';</a:t>
          </a:r>
        </a:p>
        <a:p>
          <a:pPr algn="ctr"/>
          <a:endParaRPr lang="pt-BR" sz="1000" baseline="0">
            <a:ln w="0">
              <a:noFill/>
            </a:ln>
            <a:solidFill>
              <a:schemeClr val="accent5">
                <a:lumMod val="50000"/>
              </a:schemeClr>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pt-BR" sz="10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Este programa oferece também uma forma simplificada de controle de estoque de materiais e produtos. Para utilizá-lo basta cadastrar os materiais/produtos a serem controlados e associar contas do PLANO DE CONTAS ao controle estoque;</a:t>
          </a:r>
          <a:endParaRPr lang="pt-BR" sz="1000" baseline="0">
            <a:ln w="0">
              <a:noFill/>
            </a:ln>
            <a:solidFill>
              <a:schemeClr val="accent5">
                <a:lumMod val="50000"/>
              </a:schemeClr>
            </a:solidFill>
            <a:latin typeface="+mn-lt"/>
          </a:endParaRPr>
        </a:p>
        <a:p>
          <a:pPr algn="ctr"/>
          <a:endParaRPr lang="pt-BR" sz="1000" baseline="0">
            <a:ln w="0">
              <a:noFill/>
            </a:ln>
            <a:solidFill>
              <a:schemeClr val="accent5">
                <a:lumMod val="50000"/>
              </a:schemeClr>
            </a:solidFill>
            <a:latin typeface="+mn-lt"/>
          </a:endParaRPr>
        </a:p>
        <a:p>
          <a:pPr algn="ctr"/>
          <a:r>
            <a:rPr lang="pt-BR" sz="1000" b="1" baseline="0">
              <a:solidFill>
                <a:schemeClr val="accent5">
                  <a:lumMod val="50000"/>
                </a:schemeClr>
              </a:solidFill>
              <a:effectLst/>
              <a:latin typeface="+mn-lt"/>
              <a:ea typeface="+mn-ea"/>
              <a:cs typeface="+mn-cs"/>
            </a:rPr>
            <a:t>✧ </a:t>
          </a:r>
          <a:r>
            <a:rPr lang="pt-BR" sz="1000" baseline="0">
              <a:ln w="0">
                <a:noFill/>
              </a:ln>
              <a:solidFill>
                <a:schemeClr val="accent5">
                  <a:lumMod val="50000"/>
                </a:schemeClr>
              </a:solidFill>
              <a:latin typeface="+mn-lt"/>
            </a:rPr>
            <a:t>Se você já estiver craque com o uso deste programa, pode ocultar este e os demais quadros de dicas com um simples clique na caixinha 'Dicas e observações', localizada na parte superior da aba MENU.</a:t>
          </a:r>
          <a:endParaRPr lang="pt-BR" sz="1000">
            <a:ln w="0">
              <a:noFill/>
            </a:ln>
            <a:solidFill>
              <a:schemeClr val="accent5">
                <a:lumMod val="50000"/>
              </a:schemeClr>
            </a:solidFill>
            <a:latin typeface="+mn-lt"/>
          </a:endParaRPr>
        </a:p>
      </xdr:txBody>
    </xdr:sp>
    <xdr:clientData/>
  </xdr:twoCellAnchor>
  <xdr:twoCellAnchor>
    <xdr:from>
      <xdr:col>2</xdr:col>
      <xdr:colOff>0</xdr:colOff>
      <xdr:row>6</xdr:row>
      <xdr:rowOff>0</xdr:rowOff>
    </xdr:from>
    <xdr:to>
      <xdr:col>3</xdr:col>
      <xdr:colOff>0</xdr:colOff>
      <xdr:row>7</xdr:row>
      <xdr:rowOff>1</xdr:rowOff>
    </xdr:to>
    <xdr:sp macro="[0]!Ir_Titular" textlink="">
      <xdr:nvSpPr>
        <xdr:cNvPr id="16" name="CaixaDeTexto 15">
          <a:extLst>
            <a:ext uri="{FF2B5EF4-FFF2-40B4-BE49-F238E27FC236}">
              <a16:creationId xmlns:a16="http://schemas.microsoft.com/office/drawing/2014/main" id="{00000000-0008-0000-0000-000010000000}"/>
            </a:ext>
          </a:extLst>
        </xdr:cNvPr>
        <xdr:cNvSpPr txBox="1"/>
      </xdr:nvSpPr>
      <xdr:spPr>
        <a:xfrm>
          <a:off x="324971" y="1008529"/>
          <a:ext cx="2711823" cy="224119"/>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TITULARES DOS</a:t>
          </a:r>
          <a:r>
            <a:rPr lang="pt-BR" sz="1100" b="1" baseline="0"/>
            <a:t> LANÇAMENTOS</a:t>
          </a:r>
          <a:endParaRPr lang="pt-BR" sz="1100" b="1"/>
        </a:p>
      </xdr:txBody>
    </xdr:sp>
    <xdr:clientData/>
  </xdr:twoCellAnchor>
  <xdr:twoCellAnchor>
    <xdr:from>
      <xdr:col>2</xdr:col>
      <xdr:colOff>0</xdr:colOff>
      <xdr:row>8</xdr:row>
      <xdr:rowOff>0</xdr:rowOff>
    </xdr:from>
    <xdr:to>
      <xdr:col>3</xdr:col>
      <xdr:colOff>0</xdr:colOff>
      <xdr:row>9</xdr:row>
      <xdr:rowOff>0</xdr:rowOff>
    </xdr:to>
    <xdr:sp macro="[0]!Ir_CCustos" textlink="">
      <xdr:nvSpPr>
        <xdr:cNvPr id="17" name="CaixaDeTexto 16">
          <a:extLst>
            <a:ext uri="{FF2B5EF4-FFF2-40B4-BE49-F238E27FC236}">
              <a16:creationId xmlns:a16="http://schemas.microsoft.com/office/drawing/2014/main" id="{00000000-0008-0000-0000-000011000000}"/>
            </a:ext>
          </a:extLst>
        </xdr:cNvPr>
        <xdr:cNvSpPr txBox="1"/>
      </xdr:nvSpPr>
      <xdr:spPr>
        <a:xfrm>
          <a:off x="324971" y="1355912"/>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CENTROS DE CUSTOS</a:t>
          </a:r>
        </a:p>
      </xdr:txBody>
    </xdr:sp>
    <xdr:clientData/>
  </xdr:twoCellAnchor>
  <xdr:twoCellAnchor>
    <xdr:from>
      <xdr:col>2</xdr:col>
      <xdr:colOff>-1</xdr:colOff>
      <xdr:row>12</xdr:row>
      <xdr:rowOff>0</xdr:rowOff>
    </xdr:from>
    <xdr:to>
      <xdr:col>2</xdr:col>
      <xdr:colOff>2711822</xdr:colOff>
      <xdr:row>13</xdr:row>
      <xdr:rowOff>0</xdr:rowOff>
    </xdr:to>
    <xdr:sp macro="[0]!Ir_PlanoContas" textlink="">
      <xdr:nvSpPr>
        <xdr:cNvPr id="19" name="CaixaDeTexto 18">
          <a:extLst>
            <a:ext uri="{FF2B5EF4-FFF2-40B4-BE49-F238E27FC236}">
              <a16:creationId xmlns:a16="http://schemas.microsoft.com/office/drawing/2014/main" id="{00000000-0008-0000-0000-000013000000}"/>
            </a:ext>
          </a:extLst>
        </xdr:cNvPr>
        <xdr:cNvSpPr txBox="1"/>
      </xdr:nvSpPr>
      <xdr:spPr>
        <a:xfrm>
          <a:off x="324970" y="2050676"/>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PLANO</a:t>
          </a:r>
          <a:r>
            <a:rPr lang="pt-BR" sz="1100" b="1" baseline="0"/>
            <a:t> DE CONTAS FINANCEIRO</a:t>
          </a:r>
          <a:endParaRPr lang="pt-BR" sz="1100" b="1"/>
        </a:p>
      </xdr:txBody>
    </xdr:sp>
    <xdr:clientData/>
  </xdr:twoCellAnchor>
  <xdr:twoCellAnchor>
    <xdr:from>
      <xdr:col>2</xdr:col>
      <xdr:colOff>0</xdr:colOff>
      <xdr:row>16</xdr:row>
      <xdr:rowOff>563</xdr:rowOff>
    </xdr:from>
    <xdr:to>
      <xdr:col>3</xdr:col>
      <xdr:colOff>0</xdr:colOff>
      <xdr:row>17</xdr:row>
      <xdr:rowOff>4486</xdr:rowOff>
    </xdr:to>
    <xdr:sp macro="[0]!Ir_ContaCorrente" textlink="">
      <xdr:nvSpPr>
        <xdr:cNvPr id="20" name="CaixaDeTexto 19">
          <a:extLst>
            <a:ext uri="{FF2B5EF4-FFF2-40B4-BE49-F238E27FC236}">
              <a16:creationId xmlns:a16="http://schemas.microsoft.com/office/drawing/2014/main" id="{00000000-0008-0000-0000-000014000000}"/>
            </a:ext>
          </a:extLst>
        </xdr:cNvPr>
        <xdr:cNvSpPr txBox="1"/>
      </xdr:nvSpPr>
      <xdr:spPr>
        <a:xfrm>
          <a:off x="212912" y="2398622"/>
          <a:ext cx="2711823" cy="228040"/>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CONTAS CORRENTES</a:t>
          </a:r>
        </a:p>
      </xdr:txBody>
    </xdr:sp>
    <xdr:clientData/>
  </xdr:twoCellAnchor>
  <xdr:twoCellAnchor>
    <xdr:from>
      <xdr:col>5</xdr:col>
      <xdr:colOff>0</xdr:colOff>
      <xdr:row>12</xdr:row>
      <xdr:rowOff>1</xdr:rowOff>
    </xdr:from>
    <xdr:to>
      <xdr:col>6</xdr:col>
      <xdr:colOff>0</xdr:colOff>
      <xdr:row>13</xdr:row>
      <xdr:rowOff>1</xdr:rowOff>
    </xdr:to>
    <xdr:sp macro="[0]!Ir_FluxoDeCaixa" textlink="">
      <xdr:nvSpPr>
        <xdr:cNvPr id="21" name="CaixaDeTexto 20">
          <a:extLst>
            <a:ext uri="{FF2B5EF4-FFF2-40B4-BE49-F238E27FC236}">
              <a16:creationId xmlns:a16="http://schemas.microsoft.com/office/drawing/2014/main" id="{00000000-0008-0000-0000-000015000000}"/>
            </a:ext>
          </a:extLst>
        </xdr:cNvPr>
        <xdr:cNvSpPr txBox="1"/>
      </xdr:nvSpPr>
      <xdr:spPr>
        <a:xfrm>
          <a:off x="3473824" y="2050677"/>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FLUXOS DE CAIXA</a:t>
          </a:r>
        </a:p>
      </xdr:txBody>
    </xdr:sp>
    <xdr:clientData/>
  </xdr:twoCellAnchor>
  <xdr:twoCellAnchor>
    <xdr:from>
      <xdr:col>5</xdr:col>
      <xdr:colOff>0</xdr:colOff>
      <xdr:row>14</xdr:row>
      <xdr:rowOff>0</xdr:rowOff>
    </xdr:from>
    <xdr:to>
      <xdr:col>6</xdr:col>
      <xdr:colOff>0</xdr:colOff>
      <xdr:row>15</xdr:row>
      <xdr:rowOff>0</xdr:rowOff>
    </xdr:to>
    <xdr:sp macro="[0]!Ir_RelatorioAnaliseResultado" textlink="">
      <xdr:nvSpPr>
        <xdr:cNvPr id="22" name="CaixaDeTexto 21">
          <a:extLst>
            <a:ext uri="{FF2B5EF4-FFF2-40B4-BE49-F238E27FC236}">
              <a16:creationId xmlns:a16="http://schemas.microsoft.com/office/drawing/2014/main" id="{00000000-0008-0000-0000-000016000000}"/>
            </a:ext>
          </a:extLst>
        </xdr:cNvPr>
        <xdr:cNvSpPr txBox="1"/>
      </xdr:nvSpPr>
      <xdr:spPr>
        <a:xfrm>
          <a:off x="3473824" y="2398059"/>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ANÁLISE DE RESULTADO</a:t>
          </a:r>
          <a:endParaRPr lang="pt-BR" sz="1100" b="1"/>
        </a:p>
      </xdr:txBody>
    </xdr:sp>
    <xdr:clientData/>
  </xdr:twoCellAnchor>
  <xdr:twoCellAnchor>
    <xdr:from>
      <xdr:col>5</xdr:col>
      <xdr:colOff>0</xdr:colOff>
      <xdr:row>16</xdr:row>
      <xdr:rowOff>0</xdr:rowOff>
    </xdr:from>
    <xdr:to>
      <xdr:col>6</xdr:col>
      <xdr:colOff>0</xdr:colOff>
      <xdr:row>16</xdr:row>
      <xdr:rowOff>235323</xdr:rowOff>
    </xdr:to>
    <xdr:sp macro="[0]!Ir_RelatorioOutros" textlink="">
      <xdr:nvSpPr>
        <xdr:cNvPr id="23" name="CaixaDeTexto 22">
          <a:extLst>
            <a:ext uri="{FF2B5EF4-FFF2-40B4-BE49-F238E27FC236}">
              <a16:creationId xmlns:a16="http://schemas.microsoft.com/office/drawing/2014/main" id="{00000000-0008-0000-0000-000017000000}"/>
            </a:ext>
          </a:extLst>
        </xdr:cNvPr>
        <xdr:cNvSpPr txBox="1"/>
      </xdr:nvSpPr>
      <xdr:spPr>
        <a:xfrm>
          <a:off x="3473824" y="3104029"/>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OUTROS</a:t>
          </a:r>
          <a:r>
            <a:rPr lang="pt-BR" sz="1100" b="1" baseline="0"/>
            <a:t> RELATÓRIOS</a:t>
          </a:r>
          <a:endParaRPr lang="pt-BR" sz="1100" b="1"/>
        </a:p>
      </xdr:txBody>
    </xdr:sp>
    <xdr:clientData/>
  </xdr:twoCellAnchor>
  <xdr:twoCellAnchor>
    <xdr:from>
      <xdr:col>5</xdr:col>
      <xdr:colOff>0</xdr:colOff>
      <xdr:row>20</xdr:row>
      <xdr:rowOff>0</xdr:rowOff>
    </xdr:from>
    <xdr:to>
      <xdr:col>6</xdr:col>
      <xdr:colOff>0</xdr:colOff>
      <xdr:row>21</xdr:row>
      <xdr:rowOff>0</xdr:rowOff>
    </xdr:to>
    <xdr:sp macro="[0]!Ir_Gráficos" textlink="">
      <xdr:nvSpPr>
        <xdr:cNvPr id="24" name="CaixaDeTexto 23">
          <a:extLst>
            <a:ext uri="{FF2B5EF4-FFF2-40B4-BE49-F238E27FC236}">
              <a16:creationId xmlns:a16="http://schemas.microsoft.com/office/drawing/2014/main" id="{00000000-0008-0000-0000-000018000000}"/>
            </a:ext>
          </a:extLst>
        </xdr:cNvPr>
        <xdr:cNvSpPr txBox="1"/>
      </xdr:nvSpPr>
      <xdr:spPr>
        <a:xfrm>
          <a:off x="3473824" y="3462618"/>
          <a:ext cx="2711823" cy="235323"/>
        </a:xfrm>
        <a:prstGeom prst="rect">
          <a:avLst/>
        </a:prstGeom>
        <a:solidFill>
          <a:schemeClr val="accent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GRÁFICOS</a:t>
          </a:r>
        </a:p>
      </xdr:txBody>
    </xdr:sp>
    <xdr:clientData/>
  </xdr:twoCellAnchor>
  <xdr:twoCellAnchor>
    <xdr:from>
      <xdr:col>5</xdr:col>
      <xdr:colOff>0</xdr:colOff>
      <xdr:row>18</xdr:row>
      <xdr:rowOff>0</xdr:rowOff>
    </xdr:from>
    <xdr:to>
      <xdr:col>6</xdr:col>
      <xdr:colOff>0</xdr:colOff>
      <xdr:row>19</xdr:row>
      <xdr:rowOff>0</xdr:rowOff>
    </xdr:to>
    <xdr:sp macro="[0]!Ir_CriarRelatorio" textlink="">
      <xdr:nvSpPr>
        <xdr:cNvPr id="25" name="CaixaDeTexto 24">
          <a:extLst>
            <a:ext uri="{FF2B5EF4-FFF2-40B4-BE49-F238E27FC236}">
              <a16:creationId xmlns:a16="http://schemas.microsoft.com/office/drawing/2014/main" id="{00000000-0008-0000-0000-000019000000}"/>
            </a:ext>
          </a:extLst>
        </xdr:cNvPr>
        <xdr:cNvSpPr txBox="1"/>
      </xdr:nvSpPr>
      <xdr:spPr>
        <a:xfrm>
          <a:off x="3473824"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CRIAR SEU RELATÓRIO</a:t>
          </a:r>
        </a:p>
      </xdr:txBody>
    </xdr:sp>
    <xdr:clientData/>
  </xdr:twoCellAnchor>
  <xdr:twoCellAnchor>
    <xdr:from>
      <xdr:col>2</xdr:col>
      <xdr:colOff>0</xdr:colOff>
      <xdr:row>14</xdr:row>
      <xdr:rowOff>0</xdr:rowOff>
    </xdr:from>
    <xdr:to>
      <xdr:col>3</xdr:col>
      <xdr:colOff>0</xdr:colOff>
      <xdr:row>15</xdr:row>
      <xdr:rowOff>0</xdr:rowOff>
    </xdr:to>
    <xdr:sp macro="[0]!Ir_CliFor" textlink="">
      <xdr:nvSpPr>
        <xdr:cNvPr id="15" name="CaixaDeTexto 14">
          <a:extLst>
            <a:ext uri="{FF2B5EF4-FFF2-40B4-BE49-F238E27FC236}">
              <a16:creationId xmlns:a16="http://schemas.microsoft.com/office/drawing/2014/main" id="{00000000-0008-0000-0000-00000F000000}"/>
            </a:ext>
          </a:extLst>
        </xdr:cNvPr>
        <xdr:cNvSpPr txBox="1"/>
      </xdr:nvSpPr>
      <xdr:spPr>
        <a:xfrm>
          <a:off x="324971" y="2398059"/>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CLIENTES E FORNECEDORES</a:t>
          </a:r>
        </a:p>
      </xdr:txBody>
    </xdr:sp>
    <xdr:clientData/>
  </xdr:twoCellAnchor>
  <mc:AlternateContent xmlns:mc="http://schemas.openxmlformats.org/markup-compatibility/2006">
    <mc:Choice xmlns:a14="http://schemas.microsoft.com/office/drawing/2010/main" Requires="a14">
      <xdr:twoCellAnchor editAs="absolute">
        <xdr:from>
          <xdr:col>5</xdr:col>
          <xdr:colOff>1466850</xdr:colOff>
          <xdr:row>3</xdr:row>
          <xdr:rowOff>28575</xdr:rowOff>
        </xdr:from>
        <xdr:to>
          <xdr:col>6</xdr:col>
          <xdr:colOff>133350</xdr:colOff>
          <xdr:row>4</xdr:row>
          <xdr:rowOff>104775</xdr:rowOff>
        </xdr:to>
        <xdr:sp macro="" textlink="">
          <xdr:nvSpPr>
            <xdr:cNvPr id="1030" name="ChBoxDicas"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18</xdr:row>
      <xdr:rowOff>0</xdr:rowOff>
    </xdr:from>
    <xdr:to>
      <xdr:col>3</xdr:col>
      <xdr:colOff>0</xdr:colOff>
      <xdr:row>19</xdr:row>
      <xdr:rowOff>0</xdr:rowOff>
    </xdr:to>
    <xdr:sp macro="[0]!Ir_Insumos" textlink="">
      <xdr:nvSpPr>
        <xdr:cNvPr id="26" name="CaixaDeTexto 25">
          <a:extLst>
            <a:ext uri="{FF2B5EF4-FFF2-40B4-BE49-F238E27FC236}">
              <a16:creationId xmlns:a16="http://schemas.microsoft.com/office/drawing/2014/main" id="{00000000-0008-0000-0000-00001A000000}"/>
            </a:ext>
          </a:extLst>
        </xdr:cNvPr>
        <xdr:cNvSpPr txBox="1"/>
      </xdr:nvSpPr>
      <xdr:spPr>
        <a:xfrm>
          <a:off x="324971" y="3104029"/>
          <a:ext cx="2711823" cy="235324"/>
        </a:xfrm>
        <a:prstGeom prst="rect">
          <a:avLst/>
        </a:prstGeom>
        <a:solidFill>
          <a:schemeClr val="accent3">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ITENS DE ESTOQUE</a:t>
          </a:r>
          <a:endParaRPr lang="pt-BR" sz="1100" b="1"/>
        </a:p>
      </xdr:txBody>
    </xdr:sp>
    <xdr:clientData/>
  </xdr:twoCellAnchor>
  <xdr:twoCellAnchor>
    <xdr:from>
      <xdr:col>2</xdr:col>
      <xdr:colOff>0</xdr:colOff>
      <xdr:row>20</xdr:row>
      <xdr:rowOff>0</xdr:rowOff>
    </xdr:from>
    <xdr:to>
      <xdr:col>3</xdr:col>
      <xdr:colOff>0</xdr:colOff>
      <xdr:row>21</xdr:row>
      <xdr:rowOff>0</xdr:rowOff>
    </xdr:to>
    <xdr:sp macro="[0]!Ir_ControleEstoque" textlink="">
      <xdr:nvSpPr>
        <xdr:cNvPr id="27" name="CaixaDeTexto 26">
          <a:extLst>
            <a:ext uri="{FF2B5EF4-FFF2-40B4-BE49-F238E27FC236}">
              <a16:creationId xmlns:a16="http://schemas.microsoft.com/office/drawing/2014/main" id="{00000000-0008-0000-0000-00001B000000}"/>
            </a:ext>
          </a:extLst>
        </xdr:cNvPr>
        <xdr:cNvSpPr txBox="1"/>
      </xdr:nvSpPr>
      <xdr:spPr>
        <a:xfrm>
          <a:off x="324971"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CONTROLE</a:t>
          </a:r>
          <a:r>
            <a:rPr lang="pt-BR" sz="1100" b="1" baseline="0"/>
            <a:t> DE ESTOQUE</a:t>
          </a:r>
          <a:endParaRPr lang="pt-BR" sz="1100" b="1"/>
        </a:p>
      </xdr:txBody>
    </xdr:sp>
    <xdr:clientData/>
  </xdr:twoCellAnchor>
  <xdr:twoCellAnchor>
    <xdr:from>
      <xdr:col>2</xdr:col>
      <xdr:colOff>-1</xdr:colOff>
      <xdr:row>10</xdr:row>
      <xdr:rowOff>0</xdr:rowOff>
    </xdr:from>
    <xdr:to>
      <xdr:col>2</xdr:col>
      <xdr:colOff>2711822</xdr:colOff>
      <xdr:row>11</xdr:row>
      <xdr:rowOff>0</xdr:rowOff>
    </xdr:to>
    <xdr:sp macro="[0]!Ir_GrupoContas" textlink="">
      <xdr:nvSpPr>
        <xdr:cNvPr id="29" name="CaixaDeTexto 28">
          <a:extLst>
            <a:ext uri="{FF2B5EF4-FFF2-40B4-BE49-F238E27FC236}">
              <a16:creationId xmlns:a16="http://schemas.microsoft.com/office/drawing/2014/main" id="{00000000-0008-0000-0000-00001D000000}"/>
            </a:ext>
          </a:extLst>
        </xdr:cNvPr>
        <xdr:cNvSpPr txBox="1"/>
      </xdr:nvSpPr>
      <xdr:spPr>
        <a:xfrm>
          <a:off x="324970" y="1703294"/>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GRUPOS</a:t>
          </a:r>
          <a:r>
            <a:rPr lang="pt-BR" sz="1100" b="1" baseline="0"/>
            <a:t> DE CONTAS</a:t>
          </a:r>
          <a:endParaRPr lang="pt-BR" sz="1100" b="1"/>
        </a:p>
      </xdr:txBody>
    </xdr:sp>
    <xdr:clientData/>
  </xdr:twoCellAnchor>
  <xdr:twoCellAnchor>
    <xdr:from>
      <xdr:col>5</xdr:col>
      <xdr:colOff>0</xdr:colOff>
      <xdr:row>8</xdr:row>
      <xdr:rowOff>0</xdr:rowOff>
    </xdr:from>
    <xdr:to>
      <xdr:col>6</xdr:col>
      <xdr:colOff>0</xdr:colOff>
      <xdr:row>9</xdr:row>
      <xdr:rowOff>0</xdr:rowOff>
    </xdr:to>
    <xdr:sp macro="[0]!Ir_RelatorioRealizado" textlink="">
      <xdr:nvSpPr>
        <xdr:cNvPr id="28" name="CaixaDeTexto 27">
          <a:extLst>
            <a:ext uri="{FF2B5EF4-FFF2-40B4-BE49-F238E27FC236}">
              <a16:creationId xmlns:a16="http://schemas.microsoft.com/office/drawing/2014/main" id="{00000000-0008-0000-0000-00001C000000}"/>
            </a:ext>
          </a:extLst>
        </xdr:cNvPr>
        <xdr:cNvSpPr txBox="1"/>
      </xdr:nvSpPr>
      <xdr:spPr>
        <a:xfrm>
          <a:off x="3473824" y="1355912"/>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TÍTULOS</a:t>
          </a:r>
          <a:r>
            <a:rPr lang="pt-BR" sz="1100" b="1" baseline="0"/>
            <a:t> BAIXADOS / A BAIXAR</a:t>
          </a:r>
          <a:endParaRPr lang="pt-BR" sz="1100" b="1"/>
        </a:p>
      </xdr:txBody>
    </xdr:sp>
    <xdr:clientData/>
  </xdr:twoCellAnchor>
  <xdr:twoCellAnchor>
    <xdr:from>
      <xdr:col>5</xdr:col>
      <xdr:colOff>0</xdr:colOff>
      <xdr:row>10</xdr:row>
      <xdr:rowOff>0</xdr:rowOff>
    </xdr:from>
    <xdr:to>
      <xdr:col>6</xdr:col>
      <xdr:colOff>0</xdr:colOff>
      <xdr:row>11</xdr:row>
      <xdr:rowOff>0</xdr:rowOff>
    </xdr:to>
    <xdr:sp macro="[0]!Ir_RelatorioSaldos" textlink="">
      <xdr:nvSpPr>
        <xdr:cNvPr id="30" name="CaixaDeTexto 29">
          <a:extLst>
            <a:ext uri="{FF2B5EF4-FFF2-40B4-BE49-F238E27FC236}">
              <a16:creationId xmlns:a16="http://schemas.microsoft.com/office/drawing/2014/main" id="{00000000-0008-0000-0000-00001E000000}"/>
            </a:ext>
          </a:extLst>
        </xdr:cNvPr>
        <xdr:cNvSpPr txBox="1"/>
      </xdr:nvSpPr>
      <xdr:spPr>
        <a:xfrm>
          <a:off x="3473824" y="1703294"/>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SALDOS DAS CONTAS CORRENTES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12</xdr:col>
      <xdr:colOff>438149</xdr:colOff>
      <xdr:row>3</xdr:row>
      <xdr:rowOff>133349</xdr:rowOff>
    </xdr:from>
    <xdr:to>
      <xdr:col>19</xdr:col>
      <xdr:colOff>142874</xdr:colOff>
      <xdr:row>25</xdr:row>
      <xdr:rowOff>85724</xdr:rowOff>
    </xdr:to>
    <xdr:sp macro="" textlink="">
      <xdr:nvSpPr>
        <xdr:cNvPr id="6" name="ShpDicas">
          <a:extLst>
            <a:ext uri="{FF2B5EF4-FFF2-40B4-BE49-F238E27FC236}">
              <a16:creationId xmlns:a16="http://schemas.microsoft.com/office/drawing/2014/main" id="{00000000-0008-0000-0100-000006000000}"/>
            </a:ext>
          </a:extLst>
        </xdr:cNvPr>
        <xdr:cNvSpPr/>
      </xdr:nvSpPr>
      <xdr:spPr>
        <a:xfrm>
          <a:off x="8715374" y="571499"/>
          <a:ext cx="3971925" cy="4143375"/>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chemeClr val="accent5">
                  <a:lumMod val="50000"/>
                </a:schemeClr>
              </a:solidFill>
              <a:effectLst/>
              <a:latin typeface="+mn-lt"/>
              <a:ea typeface="+mn-ea"/>
              <a:cs typeface="+mn-cs"/>
            </a:rPr>
            <a:t>Registra o titular ou titulares dos recebimentos e pagamentos realizados ou a realizar.</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empresas. </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O resultado dos lançamentos por titular são observados no Relatório "Resultado por Titular".</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Caso</a:t>
          </a:r>
          <a:r>
            <a:rPr lang="pt-BR" sz="1100" baseline="0">
              <a:solidFill>
                <a:schemeClr val="accent5">
                  <a:lumMod val="50000"/>
                </a:schemeClr>
              </a:solidFill>
              <a:effectLst/>
              <a:latin typeface="+mn-lt"/>
              <a:ea typeface="+mn-ea"/>
              <a:cs typeface="+mn-cs"/>
            </a:rPr>
            <a:t> você não precise controlar suas finanças através de mais de um Titular, cadastre apenas um nome e o mesmo aparecerá automaticamente no campo respectivo do formulário de lançamentos, simplificando o processo de lançamento dos recebimentos, pagamentos e movimentações financeiras.</a:t>
          </a:r>
          <a:endParaRPr lang="pt-BR">
            <a:solidFill>
              <a:schemeClr val="accent5">
                <a:lumMod val="50000"/>
              </a:schemeClr>
            </a:solidFill>
            <a:effectLst/>
          </a:endParaRPr>
        </a:p>
      </xdr:txBody>
    </xdr:sp>
    <xdr:clientData/>
  </xdr:twoCellAnchor>
  <xdr:twoCellAnchor>
    <xdr:from>
      <xdr:col>3</xdr:col>
      <xdr:colOff>76200</xdr:colOff>
      <xdr:row>1</xdr:row>
      <xdr:rowOff>28575</xdr:rowOff>
    </xdr:from>
    <xdr:to>
      <xdr:col>4</xdr:col>
      <xdr:colOff>47625</xdr:colOff>
      <xdr:row>1</xdr:row>
      <xdr:rowOff>285750</xdr:rowOff>
    </xdr:to>
    <xdr:sp macro="[0]!ChamarFormCadTitular" textlink="">
      <xdr:nvSpPr>
        <xdr:cNvPr id="2" name="CaixaDeTexto 1">
          <a:extLst>
            <a:ext uri="{FF2B5EF4-FFF2-40B4-BE49-F238E27FC236}">
              <a16:creationId xmlns:a16="http://schemas.microsoft.com/office/drawing/2014/main" id="{00000000-0008-0000-0100-000002000000}"/>
            </a:ext>
          </a:extLst>
        </xdr:cNvPr>
        <xdr:cNvSpPr txBox="1"/>
      </xdr:nvSpPr>
      <xdr:spPr>
        <a:xfrm>
          <a:off x="2867025" y="76200"/>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1097056</xdr:colOff>
      <xdr:row>1</xdr:row>
      <xdr:rowOff>187139</xdr:rowOff>
    </xdr:from>
    <xdr:to>
      <xdr:col>2</xdr:col>
      <xdr:colOff>1592356</xdr:colOff>
      <xdr:row>1</xdr:row>
      <xdr:rowOff>368114</xdr:rowOff>
    </xdr:to>
    <xdr:sp macro="[0]!ChamarFormCadCliFor" textlink="">
      <xdr:nvSpPr>
        <xdr:cNvPr id="3" name="CaixaDeTexto 2">
          <a:extLst>
            <a:ext uri="{FF2B5EF4-FFF2-40B4-BE49-F238E27FC236}">
              <a16:creationId xmlns:a16="http://schemas.microsoft.com/office/drawing/2014/main" id="{00000000-0008-0000-0200-000003000000}"/>
            </a:ext>
          </a:extLst>
        </xdr:cNvPr>
        <xdr:cNvSpPr txBox="1"/>
      </xdr:nvSpPr>
      <xdr:spPr>
        <a:xfrm>
          <a:off x="1601321" y="220757"/>
          <a:ext cx="495300" cy="1809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t>NOVO</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13</xdr:col>
      <xdr:colOff>352425</xdr:colOff>
      <xdr:row>3</xdr:row>
      <xdr:rowOff>142872</xdr:rowOff>
    </xdr:from>
    <xdr:to>
      <xdr:col>18</xdr:col>
      <xdr:colOff>335861</xdr:colOff>
      <xdr:row>24</xdr:row>
      <xdr:rowOff>47625</xdr:rowOff>
    </xdr:to>
    <xdr:sp macro="" textlink="">
      <xdr:nvSpPr>
        <xdr:cNvPr id="9" name="ShpDicas">
          <a:extLst>
            <a:ext uri="{FF2B5EF4-FFF2-40B4-BE49-F238E27FC236}">
              <a16:creationId xmlns:a16="http://schemas.microsoft.com/office/drawing/2014/main" id="{00000000-0008-0000-0300-000009000000}"/>
            </a:ext>
          </a:extLst>
        </xdr:cNvPr>
        <xdr:cNvSpPr/>
      </xdr:nvSpPr>
      <xdr:spPr>
        <a:xfrm>
          <a:off x="9344025" y="552447"/>
          <a:ext cx="3031436" cy="3905253"/>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5">
                  <a:lumMod val="50000"/>
                </a:schemeClr>
              </a:solidFill>
              <a:effectLst/>
              <a:latin typeface="+mn-lt"/>
              <a:ea typeface="+mn-ea"/>
              <a:cs typeface="+mn-cs"/>
            </a:rPr>
            <a:t>'Centro de Custos' serve para concentrar os registros de recebimentos e pagamentos dentro de uma mesma unidade de controle.</a:t>
          </a:r>
        </a:p>
        <a:p>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Você pode criar centros de custos para controle de seus gastos pessoais, como: "Moradia",  "Alimentação", "Educação", "Lazer" etc.</a:t>
          </a:r>
        </a:p>
        <a:p>
          <a:r>
            <a:rPr lang="pt-BR" sz="1100">
              <a:solidFill>
                <a:schemeClr val="accent5">
                  <a:lumMod val="50000"/>
                </a:schemeClr>
              </a:solidFill>
              <a:effectLst/>
              <a:latin typeface="+mn-lt"/>
              <a:ea typeface="+mn-ea"/>
              <a:cs typeface="+mn-cs"/>
            </a:rPr>
            <a:t> </a:t>
          </a:r>
          <a:endParaRPr lang="pt-BR" sz="900">
            <a:solidFill>
              <a:schemeClr val="accent5">
                <a:lumMod val="50000"/>
              </a:schemeClr>
            </a:solidFill>
            <a:effectLst/>
          </a:endParaRPr>
        </a:p>
        <a:p>
          <a:r>
            <a:rPr lang="pt-BR" sz="1100">
              <a:solidFill>
                <a:schemeClr val="accent5">
                  <a:lumMod val="50000"/>
                </a:schemeClr>
              </a:solidFill>
              <a:effectLst/>
              <a:latin typeface="+mn-lt"/>
              <a:ea typeface="+mn-ea"/>
              <a:cs typeface="+mn-cs"/>
            </a:rPr>
            <a:t>Por exemplo,</a:t>
          </a:r>
          <a:r>
            <a:rPr lang="pt-BR" sz="1100" baseline="0">
              <a:solidFill>
                <a:schemeClr val="accent5">
                  <a:lumMod val="50000"/>
                </a:schemeClr>
              </a:solidFill>
              <a:effectLst/>
              <a:latin typeface="+mn-lt"/>
              <a:ea typeface="+mn-ea"/>
              <a:cs typeface="+mn-cs"/>
            </a:rPr>
            <a:t> </a:t>
          </a:r>
          <a:r>
            <a:rPr lang="pt-BR" sz="1100">
              <a:solidFill>
                <a:schemeClr val="accent5">
                  <a:lumMod val="50000"/>
                </a:schemeClr>
              </a:solidFill>
              <a:effectLst/>
              <a:latin typeface="+mn-lt"/>
              <a:ea typeface="+mn-ea"/>
              <a:cs typeface="+mn-cs"/>
            </a:rPr>
            <a:t>o centro de custos "Moradia" concentra as despesas com prestações da casa própria ou aluguel, contas de água, luz, telefone, mercado etc, as quais, por sua vez, são definidas através do 'Plano de Contas'. </a:t>
          </a:r>
        </a:p>
        <a:p>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Assim, ao selecionar o Relatório por Centros de Custos você verá que o valor informado para "Moradia" corresponderá à soma das despesas que você associou a esse centro de custos.</a:t>
          </a:r>
          <a:endParaRPr lang="pt-BR" sz="900">
            <a:solidFill>
              <a:schemeClr val="accent5">
                <a:lumMod val="50000"/>
              </a:schemeClr>
            </a:solidFill>
            <a:effectLst/>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CadCCustos" textlink="">
      <xdr:nvSpPr>
        <xdr:cNvPr id="3" name="CaixaDeTexto 2">
          <a:extLst>
            <a:ext uri="{FF2B5EF4-FFF2-40B4-BE49-F238E27FC236}">
              <a16:creationId xmlns:a16="http://schemas.microsoft.com/office/drawing/2014/main" id="{00000000-0008-0000-03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13</xdr:col>
      <xdr:colOff>304800</xdr:colOff>
      <xdr:row>3</xdr:row>
      <xdr:rowOff>104775</xdr:rowOff>
    </xdr:from>
    <xdr:to>
      <xdr:col>19</xdr:col>
      <xdr:colOff>0</xdr:colOff>
      <xdr:row>26</xdr:row>
      <xdr:rowOff>9525</xdr:rowOff>
    </xdr:to>
    <xdr:sp macro="" textlink="">
      <xdr:nvSpPr>
        <xdr:cNvPr id="2" name="ShpDicas">
          <a:extLst>
            <a:ext uri="{FF2B5EF4-FFF2-40B4-BE49-F238E27FC236}">
              <a16:creationId xmlns:a16="http://schemas.microsoft.com/office/drawing/2014/main" id="{00000000-0008-0000-0400-000002000000}"/>
            </a:ext>
          </a:extLst>
        </xdr:cNvPr>
        <xdr:cNvSpPr/>
      </xdr:nvSpPr>
      <xdr:spPr>
        <a:xfrm>
          <a:off x="9296400" y="514350"/>
          <a:ext cx="3352800" cy="4286250"/>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5">
                  <a:lumMod val="50000"/>
                </a:schemeClr>
              </a:solidFill>
              <a:effectLst/>
              <a:latin typeface="+mn-lt"/>
              <a:ea typeface="+mn-ea"/>
              <a:cs typeface="+mn-cs"/>
            </a:rPr>
            <a:t>Grupo de Contas' serve para aglutinar as contas do plano de contas dentro de uma mesma unidade de controle,</a:t>
          </a:r>
          <a:r>
            <a:rPr lang="pt-BR" sz="1100" baseline="0">
              <a:solidFill>
                <a:schemeClr val="accent5">
                  <a:lumMod val="50000"/>
                </a:schemeClr>
              </a:solidFill>
              <a:effectLst/>
              <a:latin typeface="+mn-lt"/>
              <a:ea typeface="+mn-ea"/>
              <a:cs typeface="+mn-cs"/>
            </a:rPr>
            <a:t> segundo a sua natureza.</a:t>
          </a:r>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 </a:t>
          </a:r>
          <a:endParaRPr lang="pt-BR" sz="900">
            <a:solidFill>
              <a:schemeClr val="accent5">
                <a:lumMod val="50000"/>
              </a:schemeClr>
            </a:solidFill>
            <a:effectLst/>
          </a:endParaRPr>
        </a:p>
        <a:p>
          <a:r>
            <a:rPr lang="pt-BR" sz="1100">
              <a:solidFill>
                <a:schemeClr val="accent5">
                  <a:lumMod val="50000"/>
                </a:schemeClr>
              </a:solidFill>
              <a:effectLst/>
              <a:latin typeface="+mn-lt"/>
              <a:ea typeface="+mn-ea"/>
              <a:cs typeface="+mn-cs"/>
            </a:rPr>
            <a:t>Você pode,</a:t>
          </a:r>
          <a:r>
            <a:rPr lang="pt-BR" sz="1100" baseline="0">
              <a:solidFill>
                <a:schemeClr val="accent5">
                  <a:lumMod val="50000"/>
                </a:schemeClr>
              </a:solidFill>
              <a:effectLst/>
              <a:latin typeface="+mn-lt"/>
              <a:ea typeface="+mn-ea"/>
              <a:cs typeface="+mn-cs"/>
            </a:rPr>
            <a:t> por exemplo, criar um Grupo de Contas chamado "DESPESAS COM PESSOAL" para concentrar as contas</a:t>
          </a:r>
          <a:r>
            <a:rPr lang="pt-BR" sz="1100">
              <a:solidFill>
                <a:schemeClr val="accent5">
                  <a:lumMod val="50000"/>
                </a:schemeClr>
              </a:solidFill>
              <a:effectLst/>
              <a:latin typeface="+mn-lt"/>
              <a:ea typeface="+mn-ea"/>
              <a:cs typeface="+mn-cs"/>
            </a:rPr>
            <a:t> de 'SALÁRIOS', 'FÉRIAS', '13º</a:t>
          </a:r>
          <a:r>
            <a:rPr lang="pt-BR" sz="1100" baseline="0">
              <a:solidFill>
                <a:schemeClr val="accent5">
                  <a:lumMod val="50000"/>
                </a:schemeClr>
              </a:solidFill>
              <a:effectLst/>
              <a:latin typeface="+mn-lt"/>
              <a:ea typeface="+mn-ea"/>
              <a:cs typeface="+mn-cs"/>
            </a:rPr>
            <a:t> SALÁRIO', 'GRATIFICAÇÕES' etc, que, por sua vez, são criadas pelo Plano de Contas.</a:t>
          </a:r>
        </a:p>
        <a:p>
          <a:endParaRPr lang="pt-BR" sz="1100" baseline="0">
            <a:solidFill>
              <a:schemeClr val="accent5">
                <a:lumMod val="50000"/>
              </a:schemeClr>
            </a:solidFill>
            <a:effectLst/>
            <a:latin typeface="+mn-lt"/>
            <a:ea typeface="+mn-ea"/>
            <a:cs typeface="+mn-cs"/>
          </a:endParaRPr>
        </a:p>
        <a:p>
          <a:r>
            <a:rPr lang="pt-BR" sz="1100" baseline="0">
              <a:solidFill>
                <a:schemeClr val="accent5">
                  <a:lumMod val="50000"/>
                </a:schemeClr>
              </a:solidFill>
              <a:effectLst/>
              <a:latin typeface="+mn-lt"/>
              <a:ea typeface="+mn-ea"/>
              <a:cs typeface="+mn-cs"/>
            </a:rPr>
            <a:t>Outro exemplo é o Grupo de Contas "RECEITAS OPERACIONAIS", que pode concentrar as contas de VENDA DE PRODUTOS', PRESTAÇÃO DE SERVIÇOS' etc.</a:t>
          </a:r>
        </a:p>
        <a:p>
          <a:endParaRPr lang="pt-BR" sz="1100" baseline="0">
            <a:solidFill>
              <a:schemeClr val="accent5">
                <a:lumMod val="50000"/>
              </a:schemeClr>
            </a:solidFill>
            <a:effectLst/>
            <a:latin typeface="+mn-lt"/>
            <a:ea typeface="+mn-ea"/>
            <a:cs typeface="+mn-cs"/>
          </a:endParaRPr>
        </a:p>
        <a:p>
          <a:r>
            <a:rPr lang="pt-BR" sz="1100" baseline="0">
              <a:solidFill>
                <a:schemeClr val="accent5">
                  <a:lumMod val="50000"/>
                </a:schemeClr>
              </a:solidFill>
              <a:effectLst/>
              <a:latin typeface="+mn-lt"/>
              <a:ea typeface="+mn-ea"/>
              <a:cs typeface="+mn-cs"/>
            </a:rPr>
            <a:t>Assim como o Grupo de Contas "DESPESAS OPERACIONAIS" pode aglutinar as contas COMPRA DE PRODUTOS PARA REVENDA', 'COMPRA DE INSUMOS', CUSTOS COM PESSOAL', 'ALUGUEL DA FÁBRICA' etc.</a:t>
          </a:r>
          <a:endParaRPr lang="pt-BR" sz="1100">
            <a:solidFill>
              <a:schemeClr val="accent5">
                <a:lumMod val="50000"/>
              </a:schemeClr>
            </a:solidFill>
            <a:effectLst/>
            <a:latin typeface="+mn-lt"/>
            <a:ea typeface="+mn-ea"/>
            <a:cs typeface="+mn-cs"/>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GrupoContas" textlink="">
      <xdr:nvSpPr>
        <xdr:cNvPr id="3" name="CaixaDeTexto 2">
          <a:extLst>
            <a:ext uri="{FF2B5EF4-FFF2-40B4-BE49-F238E27FC236}">
              <a16:creationId xmlns:a16="http://schemas.microsoft.com/office/drawing/2014/main" id="{00000000-0008-0000-04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266699</xdr:colOff>
      <xdr:row>3</xdr:row>
      <xdr:rowOff>133350</xdr:rowOff>
    </xdr:from>
    <xdr:to>
      <xdr:col>14</xdr:col>
      <xdr:colOff>561974</xdr:colOff>
      <xdr:row>22</xdr:row>
      <xdr:rowOff>95249</xdr:rowOff>
    </xdr:to>
    <xdr:sp macro="" textlink="">
      <xdr:nvSpPr>
        <xdr:cNvPr id="8" name="ShpDicas">
          <a:extLst>
            <a:ext uri="{FF2B5EF4-FFF2-40B4-BE49-F238E27FC236}">
              <a16:creationId xmlns:a16="http://schemas.microsoft.com/office/drawing/2014/main" id="{00000000-0008-0000-0500-000008000000}"/>
            </a:ext>
          </a:extLst>
        </xdr:cNvPr>
        <xdr:cNvSpPr/>
      </xdr:nvSpPr>
      <xdr:spPr>
        <a:xfrm>
          <a:off x="8772524" y="514350"/>
          <a:ext cx="3952875" cy="3581399"/>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5">
                  <a:lumMod val="50000"/>
                </a:schemeClr>
              </a:solidFill>
              <a:effectLst/>
              <a:latin typeface="+mn-lt"/>
              <a:ea typeface="+mn-ea"/>
              <a:cs typeface="+mn-cs"/>
            </a:rPr>
            <a:t>O</a:t>
          </a:r>
          <a:r>
            <a:rPr lang="pt-BR" sz="1100" baseline="0">
              <a:solidFill>
                <a:schemeClr val="accent5">
                  <a:lumMod val="50000"/>
                </a:schemeClr>
              </a:solidFill>
              <a:effectLst/>
              <a:latin typeface="+mn-lt"/>
              <a:ea typeface="+mn-ea"/>
              <a:cs typeface="+mn-cs"/>
            </a:rPr>
            <a:t> '</a:t>
          </a:r>
          <a:r>
            <a:rPr lang="pt-BR" sz="1100">
              <a:solidFill>
                <a:schemeClr val="accent5">
                  <a:lumMod val="50000"/>
                </a:schemeClr>
              </a:solidFill>
              <a:effectLst/>
              <a:latin typeface="+mn-lt"/>
              <a:ea typeface="+mn-ea"/>
              <a:cs typeface="+mn-cs"/>
            </a:rPr>
            <a:t>Plano de Contas' reune as contas de receitas,</a:t>
          </a:r>
          <a:r>
            <a:rPr lang="pt-BR" sz="1100" baseline="0">
              <a:solidFill>
                <a:schemeClr val="accent5">
                  <a:lumMod val="50000"/>
                </a:schemeClr>
              </a:solidFill>
              <a:effectLst/>
              <a:latin typeface="+mn-lt"/>
              <a:ea typeface="+mn-ea"/>
              <a:cs typeface="+mn-cs"/>
            </a:rPr>
            <a:t> de</a:t>
          </a:r>
          <a:r>
            <a:rPr lang="pt-BR" sz="1100">
              <a:solidFill>
                <a:schemeClr val="accent5">
                  <a:lumMod val="50000"/>
                </a:schemeClr>
              </a:solidFill>
              <a:effectLst/>
              <a:latin typeface="+mn-lt"/>
              <a:ea typeface="+mn-ea"/>
              <a:cs typeface="+mn-cs"/>
            </a:rPr>
            <a:t> despesas  e as</a:t>
          </a:r>
          <a:r>
            <a:rPr lang="pt-BR" sz="1100" baseline="0">
              <a:solidFill>
                <a:schemeClr val="accent5">
                  <a:lumMod val="50000"/>
                </a:schemeClr>
              </a:solidFill>
              <a:effectLst/>
              <a:latin typeface="+mn-lt"/>
              <a:ea typeface="+mn-ea"/>
              <a:cs typeface="+mn-cs"/>
            </a:rPr>
            <a:t> de movimentação financeira (saldo inicial, transferências entre contas correntes etc), </a:t>
          </a:r>
          <a:r>
            <a:rPr lang="pt-BR" sz="1100">
              <a:solidFill>
                <a:schemeClr val="accent5">
                  <a:lumMod val="50000"/>
                </a:schemeClr>
              </a:solidFill>
              <a:effectLst/>
              <a:latin typeface="+mn-lt"/>
              <a:ea typeface="+mn-ea"/>
              <a:cs typeface="+mn-cs"/>
            </a:rPr>
            <a:t>a serem utilizadas no controle financeiro, para identificação dos tipos de recebimentos e pagamentos efetuados ou a efetuar, e nos</a:t>
          </a:r>
          <a:r>
            <a:rPr lang="pt-BR" sz="1100" baseline="0">
              <a:solidFill>
                <a:schemeClr val="accent5">
                  <a:lumMod val="50000"/>
                </a:schemeClr>
              </a:solidFill>
              <a:effectLst/>
              <a:latin typeface="+mn-lt"/>
              <a:ea typeface="+mn-ea"/>
              <a:cs typeface="+mn-cs"/>
            </a:rPr>
            <a:t> fluxos de caixa</a:t>
          </a:r>
          <a:r>
            <a:rPr lang="pt-BR" sz="1100">
              <a:solidFill>
                <a:schemeClr val="accent5">
                  <a:lumMod val="50000"/>
                </a:schemeClr>
              </a:solidFill>
              <a:effectLst/>
              <a:latin typeface="+mn-lt"/>
              <a:ea typeface="+mn-ea"/>
              <a:cs typeface="+mn-cs"/>
            </a:rPr>
            <a:t>.</a:t>
          </a:r>
        </a:p>
        <a:p>
          <a:endParaRPr lang="pt-BR">
            <a:solidFill>
              <a:schemeClr val="accent5">
                <a:lumMod val="50000"/>
              </a:schemeClr>
            </a:solidFill>
            <a:effectLst/>
          </a:endParaRPr>
        </a:p>
        <a:p>
          <a:r>
            <a:rPr lang="pt-BR" sz="1100" u="sng">
              <a:solidFill>
                <a:schemeClr val="accent5">
                  <a:lumMod val="50000"/>
                </a:schemeClr>
              </a:solidFill>
              <a:effectLst/>
              <a:latin typeface="+mn-lt"/>
              <a:ea typeface="+mn-ea"/>
              <a:cs typeface="+mn-cs"/>
            </a:rPr>
            <a:t>Exemplo de contas de receita: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"Receita de Prestação de Serviços", "Receita Financeira", "Outras Receitas"</a:t>
          </a:r>
        </a:p>
        <a:p>
          <a:endParaRPr lang="pt-BR">
            <a:solidFill>
              <a:schemeClr val="accent5">
                <a:lumMod val="50000"/>
              </a:schemeClr>
            </a:solidFill>
            <a:effectLst/>
          </a:endParaRPr>
        </a:p>
        <a:p>
          <a:r>
            <a:rPr lang="pt-BR" sz="1100" u="sng">
              <a:solidFill>
                <a:schemeClr val="accent5">
                  <a:lumMod val="50000"/>
                </a:schemeClr>
              </a:solidFill>
              <a:effectLst/>
              <a:latin typeface="+mn-lt"/>
              <a:ea typeface="+mn-ea"/>
              <a:cs typeface="+mn-cs"/>
            </a:rPr>
            <a:t>Exemplo de contas de despesa: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"Aluguéis", "Conta de Energia", "Tarifas Bancárias", "Impostos", "Outras Despesas"</a:t>
          </a:r>
        </a:p>
        <a:p>
          <a:endParaRPr lang="pt-BR" sz="1100">
            <a:solidFill>
              <a:schemeClr val="accent5">
                <a:lumMod val="50000"/>
              </a:schemeClr>
            </a:solidFill>
            <a:effectLst/>
            <a:latin typeface="+mn-lt"/>
            <a:ea typeface="+mn-ea"/>
            <a:cs typeface="+mn-cs"/>
          </a:endParaRPr>
        </a:p>
        <a:p>
          <a:r>
            <a:rPr lang="pt-BR" sz="1100" u="sng">
              <a:solidFill>
                <a:schemeClr val="accent5">
                  <a:lumMod val="50000"/>
                </a:schemeClr>
              </a:solidFill>
              <a:effectLst/>
              <a:latin typeface="+mn-lt"/>
              <a:ea typeface="+mn-ea"/>
              <a:cs typeface="+mn-cs"/>
            </a:rPr>
            <a:t>Exemplo de contas de movimentação financeira: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"Transferência entre Contas", "Aplicação Financeira", "Resgate de Aplicação</a:t>
          </a:r>
          <a:r>
            <a:rPr lang="pt-BR" sz="1100" baseline="0">
              <a:solidFill>
                <a:schemeClr val="accent5">
                  <a:lumMod val="50000"/>
                </a:schemeClr>
              </a:solidFill>
              <a:effectLst/>
              <a:latin typeface="+mn-lt"/>
              <a:ea typeface="+mn-ea"/>
              <a:cs typeface="+mn-cs"/>
            </a:rPr>
            <a:t> Financeira</a:t>
          </a:r>
          <a:r>
            <a:rPr lang="pt-BR" sz="1100">
              <a:solidFill>
                <a:schemeClr val="accent5">
                  <a:lumMod val="50000"/>
                </a:schemeClr>
              </a:solidFill>
              <a:effectLst/>
              <a:latin typeface="+mn-lt"/>
              <a:ea typeface="+mn-ea"/>
              <a:cs typeface="+mn-cs"/>
            </a:rPr>
            <a:t>"</a:t>
          </a:r>
          <a:endParaRPr lang="pt-BR">
            <a:solidFill>
              <a:schemeClr val="accent5">
                <a:lumMod val="50000"/>
              </a:schemeClr>
            </a:solidFill>
            <a:effectLst/>
          </a:endParaRPr>
        </a:p>
        <a:p>
          <a:endParaRPr lang="pt-BR">
            <a:solidFill>
              <a:schemeClr val="accent5">
                <a:lumMod val="50000"/>
              </a:schemeClr>
            </a:solidFill>
            <a:effectLst/>
          </a:endParaRPr>
        </a:p>
      </xdr:txBody>
    </xdr:sp>
    <xdr:clientData/>
  </xdr:twoCellAnchor>
  <xdr:twoCellAnchor>
    <xdr:from>
      <xdr:col>7</xdr:col>
      <xdr:colOff>47625</xdr:colOff>
      <xdr:row>1</xdr:row>
      <xdr:rowOff>66675</xdr:rowOff>
    </xdr:from>
    <xdr:to>
      <xdr:col>8</xdr:col>
      <xdr:colOff>0</xdr:colOff>
      <xdr:row>1</xdr:row>
      <xdr:rowOff>276225</xdr:rowOff>
    </xdr:to>
    <xdr:sp macro="[0]!ChamarFormCadPlanoContas" textlink="">
      <xdr:nvSpPr>
        <xdr:cNvPr id="3" name="CaixaDeTexto 2">
          <a:extLst>
            <a:ext uri="{FF2B5EF4-FFF2-40B4-BE49-F238E27FC236}">
              <a16:creationId xmlns:a16="http://schemas.microsoft.com/office/drawing/2014/main" id="{00000000-0008-0000-0500-000003000000}"/>
            </a:ext>
          </a:extLst>
        </xdr:cNvPr>
        <xdr:cNvSpPr txBox="1"/>
      </xdr:nvSpPr>
      <xdr:spPr>
        <a:xfrm>
          <a:off x="8410575" y="114300"/>
          <a:ext cx="561975" cy="209550"/>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10</xdr:col>
      <xdr:colOff>571499</xdr:colOff>
      <xdr:row>3</xdr:row>
      <xdr:rowOff>123825</xdr:rowOff>
    </xdr:from>
    <xdr:to>
      <xdr:col>16</xdr:col>
      <xdr:colOff>104774</xdr:colOff>
      <xdr:row>18</xdr:row>
      <xdr:rowOff>47625</xdr:rowOff>
    </xdr:to>
    <xdr:sp macro="" textlink="">
      <xdr:nvSpPr>
        <xdr:cNvPr id="6" name="ShpDicas">
          <a:extLst>
            <a:ext uri="{FF2B5EF4-FFF2-40B4-BE49-F238E27FC236}">
              <a16:creationId xmlns:a16="http://schemas.microsoft.com/office/drawing/2014/main" id="{00000000-0008-0000-0600-000006000000}"/>
            </a:ext>
          </a:extLst>
        </xdr:cNvPr>
        <xdr:cNvSpPr/>
      </xdr:nvSpPr>
      <xdr:spPr>
        <a:xfrm>
          <a:off x="9324974" y="552450"/>
          <a:ext cx="3190875" cy="2781300"/>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chemeClr val="accent5">
                  <a:lumMod val="50000"/>
                </a:schemeClr>
              </a:solidFill>
              <a:effectLst/>
              <a:latin typeface="+mn-lt"/>
              <a:ea typeface="+mn-ea"/>
              <a:cs typeface="+mn-cs"/>
            </a:rPr>
            <a:t>Cadastre a conta </a:t>
          </a:r>
          <a:r>
            <a:rPr lang="pt-BR" sz="1100" baseline="0">
              <a:solidFill>
                <a:schemeClr val="accent5">
                  <a:lumMod val="50000"/>
                </a:schemeClr>
              </a:solidFill>
              <a:effectLst/>
              <a:latin typeface="+mn-lt"/>
              <a:ea typeface="+mn-ea"/>
              <a:cs typeface="+mn-cs"/>
            </a:rPr>
            <a:t>'CAIXA' e depois as contas bancárias dos respectivos titulares.</a:t>
          </a:r>
        </a:p>
        <a:p>
          <a:pPr algn="l"/>
          <a:endParaRPr lang="pt-BR" sz="1100" baseline="0">
            <a:solidFill>
              <a:schemeClr val="accent5">
                <a:lumMod val="50000"/>
              </a:schemeClr>
            </a:solidFill>
            <a:effectLst/>
            <a:latin typeface="+mn-lt"/>
            <a:ea typeface="+mn-ea"/>
            <a:cs typeface="+mn-cs"/>
          </a:endParaRPr>
        </a:p>
        <a:p>
          <a:pPr algn="l"/>
          <a:r>
            <a:rPr lang="pt-BR" sz="1100" baseline="0">
              <a:solidFill>
                <a:schemeClr val="accent5">
                  <a:lumMod val="50000"/>
                </a:schemeClr>
              </a:solidFill>
              <a:effectLst/>
              <a:latin typeface="+mn-lt"/>
              <a:ea typeface="+mn-ea"/>
              <a:cs typeface="+mn-cs"/>
            </a:rPr>
            <a:t>Os relatórios poderãos ser gerados individualmente por Conta Corrente ou pelo somatório das mesmas. Caso você escolha um Titular na hora de gerar um relatório, somente as contas corrrentes atribuídas a ele e é que farão parte do somatório.</a:t>
          </a:r>
        </a:p>
        <a:p>
          <a:pPr algn="l"/>
          <a:endParaRPr lang="pt-BR" sz="1100" baseline="0">
            <a:solidFill>
              <a:schemeClr val="accent5">
                <a:lumMod val="50000"/>
              </a:schemeClr>
            </a:solidFill>
            <a:effectLst/>
            <a:latin typeface="+mn-lt"/>
            <a:ea typeface="+mn-ea"/>
            <a:cs typeface="+mn-cs"/>
          </a:endParaRPr>
        </a:p>
        <a:p>
          <a:pPr algn="l"/>
          <a:r>
            <a:rPr lang="pt-BR" sz="1100" baseline="0">
              <a:solidFill>
                <a:schemeClr val="accent5">
                  <a:lumMod val="50000"/>
                </a:schemeClr>
              </a:solidFill>
              <a:effectLst/>
              <a:latin typeface="+mn-lt"/>
              <a:ea typeface="+mn-ea"/>
              <a:cs typeface="+mn-cs"/>
            </a:rPr>
            <a:t>Sendo uma única conta corrente cadastrada,  ela aparecerá automaticamente no campo próprio do formulário de lançamentos.</a:t>
          </a:r>
          <a:endParaRPr lang="pt-BR">
            <a:solidFill>
              <a:schemeClr val="accent5">
                <a:lumMod val="50000"/>
              </a:schemeClr>
            </a:solidFill>
            <a:effectLst/>
          </a:endParaRPr>
        </a:p>
      </xdr:txBody>
    </xdr:sp>
    <xdr:clientData/>
  </xdr:twoCellAnchor>
  <xdr:twoCellAnchor>
    <xdr:from>
      <xdr:col>5</xdr:col>
      <xdr:colOff>133350</xdr:colOff>
      <xdr:row>1</xdr:row>
      <xdr:rowOff>66675</xdr:rowOff>
    </xdr:from>
    <xdr:to>
      <xdr:col>6</xdr:col>
      <xdr:colOff>104775</xdr:colOff>
      <xdr:row>1</xdr:row>
      <xdr:rowOff>323850</xdr:rowOff>
    </xdr:to>
    <xdr:sp macro="[0]!ChamarFormCadContaCorrente" textlink="">
      <xdr:nvSpPr>
        <xdr:cNvPr id="4" name="CaixaDeTexto 3">
          <a:extLst>
            <a:ext uri="{FF2B5EF4-FFF2-40B4-BE49-F238E27FC236}">
              <a16:creationId xmlns:a16="http://schemas.microsoft.com/office/drawing/2014/main" id="{00000000-0008-0000-0600-000004000000}"/>
            </a:ext>
          </a:extLst>
        </xdr:cNvPr>
        <xdr:cNvSpPr txBox="1"/>
      </xdr:nvSpPr>
      <xdr:spPr>
        <a:xfrm>
          <a:off x="5838825"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333375</xdr:colOff>
      <xdr:row>3</xdr:row>
      <xdr:rowOff>57151</xdr:rowOff>
    </xdr:from>
    <xdr:to>
      <xdr:col>13</xdr:col>
      <xdr:colOff>200025</xdr:colOff>
      <xdr:row>17</xdr:row>
      <xdr:rowOff>57151</xdr:rowOff>
    </xdr:to>
    <xdr:sp macro="" textlink="">
      <xdr:nvSpPr>
        <xdr:cNvPr id="2" name="ShpDicas">
          <a:extLst>
            <a:ext uri="{FF2B5EF4-FFF2-40B4-BE49-F238E27FC236}">
              <a16:creationId xmlns:a16="http://schemas.microsoft.com/office/drawing/2014/main" id="{00000000-0008-0000-0700-000002000000}"/>
            </a:ext>
          </a:extLst>
        </xdr:cNvPr>
        <xdr:cNvSpPr/>
      </xdr:nvSpPr>
      <xdr:spPr>
        <a:xfrm>
          <a:off x="9134475" y="457201"/>
          <a:ext cx="3524250" cy="2667000"/>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Cadastro</a:t>
          </a:r>
          <a:r>
            <a:rPr lang="pt-BR" sz="1100" baseline="0">
              <a:solidFill>
                <a:schemeClr val="accent2">
                  <a:lumMod val="50000"/>
                </a:schemeClr>
              </a:solidFill>
              <a:effectLst/>
              <a:latin typeface="+mn-lt"/>
              <a:ea typeface="+mn-ea"/>
              <a:cs typeface="+mn-cs"/>
            </a:rPr>
            <a:t> dos produtos adquiridos ou produzidos, para controle de saldo em estoque através do registros das compras e vendas (títulos de  lançamento)</a:t>
          </a:r>
          <a:r>
            <a:rPr lang="pt-BR" sz="1100">
              <a:solidFill>
                <a:schemeClr val="accent2">
                  <a:lumMod val="50000"/>
                </a:schemeClr>
              </a:solidFill>
              <a:effectLst/>
              <a:latin typeface="+mn-lt"/>
              <a:ea typeface="+mn-ea"/>
              <a:cs typeface="+mn-cs"/>
            </a:rPr>
            <a:t>.</a:t>
          </a:r>
        </a:p>
        <a:p>
          <a:endParaRPr lang="pt-BR" baseline="0">
            <a:solidFill>
              <a:schemeClr val="accent2">
                <a:lumMod val="50000"/>
              </a:schemeClr>
            </a:solidFill>
            <a:effectLst/>
          </a:endParaRPr>
        </a:p>
        <a:p>
          <a:r>
            <a:rPr lang="pt-BR" baseline="0">
              <a:solidFill>
                <a:schemeClr val="accent2">
                  <a:lumMod val="50000"/>
                </a:schemeClr>
              </a:solidFill>
              <a:effectLst/>
            </a:rPr>
            <a:t>Os campos "Unidade', 'Marca', 'Fabricante' e 'Observação' não são de preenchimento obrigatório.</a:t>
          </a:r>
        </a:p>
        <a:p>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Mediante ativação do botão</a:t>
          </a:r>
          <a:r>
            <a:rPr lang="pt-BR" sz="1100" baseline="0">
              <a:solidFill>
                <a:schemeClr val="accent2">
                  <a:lumMod val="50000"/>
                </a:schemeClr>
              </a:solidFill>
              <a:effectLst/>
              <a:latin typeface="+mn-lt"/>
              <a:ea typeface="+mn-ea"/>
              <a:cs typeface="+mn-cs"/>
            </a:rPr>
            <a:t> 'Conta Associada ao Controle de Estoque', do formulário de Plano de Contas, você estará definindo as contas que terão controle de entrada e saída de materiais ou produtos, para a formação do saldo em estoque.</a:t>
          </a:r>
          <a:endParaRPr lang="pt-BR">
            <a:solidFill>
              <a:schemeClr val="accent2">
                <a:lumMod val="50000"/>
              </a:schemeClr>
            </a:solidFill>
            <a:effectLst/>
          </a:endParaRPr>
        </a:p>
        <a:p>
          <a:endParaRPr lang="pt-BR" baseline="0">
            <a:solidFill>
              <a:schemeClr val="accent2">
                <a:lumMod val="50000"/>
              </a:schemeClr>
            </a:solidFill>
            <a:effectLst/>
          </a:endParaRPr>
        </a:p>
      </xdr:txBody>
    </xdr:sp>
    <xdr:clientData/>
  </xdr:twoCellAnchor>
  <xdr:twoCellAnchor>
    <xdr:from>
      <xdr:col>7</xdr:col>
      <xdr:colOff>95251</xdr:colOff>
      <xdr:row>1</xdr:row>
      <xdr:rowOff>66675</xdr:rowOff>
    </xdr:from>
    <xdr:to>
      <xdr:col>8</xdr:col>
      <xdr:colOff>1</xdr:colOff>
      <xdr:row>1</xdr:row>
      <xdr:rowOff>266700</xdr:rowOff>
    </xdr:to>
    <xdr:sp macro="[0]!ChamarFormCadInsumos" textlink="">
      <xdr:nvSpPr>
        <xdr:cNvPr id="3" name="CaixaDeTexto 2">
          <a:extLst>
            <a:ext uri="{FF2B5EF4-FFF2-40B4-BE49-F238E27FC236}">
              <a16:creationId xmlns:a16="http://schemas.microsoft.com/office/drawing/2014/main" id="{00000000-0008-0000-0700-000003000000}"/>
            </a:ext>
          </a:extLst>
        </xdr:cNvPr>
        <xdr:cNvSpPr txBox="1"/>
      </xdr:nvSpPr>
      <xdr:spPr>
        <a:xfrm>
          <a:off x="8896351" y="114300"/>
          <a:ext cx="514350" cy="20002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NOVO</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xdr:colOff>
      <xdr:row>2</xdr:row>
      <xdr:rowOff>39741</xdr:rowOff>
    </xdr:from>
    <xdr:to>
      <xdr:col>0</xdr:col>
      <xdr:colOff>510737</xdr:colOff>
      <xdr:row>2</xdr:row>
      <xdr:rowOff>383303</xdr:rowOff>
    </xdr:to>
    <xdr:grpSp>
      <xdr:nvGrpSpPr>
        <xdr:cNvPr id="9" name="Agrupar 8">
          <a:extLst>
            <a:ext uri="{FF2B5EF4-FFF2-40B4-BE49-F238E27FC236}">
              <a16:creationId xmlns:a16="http://schemas.microsoft.com/office/drawing/2014/main" id="{00000000-0008-0000-0800-000009000000}"/>
            </a:ext>
          </a:extLst>
        </xdr:cNvPr>
        <xdr:cNvGrpSpPr/>
      </xdr:nvGrpSpPr>
      <xdr:grpSpPr>
        <a:xfrm>
          <a:off x="28575" y="87366"/>
          <a:ext cx="482162" cy="343562"/>
          <a:chOff x="3019425" y="1658991"/>
          <a:chExt cx="482162" cy="343562"/>
        </a:xfrm>
      </xdr:grpSpPr>
      <xdr:sp macro="[0]!ChamarFormCadRegistros" textlink="">
        <xdr:nvSpPr>
          <xdr:cNvPr id="7" name="CaixaDeTexto 6">
            <a:extLst>
              <a:ext uri="{FF2B5EF4-FFF2-40B4-BE49-F238E27FC236}">
                <a16:creationId xmlns:a16="http://schemas.microsoft.com/office/drawing/2014/main" id="{00000000-0008-0000-0800-000007000000}"/>
              </a:ext>
            </a:extLst>
          </xdr:cNvPr>
          <xdr:cNvSpPr txBox="1"/>
        </xdr:nvSpPr>
        <xdr:spPr>
          <a:xfrm>
            <a:off x="3076575" y="1676400"/>
            <a:ext cx="361950" cy="314325"/>
          </a:xfrm>
          <a:prstGeom prst="rect">
            <a:avLst/>
          </a:prstGeom>
          <a:solidFill>
            <a:srgbClr val="FFFF66"/>
          </a:solidFill>
          <a:ln w="9525" cmpd="sng">
            <a:solidFill>
              <a:schemeClr val="bg1">
                <a:lumMod val="7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sp macro="[0]!ChamarFormCadRegistros" textlink="">
        <xdr:nvSpPr>
          <xdr:cNvPr id="2" name="CaixaDeTexto 1">
            <a:extLst>
              <a:ext uri="{FF2B5EF4-FFF2-40B4-BE49-F238E27FC236}">
                <a16:creationId xmlns:a16="http://schemas.microsoft.com/office/drawing/2014/main" id="{00000000-0008-0000-0800-000002000000}"/>
              </a:ext>
            </a:extLst>
          </xdr:cNvPr>
          <xdr:cNvSpPr txBox="1"/>
        </xdr:nvSpPr>
        <xdr:spPr>
          <a:xfrm>
            <a:off x="3019425" y="1800225"/>
            <a:ext cx="482162" cy="202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t>NOVO</a:t>
            </a:r>
          </a:p>
        </xdr:txBody>
      </xdr:sp>
      <xdr:sp macro="[0]!ChamarFormCadRegistros" textlink="">
        <xdr:nvSpPr>
          <xdr:cNvPr id="3" name="CaixaDeTexto 2">
            <a:extLst>
              <a:ext uri="{FF2B5EF4-FFF2-40B4-BE49-F238E27FC236}">
                <a16:creationId xmlns:a16="http://schemas.microsoft.com/office/drawing/2014/main" id="{00000000-0008-0000-0800-000003000000}"/>
              </a:ext>
            </a:extLst>
          </xdr:cNvPr>
          <xdr:cNvSpPr txBox="1"/>
        </xdr:nvSpPr>
        <xdr:spPr>
          <a:xfrm>
            <a:off x="3144892" y="1658991"/>
            <a:ext cx="139882" cy="20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rgbClr val="388A8C"/>
                </a:solidFill>
                <a:latin typeface="Arial Black" panose="020B0A04020102020204" pitchFamily="34" charset="0"/>
              </a:rPr>
              <a:t>+</a:t>
            </a:r>
          </a:p>
        </xdr:txBody>
      </xdr:sp>
      <xdr:sp macro="[0]!ChamarFormCadRegistros" textlink="">
        <xdr:nvSpPr>
          <xdr:cNvPr id="4" name="CaixaDeTexto 3">
            <a:extLst>
              <a:ext uri="{FF2B5EF4-FFF2-40B4-BE49-F238E27FC236}">
                <a16:creationId xmlns:a16="http://schemas.microsoft.com/office/drawing/2014/main" id="{00000000-0008-0000-0800-000004000000}"/>
              </a:ext>
            </a:extLst>
          </xdr:cNvPr>
          <xdr:cNvSpPr txBox="1"/>
        </xdr:nvSpPr>
        <xdr:spPr>
          <a:xfrm>
            <a:off x="3235215" y="1660292"/>
            <a:ext cx="133312" cy="19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tx1">
                    <a:lumMod val="50000"/>
                    <a:lumOff val="50000"/>
                  </a:schemeClr>
                </a:solidFill>
                <a:latin typeface="Arial Black" panose="020B0A04020102020204" pitchFamily="34" charset="0"/>
              </a:rPr>
              <a:t>!</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0</xdr:colOff>
      <xdr:row>9</xdr:row>
      <xdr:rowOff>0</xdr:rowOff>
    </xdr:from>
    <xdr:to>
      <xdr:col>4</xdr:col>
      <xdr:colOff>9525</xdr:colOff>
      <xdr:row>10</xdr:row>
      <xdr:rowOff>0</xdr:rowOff>
    </xdr:to>
    <xdr:sp macro="" textlink="">
      <xdr:nvSpPr>
        <xdr:cNvPr id="2" name="CaixaDeTexto 1">
          <a:extLst>
            <a:ext uri="{FF2B5EF4-FFF2-40B4-BE49-F238E27FC236}">
              <a16:creationId xmlns:a16="http://schemas.microsoft.com/office/drawing/2014/main" id="{00000000-0008-0000-0900-000002000000}"/>
            </a:ext>
          </a:extLst>
        </xdr:cNvPr>
        <xdr:cNvSpPr txBox="1"/>
      </xdr:nvSpPr>
      <xdr:spPr>
        <a:xfrm>
          <a:off x="3933825" y="1143000"/>
          <a:ext cx="647700" cy="19050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a:t>
          </a: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47625</xdr:rowOff>
        </xdr:from>
        <xdr:to>
          <xdr:col>1</xdr:col>
          <xdr:colOff>762000</xdr:colOff>
          <xdr:row>9</xdr:row>
          <xdr:rowOff>209550</xdr:rowOff>
        </xdr:to>
        <xdr:sp macro="" textlink="">
          <xdr:nvSpPr>
            <xdr:cNvPr id="10242" name="ScrollBar1"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38100</xdr:colOff>
      <xdr:row>0</xdr:row>
      <xdr:rowOff>38100</xdr:rowOff>
    </xdr:from>
    <xdr:to>
      <xdr:col>4</xdr:col>
      <xdr:colOff>133350</xdr:colOff>
      <xdr:row>2</xdr:row>
      <xdr:rowOff>31241</xdr:rowOff>
    </xdr:to>
    <xdr:sp macro="" textlink="">
      <xdr:nvSpPr>
        <xdr:cNvPr id="5" name="Retângulo 4">
          <a:extLst>
            <a:ext uri="{FF2B5EF4-FFF2-40B4-BE49-F238E27FC236}">
              <a16:creationId xmlns:a16="http://schemas.microsoft.com/office/drawing/2014/main" id="{00000000-0008-0000-0900-000005000000}"/>
            </a:ext>
          </a:extLst>
        </xdr:cNvPr>
        <xdr:cNvSpPr/>
      </xdr:nvSpPr>
      <xdr:spPr>
        <a:xfrm>
          <a:off x="38100" y="38100"/>
          <a:ext cx="3857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 VERTICAL</a:t>
          </a:r>
        </a:p>
      </xdr:txBody>
    </xdr:sp>
    <xdr:clientData/>
  </xdr:twoCellAnchor>
  <xdr:twoCellAnchor editAs="oneCell">
    <xdr:from>
      <xdr:col>10</xdr:col>
      <xdr:colOff>352425</xdr:colOff>
      <xdr:row>1</xdr:row>
      <xdr:rowOff>1</xdr:rowOff>
    </xdr:from>
    <xdr:to>
      <xdr:col>13</xdr:col>
      <xdr:colOff>352425</xdr:colOff>
      <xdr:row>9</xdr:row>
      <xdr:rowOff>1</xdr:rowOff>
    </xdr:to>
    <mc:AlternateContent xmlns:mc="http://schemas.openxmlformats.org/markup-compatibility/2006" xmlns:a14="http://schemas.microsoft.com/office/drawing/2010/main">
      <mc:Choice Requires="a14">
        <xdr:graphicFrame macro="">
          <xdr:nvGraphicFramePr>
            <xdr:cNvPr id="3" name="CONTA CORRENT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ONTA CORRENTE"/>
            </a:graphicData>
          </a:graphic>
        </xdr:graphicFrame>
      </mc:Choice>
      <mc:Fallback xmlns="">
        <xdr:sp macro="" textlink="">
          <xdr:nvSpPr>
            <xdr:cNvPr id="0" name=""/>
            <xdr:cNvSpPr>
              <a:spLocks noTextEdit="1"/>
            </xdr:cNvSpPr>
          </xdr:nvSpPr>
          <xdr:spPr>
            <a:xfrm>
              <a:off x="7772400"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twoCellAnchor editAs="oneCell">
    <xdr:from>
      <xdr:col>4</xdr:col>
      <xdr:colOff>285750</xdr:colOff>
      <xdr:row>1</xdr:row>
      <xdr:rowOff>1</xdr:rowOff>
    </xdr:from>
    <xdr:to>
      <xdr:col>7</xdr:col>
      <xdr:colOff>285750</xdr:colOff>
      <xdr:row>9</xdr:row>
      <xdr:rowOff>1</xdr:rowOff>
    </xdr:to>
    <mc:AlternateContent xmlns:mc="http://schemas.openxmlformats.org/markup-compatibility/2006" xmlns:a14="http://schemas.microsoft.com/office/drawing/2010/main">
      <mc:Choice Requires="a14">
        <xdr:graphicFrame macro="">
          <xdr:nvGraphicFramePr>
            <xdr:cNvPr id="4" name="TITULAR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TITULAR 2"/>
            </a:graphicData>
          </a:graphic>
        </xdr:graphicFrame>
      </mc:Choice>
      <mc:Fallback xmlns="">
        <xdr:sp macro="" textlink="">
          <xdr:nvSpPr>
            <xdr:cNvPr id="0" name=""/>
            <xdr:cNvSpPr>
              <a:spLocks noTextEdit="1"/>
            </xdr:cNvSpPr>
          </xdr:nvSpPr>
          <xdr:spPr>
            <a:xfrm>
              <a:off x="4048125"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twoCellAnchor editAs="oneCell">
    <xdr:from>
      <xdr:col>7</xdr:col>
      <xdr:colOff>323850</xdr:colOff>
      <xdr:row>1</xdr:row>
      <xdr:rowOff>1</xdr:rowOff>
    </xdr:from>
    <xdr:to>
      <xdr:col>10</xdr:col>
      <xdr:colOff>323850</xdr:colOff>
      <xdr:row>9</xdr:row>
      <xdr:rowOff>1</xdr:rowOff>
    </xdr:to>
    <mc:AlternateContent xmlns:mc="http://schemas.openxmlformats.org/markup-compatibility/2006" xmlns:a14="http://schemas.microsoft.com/office/drawing/2010/main">
      <mc:Choice Requires="a14">
        <xdr:graphicFrame macro="">
          <xdr:nvGraphicFramePr>
            <xdr:cNvPr id="6" name="CENTRO CUSTO 2">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CENTRO CUSTO 2"/>
            </a:graphicData>
          </a:graphic>
        </xdr:graphicFrame>
      </mc:Choice>
      <mc:Fallback xmlns="">
        <xdr:sp macro="" textlink="">
          <xdr:nvSpPr>
            <xdr:cNvPr id="0" name=""/>
            <xdr:cNvSpPr>
              <a:spLocks noTextEdit="1"/>
            </xdr:cNvSpPr>
          </xdr:nvSpPr>
          <xdr:spPr>
            <a:xfrm>
              <a:off x="5915025"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600074</xdr:colOff>
      <xdr:row>2</xdr:row>
      <xdr:rowOff>85611</xdr:rowOff>
    </xdr:to>
    <xdr:sp macro="" textlink="">
      <xdr:nvSpPr>
        <xdr:cNvPr id="2" name="Retângulo 1">
          <a:extLst>
            <a:ext uri="{FF2B5EF4-FFF2-40B4-BE49-F238E27FC236}">
              <a16:creationId xmlns:a16="http://schemas.microsoft.com/office/drawing/2014/main" id="{00000000-0008-0000-0A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RELATÓRIO POR</a:t>
          </a:r>
          <a:r>
            <a:rPr lang="pt-BR" sz="1600" b="1" cap="none" spc="0" baseline="0">
              <a:ln w="50800">
                <a:solidFill>
                  <a:schemeClr val="accent1">
                    <a:lumMod val="75000"/>
                  </a:schemeClr>
                </a:solidFill>
              </a:ln>
              <a:solidFill>
                <a:schemeClr val="bg1">
                  <a:shade val="50000"/>
                </a:schemeClr>
              </a:solidFill>
              <a:effectLst/>
            </a:rPr>
            <a:t> TITULAR</a:t>
          </a:r>
          <a:endParaRPr lang="pt-BR" sz="1600" b="1" cap="none" spc="0">
            <a:ln w="50800">
              <a:solidFill>
                <a:schemeClr val="accent1">
                  <a:lumMod val="75000"/>
                </a:schemeClr>
              </a:solidFill>
            </a:ln>
            <a:solidFill>
              <a:schemeClr val="bg1">
                <a:shade val="50000"/>
              </a:schemeClr>
            </a:solidFill>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12027</xdr:colOff>
      <xdr:row>0</xdr:row>
      <xdr:rowOff>0</xdr:rowOff>
    </xdr:from>
    <xdr:to>
      <xdr:col>7</xdr:col>
      <xdr:colOff>528841</xdr:colOff>
      <xdr:row>2</xdr:row>
      <xdr:rowOff>54321</xdr:rowOff>
    </xdr:to>
    <xdr:sp macro="" textlink="">
      <xdr:nvSpPr>
        <xdr:cNvPr id="2" name="Retângulo 1">
          <a:extLst>
            <a:ext uri="{FF2B5EF4-FFF2-40B4-BE49-F238E27FC236}">
              <a16:creationId xmlns:a16="http://schemas.microsoft.com/office/drawing/2014/main" id="{00000000-0008-0000-0B00-000002000000}"/>
            </a:ext>
          </a:extLst>
        </xdr:cNvPr>
        <xdr:cNvSpPr/>
      </xdr:nvSpPr>
      <xdr:spPr>
        <a:xfrm>
          <a:off x="12027" y="0"/>
          <a:ext cx="5231689" cy="311496"/>
        </a:xfrm>
        <a:prstGeom prst="rect">
          <a:avLst/>
        </a:prstGeom>
        <a:noFill/>
      </xdr:spPr>
      <xdr:txBody>
        <a:bodyPr wrap="non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400" b="1" cap="none" spc="0">
              <a:ln w="50800">
                <a:solidFill>
                  <a:schemeClr val="accent2">
                    <a:lumMod val="60000"/>
                    <a:lumOff val="40000"/>
                  </a:schemeClr>
                </a:solidFill>
              </a:ln>
              <a:solidFill>
                <a:schemeClr val="bg1">
                  <a:shade val="50000"/>
                </a:schemeClr>
              </a:solidFill>
              <a:effectLst/>
            </a:rPr>
            <a:t>RELATÓRIO POR TIPO DE </a:t>
          </a:r>
          <a:r>
            <a:rPr lang="pt-BR" sz="1400" b="1" cap="none" spc="0" baseline="0">
              <a:ln w="50800">
                <a:solidFill>
                  <a:schemeClr val="accent2">
                    <a:lumMod val="60000"/>
                    <a:lumOff val="40000"/>
                  </a:schemeClr>
                </a:solidFill>
              </a:ln>
              <a:solidFill>
                <a:schemeClr val="bg1">
                  <a:shade val="50000"/>
                </a:schemeClr>
              </a:solidFill>
              <a:effectLst/>
            </a:rPr>
            <a:t> LANÇAMENTOS </a:t>
          </a:r>
          <a:r>
            <a:rPr lang="pt-BR" sz="1400" b="1" cap="none" spc="0">
              <a:ln w="50800">
                <a:solidFill>
                  <a:schemeClr val="accent2">
                    <a:lumMod val="60000"/>
                    <a:lumOff val="40000"/>
                  </a:schemeClr>
                </a:solidFill>
              </a:ln>
              <a:solidFill>
                <a:schemeClr val="bg1">
                  <a:shade val="50000"/>
                </a:schemeClr>
              </a:solidFill>
              <a:effectLst/>
            </a:rPr>
            <a:t>- FIXOS OU ESPORÁDICOS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85725</xdr:colOff>
      <xdr:row>0</xdr:row>
      <xdr:rowOff>0</xdr:rowOff>
    </xdr:from>
    <xdr:to>
      <xdr:col>2</xdr:col>
      <xdr:colOff>1914525</xdr:colOff>
      <xdr:row>2</xdr:row>
      <xdr:rowOff>116966</xdr:rowOff>
    </xdr:to>
    <xdr:sp macro="" textlink="">
      <xdr:nvSpPr>
        <xdr:cNvPr id="3" name="Retângulo 2">
          <a:extLst>
            <a:ext uri="{FF2B5EF4-FFF2-40B4-BE49-F238E27FC236}">
              <a16:creationId xmlns:a16="http://schemas.microsoft.com/office/drawing/2014/main" id="{00000000-0008-0000-0D00-000003000000}"/>
            </a:ext>
          </a:extLst>
        </xdr:cNvPr>
        <xdr:cNvSpPr/>
      </xdr:nvSpPr>
      <xdr:spPr>
        <a:xfrm>
          <a:off x="85725" y="0"/>
          <a:ext cx="3476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a:t>
          </a:r>
          <a:r>
            <a:rPr lang="pt-BR" sz="1800" b="1" cap="none" spc="0" baseline="0">
              <a:ln w="50800">
                <a:solidFill>
                  <a:schemeClr val="accent5">
                    <a:lumMod val="60000"/>
                    <a:lumOff val="40000"/>
                  </a:schemeClr>
                </a:solidFill>
              </a:ln>
              <a:solidFill>
                <a:schemeClr val="bg1">
                  <a:shade val="50000"/>
                </a:schemeClr>
              </a:solidFill>
              <a:effectLst/>
            </a:rPr>
            <a:t> HORIZONTAL</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19050</xdr:rowOff>
        </xdr:from>
        <xdr:to>
          <xdr:col>1</xdr:col>
          <xdr:colOff>609600</xdr:colOff>
          <xdr:row>10</xdr:row>
          <xdr:rowOff>9525</xdr:rowOff>
        </xdr:to>
        <xdr:sp macro="" textlink="">
          <xdr:nvSpPr>
            <xdr:cNvPr id="14337" name="ScrollBar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11</xdr:col>
      <xdr:colOff>76200</xdr:colOff>
      <xdr:row>1</xdr:row>
      <xdr:rowOff>38100</xdr:rowOff>
    </xdr:from>
    <xdr:to>
      <xdr:col>13</xdr:col>
      <xdr:colOff>495300</xdr:colOff>
      <xdr:row>6</xdr:row>
      <xdr:rowOff>123825</xdr:rowOff>
    </xdr:to>
    <mc:AlternateContent xmlns:mc="http://schemas.openxmlformats.org/markup-compatibility/2006" xmlns:a14="http://schemas.microsoft.com/office/drawing/2010/main">
      <mc:Choice Requires="a14">
        <xdr:graphicFrame macro="">
          <xdr:nvGraphicFramePr>
            <xdr:cNvPr id="2" name="CONTA CORRENTE 4">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CONTA CORRENTE 4"/>
            </a:graphicData>
          </a:graphic>
        </xdr:graphicFrame>
      </mc:Choice>
      <mc:Fallback xmlns="">
        <xdr:sp macro="" textlink="">
          <xdr:nvSpPr>
            <xdr:cNvPr id="0" name=""/>
            <xdr:cNvSpPr>
              <a:spLocks noTextEdit="1"/>
            </xdr:cNvSpPr>
          </xdr:nvSpPr>
          <xdr:spPr>
            <a:xfrm>
              <a:off x="9705975"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5</xdr:col>
      <xdr:colOff>609600</xdr:colOff>
      <xdr:row>1</xdr:row>
      <xdr:rowOff>38100</xdr:rowOff>
    </xdr:from>
    <xdr:to>
      <xdr:col>8</xdr:col>
      <xdr:colOff>323850</xdr:colOff>
      <xdr:row>6</xdr:row>
      <xdr:rowOff>123825</xdr:rowOff>
    </xdr:to>
    <mc:AlternateContent xmlns:mc="http://schemas.openxmlformats.org/markup-compatibility/2006" xmlns:a14="http://schemas.microsoft.com/office/drawing/2010/main">
      <mc:Choice Requires="a14">
        <xdr:graphicFrame macro="">
          <xdr:nvGraphicFramePr>
            <xdr:cNvPr id="4" name="TITULAR 4">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TITULAR 4"/>
            </a:graphicData>
          </a:graphic>
        </xdr:graphicFrame>
      </mc:Choice>
      <mc:Fallback xmlns="">
        <xdr:sp macro="" textlink="">
          <xdr:nvSpPr>
            <xdr:cNvPr id="0" name=""/>
            <xdr:cNvSpPr>
              <a:spLocks noTextEdit="1"/>
            </xdr:cNvSpPr>
          </xdr:nvSpPr>
          <xdr:spPr>
            <a:xfrm>
              <a:off x="5915025"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8</xdr:col>
      <xdr:colOff>295275</xdr:colOff>
      <xdr:row>1</xdr:row>
      <xdr:rowOff>38100</xdr:rowOff>
    </xdr:from>
    <xdr:to>
      <xdr:col>11</xdr:col>
      <xdr:colOff>9525</xdr:colOff>
      <xdr:row>6</xdr:row>
      <xdr:rowOff>123825</xdr:rowOff>
    </xdr:to>
    <mc:AlternateContent xmlns:mc="http://schemas.openxmlformats.org/markup-compatibility/2006" xmlns:a14="http://schemas.microsoft.com/office/drawing/2010/main">
      <mc:Choice Requires="a14">
        <xdr:graphicFrame macro="">
          <xdr:nvGraphicFramePr>
            <xdr:cNvPr id="5" name="CENTRO CUST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microsoft.com/office/drawing/2010/slicer">
              <sle:slicer xmlns:sle="http://schemas.microsoft.com/office/drawing/2010/slicer" name="CENTRO CUSTO 4"/>
            </a:graphicData>
          </a:graphic>
        </xdr:graphicFrame>
      </mc:Choice>
      <mc:Fallback xmlns="">
        <xdr:sp macro="" textlink="">
          <xdr:nvSpPr>
            <xdr:cNvPr id="0" name=""/>
            <xdr:cNvSpPr>
              <a:spLocks noTextEdit="1"/>
            </xdr:cNvSpPr>
          </xdr:nvSpPr>
          <xdr:spPr>
            <a:xfrm>
              <a:off x="7810500"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5</xdr:col>
      <xdr:colOff>28575</xdr:colOff>
      <xdr:row>4</xdr:row>
      <xdr:rowOff>9525</xdr:rowOff>
    </xdr:from>
    <xdr:to>
      <xdr:col>5</xdr:col>
      <xdr:colOff>276225</xdr:colOff>
      <xdr:row>6</xdr:row>
      <xdr:rowOff>0</xdr:rowOff>
    </xdr:to>
    <xdr:grpSp>
      <xdr:nvGrpSpPr>
        <xdr:cNvPr id="9" name="Agrupar 8">
          <a:extLst>
            <a:ext uri="{FF2B5EF4-FFF2-40B4-BE49-F238E27FC236}">
              <a16:creationId xmlns:a16="http://schemas.microsoft.com/office/drawing/2014/main" id="{00000000-0008-0000-0D00-000009000000}"/>
            </a:ext>
          </a:extLst>
        </xdr:cNvPr>
        <xdr:cNvGrpSpPr>
          <a:grpSpLocks/>
        </xdr:cNvGrpSpPr>
      </xdr:nvGrpSpPr>
      <xdr:grpSpPr>
        <a:xfrm>
          <a:off x="5334000" y="704850"/>
          <a:ext cx="247650" cy="428625"/>
          <a:chOff x="8458200" y="666749"/>
          <a:chExt cx="381000" cy="381001"/>
        </a:xfrm>
      </xdr:grpSpPr>
      <xdr:sp macro="[0]!PeriodoRelFCH" textlink="">
        <xdr:nvSpPr>
          <xdr:cNvPr id="10" name="CaixaDeTexto 9">
            <a:extLst>
              <a:ext uri="{FF2B5EF4-FFF2-40B4-BE49-F238E27FC236}">
                <a16:creationId xmlns:a16="http://schemas.microsoft.com/office/drawing/2014/main" id="{00000000-0008-0000-0D00-00000A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FCH">
        <xdr:nvPicPr>
          <xdr:cNvPr id="11" name="Imagem 10" descr="ApplyFilter">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fPrintsWithSheet="0"/>
  </xdr:twoCellAnchor>
  <xdr:twoCellAnchor editAs="absolute">
    <xdr:from>
      <xdr:col>5</xdr:col>
      <xdr:colOff>304800</xdr:colOff>
      <xdr:row>4</xdr:row>
      <xdr:rowOff>9525</xdr:rowOff>
    </xdr:from>
    <xdr:to>
      <xdr:col>5</xdr:col>
      <xdr:colOff>561975</xdr:colOff>
      <xdr:row>6</xdr:row>
      <xdr:rowOff>0</xdr:rowOff>
    </xdr:to>
    <xdr:grpSp>
      <xdr:nvGrpSpPr>
        <xdr:cNvPr id="12" name="Agrupar 11">
          <a:extLst>
            <a:ext uri="{FF2B5EF4-FFF2-40B4-BE49-F238E27FC236}">
              <a16:creationId xmlns:a16="http://schemas.microsoft.com/office/drawing/2014/main" id="{00000000-0008-0000-0D00-00000C000000}"/>
            </a:ext>
          </a:extLst>
        </xdr:cNvPr>
        <xdr:cNvGrpSpPr>
          <a:grpSpLocks/>
        </xdr:cNvGrpSpPr>
      </xdr:nvGrpSpPr>
      <xdr:grpSpPr>
        <a:xfrm>
          <a:off x="5610225" y="704850"/>
          <a:ext cx="257175" cy="428625"/>
          <a:chOff x="8905875" y="676274"/>
          <a:chExt cx="381000" cy="381001"/>
        </a:xfrm>
      </xdr:grpSpPr>
      <xdr:sp macro="[0]!LimparFiltroRelFCH" textlink="">
        <xdr:nvSpPr>
          <xdr:cNvPr id="13" name="CaixaDeTexto 12">
            <a:extLst>
              <a:ext uri="{FF2B5EF4-FFF2-40B4-BE49-F238E27FC236}">
                <a16:creationId xmlns:a16="http://schemas.microsoft.com/office/drawing/2014/main" id="{00000000-0008-0000-0D00-00000D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lFCH">
        <xdr:nvPicPr>
          <xdr:cNvPr id="14" name="Imagem 13" descr="ApplyFilter">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lFCH">
        <xdr:nvPicPr>
          <xdr:cNvPr id="15" name="Imagem 14" descr="ColumnActionsRemover">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2</xdr:col>
      <xdr:colOff>295275</xdr:colOff>
      <xdr:row>20</xdr:row>
      <xdr:rowOff>0</xdr:rowOff>
    </xdr:to>
    <mc:AlternateContent xmlns:mc="http://schemas.openxmlformats.org/markup-compatibility/2006" xmlns:a14="http://schemas.microsoft.com/office/drawing/2010/main">
      <mc:Choice Requires="a14">
        <xdr:graphicFrame macro="">
          <xdr:nvGraphicFramePr>
            <xdr:cNvPr id="3" name="TITULAR 1">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TITULAR 1"/>
            </a:graphicData>
          </a:graphic>
        </xdr:graphicFrame>
      </mc:Choice>
      <mc:Fallback xmlns="">
        <xdr:sp macro="" textlink="">
          <xdr:nvSpPr>
            <xdr:cNvPr id="0" name=""/>
            <xdr:cNvSpPr>
              <a:spLocks noTextEdit="1"/>
            </xdr:cNvSpPr>
          </xdr:nvSpPr>
          <xdr:spPr>
            <a:xfrm>
              <a:off x="114300" y="2743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21</xdr:row>
      <xdr:rowOff>0</xdr:rowOff>
    </xdr:from>
    <xdr:to>
      <xdr:col>2</xdr:col>
      <xdr:colOff>295275</xdr:colOff>
      <xdr:row>26</xdr:row>
      <xdr:rowOff>0</xdr:rowOff>
    </xdr:to>
    <mc:AlternateContent xmlns:mc="http://schemas.openxmlformats.org/markup-compatibility/2006" xmlns:a14="http://schemas.microsoft.com/office/drawing/2010/main">
      <mc:Choice Requires="a14">
        <xdr:graphicFrame macro="">
          <xdr:nvGraphicFramePr>
            <xdr:cNvPr id="4" name="CENTRO CUSTO 1">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CENTRO CUSTO 1"/>
            </a:graphicData>
          </a:graphic>
        </xdr:graphicFrame>
      </mc:Choice>
      <mc:Fallback xmlns="">
        <xdr:sp macro="" textlink="">
          <xdr:nvSpPr>
            <xdr:cNvPr id="0" name=""/>
            <xdr:cNvSpPr>
              <a:spLocks noTextEdit="1"/>
            </xdr:cNvSpPr>
          </xdr:nvSpPr>
          <xdr:spPr>
            <a:xfrm>
              <a:off x="114300" y="3886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9</xdr:row>
      <xdr:rowOff>0</xdr:rowOff>
    </xdr:from>
    <xdr:to>
      <xdr:col>2</xdr:col>
      <xdr:colOff>295275</xdr:colOff>
      <xdr:row>14</xdr:row>
      <xdr:rowOff>0</xdr:rowOff>
    </xdr:to>
    <mc:AlternateContent xmlns:mc="http://schemas.openxmlformats.org/markup-compatibility/2006" xmlns:a14="http://schemas.microsoft.com/office/drawing/2010/main">
      <mc:Choice Requires="a14">
        <xdr:graphicFrame macro="">
          <xdr:nvGraphicFramePr>
            <xdr:cNvPr id="5" name="CONTA CORRENTE 2">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microsoft.com/office/drawing/2010/slicer">
              <sle:slicer xmlns:sle="http://schemas.microsoft.com/office/drawing/2010/slicer" name="CONTA CORRENTE 2"/>
            </a:graphicData>
          </a:graphic>
        </xdr:graphicFrame>
      </mc:Choice>
      <mc:Fallback xmlns="">
        <xdr:sp macro="" textlink="">
          <xdr:nvSpPr>
            <xdr:cNvPr id="0" name=""/>
            <xdr:cNvSpPr>
              <a:spLocks noTextEdit="1"/>
            </xdr:cNvSpPr>
          </xdr:nvSpPr>
          <xdr:spPr>
            <a:xfrm>
              <a:off x="114300" y="1600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10</xdr:col>
      <xdr:colOff>28575</xdr:colOff>
      <xdr:row>6</xdr:row>
      <xdr:rowOff>0</xdr:rowOff>
    </xdr:from>
    <xdr:to>
      <xdr:col>10</xdr:col>
      <xdr:colOff>276225</xdr:colOff>
      <xdr:row>8</xdr:row>
      <xdr:rowOff>9525</xdr:rowOff>
    </xdr:to>
    <xdr:grpSp>
      <xdr:nvGrpSpPr>
        <xdr:cNvPr id="3" name="Agrupar 2">
          <a:extLst>
            <a:ext uri="{FF2B5EF4-FFF2-40B4-BE49-F238E27FC236}">
              <a16:creationId xmlns:a16="http://schemas.microsoft.com/office/drawing/2014/main" id="{00000000-0008-0000-0F00-000003000000}"/>
            </a:ext>
          </a:extLst>
        </xdr:cNvPr>
        <xdr:cNvGrpSpPr/>
      </xdr:nvGrpSpPr>
      <xdr:grpSpPr>
        <a:xfrm>
          <a:off x="11430000" y="457200"/>
          <a:ext cx="247650" cy="400050"/>
          <a:chOff x="8458200" y="666749"/>
          <a:chExt cx="381000" cy="381001"/>
        </a:xfrm>
      </xdr:grpSpPr>
      <xdr:sp macro="[0]!PeriodoRelRealizadoARealizar" textlink="">
        <xdr:nvSpPr>
          <xdr:cNvPr id="2" name="CaixaDeTexto 1">
            <a:extLst>
              <a:ext uri="{FF2B5EF4-FFF2-40B4-BE49-F238E27FC236}">
                <a16:creationId xmlns:a16="http://schemas.microsoft.com/office/drawing/2014/main" id="{00000000-0008-0000-0F00-000002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RealizadoARealizar">
        <xdr:nvPicPr>
          <xdr:cNvPr id="6" name="Imagem 5" descr="ApplyFilter">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304800</xdr:colOff>
      <xdr:row>5</xdr:row>
      <xdr:rowOff>190499</xdr:rowOff>
    </xdr:from>
    <xdr:to>
      <xdr:col>10</xdr:col>
      <xdr:colOff>561975</xdr:colOff>
      <xdr:row>8</xdr:row>
      <xdr:rowOff>9525</xdr:rowOff>
    </xdr:to>
    <xdr:grpSp>
      <xdr:nvGrpSpPr>
        <xdr:cNvPr id="7" name="Agrupar 6">
          <a:extLst>
            <a:ext uri="{FF2B5EF4-FFF2-40B4-BE49-F238E27FC236}">
              <a16:creationId xmlns:a16="http://schemas.microsoft.com/office/drawing/2014/main" id="{00000000-0008-0000-0F00-000007000000}"/>
            </a:ext>
          </a:extLst>
        </xdr:cNvPr>
        <xdr:cNvGrpSpPr/>
      </xdr:nvGrpSpPr>
      <xdr:grpSpPr>
        <a:xfrm>
          <a:off x="11706225" y="457199"/>
          <a:ext cx="257175" cy="400051"/>
          <a:chOff x="8905875" y="676274"/>
          <a:chExt cx="381000" cy="381001"/>
        </a:xfrm>
      </xdr:grpSpPr>
      <xdr:sp macro="[0]!LimparFiltroRelRealizadoARealizar" textlink="">
        <xdr:nvSpPr>
          <xdr:cNvPr id="9" name="CaixaDeTexto 8">
            <a:extLst>
              <a:ext uri="{FF2B5EF4-FFF2-40B4-BE49-F238E27FC236}">
                <a16:creationId xmlns:a16="http://schemas.microsoft.com/office/drawing/2014/main" id="{00000000-0008-0000-0F00-000009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lRealizadoARealizar">
        <xdr:nvPicPr>
          <xdr:cNvPr id="10" name="Imagem 9" descr="ApplyFilter">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lRealizadoARealizar">
        <xdr:nvPicPr>
          <xdr:cNvPr id="11" name="Imagem 10" descr="ColumnActionsRemover">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xdr:twoCellAnchor>
  <xdr:twoCellAnchor editAs="absolute">
    <xdr:from>
      <xdr:col>5</xdr:col>
      <xdr:colOff>419100</xdr:colOff>
      <xdr:row>4</xdr:row>
      <xdr:rowOff>9525</xdr:rowOff>
    </xdr:from>
    <xdr:to>
      <xdr:col>7</xdr:col>
      <xdr:colOff>76200</xdr:colOff>
      <xdr:row>9</xdr:row>
      <xdr:rowOff>209550</xdr:rowOff>
    </xdr:to>
    <mc:AlternateContent xmlns:mc="http://schemas.openxmlformats.org/markup-compatibility/2006" xmlns:a14="http://schemas.microsoft.com/office/drawing/2010/main">
      <mc:Choice Requires="a14">
        <xdr:graphicFrame macro="">
          <xdr:nvGraphicFramePr>
            <xdr:cNvPr id="4" name="CONTA CORRENTE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microsoft.com/office/drawing/2010/slicer">
              <sle:slicer xmlns:sle="http://schemas.microsoft.com/office/drawing/2010/slicer" name="CONTA CORRENTE 3"/>
            </a:graphicData>
          </a:graphic>
        </xdr:graphicFrame>
      </mc:Choice>
      <mc:Fallback xmlns="">
        <xdr:sp macro="" textlink="">
          <xdr:nvSpPr>
            <xdr:cNvPr id="0" name=""/>
            <xdr:cNvSpPr>
              <a:spLocks noTextEdit="1"/>
            </xdr:cNvSpPr>
          </xdr:nvSpPr>
          <xdr:spPr>
            <a:xfrm>
              <a:off x="6724650" y="85725"/>
              <a:ext cx="1781175"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3</xdr:col>
      <xdr:colOff>114300</xdr:colOff>
      <xdr:row>4</xdr:row>
      <xdr:rowOff>9525</xdr:rowOff>
    </xdr:from>
    <xdr:to>
      <xdr:col>4</xdr:col>
      <xdr:colOff>66675</xdr:colOff>
      <xdr:row>9</xdr:row>
      <xdr:rowOff>209550</xdr:rowOff>
    </xdr:to>
    <mc:AlternateContent xmlns:mc="http://schemas.openxmlformats.org/markup-compatibility/2006" xmlns:a14="http://schemas.microsoft.com/office/drawing/2010/main">
      <mc:Choice Requires="a14">
        <xdr:graphicFrame macro="">
          <xdr:nvGraphicFramePr>
            <xdr:cNvPr id="5" name="TITULAR 3">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microsoft.com/office/drawing/2010/slicer">
              <sle:slicer xmlns:sle="http://schemas.microsoft.com/office/drawing/2010/slicer" name="TITULAR 3"/>
            </a:graphicData>
          </a:graphic>
        </xdr:graphicFrame>
      </mc:Choice>
      <mc:Fallback xmlns="">
        <xdr:sp macro="" textlink="">
          <xdr:nvSpPr>
            <xdr:cNvPr id="0" name=""/>
            <xdr:cNvSpPr>
              <a:spLocks noTextEdit="1"/>
            </xdr:cNvSpPr>
          </xdr:nvSpPr>
          <xdr:spPr>
            <a:xfrm>
              <a:off x="2952750" y="85725"/>
              <a:ext cx="1828800"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4</xdr:col>
      <xdr:colOff>133350</xdr:colOff>
      <xdr:row>4</xdr:row>
      <xdr:rowOff>9525</xdr:rowOff>
    </xdr:from>
    <xdr:to>
      <xdr:col>5</xdr:col>
      <xdr:colOff>371475</xdr:colOff>
      <xdr:row>9</xdr:row>
      <xdr:rowOff>209550</xdr:rowOff>
    </xdr:to>
    <mc:AlternateContent xmlns:mc="http://schemas.openxmlformats.org/markup-compatibility/2006" xmlns:a14="http://schemas.microsoft.com/office/drawing/2010/main">
      <mc:Choice Requires="a14">
        <xdr:graphicFrame macro="">
          <xdr:nvGraphicFramePr>
            <xdr:cNvPr id="8" name="CENTRO CUSTO 3">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microsoft.com/office/drawing/2010/slicer">
              <sle:slicer xmlns:sle="http://schemas.microsoft.com/office/drawing/2010/slicer" name="CENTRO CUSTO 3"/>
            </a:graphicData>
          </a:graphic>
        </xdr:graphicFrame>
      </mc:Choice>
      <mc:Fallback xmlns="">
        <xdr:sp macro="" textlink="">
          <xdr:nvSpPr>
            <xdr:cNvPr id="0" name=""/>
            <xdr:cNvSpPr>
              <a:spLocks noTextEdit="1"/>
            </xdr:cNvSpPr>
          </xdr:nvSpPr>
          <xdr:spPr>
            <a:xfrm>
              <a:off x="4848225" y="85725"/>
              <a:ext cx="1828800"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38101</xdr:rowOff>
    </xdr:from>
    <xdr:to>
      <xdr:col>8</xdr:col>
      <xdr:colOff>514350</xdr:colOff>
      <xdr:row>2</xdr:row>
      <xdr:rowOff>31242</xdr:rowOff>
    </xdr:to>
    <xdr:sp macro="" textlink="">
      <xdr:nvSpPr>
        <xdr:cNvPr id="4" name="Retângulo 3">
          <a:extLst>
            <a:ext uri="{FF2B5EF4-FFF2-40B4-BE49-F238E27FC236}">
              <a16:creationId xmlns:a16="http://schemas.microsoft.com/office/drawing/2014/main" id="{00000000-0008-0000-1000-000004000000}"/>
            </a:ext>
          </a:extLst>
        </xdr:cNvPr>
        <xdr:cNvSpPr/>
      </xdr:nvSpPr>
      <xdr:spPr>
        <a:xfrm>
          <a:off x="38100" y="38101"/>
          <a:ext cx="5829300"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baseline="0">
              <a:ln w="50800">
                <a:solidFill>
                  <a:schemeClr val="accent5">
                    <a:lumMod val="60000"/>
                    <a:lumOff val="40000"/>
                  </a:schemeClr>
                </a:solidFill>
              </a:ln>
              <a:solidFill>
                <a:schemeClr val="bg1">
                  <a:shade val="50000"/>
                </a:schemeClr>
              </a:solidFill>
              <a:effectLst/>
            </a:rPr>
            <a:t>SALDO DAS CONTAS CORRENTES</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0</xdr:colOff>
      <xdr:row>30</xdr:row>
      <xdr:rowOff>0</xdr:rowOff>
    </xdr:from>
    <xdr:to>
      <xdr:col>10</xdr:col>
      <xdr:colOff>304800</xdr:colOff>
      <xdr:row>39</xdr:row>
      <xdr:rowOff>114300</xdr:rowOff>
    </xdr:to>
    <xdr:sp macro="" textlink="">
      <xdr:nvSpPr>
        <xdr:cNvPr id="2" name="AutoShape 1" descr="Resultado de imagem para ícones de lançamentos">
          <a:extLst>
            <a:ext uri="{FF2B5EF4-FFF2-40B4-BE49-F238E27FC236}">
              <a16:creationId xmlns:a16="http://schemas.microsoft.com/office/drawing/2014/main" id="{00000000-0008-0000-1100-000002000000}"/>
            </a:ext>
          </a:extLst>
        </xdr:cNvPr>
        <xdr:cNvSpPr>
          <a:spLocks noChangeAspect="1" noChangeArrowheads="1"/>
        </xdr:cNvSpPr>
      </xdr:nvSpPr>
      <xdr:spPr bwMode="auto">
        <a:xfrm>
          <a:off x="8353425" y="3552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28575</xdr:colOff>
          <xdr:row>18</xdr:row>
          <xdr:rowOff>19050</xdr:rowOff>
        </xdr:from>
        <xdr:to>
          <xdr:col>1</xdr:col>
          <xdr:colOff>685800</xdr:colOff>
          <xdr:row>18</xdr:row>
          <xdr:rowOff>161925</xdr:rowOff>
        </xdr:to>
        <xdr:sp macro="" textlink="">
          <xdr:nvSpPr>
            <xdr:cNvPr id="15361" name="ScrollBar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361950</xdr:colOff>
      <xdr:row>3</xdr:row>
      <xdr:rowOff>0</xdr:rowOff>
    </xdr:from>
    <xdr:to>
      <xdr:col>5</xdr:col>
      <xdr:colOff>295275</xdr:colOff>
      <xdr:row>10</xdr:row>
      <xdr:rowOff>66675</xdr:rowOff>
    </xdr:to>
    <mc:AlternateContent xmlns:mc="http://schemas.openxmlformats.org/markup-compatibility/2006" xmlns:a14="http://schemas.microsoft.com/office/drawing/2010/main">
      <mc:Choice Requires="a14">
        <xdr:graphicFrame macro="">
          <xdr:nvGraphicFramePr>
            <xdr:cNvPr id="4" name="TITULAR 5">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microsoft.com/office/drawing/2010/slicer">
              <sle:slicer xmlns:sle="http://schemas.microsoft.com/office/drawing/2010/slicer" name="TITULAR 5"/>
            </a:graphicData>
          </a:graphic>
        </xdr:graphicFrame>
      </mc:Choice>
      <mc:Fallback xmlns="">
        <xdr:sp macro="" textlink="">
          <xdr:nvSpPr>
            <xdr:cNvPr id="0" name=""/>
            <xdr:cNvSpPr>
              <a:spLocks noTextEdit="1"/>
            </xdr:cNvSpPr>
          </xdr:nvSpPr>
          <xdr:spPr>
            <a:xfrm>
              <a:off x="1362075" y="8572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5</xdr:col>
      <xdr:colOff>323849</xdr:colOff>
      <xdr:row>3</xdr:row>
      <xdr:rowOff>0</xdr:rowOff>
    </xdr:from>
    <xdr:to>
      <xdr:col>8</xdr:col>
      <xdr:colOff>295274</xdr:colOff>
      <xdr:row>10</xdr:row>
      <xdr:rowOff>57151</xdr:rowOff>
    </xdr:to>
    <mc:AlternateContent xmlns:mc="http://schemas.openxmlformats.org/markup-compatibility/2006" xmlns:a14="http://schemas.microsoft.com/office/drawing/2010/main">
      <mc:Choice Requires="a14">
        <xdr:graphicFrame macro="">
          <xdr:nvGraphicFramePr>
            <xdr:cNvPr id="5" name="CENTRO CUSTO 5">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microsoft.com/office/drawing/2010/slicer">
              <sle:slicer xmlns:sle="http://schemas.microsoft.com/office/drawing/2010/slicer" name="CENTRO CUSTO 5"/>
            </a:graphicData>
          </a:graphic>
        </xdr:graphicFrame>
      </mc:Choice>
      <mc:Fallback xmlns="">
        <xdr:sp macro="" textlink="">
          <xdr:nvSpPr>
            <xdr:cNvPr id="0" name=""/>
            <xdr:cNvSpPr>
              <a:spLocks noTextEdit="1"/>
            </xdr:cNvSpPr>
          </xdr:nvSpPr>
          <xdr:spPr>
            <a:xfrm>
              <a:off x="3219449" y="85725"/>
              <a:ext cx="1895475" cy="895351"/>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xdr:col>
      <xdr:colOff>1</xdr:colOff>
      <xdr:row>10</xdr:row>
      <xdr:rowOff>161925</xdr:rowOff>
    </xdr:from>
    <xdr:to>
      <xdr:col>14</xdr:col>
      <xdr:colOff>638175</xdr:colOff>
      <xdr:row>17</xdr:row>
      <xdr:rowOff>0</xdr:rowOff>
    </xdr:to>
    <xdr:graphicFrame macro="">
      <xdr:nvGraphicFramePr>
        <xdr:cNvPr id="9" name="Gráfico 8">
          <a:extLst>
            <a:ext uri="{FF2B5EF4-FFF2-40B4-BE49-F238E27FC236}">
              <a16:creationId xmlns:a16="http://schemas.microsoft.com/office/drawing/2014/main" id="{00000000-0008-0000-1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3</xdr:row>
      <xdr:rowOff>0</xdr:rowOff>
    </xdr:from>
    <xdr:to>
      <xdr:col>2</xdr:col>
      <xdr:colOff>333375</xdr:colOff>
      <xdr:row>10</xdr:row>
      <xdr:rowOff>66675</xdr:rowOff>
    </xdr:to>
    <mc:AlternateContent xmlns:mc="http://schemas.openxmlformats.org/markup-compatibility/2006" xmlns:a14="http://schemas.microsoft.com/office/drawing/2010/main">
      <mc:Choice Requires="a14">
        <xdr:graphicFrame macro="">
          <xdr:nvGraphicFramePr>
            <xdr:cNvPr id="7" name="REALIZADO / A REALIZAR 1">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microsoft.com/office/drawing/2010/slicer">
              <sle:slicer xmlns:sle="http://schemas.microsoft.com/office/drawing/2010/slicer" name="REALIZADO / A REALIZAR 1"/>
            </a:graphicData>
          </a:graphic>
        </xdr:graphicFrame>
      </mc:Choice>
      <mc:Fallback xmlns="">
        <xdr:sp macro="" textlink="">
          <xdr:nvSpPr>
            <xdr:cNvPr id="0" name=""/>
            <xdr:cNvSpPr>
              <a:spLocks noTextEdit="1"/>
            </xdr:cNvSpPr>
          </xdr:nvSpPr>
          <xdr:spPr>
            <a:xfrm>
              <a:off x="133350" y="85725"/>
              <a:ext cx="120015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10</xdr:col>
      <xdr:colOff>28575</xdr:colOff>
      <xdr:row>3</xdr:row>
      <xdr:rowOff>9526</xdr:rowOff>
    </xdr:from>
    <xdr:to>
      <xdr:col>10</xdr:col>
      <xdr:colOff>276225</xdr:colOff>
      <xdr:row>5</xdr:row>
      <xdr:rowOff>0</xdr:rowOff>
    </xdr:to>
    <xdr:grpSp>
      <xdr:nvGrpSpPr>
        <xdr:cNvPr id="10" name="Agrupar 9">
          <a:extLst>
            <a:ext uri="{FF2B5EF4-FFF2-40B4-BE49-F238E27FC236}">
              <a16:creationId xmlns:a16="http://schemas.microsoft.com/office/drawing/2014/main" id="{00000000-0008-0000-1100-00000A000000}"/>
            </a:ext>
          </a:extLst>
        </xdr:cNvPr>
        <xdr:cNvGrpSpPr/>
      </xdr:nvGrpSpPr>
      <xdr:grpSpPr>
        <a:xfrm>
          <a:off x="6219825" y="95251"/>
          <a:ext cx="247650" cy="409574"/>
          <a:chOff x="8458200" y="666749"/>
          <a:chExt cx="381000" cy="381001"/>
        </a:xfrm>
      </xdr:grpSpPr>
      <xdr:sp macro="[0]!PeriodoRelResultado" textlink="">
        <xdr:nvSpPr>
          <xdr:cNvPr id="11" name="CaixaDeTexto 10">
            <a:extLst>
              <a:ext uri="{FF2B5EF4-FFF2-40B4-BE49-F238E27FC236}">
                <a16:creationId xmlns:a16="http://schemas.microsoft.com/office/drawing/2014/main" id="{00000000-0008-0000-1100-00000B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Resultado">
        <xdr:nvPicPr>
          <xdr:cNvPr id="12" name="Imagem 11" descr="ApplyFilter">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304800</xdr:colOff>
      <xdr:row>3</xdr:row>
      <xdr:rowOff>9525</xdr:rowOff>
    </xdr:from>
    <xdr:to>
      <xdr:col>10</xdr:col>
      <xdr:colOff>561975</xdr:colOff>
      <xdr:row>5</xdr:row>
      <xdr:rowOff>0</xdr:rowOff>
    </xdr:to>
    <xdr:grpSp>
      <xdr:nvGrpSpPr>
        <xdr:cNvPr id="13" name="Agrupar 12">
          <a:extLst>
            <a:ext uri="{FF2B5EF4-FFF2-40B4-BE49-F238E27FC236}">
              <a16:creationId xmlns:a16="http://schemas.microsoft.com/office/drawing/2014/main" id="{00000000-0008-0000-1100-00000D000000}"/>
            </a:ext>
          </a:extLst>
        </xdr:cNvPr>
        <xdr:cNvGrpSpPr/>
      </xdr:nvGrpSpPr>
      <xdr:grpSpPr>
        <a:xfrm>
          <a:off x="6496050" y="95250"/>
          <a:ext cx="257175" cy="409575"/>
          <a:chOff x="8905875" y="676274"/>
          <a:chExt cx="381000" cy="381001"/>
        </a:xfrm>
      </xdr:grpSpPr>
      <xdr:sp macro="[0]!LimparFiltroResultado" textlink="">
        <xdr:nvSpPr>
          <xdr:cNvPr id="14" name="CaixaDeTexto 13">
            <a:extLst>
              <a:ext uri="{FF2B5EF4-FFF2-40B4-BE49-F238E27FC236}">
                <a16:creationId xmlns:a16="http://schemas.microsoft.com/office/drawing/2014/main" id="{00000000-0008-0000-1100-00000E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sultado">
        <xdr:nvPicPr>
          <xdr:cNvPr id="15" name="Imagem 14" descr="ApplyFilter">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sultado">
        <xdr:nvPicPr>
          <xdr:cNvPr id="16" name="Imagem 15" descr="ColumnActionsRemover">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1</xdr:row>
      <xdr:rowOff>0</xdr:rowOff>
    </xdr:from>
    <xdr:to>
      <xdr:col>13</xdr:col>
      <xdr:colOff>0</xdr:colOff>
      <xdr:row>15</xdr:row>
      <xdr:rowOff>0</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67235</xdr:colOff>
      <xdr:row>1</xdr:row>
      <xdr:rowOff>1</xdr:rowOff>
    </xdr:from>
    <xdr:to>
      <xdr:col>22</xdr:col>
      <xdr:colOff>605117</xdr:colOff>
      <xdr:row>15</xdr:row>
      <xdr:rowOff>0</xdr:rowOff>
    </xdr:to>
    <xdr:graphicFrame macro="">
      <xdr:nvGraphicFramePr>
        <xdr:cNvPr id="5" name="Gráfico 4">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791134</xdr:colOff>
      <xdr:row>18</xdr:row>
      <xdr:rowOff>110378</xdr:rowOff>
    </xdr:from>
    <xdr:to>
      <xdr:col>5</xdr:col>
      <xdr:colOff>41461</xdr:colOff>
      <xdr:row>23</xdr:row>
      <xdr:rowOff>138953</xdr:rowOff>
    </xdr:to>
    <mc:AlternateContent xmlns:mc="http://schemas.openxmlformats.org/markup-compatibility/2006" xmlns:a14="http://schemas.microsoft.com/office/drawing/2010/main">
      <mc:Choice Requires="a14">
        <xdr:graphicFrame macro="">
          <xdr:nvGraphicFramePr>
            <xdr:cNvPr id="9" name="MÊS 1">
              <a:extLst>
                <a:ext uri="{FF2B5EF4-FFF2-40B4-BE49-F238E27FC236}">
                  <a16:creationId xmlns:a16="http://schemas.microsoft.com/office/drawing/2014/main" id="{00000000-0008-0000-1200-000009000000}"/>
                </a:ext>
              </a:extLst>
            </xdr:cNvPr>
            <xdr:cNvGraphicFramePr/>
          </xdr:nvGraphicFramePr>
          <xdr:xfrm>
            <a:off x="0" y="0"/>
            <a:ext cx="0" cy="0"/>
          </xdr:xfrm>
          <a:graphic>
            <a:graphicData uri="http://schemas.microsoft.com/office/drawing/2010/slicer">
              <sle:slicer xmlns:sle="http://schemas.microsoft.com/office/drawing/2010/slicer" name="MÊS 1"/>
            </a:graphicData>
          </a:graphic>
        </xdr:graphicFrame>
      </mc:Choice>
      <mc:Fallback xmlns="">
        <xdr:sp macro="" textlink="">
          <xdr:nvSpPr>
            <xdr:cNvPr id="0" name=""/>
            <xdr:cNvSpPr>
              <a:spLocks noTextEdit="1"/>
            </xdr:cNvSpPr>
          </xdr:nvSpPr>
          <xdr:spPr>
            <a:xfrm>
              <a:off x="3637428" y="3158378"/>
              <a:ext cx="1099298" cy="89142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28015</xdr:colOff>
      <xdr:row>18</xdr:row>
      <xdr:rowOff>122145</xdr:rowOff>
    </xdr:from>
    <xdr:to>
      <xdr:col>4</xdr:col>
      <xdr:colOff>247650</xdr:colOff>
      <xdr:row>23</xdr:row>
      <xdr:rowOff>36419</xdr:rowOff>
    </xdr:to>
    <mc:AlternateContent xmlns:mc="http://schemas.openxmlformats.org/markup-compatibility/2006" xmlns:a14="http://schemas.microsoft.com/office/drawing/2010/main">
      <mc:Choice Requires="a14">
        <xdr:graphicFrame macro="">
          <xdr:nvGraphicFramePr>
            <xdr:cNvPr id="10" name="ANO 2">
              <a:extLst>
                <a:ext uri="{FF2B5EF4-FFF2-40B4-BE49-F238E27FC236}">
                  <a16:creationId xmlns:a16="http://schemas.microsoft.com/office/drawing/2014/main" id="{00000000-0008-0000-1200-00000A000000}"/>
                </a:ext>
              </a:extLst>
            </xdr:cNvPr>
            <xdr:cNvGraphicFramePr/>
          </xdr:nvGraphicFramePr>
          <xdr:xfrm>
            <a:off x="0" y="0"/>
            <a:ext cx="0" cy="0"/>
          </xdr:xfrm>
          <a:graphic>
            <a:graphicData uri="http://schemas.microsoft.com/office/drawing/2010/slicer">
              <sle:slicer xmlns:sle="http://schemas.microsoft.com/office/drawing/2010/slicer" name="ANO 2"/>
            </a:graphicData>
          </a:graphic>
        </xdr:graphicFrame>
      </mc:Choice>
      <mc:Fallback xmlns="">
        <xdr:sp macro="" textlink="">
          <xdr:nvSpPr>
            <xdr:cNvPr id="0" name=""/>
            <xdr:cNvSpPr>
              <a:spLocks noTextEdit="1"/>
            </xdr:cNvSpPr>
          </xdr:nvSpPr>
          <xdr:spPr>
            <a:xfrm>
              <a:off x="2874309" y="3170145"/>
              <a:ext cx="1015253" cy="77712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20</xdr:col>
      <xdr:colOff>336175</xdr:colOff>
      <xdr:row>18</xdr:row>
      <xdr:rowOff>30257</xdr:rowOff>
    </xdr:from>
    <xdr:to>
      <xdr:col>22</xdr:col>
      <xdr:colOff>238123</xdr:colOff>
      <xdr:row>23</xdr:row>
      <xdr:rowOff>77881</xdr:rowOff>
    </xdr:to>
    <mc:AlternateContent xmlns:mc="http://schemas.openxmlformats.org/markup-compatibility/2006" xmlns:a14="http://schemas.microsoft.com/office/drawing/2010/main">
      <mc:Choice Requires="a14">
        <xdr:graphicFrame macro="">
          <xdr:nvGraphicFramePr>
            <xdr:cNvPr id="11" name="MÊS 2">
              <a:extLst>
                <a:ext uri="{FF2B5EF4-FFF2-40B4-BE49-F238E27FC236}">
                  <a16:creationId xmlns:a16="http://schemas.microsoft.com/office/drawing/2014/main" id="{00000000-0008-0000-1200-00000B000000}"/>
                </a:ext>
              </a:extLst>
            </xdr:cNvPr>
            <xdr:cNvGraphicFramePr/>
          </xdr:nvGraphicFramePr>
          <xdr:xfrm>
            <a:off x="0" y="0"/>
            <a:ext cx="0" cy="0"/>
          </xdr:xfrm>
          <a:graphic>
            <a:graphicData uri="http://schemas.microsoft.com/office/drawing/2010/slicer">
              <sle:slicer xmlns:sle="http://schemas.microsoft.com/office/drawing/2010/slicer" name="MÊS 2"/>
            </a:graphicData>
          </a:graphic>
        </xdr:graphicFrame>
      </mc:Choice>
      <mc:Fallback xmlns="">
        <xdr:sp macro="" textlink="">
          <xdr:nvSpPr>
            <xdr:cNvPr id="0" name=""/>
            <xdr:cNvSpPr>
              <a:spLocks noTextEdit="1"/>
            </xdr:cNvSpPr>
          </xdr:nvSpPr>
          <xdr:spPr>
            <a:xfrm>
              <a:off x="12774704" y="3078257"/>
              <a:ext cx="1112184" cy="91047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18</xdr:col>
      <xdr:colOff>543485</xdr:colOff>
      <xdr:row>18</xdr:row>
      <xdr:rowOff>54349</xdr:rowOff>
    </xdr:from>
    <xdr:to>
      <xdr:col>20</xdr:col>
      <xdr:colOff>271182</xdr:colOff>
      <xdr:row>23</xdr:row>
      <xdr:rowOff>3923</xdr:rowOff>
    </xdr:to>
    <mc:AlternateContent xmlns:mc="http://schemas.openxmlformats.org/markup-compatibility/2006" xmlns:a14="http://schemas.microsoft.com/office/drawing/2010/main">
      <mc:Choice Requires="a14">
        <xdr:graphicFrame macro="">
          <xdr:nvGraphicFramePr>
            <xdr:cNvPr id="12" name="ANO 3">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0/slicer">
              <sle:slicer xmlns:sle="http://schemas.microsoft.com/office/drawing/2010/slicer" name="ANO 3"/>
            </a:graphicData>
          </a:graphic>
        </xdr:graphicFrame>
      </mc:Choice>
      <mc:Fallback xmlns="">
        <xdr:sp macro="" textlink="">
          <xdr:nvSpPr>
            <xdr:cNvPr id="0" name=""/>
            <xdr:cNvSpPr>
              <a:spLocks noTextEdit="1"/>
            </xdr:cNvSpPr>
          </xdr:nvSpPr>
          <xdr:spPr>
            <a:xfrm>
              <a:off x="11659720" y="3102349"/>
              <a:ext cx="1049991" cy="81242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35</xdr:col>
      <xdr:colOff>438150</xdr:colOff>
      <xdr:row>3</xdr:row>
      <xdr:rowOff>47625</xdr:rowOff>
    </xdr:from>
    <xdr:to>
      <xdr:col>37</xdr:col>
      <xdr:colOff>542925</xdr:colOff>
      <xdr:row>8</xdr:row>
      <xdr:rowOff>133350</xdr:rowOff>
    </xdr:to>
    <mc:AlternateContent xmlns:mc="http://schemas.openxmlformats.org/markup-compatibility/2006" xmlns:a14="http://schemas.microsoft.com/office/drawing/2010/main">
      <mc:Choice Requires="a14">
        <xdr:graphicFrame macro="">
          <xdr:nvGraphicFramePr>
            <xdr:cNvPr id="13" name="MÊS 3">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microsoft.com/office/drawing/2010/slicer">
              <sle:slicer xmlns:sle="http://schemas.microsoft.com/office/drawing/2010/slicer" name="MÊS 3"/>
            </a:graphicData>
          </a:graphic>
        </xdr:graphicFrame>
      </mc:Choice>
      <mc:Fallback xmlns="">
        <xdr:sp macro="" textlink="">
          <xdr:nvSpPr>
            <xdr:cNvPr id="0" name=""/>
            <xdr:cNvSpPr>
              <a:spLocks noTextEdit="1"/>
            </xdr:cNvSpPr>
          </xdr:nvSpPr>
          <xdr:spPr>
            <a:xfrm>
              <a:off x="21069300" y="428625"/>
              <a:ext cx="1323975" cy="8477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33</xdr:col>
      <xdr:colOff>323850</xdr:colOff>
      <xdr:row>3</xdr:row>
      <xdr:rowOff>38100</xdr:rowOff>
    </xdr:from>
    <xdr:to>
      <xdr:col>35</xdr:col>
      <xdr:colOff>295275</xdr:colOff>
      <xdr:row>8</xdr:row>
      <xdr:rowOff>142875</xdr:rowOff>
    </xdr:to>
    <mc:AlternateContent xmlns:mc="http://schemas.openxmlformats.org/markup-compatibility/2006" xmlns:a14="http://schemas.microsoft.com/office/drawing/2010/main">
      <mc:Choice Requires="a14">
        <xdr:graphicFrame macro="">
          <xdr:nvGraphicFramePr>
            <xdr:cNvPr id="14" name="ANO 4">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microsoft.com/office/drawing/2010/slicer">
              <sle:slicer xmlns:sle="http://schemas.microsoft.com/office/drawing/2010/slicer" name="ANO 4"/>
            </a:graphicData>
          </a:graphic>
        </xdr:graphicFrame>
      </mc:Choice>
      <mc:Fallback xmlns="">
        <xdr:sp macro="" textlink="">
          <xdr:nvSpPr>
            <xdr:cNvPr id="0" name=""/>
            <xdr:cNvSpPr>
              <a:spLocks noTextEdit="1"/>
            </xdr:cNvSpPr>
          </xdr:nvSpPr>
          <xdr:spPr>
            <a:xfrm>
              <a:off x="19735800" y="419100"/>
              <a:ext cx="1190625" cy="8667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1304925</xdr:colOff>
      <xdr:row>0</xdr:row>
      <xdr:rowOff>78440</xdr:rowOff>
    </xdr:from>
    <xdr:to>
      <xdr:col>2</xdr:col>
      <xdr:colOff>0</xdr:colOff>
      <xdr:row>22</xdr:row>
      <xdr:rowOff>56029</xdr:rowOff>
    </xdr:to>
    <mc:AlternateContent xmlns:mc="http://schemas.openxmlformats.org/markup-compatibility/2006" xmlns:a14="http://schemas.microsoft.com/office/drawing/2010/main">
      <mc:Choice Requires="a14">
        <xdr:graphicFrame macro="">
          <xdr:nvGraphicFramePr>
            <xdr:cNvPr id="15" name="MÊS 4">
              <a:extLst>
                <a:ext uri="{FF2B5EF4-FFF2-40B4-BE49-F238E27FC236}">
                  <a16:creationId xmlns:a16="http://schemas.microsoft.com/office/drawing/2014/main" id="{00000000-0008-0000-1200-00000F000000}"/>
                </a:ext>
              </a:extLst>
            </xdr:cNvPr>
            <xdr:cNvGraphicFramePr/>
          </xdr:nvGraphicFramePr>
          <xdr:xfrm>
            <a:off x="0" y="0"/>
            <a:ext cx="0" cy="0"/>
          </xdr:xfrm>
          <a:graphic>
            <a:graphicData uri="http://schemas.microsoft.com/office/drawing/2010/slicer">
              <sle:slicer xmlns:sle="http://schemas.microsoft.com/office/drawing/2010/slicer" name="MÊS 4"/>
            </a:graphicData>
          </a:graphic>
        </xdr:graphicFrame>
      </mc:Choice>
      <mc:Fallback xmlns="">
        <xdr:sp macro="" textlink="">
          <xdr:nvSpPr>
            <xdr:cNvPr id="0" name=""/>
            <xdr:cNvSpPr>
              <a:spLocks noTextEdit="1"/>
            </xdr:cNvSpPr>
          </xdr:nvSpPr>
          <xdr:spPr>
            <a:xfrm>
              <a:off x="1400175" y="47625"/>
              <a:ext cx="1257300" cy="3581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1</xdr:col>
      <xdr:colOff>0</xdr:colOff>
      <xdr:row>0</xdr:row>
      <xdr:rowOff>76198</xdr:rowOff>
    </xdr:from>
    <xdr:to>
      <xdr:col>1</xdr:col>
      <xdr:colOff>1143000</xdr:colOff>
      <xdr:row>22</xdr:row>
      <xdr:rowOff>33617</xdr:rowOff>
    </xdr:to>
    <mc:AlternateContent xmlns:mc="http://schemas.openxmlformats.org/markup-compatibility/2006" xmlns:a14="http://schemas.microsoft.com/office/drawing/2010/main">
      <mc:Choice Requires="a14">
        <xdr:graphicFrame macro="">
          <xdr:nvGraphicFramePr>
            <xdr:cNvPr id="16" name="ANO 5">
              <a:extLst>
                <a:ext uri="{FF2B5EF4-FFF2-40B4-BE49-F238E27FC236}">
                  <a16:creationId xmlns:a16="http://schemas.microsoft.com/office/drawing/2014/main" id="{00000000-0008-0000-1200-000010000000}"/>
                </a:ext>
              </a:extLst>
            </xdr:cNvPr>
            <xdr:cNvGraphicFramePr/>
          </xdr:nvGraphicFramePr>
          <xdr:xfrm>
            <a:off x="0" y="0"/>
            <a:ext cx="0" cy="0"/>
          </xdr:xfrm>
          <a:graphic>
            <a:graphicData uri="http://schemas.microsoft.com/office/drawing/2010/slicer">
              <sle:slicer xmlns:sle="http://schemas.microsoft.com/office/drawing/2010/slicer" name="ANO 5"/>
            </a:graphicData>
          </a:graphic>
        </xdr:graphicFrame>
      </mc:Choice>
      <mc:Fallback xmlns="">
        <xdr:sp macro="" textlink="">
          <xdr:nvSpPr>
            <xdr:cNvPr id="0" name=""/>
            <xdr:cNvSpPr>
              <a:spLocks noTextEdit="1"/>
            </xdr:cNvSpPr>
          </xdr:nvSpPr>
          <xdr:spPr>
            <a:xfrm>
              <a:off x="95250" y="47624"/>
              <a:ext cx="1143000" cy="3581401"/>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3</xdr:col>
      <xdr:colOff>0</xdr:colOff>
      <xdr:row>16</xdr:row>
      <xdr:rowOff>0</xdr:rowOff>
    </xdr:from>
    <xdr:to>
      <xdr:col>6</xdr:col>
      <xdr:colOff>0</xdr:colOff>
      <xdr:row>30</xdr:row>
      <xdr:rowOff>0</xdr:rowOff>
    </xdr:to>
    <xdr:graphicFrame macro="">
      <xdr:nvGraphicFramePr>
        <xdr:cNvPr id="7" name="Gráfico 6">
          <a:extLst>
            <a:ext uri="{FF2B5EF4-FFF2-40B4-BE49-F238E27FC236}">
              <a16:creationId xmlns:a16="http://schemas.microsoft.com/office/drawing/2014/main" id="{00000000-0008-0000-1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16</xdr:row>
      <xdr:rowOff>2802</xdr:rowOff>
    </xdr:from>
    <xdr:to>
      <xdr:col>23</xdr:col>
      <xdr:colOff>22411</xdr:colOff>
      <xdr:row>30</xdr:row>
      <xdr:rowOff>0</xdr:rowOff>
    </xdr:to>
    <xdr:graphicFrame macro="">
      <xdr:nvGraphicFramePr>
        <xdr:cNvPr id="2" name="Gráfico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16</xdr:row>
      <xdr:rowOff>0</xdr:rowOff>
    </xdr:from>
    <xdr:to>
      <xdr:col>13</xdr:col>
      <xdr:colOff>0</xdr:colOff>
      <xdr:row>30</xdr:row>
      <xdr:rowOff>0</xdr:rowOff>
    </xdr:to>
    <xdr:graphicFrame macro="">
      <xdr:nvGraphicFramePr>
        <xdr:cNvPr id="3" name="Gráfico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295274</xdr:colOff>
      <xdr:row>2</xdr:row>
      <xdr:rowOff>85611</xdr:rowOff>
    </xdr:to>
    <xdr:sp macro="" textlink="">
      <xdr:nvSpPr>
        <xdr:cNvPr id="2" name="Retângulo 1">
          <a:extLst>
            <a:ext uri="{FF2B5EF4-FFF2-40B4-BE49-F238E27FC236}">
              <a16:creationId xmlns:a16="http://schemas.microsoft.com/office/drawing/2014/main" id="{00000000-0008-0000-13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CONTROLE DE ESTOQUE</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xdr:col>
      <xdr:colOff>533400</xdr:colOff>
      <xdr:row>92</xdr:row>
      <xdr:rowOff>38100</xdr:rowOff>
    </xdr:from>
    <xdr:to>
      <xdr:col>4</xdr:col>
      <xdr:colOff>190500</xdr:colOff>
      <xdr:row>96</xdr:row>
      <xdr:rowOff>161925</xdr:rowOff>
    </xdr:to>
    <mc:AlternateContent xmlns:mc="http://schemas.openxmlformats.org/markup-compatibility/2006" xmlns:a14="http://schemas.microsoft.com/office/drawing/2010/main">
      <mc:Choice Requires="a14">
        <xdr:graphicFrame macro="">
          <xdr:nvGraphicFramePr>
            <xdr:cNvPr id="5" name="CONTA CORRENTE 1">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microsoft.com/office/drawing/2010/slicer">
              <sle:slicer xmlns:sle="http://schemas.microsoft.com/office/drawing/2010/slicer" name="CONTA CORRENTE 1"/>
            </a:graphicData>
          </a:graphic>
        </xdr:graphicFrame>
      </mc:Choice>
      <mc:Fallback xmlns="">
        <xdr:sp macro="" textlink="">
          <xdr:nvSpPr>
            <xdr:cNvPr id="0" name=""/>
            <xdr:cNvSpPr>
              <a:spLocks noTextEdit="1"/>
            </xdr:cNvSpPr>
          </xdr:nvSpPr>
          <xdr:spPr>
            <a:xfrm>
              <a:off x="6600825" y="17383125"/>
              <a:ext cx="1828800" cy="8858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552450</xdr:colOff>
      <xdr:row>82</xdr:row>
      <xdr:rowOff>57150</xdr:rowOff>
    </xdr:from>
    <xdr:to>
      <xdr:col>4</xdr:col>
      <xdr:colOff>209550</xdr:colOff>
      <xdr:row>86</xdr:row>
      <xdr:rowOff>104775</xdr:rowOff>
    </xdr:to>
    <mc:AlternateContent xmlns:mc="http://schemas.openxmlformats.org/markup-compatibility/2006" xmlns:a14="http://schemas.microsoft.com/office/drawing/2010/main">
      <mc:Choice Requires="a14">
        <xdr:graphicFrame macro="">
          <xdr:nvGraphicFramePr>
            <xdr:cNvPr id="6" name="TITULAR">
              <a:extLst>
                <a:ext uri="{FF2B5EF4-FFF2-40B4-BE49-F238E27FC236}">
                  <a16:creationId xmlns:a16="http://schemas.microsoft.com/office/drawing/2014/main" id="{00000000-0008-0000-1400-000006000000}"/>
                </a:ext>
              </a:extLst>
            </xdr:cNvPr>
            <xdr:cNvGraphicFramePr/>
          </xdr:nvGraphicFramePr>
          <xdr:xfrm>
            <a:off x="0" y="0"/>
            <a:ext cx="0" cy="0"/>
          </xdr:xfrm>
          <a:graphic>
            <a:graphicData uri="http://schemas.microsoft.com/office/drawing/2010/slicer">
              <sle:slicer xmlns:sle="http://schemas.microsoft.com/office/drawing/2010/slicer" name="TITULAR"/>
            </a:graphicData>
          </a:graphic>
        </xdr:graphicFrame>
      </mc:Choice>
      <mc:Fallback xmlns="">
        <xdr:sp macro="" textlink="">
          <xdr:nvSpPr>
            <xdr:cNvPr id="0" name=""/>
            <xdr:cNvSpPr>
              <a:spLocks noTextEdit="1"/>
            </xdr:cNvSpPr>
          </xdr:nvSpPr>
          <xdr:spPr>
            <a:xfrm>
              <a:off x="6619875" y="15497175"/>
              <a:ext cx="1828800" cy="8096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86</xdr:row>
      <xdr:rowOff>180976</xdr:rowOff>
    </xdr:from>
    <xdr:to>
      <xdr:col>4</xdr:col>
      <xdr:colOff>190500</xdr:colOff>
      <xdr:row>91</xdr:row>
      <xdr:rowOff>104776</xdr:rowOff>
    </xdr:to>
    <mc:AlternateContent xmlns:mc="http://schemas.openxmlformats.org/markup-compatibility/2006" xmlns:a14="http://schemas.microsoft.com/office/drawing/2010/main">
      <mc:Choice Requires="a14">
        <xdr:graphicFrame macro="">
          <xdr:nvGraphicFramePr>
            <xdr:cNvPr id="7" name="CENTRO CUSTO">
              <a:extLst>
                <a:ext uri="{FF2B5EF4-FFF2-40B4-BE49-F238E27FC236}">
                  <a16:creationId xmlns:a16="http://schemas.microsoft.com/office/drawing/2014/main" id="{00000000-0008-0000-1400-000007000000}"/>
                </a:ext>
              </a:extLst>
            </xdr:cNvPr>
            <xdr:cNvGraphicFramePr/>
          </xdr:nvGraphicFramePr>
          <xdr:xfrm>
            <a:off x="0" y="0"/>
            <a:ext cx="0" cy="0"/>
          </xdr:xfrm>
          <a:graphic>
            <a:graphicData uri="http://schemas.microsoft.com/office/drawing/2010/slicer">
              <sle:slicer xmlns:sle="http://schemas.microsoft.com/office/drawing/2010/slicer" name="CENTRO CUSTO"/>
            </a:graphicData>
          </a:graphic>
        </xdr:graphicFrame>
      </mc:Choice>
      <mc:Fallback xmlns="">
        <xdr:sp macro="" textlink="">
          <xdr:nvSpPr>
            <xdr:cNvPr id="0" name=""/>
            <xdr:cNvSpPr>
              <a:spLocks noTextEdit="1"/>
            </xdr:cNvSpPr>
          </xdr:nvSpPr>
          <xdr:spPr>
            <a:xfrm>
              <a:off x="6600825" y="16383001"/>
              <a:ext cx="1828800" cy="8763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102</xdr:row>
      <xdr:rowOff>57150</xdr:rowOff>
    </xdr:from>
    <xdr:to>
      <xdr:col>4</xdr:col>
      <xdr:colOff>190500</xdr:colOff>
      <xdr:row>106</xdr:row>
      <xdr:rowOff>123825</xdr:rowOff>
    </xdr:to>
    <mc:AlternateContent xmlns:mc="http://schemas.openxmlformats.org/markup-compatibility/2006" xmlns:a14="http://schemas.microsoft.com/office/drawing/2010/main">
      <mc:Choice Requires="a14">
        <xdr:graphicFrame macro="">
          <xdr:nvGraphicFramePr>
            <xdr:cNvPr id="8" name="ANO">
              <a:extLst>
                <a:ext uri="{FF2B5EF4-FFF2-40B4-BE49-F238E27FC236}">
                  <a16:creationId xmlns:a16="http://schemas.microsoft.com/office/drawing/2014/main" id="{00000000-0008-0000-1400-000008000000}"/>
                </a:ext>
              </a:extLst>
            </xdr:cNvPr>
            <xdr:cNvGraphicFramePr/>
          </xdr:nvGraphicFramePr>
          <xdr:xfrm>
            <a:off x="0" y="0"/>
            <a:ext cx="0" cy="0"/>
          </xdr:xfrm>
          <a:graphic>
            <a:graphicData uri="http://schemas.microsoft.com/office/drawing/2010/slicer">
              <sle:slicer xmlns:sle="http://schemas.microsoft.com/office/drawing/2010/slicer" name="ANO"/>
            </a:graphicData>
          </a:graphic>
        </xdr:graphicFrame>
      </mc:Choice>
      <mc:Fallback xmlns="">
        <xdr:sp macro="" textlink="">
          <xdr:nvSpPr>
            <xdr:cNvPr id="0" name=""/>
            <xdr:cNvSpPr>
              <a:spLocks noTextEdit="1"/>
            </xdr:cNvSpPr>
          </xdr:nvSpPr>
          <xdr:spPr>
            <a:xfrm>
              <a:off x="6600825" y="19307175"/>
              <a:ext cx="1828800" cy="8286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523875</xdr:colOff>
      <xdr:row>97</xdr:row>
      <xdr:rowOff>57150</xdr:rowOff>
    </xdr:from>
    <xdr:to>
      <xdr:col>4</xdr:col>
      <xdr:colOff>180975</xdr:colOff>
      <xdr:row>102</xdr:row>
      <xdr:rowOff>9525</xdr:rowOff>
    </xdr:to>
    <mc:AlternateContent xmlns:mc="http://schemas.openxmlformats.org/markup-compatibility/2006" xmlns:a14="http://schemas.microsoft.com/office/drawing/2010/main">
      <mc:Choice Requires="a14">
        <xdr:graphicFrame macro="">
          <xdr:nvGraphicFramePr>
            <xdr:cNvPr id="9" name="REALIZADO / A REALIZAR">
              <a:extLst>
                <a:ext uri="{FF2B5EF4-FFF2-40B4-BE49-F238E27FC236}">
                  <a16:creationId xmlns:a16="http://schemas.microsoft.com/office/drawing/2014/main" id="{00000000-0008-0000-1400-000009000000}"/>
                </a:ext>
              </a:extLst>
            </xdr:cNvPr>
            <xdr:cNvGraphicFramePr/>
          </xdr:nvGraphicFramePr>
          <xdr:xfrm>
            <a:off x="0" y="0"/>
            <a:ext cx="0" cy="0"/>
          </xdr:xfrm>
          <a:graphic>
            <a:graphicData uri="http://schemas.microsoft.com/office/drawing/2010/slicer">
              <sle:slicer xmlns:sle="http://schemas.microsoft.com/office/drawing/2010/slicer" name="REALIZADO / A REALIZAR"/>
            </a:graphicData>
          </a:graphic>
        </xdr:graphicFrame>
      </mc:Choice>
      <mc:Fallback xmlns="">
        <xdr:sp macro="" textlink="">
          <xdr:nvSpPr>
            <xdr:cNvPr id="0" name=""/>
            <xdr:cNvSpPr>
              <a:spLocks noTextEdit="1"/>
            </xdr:cNvSpPr>
          </xdr:nvSpPr>
          <xdr:spPr>
            <a:xfrm>
              <a:off x="6591300" y="1835467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542925</xdr:colOff>
      <xdr:row>106</xdr:row>
      <xdr:rowOff>180975</xdr:rowOff>
    </xdr:from>
    <xdr:to>
      <xdr:col>4</xdr:col>
      <xdr:colOff>200025</xdr:colOff>
      <xdr:row>111</xdr:row>
      <xdr:rowOff>85725</xdr:rowOff>
    </xdr:to>
    <mc:AlternateContent xmlns:mc="http://schemas.openxmlformats.org/markup-compatibility/2006" xmlns:a14="http://schemas.microsoft.com/office/drawing/2010/main">
      <mc:Choice Requires="a14">
        <xdr:graphicFrame macro="">
          <xdr:nvGraphicFramePr>
            <xdr:cNvPr id="10" name="MÊS">
              <a:extLst>
                <a:ext uri="{FF2B5EF4-FFF2-40B4-BE49-F238E27FC236}">
                  <a16:creationId xmlns:a16="http://schemas.microsoft.com/office/drawing/2014/main" id="{00000000-0008-0000-1400-00000A000000}"/>
                </a:ext>
              </a:extLst>
            </xdr:cNvPr>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6610350" y="20193000"/>
              <a:ext cx="1828800" cy="8572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xdr:col>
      <xdr:colOff>1590675</xdr:colOff>
      <xdr:row>82</xdr:row>
      <xdr:rowOff>95250</xdr:rowOff>
    </xdr:from>
    <xdr:to>
      <xdr:col>3</xdr:col>
      <xdr:colOff>419100</xdr:colOff>
      <xdr:row>88</xdr:row>
      <xdr:rowOff>85725</xdr:rowOff>
    </xdr:to>
    <mc:AlternateContent xmlns:mc="http://schemas.openxmlformats.org/markup-compatibility/2006" xmlns:a14="http://schemas.microsoft.com/office/drawing/2010/main">
      <mc:Choice Requires="a14">
        <xdr:graphicFrame macro="">
          <xdr:nvGraphicFramePr>
            <xdr:cNvPr id="11" name="REC./DESP.">
              <a:extLst>
                <a:ext uri="{FF2B5EF4-FFF2-40B4-BE49-F238E27FC236}">
                  <a16:creationId xmlns:a16="http://schemas.microsoft.com/office/drawing/2014/main" id="{00000000-0008-0000-1400-00000B000000}"/>
                </a:ext>
              </a:extLst>
            </xdr:cNvPr>
            <xdr:cNvGraphicFramePr/>
          </xdr:nvGraphicFramePr>
          <xdr:xfrm>
            <a:off x="0" y="0"/>
            <a:ext cx="0" cy="0"/>
          </xdr:xfrm>
          <a:graphic>
            <a:graphicData uri="http://schemas.microsoft.com/office/drawing/2010/slicer">
              <sle:slicer xmlns:sle="http://schemas.microsoft.com/office/drawing/2010/slicer" name="REC./DESP."/>
            </a:graphicData>
          </a:graphic>
        </xdr:graphicFrame>
      </mc:Choice>
      <mc:Fallback xmlns="">
        <xdr:sp macro="" textlink="">
          <xdr:nvSpPr>
            <xdr:cNvPr id="0" name=""/>
            <xdr:cNvSpPr>
              <a:spLocks noTextEdit="1"/>
            </xdr:cNvSpPr>
          </xdr:nvSpPr>
          <xdr:spPr>
            <a:xfrm>
              <a:off x="4657725" y="15535275"/>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5</xdr:col>
      <xdr:colOff>457200</xdr:colOff>
      <xdr:row>12</xdr:row>
      <xdr:rowOff>171450</xdr:rowOff>
    </xdr:from>
    <xdr:to>
      <xdr:col>5</xdr:col>
      <xdr:colOff>1530723</xdr:colOff>
      <xdr:row>14</xdr:row>
      <xdr:rowOff>39025</xdr:rowOff>
    </xdr:to>
    <xdr:sp macro="[0]!LimparRegistros" textlink="">
      <xdr:nvSpPr>
        <xdr:cNvPr id="12" name="CaixaDeTexto 11">
          <a:extLst>
            <a:ext uri="{FF2B5EF4-FFF2-40B4-BE49-F238E27FC236}">
              <a16:creationId xmlns:a16="http://schemas.microsoft.com/office/drawing/2014/main" id="{00000000-0008-0000-1400-00000C000000}"/>
            </a:ext>
          </a:extLst>
        </xdr:cNvPr>
        <xdr:cNvSpPr txBox="1"/>
      </xdr:nvSpPr>
      <xdr:spPr>
        <a:xfrm>
          <a:off x="9077325" y="2466975"/>
          <a:ext cx="1073523" cy="248575"/>
        </a:xfrm>
        <a:prstGeom prst="rect">
          <a:avLst/>
        </a:prstGeom>
        <a:solidFill>
          <a:schemeClr val="tx1">
            <a:lumMod val="95000"/>
            <a:lumOff val="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b="1">
              <a:solidFill>
                <a:srgbClr val="FFFF66"/>
              </a:solidFill>
            </a:rPr>
            <a:t>LIMPAR CADASTROS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gis Marinho" refreshedDate="43388.298946643517" missingItemsLimit="0" createdVersion="6" refreshedVersion="6" minRefreshableVersion="3" recordCount="25" xr:uid="{00000000-000A-0000-FFFF-FFFF00000000}">
  <cacheSource type="worksheet">
    <worksheetSource name="rng_DadosLanctosTD"/>
  </cacheSource>
  <cacheFields count="38">
    <cacheField name="Nº LANÇ." numFmtId="168">
      <sharedItems containsSemiMixedTypes="0" containsString="0" containsNumber="1" containsInteger="1" minValue="1" maxValue="25" count="25">
        <n v="1"/>
        <n v="2"/>
        <n v="14"/>
        <n v="3"/>
        <n v="15"/>
        <n v="4"/>
        <n v="16"/>
        <n v="5"/>
        <n v="17"/>
        <n v="6"/>
        <n v="18"/>
        <n v="7"/>
        <n v="19"/>
        <n v="8"/>
        <n v="20"/>
        <n v="9"/>
        <n v="21"/>
        <n v="10"/>
        <n v="22"/>
        <n v="11"/>
        <n v="23"/>
        <n v="12"/>
        <n v="24"/>
        <n v="13"/>
        <n v="25"/>
      </sharedItems>
    </cacheField>
    <cacheField name="DATA EMISSÃO" numFmtId="14">
      <sharedItems containsSemiMixedTypes="0" containsNonDate="0" containsDate="1" containsString="0" minDate="2018-10-15T00:00:00" maxDate="2018-10-16T00:00:00" count="1">
        <d v="2018-10-15T00:00:00"/>
      </sharedItems>
    </cacheField>
    <cacheField name="VENCTO. ORIGINAL" numFmtId="14">
      <sharedItems containsSemiMixedTypes="0" containsNonDate="0" containsDate="1" containsString="0" minDate="2018-10-15T00:00:00" maxDate="2019-10-16T00:00:00"/>
    </cacheField>
    <cacheField name="VENCTO. AJUSTADO" numFmtId="14">
      <sharedItems containsSemiMixedTypes="0" containsNonDate="0" containsDate="1" containsString="0" minDate="2018-10-15T00:00:00" maxDate="2019-10-16T00:00:00" count="13">
        <d v="2018-10-15T00:00:00"/>
        <d v="2018-11-15T00:00:00"/>
        <d v="2018-12-15T00:00:00"/>
        <d v="2019-01-15T00:00:00"/>
        <d v="2019-02-15T00:00:00"/>
        <d v="2019-03-15T00:00:00"/>
        <d v="2019-04-15T00:00:00"/>
        <d v="2019-05-15T00:00:00"/>
        <d v="2019-06-15T00:00:00"/>
        <d v="2019-07-15T00:00:00"/>
        <d v="2019-08-15T00:00:00"/>
        <d v="2019-09-15T00:00:00"/>
        <d v="2019-10-15T00:00:00"/>
      </sharedItems>
    </cacheField>
    <cacheField name="DATA REALIZ." numFmtId="14">
      <sharedItems containsNonDate="0" containsDate="1" containsString="0" containsBlank="1" minDate="2018-10-15T00:00:00" maxDate="2018-10-16T00:00:00"/>
    </cacheField>
    <cacheField name="VALOR" numFmtId="166">
      <sharedItems containsSemiMixedTypes="0" containsString="0" containsNumber="1" containsInteger="1" minValue="-15000" maxValue="20000"/>
    </cacheField>
    <cacheField name="CONTA CORRENTE" numFmtId="0">
      <sharedItems count="1">
        <s v="CAIXA"/>
      </sharedItems>
    </cacheField>
    <cacheField name="TITULAR" numFmtId="0">
      <sharedItems count="1">
        <s v="R. MARINHO"/>
      </sharedItems>
    </cacheField>
    <cacheField name="CLIENTE OU FORNECEDOR" numFmtId="0">
      <sharedItems count="1">
        <s v="R. MARINHO"/>
      </sharedItems>
    </cacheField>
    <cacheField name="PLANO DE CONTAS" numFmtId="0">
      <sharedItems count="3">
        <s v="SALDO INICIAL"/>
        <s v="VENDAS"/>
        <s v="COMPRAS"/>
      </sharedItems>
    </cacheField>
    <cacheField name="CENTRO CUSTO" numFmtId="0">
      <sharedItems count="1">
        <s v="ADMINISTRATIVO"/>
      </sharedItems>
    </cacheField>
    <cacheField name="REC./DESP." numFmtId="0">
      <sharedItems count="3">
        <s v="MOVIMENTAÇÃO FINANCEIRA"/>
        <s v="RECEITA"/>
        <s v="DESPESA"/>
      </sharedItems>
    </cacheField>
    <cacheField name="TIPO DE DOCTO." numFmtId="0">
      <sharedItems count="1">
        <s v="AV"/>
      </sharedItems>
    </cacheField>
    <cacheField name="DOCUMENTO" numFmtId="0">
      <sharedItems count="1">
        <s v=""/>
      </sharedItems>
    </cacheField>
    <cacheField name="DESCRIÇÃO" numFmtId="0">
      <sharedItems count="1">
        <s v="-"/>
      </sharedItems>
    </cacheField>
    <cacheField name="OBS. INTERNA" numFmtId="0">
      <sharedItems/>
    </cacheField>
    <cacheField name="DATA CONCILIAÇÃO" numFmtId="0">
      <sharedItems containsNonDate="0" containsString="0" containsBlank="1"/>
    </cacheField>
    <cacheField name="MÊS" numFmtId="167">
      <sharedItems containsSemiMixedTypes="0" containsNonDate="0" containsDate="1" containsString="0" minDate="2018-10-31T00:00:00" maxDate="2019-11-01T00:00:00" count="13">
        <d v="2018-10-31T00:00:00"/>
        <d v="2018-11-30T00:00:00"/>
        <d v="2018-12-31T00:00:00"/>
        <d v="2019-01-31T00:00:00"/>
        <d v="2019-02-28T00:00:00"/>
        <d v="2019-03-31T00:00:00"/>
        <d v="2019-04-30T00:00:00"/>
        <d v="2019-05-31T00:00:00"/>
        <d v="2019-06-30T00:00:00"/>
        <d v="2019-07-31T00:00:00"/>
        <d v="2019-08-31T00:00:00"/>
        <d v="2019-09-30T00:00:00"/>
        <d v="2019-10-31T00:00:00"/>
      </sharedItems>
    </cacheField>
    <cacheField name="ANO" numFmtId="0">
      <sharedItems containsSemiMixedTypes="0" containsString="0" containsNumber="1" containsInteger="1" minValue="2018" maxValue="2019" count="2">
        <n v="2018"/>
        <n v="2019"/>
      </sharedItems>
    </cacheField>
    <cacheField name="TIPO REGISTRO" numFmtId="0">
      <sharedItems/>
    </cacheField>
    <cacheField name="REALIZADO / A REALIZAR" numFmtId="0">
      <sharedItems count="2">
        <s v="REALIZADO"/>
        <s v="A REALIZAR"/>
      </sharedItems>
    </cacheField>
    <cacheField name="TIPO REC./DESP." numFmtId="0">
      <sharedItems count="1">
        <s v="FIXA"/>
      </sharedItems>
    </cacheField>
    <cacheField name="NOME DO INSUMO" numFmtId="0">
      <sharedItems count="1">
        <s v="-"/>
      </sharedItems>
    </cacheField>
    <cacheField name="UNID." numFmtId="0">
      <sharedItems/>
    </cacheField>
    <cacheField name="VALOR INSUMO" numFmtId="166">
      <sharedItems containsNonDate="0" containsString="0" containsBlank="1"/>
    </cacheField>
    <cacheField name="QUANT. INSUMO" numFmtId="0">
      <sharedItems containsNonDate="0" containsString="0" containsBlank="1"/>
    </cacheField>
    <cacheField name="DATA LANÇ." numFmtId="14">
      <sharedItems containsSemiMixedTypes="0" containsNonDate="0" containsDate="1" containsString="0" minDate="2018-10-15T00:00:00" maxDate="2018-10-16T00:00:00"/>
    </cacheField>
    <cacheField name="M" numFmtId="0">
      <sharedItems containsSemiMixedTypes="0" containsString="0" containsNumber="1" containsInteger="1" minValue="1" maxValue="12"/>
    </cacheField>
    <cacheField name="MÊS COMPET." numFmtId="167">
      <sharedItems containsSemiMixedTypes="0" containsNonDate="0" containsDate="1" containsString="0" minDate="2018-10-01T00:00:00" maxDate="2019-10-02T00:00:00"/>
    </cacheField>
    <cacheField name="GRUPO DE CONTAS" numFmtId="0">
      <sharedItems count="3">
        <s v="FINANCEIRO"/>
        <s v="RECEITAS OPERACIONAIS"/>
        <s v="DESPESAS OPERACIONAIS"/>
      </sharedItems>
    </cacheField>
    <cacheField name="FK_TIT" numFmtId="0">
      <sharedItems containsSemiMixedTypes="0" containsString="0" containsNumber="1" containsInteger="1" minValue="1" maxValue="1"/>
    </cacheField>
    <cacheField name="FK_CC" numFmtId="0">
      <sharedItems containsSemiMixedTypes="0" containsString="0" containsNumber="1" containsInteger="1" minValue="1" maxValue="1"/>
    </cacheField>
    <cacheField name="FK_PC" numFmtId="0">
      <sharedItems containsSemiMixedTypes="0" containsString="0" containsNumber="1" containsInteger="1" minValue="1" maxValue="3"/>
    </cacheField>
    <cacheField name="FK_CCor" numFmtId="0">
      <sharedItems containsSemiMixedTypes="0" containsString="0" containsNumber="1" containsInteger="1" minValue="1" maxValue="1"/>
    </cacheField>
    <cacheField name="FK_CliFor" numFmtId="0">
      <sharedItems containsSemiMixedTypes="0" containsString="0" containsNumber="1" containsInteger="1" minValue="1" maxValue="1"/>
    </cacheField>
    <cacheField name="FK_INSUMO" numFmtId="0">
      <sharedItems containsNonDate="0" containsString="0" containsBlank="1"/>
    </cacheField>
    <cacheField name="FK_GC" numFmtId="0">
      <sharedItems containsSemiMixedTypes="0" containsString="0" containsNumber="1" containsInteger="1" minValue="1" maxValue="3"/>
    </cacheField>
    <cacheField name="DATA REFERÊNCIA" numFmtId="14">
      <sharedItems containsSemiMixedTypes="0" containsNonDate="0" containsDate="1" containsString="0" minDate="2018-10-15T00:00:00" maxDate="2019-10-16T00:00:00" count="13">
        <d v="2018-10-15T00:00:00"/>
        <d v="2018-11-15T00:00:00"/>
        <d v="2018-12-15T00:00:00"/>
        <d v="2019-01-15T00:00:00"/>
        <d v="2019-02-15T00:00:00"/>
        <d v="2019-03-15T00:00:00"/>
        <d v="2019-04-15T00:00:00"/>
        <d v="2019-05-15T00:00:00"/>
        <d v="2019-06-15T00:00:00"/>
        <d v="2019-07-15T00:00:00"/>
        <d v="2019-08-15T00:00:00"/>
        <d v="2019-09-15T00:00:00"/>
        <d v="2019-10-15T00:00:00"/>
      </sharedItems>
    </cacheField>
  </cacheFields>
  <extLst>
    <ext xmlns:x14="http://schemas.microsoft.com/office/spreadsheetml/2009/9/main" uri="{725AE2AE-9491-48be-B2B4-4EB974FC3084}">
      <x14:pivotCacheDefinition pivotCacheId="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058678-C4F2-4F51-9B8E-D6B362E7460A}"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10:C13" firstHeaderRow="1" firstDataRow="1" firstDataCol="1" rowPageCount="4" colPageCount="1"/>
  <pivotFields count="38">
    <pivotField axis="axisRow" numFmtId="168" showAll="0" defaultSubtotal="0">
      <items count="25">
        <item x="0"/>
        <item x="1"/>
        <item x="5"/>
        <item x="3"/>
        <item x="2"/>
        <item x="4"/>
        <item x="6"/>
        <item x="7"/>
        <item x="8"/>
        <item x="9"/>
        <item x="10"/>
        <item x="11"/>
        <item x="12"/>
        <item x="13"/>
        <item x="14"/>
        <item x="15"/>
        <item x="16"/>
        <item x="17"/>
        <item x="18"/>
        <item x="19"/>
        <item x="20"/>
        <item x="21"/>
        <item x="22"/>
        <item x="23"/>
        <item x="24"/>
      </items>
    </pivotField>
    <pivotField numFmtId="165" showAll="0"/>
    <pivotField numFmtId="165" showAll="0"/>
    <pivotField axis="axisRow" numFmtId="165" showAll="0" sortType="ascending" defaultSubtotal="0">
      <items count="13">
        <item sd="0" x="0"/>
        <item sd="0" x="1"/>
        <item sd="0" x="2"/>
        <item sd="0" x="3"/>
        <item sd="0" x="4"/>
        <item sd="0" x="5"/>
        <item sd="0" x="6"/>
        <item sd="0" x="7"/>
        <item sd="0" x="8"/>
        <item sd="0" x="9"/>
        <item sd="0" x="10"/>
        <item sd="0" x="11"/>
        <item sd="0" x="12"/>
      </items>
    </pivotField>
    <pivotField showAll="0"/>
    <pivotField dataField="1" numFmtId="166" showAll="0"/>
    <pivotField axis="axisPage" showAll="0">
      <items count="2">
        <item x="0"/>
        <item t="default"/>
      </items>
    </pivotField>
    <pivotField axis="axisPage" showAll="0">
      <items count="2">
        <item x="0"/>
        <item t="default"/>
      </items>
    </pivotField>
    <pivotField axis="axisRow" showAll="0" defaultSubtotal="0">
      <items count="1">
        <item sd="0" x="0"/>
      </items>
    </pivotField>
    <pivotField axis="axisRow" showAll="0" defaultSubtotal="0">
      <items count="3">
        <item sd="0" x="0"/>
        <item sd="0" x="1"/>
        <item sd="0" x="2"/>
      </items>
    </pivotField>
    <pivotField axis="axisPage" showAll="0">
      <items count="2">
        <item x="0"/>
        <item t="default"/>
      </items>
    </pivotField>
    <pivotField showAll="0"/>
    <pivotField showAll="0"/>
    <pivotField showAll="0"/>
    <pivotField axis="axisRow" showAll="0" defaultSubtotal="0">
      <items count="1">
        <item sd="0" x="0"/>
      </items>
    </pivotField>
    <pivotField showAll="0"/>
    <pivotField showAll="0"/>
    <pivotField axis="axisRow" numFmtId="167" showAll="0" sortType="ascending" defaultSubtotal="0">
      <items count="13">
        <item sd="0" x="0"/>
        <item sd="0" x="1"/>
        <item sd="0" x="2"/>
        <item sd="0" x="3"/>
        <item sd="0" x="4"/>
        <item sd="0" x="5"/>
        <item sd="0" x="6"/>
        <item sd="0" x="7"/>
        <item sd="0" x="8"/>
        <item sd="0" x="9"/>
        <item sd="0" x="10"/>
        <item sd="0" x="11"/>
        <item sd="0" x="12"/>
      </items>
    </pivotField>
    <pivotField axis="axisRow" showAll="0" sortType="ascending" defaultSubtotal="0">
      <items count="2">
        <item sd="0" x="0"/>
        <item sd="0" x="1"/>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Fields count="7">
    <field x="18"/>
    <field x="17"/>
    <field x="3"/>
    <field x="9"/>
    <field x="8"/>
    <field x="14"/>
    <field x="0"/>
  </rowFields>
  <rowItems count="3">
    <i>
      <x/>
    </i>
    <i>
      <x v="1"/>
    </i>
    <i t="grand">
      <x/>
    </i>
  </rowItems>
  <colItems count="1">
    <i/>
  </colItems>
  <pageFields count="4">
    <pageField fld="7" hier="-1"/>
    <pageField fld="10" hier="-1"/>
    <pageField fld="6" hier="-1"/>
    <pageField fld="20" item="1" hier="-1"/>
  </pageFields>
  <dataFields count="1">
    <dataField name="VALOR " fld="5" baseField="0" baseItem="0" numFmtId="166"/>
  </dataFields>
  <formats count="3">
    <format dxfId="170">
      <pivotArea dataOnly="0" labelOnly="1" outline="0" axis="axisValues" fieldPosition="0"/>
    </format>
    <format dxfId="169">
      <pivotArea field="18" type="button" dataOnly="0" labelOnly="1" outline="0" axis="axisRow" fieldPosition="0"/>
    </format>
    <format dxfId="168">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ESCRIÇÃO" colHeaderCaption="PERÍODO:">
  <location ref="B8:M16" firstHeaderRow="1" firstDataRow="2" firstDataCol="1" rowPageCount="2"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name="TITULAR:" axis="axisPage" showAll="0" insertBlankRow="1" sortType="ascending">
      <items count="2">
        <item x="0"/>
        <item t="default"/>
      </items>
    </pivotField>
    <pivotField showAll="0" defaultSubtota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axis="axisRow" showAll="0" sortType="ascending">
      <items count="2">
        <item x="0"/>
        <item t="default" sd="0"/>
      </items>
      <autoSortScope>
        <pivotArea dataOnly="0" outline="0" fieldPosition="0">
          <references count="1">
            <reference field="4294967294" count="1" selected="0">
              <x v="0"/>
            </reference>
          </references>
        </pivotArea>
      </autoSortScope>
    </pivotField>
    <pivotField axis="axisRow" showAll="0">
      <items count="4">
        <item x="0"/>
        <item x="1"/>
        <item x="2"/>
        <item t="default"/>
      </items>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3">
        <item x="0"/>
        <item x="1"/>
        <item x="2"/>
        <item x="3"/>
        <item x="4"/>
        <item x="5"/>
        <item x="6"/>
        <item x="7"/>
        <item x="8"/>
        <item x="9"/>
        <item x="10"/>
        <item x="11"/>
        <item x="12"/>
      </items>
    </pivotField>
    <pivotField name="ANO:"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11"/>
    <field x="10"/>
    <field x="9"/>
  </rowFields>
  <rowItems count="7">
    <i>
      <x v="1"/>
    </i>
    <i r="1">
      <x/>
    </i>
    <i r="2">
      <x v="1"/>
    </i>
    <i>
      <x v="2"/>
    </i>
    <i r="1">
      <x/>
    </i>
    <i r="2">
      <x v="2"/>
    </i>
    <i t="grand">
      <x/>
    </i>
  </rowItems>
  <colFields count="1">
    <field x="17"/>
  </colFields>
  <colItems count="11">
    <i>
      <x v="3"/>
    </i>
    <i>
      <x v="4"/>
    </i>
    <i>
      <x v="5"/>
    </i>
    <i>
      <x v="6"/>
    </i>
    <i>
      <x v="7"/>
    </i>
    <i>
      <x v="8"/>
    </i>
    <i>
      <x v="9"/>
    </i>
    <i>
      <x v="10"/>
    </i>
    <i>
      <x v="11"/>
    </i>
    <i>
      <x v="12"/>
    </i>
    <i t="grand">
      <x/>
    </i>
  </colItems>
  <pageFields count="2">
    <pageField fld="7" hier="-1"/>
    <pageField fld="18" item="1" hier="-1"/>
  </pageFields>
  <dataFields count="1">
    <dataField name="Soma de VALOR" fld="5" baseField="0" baseItem="0" numFmtId="166"/>
  </dataFields>
  <formats count="16">
    <format dxfId="167">
      <pivotArea type="all" dataOnly="0" outline="0" fieldPosition="0"/>
    </format>
    <format dxfId="166">
      <pivotArea outline="0" collapsedLevelsAreSubtotals="1" fieldPosition="0"/>
    </format>
    <format dxfId="165">
      <pivotArea field="10" type="button" dataOnly="0" labelOnly="1" outline="0" axis="axisRow" fieldPosition="1"/>
    </format>
    <format dxfId="164">
      <pivotArea dataOnly="0" labelOnly="1" outline="0" axis="axisValues" fieldPosition="0"/>
    </format>
    <format dxfId="163">
      <pivotArea dataOnly="0" labelOnly="1" grandRow="1" outline="0" fieldPosition="0"/>
    </format>
    <format dxfId="162">
      <pivotArea dataOnly="0" labelOnly="1" outline="0" axis="axisValues" fieldPosition="0"/>
    </format>
    <format dxfId="161">
      <pivotArea type="all" dataOnly="0" outline="0" fieldPosition="0"/>
    </format>
    <format dxfId="160">
      <pivotArea type="origin" dataOnly="0" labelOnly="1" outline="0" fieldPosition="0"/>
    </format>
    <format dxfId="159">
      <pivotArea dataOnly="0" labelOnly="1" fieldPosition="0">
        <references count="1">
          <reference field="17" count="0"/>
        </references>
      </pivotArea>
    </format>
    <format dxfId="158">
      <pivotArea type="all" dataOnly="0" outline="0" fieldPosition="0"/>
    </format>
    <format dxfId="157">
      <pivotArea field="18" type="button" dataOnly="0" labelOnly="1" outline="0" axis="axisPage" fieldPosition="1"/>
    </format>
    <format dxfId="156">
      <pivotArea type="all" dataOnly="0" outline="0" fieldPosition="0"/>
    </format>
    <format dxfId="155">
      <pivotArea outline="0" fieldPosition="0">
        <references count="1">
          <reference field="4294967294" count="1">
            <x v="0"/>
          </reference>
        </references>
      </pivotArea>
    </format>
    <format dxfId="154">
      <pivotArea field="7" type="button" dataOnly="0" labelOnly="1" outline="0" axis="axisPage" fieldPosition="0"/>
    </format>
    <format dxfId="153">
      <pivotArea field="18" type="button" dataOnly="0" labelOnly="1" outline="0" axis="axisPage" fieldPosition="1"/>
    </format>
    <format dxfId="152">
      <pivotArea field="18" type="button" dataOnly="0" labelOnly="1" outline="0" axis="axisPage" fieldPosition="1"/>
    </format>
  </formats>
  <pivotTableStyleInfo name="PivotStyleMedium2"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MÊS " colHeaderCaption="PERÍODO: ">
  <location ref="B6:M14"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4">
        <item x="0"/>
        <item x="1"/>
        <item x="2"/>
        <item t="default"/>
      </items>
    </pivotField>
    <pivotField showAll="0"/>
    <pivotField axis="axisRow" showAll="0">
      <items count="4">
        <item x="0"/>
        <item x="1"/>
        <item x="2"/>
        <item t="default"/>
      </items>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3">
        <item x="0"/>
        <item x="1"/>
        <item x="2"/>
        <item x="3"/>
        <item x="4"/>
        <item x="5"/>
        <item x="6"/>
        <item x="7"/>
        <item x="8"/>
        <item x="9"/>
        <item x="10"/>
        <item x="11"/>
        <item x="12"/>
      </items>
    </pivotField>
    <pivotField name="ANO: " axis="axisPage" showAll="0" defaultSubtotal="0">
      <items count="2">
        <item x="0"/>
        <item x="1"/>
      </items>
    </pivotField>
    <pivotField showAll="0" defaultSubtotal="0"/>
    <pivotField showAll="0"/>
    <pivotField axis="axisRow" showAll="0" insertBlankRow="1">
      <items count="2">
        <item x="0"/>
        <item t="default"/>
      </items>
    </pivotField>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21"/>
    <field x="11"/>
    <field x="9"/>
  </rowFields>
  <rowItems count="7">
    <i>
      <x/>
    </i>
    <i r="1">
      <x v="1"/>
    </i>
    <i r="2">
      <x v="1"/>
    </i>
    <i r="1">
      <x v="2"/>
    </i>
    <i r="2">
      <x v="2"/>
    </i>
    <i t="blank">
      <x/>
    </i>
    <i t="grand">
      <x/>
    </i>
  </rowItems>
  <colFields count="1">
    <field x="17"/>
  </colFields>
  <colItems count="11">
    <i>
      <x v="3"/>
    </i>
    <i>
      <x v="4"/>
    </i>
    <i>
      <x v="5"/>
    </i>
    <i>
      <x v="6"/>
    </i>
    <i>
      <x v="7"/>
    </i>
    <i>
      <x v="8"/>
    </i>
    <i>
      <x v="9"/>
    </i>
    <i>
      <x v="10"/>
    </i>
    <i>
      <x v="11"/>
    </i>
    <i>
      <x v="12"/>
    </i>
    <i t="grand">
      <x/>
    </i>
  </colItems>
  <pageFields count="1">
    <pageField fld="18" item="1" hier="-1"/>
  </pageFields>
  <dataFields count="1">
    <dataField name="Soma de VALOR" fld="5" baseField="0" baseItem="0" numFmtId="166"/>
  </dataFields>
  <formats count="9">
    <format dxfId="151">
      <pivotArea type="all" dataOnly="0" outline="0" fieldPosition="0"/>
    </format>
    <format dxfId="150">
      <pivotArea dataOnly="0" labelOnly="1" outline="0" fieldPosition="0">
        <references count="1">
          <reference field="21" count="0"/>
        </references>
      </pivotArea>
    </format>
    <format dxfId="149">
      <pivotArea dataOnly="0" labelOnly="1" grandCol="1" outline="0" fieldPosition="0"/>
    </format>
    <format dxfId="148">
      <pivotArea type="origin" dataOnly="0" labelOnly="1" outline="0" fieldPosition="0"/>
    </format>
    <format dxfId="147">
      <pivotArea dataOnly="0" labelOnly="1" fieldPosition="0">
        <references count="1">
          <reference field="17" count="0"/>
        </references>
      </pivotArea>
    </format>
    <format dxfId="146">
      <pivotArea type="all" dataOnly="0" outline="0" fieldPosition="0"/>
    </format>
    <format dxfId="145">
      <pivotArea field="18" type="button" dataOnly="0" labelOnly="1" outline="0" axis="axisPage" fieldPosition="0"/>
    </format>
    <format dxfId="144">
      <pivotArea type="all" dataOnly="0" outline="0" fieldPosition="0"/>
    </format>
    <format dxfId="143">
      <pivotArea outline="0" fieldPosition="0">
        <references count="1">
          <reference field="4294967294" count="1">
            <x v="0"/>
          </reference>
        </references>
      </pivotArea>
    </format>
  </formats>
  <pivotTableStyleInfo name="PivotStyleMedium3"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Mês " colHeaderCaption="Ano:">
  <location ref="B7:E12"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insertBlankRow="1">
      <items count="2">
        <item x="0"/>
        <item t="default"/>
      </items>
    </pivotField>
    <pivotField showAll="0" defaultSubtotal="0"/>
    <pivotField showAll="0"/>
    <pivotField showAll="0">
      <items count="2">
        <item x="0"/>
        <item t="default"/>
      </items>
    </pivotField>
    <pivotField axis="axisRow" showAll="0" insertBlankRow="1">
      <items count="4">
        <item x="1"/>
        <item x="2"/>
        <item x="0"/>
        <item t="default"/>
      </items>
    </pivotField>
    <pivotField showAll="0" defaultSubtotal="0"/>
    <pivotField showAll="0" defaultSubtotal="0"/>
    <pivotField showAll="0" defaultSubtotal="0"/>
    <pivotField showAll="0" defaultSubtotal="0"/>
    <pivotField showAll="0" defaultSubtotal="0"/>
    <pivotField numFmtId="167" showAll="0" sortType="ascending" defaultSubtotal="0"/>
    <pivotField axis="axisCol"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1"/>
  </rowFields>
  <rowItems count="4">
    <i>
      <x/>
    </i>
    <i>
      <x v="1"/>
    </i>
    <i>
      <x v="2"/>
    </i>
    <i t="grand">
      <x/>
    </i>
  </rowItems>
  <colFields count="1">
    <field x="18"/>
  </colFields>
  <colItems count="3">
    <i>
      <x/>
    </i>
    <i>
      <x v="1"/>
    </i>
    <i t="grand">
      <x/>
    </i>
  </colItems>
  <pageFields count="1">
    <pageField fld="7" hier="-1"/>
  </pageFields>
  <dataFields count="1">
    <dataField name="Soma de VALOR" fld="5" baseField="0" baseItem="0" numFmtId="166"/>
  </dataFields>
  <formats count="17">
    <format dxfId="142">
      <pivotArea type="all" dataOnly="0" outline="0" fieldPosition="0"/>
    </format>
    <format dxfId="141">
      <pivotArea outline="0" collapsedLevelsAreSubtotals="1" fieldPosition="0"/>
    </format>
    <format dxfId="140">
      <pivotArea field="10" type="button" dataOnly="0" labelOnly="1" outline="0"/>
    </format>
    <format dxfId="139">
      <pivotArea dataOnly="0" labelOnly="1" outline="0" axis="axisValues"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type="origin" dataOnly="0" labelOnly="1" outline="0" fieldPosition="0"/>
    </format>
    <format dxfId="134">
      <pivotArea dataOnly="0" labelOnly="1" outline="0" axis="axisValues" fieldPosition="0"/>
    </format>
    <format dxfId="133">
      <pivotArea dataOnly="0" labelOnly="1" outline="0" axis="axisValues" fieldPosition="0"/>
    </format>
    <format dxfId="132">
      <pivotArea dataOnly="0" labelOnly="1" fieldPosition="0">
        <references count="1">
          <reference field="18" count="0"/>
        </references>
      </pivotArea>
    </format>
    <format dxfId="131">
      <pivotArea field="18" type="button" dataOnly="0" labelOnly="1" outline="0" axis="axisCol" fieldPosition="0"/>
    </format>
    <format dxfId="130">
      <pivotArea field="18" type="button" dataOnly="0" labelOnly="1" outline="0" axis="axisCol" fieldPosition="0"/>
    </format>
    <format dxfId="129">
      <pivotArea outline="0" fieldPosition="0">
        <references count="1">
          <reference field="4294967294" count="1">
            <x v="0"/>
          </reference>
        </references>
      </pivotArea>
    </format>
    <format dxfId="128">
      <pivotArea field="7" type="button" dataOnly="0" labelOnly="1" outline="0" axis="axisPage" fieldPosition="0"/>
    </format>
    <format dxfId="127">
      <pivotArea type="origin" dataOnly="0" labelOnly="1" outline="0" fieldPosition="0"/>
    </format>
    <format dxfId="126">
      <pivotArea field="11" type="button" dataOnly="0" labelOnly="1" outline="0" axis="axisRow" fieldPosition="0"/>
    </format>
  </formats>
  <pivotTableStyleInfo name="PivotStyleMedium5"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Relatorio" cacheId="1" dataOnRows="1" applyNumberFormats="0" applyBorderFormats="0" applyFontFormats="0" applyPatternFormats="0" applyAlignmentFormats="0" applyWidthHeightFormats="1" dataCaption="Valores" updatedVersion="6" minRefreshableVersion="3" itemPrintTitles="1" createdVersion="6" indent="0" outline="1" outlineData="1" multipleFieldFilters="0" rowHeaderCaption="REC/DESP/MOV. FIN." colHeaderCaption="PERÍODO">
  <location ref="B10:P16" firstHeaderRow="1" firstDataRow="2" firstDataCol="2"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axis="axisRow" showAll="0">
      <items count="4">
        <item x="0"/>
        <item x="1"/>
        <item x="2"/>
        <item t="default" sd="0"/>
      </items>
    </pivotField>
    <pivotField axis="axisPage" showAll="0" defaultSubtotal="0">
      <items count="1">
        <item x="0"/>
      </items>
    </pivotField>
    <pivotField axis="axisRow" outline="0" showAll="0" insertBlankRow="1">
      <items count="4">
        <item sd="0" x="1"/>
        <item sd="0" x="2"/>
        <item sd="0" x="0"/>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4">
        <item x="0"/>
        <item x="1"/>
        <item x="2"/>
        <item x="3"/>
        <item x="4"/>
        <item x="5"/>
        <item x="6"/>
        <item x="7"/>
        <item x="8"/>
        <item x="9"/>
        <item x="10"/>
        <item x="11"/>
        <item x="12"/>
        <item t="default"/>
      </items>
    </pivotField>
    <pivotField showAll="0" defaultSubtotal="0"/>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2"/>
        <item sd="0" x="0"/>
        <item sd="0" x="1"/>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3">
    <field x="11"/>
    <field x="29"/>
    <field x="9"/>
  </rowFields>
  <rowItems count="5">
    <i>
      <x/>
    </i>
    <i t="blank">
      <x/>
    </i>
    <i>
      <x v="1"/>
    </i>
    <i t="blank">
      <x v="1"/>
    </i>
    <i t="grand">
      <x/>
    </i>
  </rowItems>
  <colFields count="1">
    <field x="17"/>
  </colFields>
  <colItems count="13">
    <i>
      <x v="1"/>
    </i>
    <i>
      <x v="2"/>
    </i>
    <i>
      <x v="3"/>
    </i>
    <i>
      <x v="4"/>
    </i>
    <i>
      <x v="5"/>
    </i>
    <i>
      <x v="6"/>
    </i>
    <i>
      <x v="7"/>
    </i>
    <i>
      <x v="8"/>
    </i>
    <i>
      <x v="9"/>
    </i>
    <i>
      <x v="10"/>
    </i>
    <i>
      <x v="11"/>
    </i>
    <i>
      <x v="12"/>
    </i>
    <i t="grand">
      <x/>
    </i>
  </colItems>
  <pageFields count="4">
    <pageField fld="7" hier="-1"/>
    <pageField fld="10" hier="-1"/>
    <pageField fld="6" hier="-1"/>
    <pageField fld="20" item="1" hier="-1"/>
  </pageFields>
  <dataFields count="1">
    <dataField name="Valor " fld="5" baseField="0" baseItem="0" numFmtId="166"/>
  </dataFields>
  <formats count="4">
    <format dxfId="124">
      <pivotArea type="origin" dataOnly="0" labelOnly="1" outline="0" fieldPosition="0"/>
    </format>
    <format dxfId="123">
      <pivotArea outline="0" fieldPosition="0">
        <references count="1">
          <reference field="4294967294" count="1">
            <x v="0"/>
          </reference>
        </references>
      </pivotArea>
    </format>
    <format dxfId="122">
      <pivotArea dataOnly="0" labelOnly="1" fieldPosition="0">
        <references count="1">
          <reference field="17" count="0"/>
        </references>
      </pivotArea>
    </format>
    <format dxfId="121">
      <pivotArea dataOnly="0" labelOnly="1" grandCol="1" outline="0" fieldPosition="0"/>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1C1C66-79AE-4DAD-8802-E1459B816449}" name="Tabela dinâmica4"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7:B8" firstHeaderRow="1" firstDataRow="1" firstDataCol="0" rowPageCount="4" colPageCount="1"/>
  <pivotFields count="38">
    <pivotField numFmtId="168" showAll="0" defaultSubtotal="0"/>
    <pivotField numFmtId="165" showAll="0"/>
    <pivotField numFmtId="165" showAll="0"/>
    <pivotField numFmtId="165" showAll="0" sortType="ascending" defaultSubtotal="0"/>
    <pivotField showAll="0"/>
    <pivotField dataField="1" numFmtId="166" showAll="0"/>
    <pivotField axis="axisPage" showAll="0">
      <items count="2">
        <item x="0"/>
        <item t="default"/>
      </items>
    </pivotField>
    <pivotField axis="axisPage" showAll="0">
      <items count="2">
        <item x="0"/>
        <item t="default"/>
      </items>
    </pivotField>
    <pivotField showAll="0" defaultSubtotal="0"/>
    <pivotField showAll="0" defaultSubtotal="0"/>
    <pivotField axis="axisPage" showAll="0">
      <items count="2">
        <item x="0"/>
        <item t="default"/>
      </items>
    </pivotField>
    <pivotField showAll="0"/>
    <pivotField showAll="0"/>
    <pivotField showAll="0"/>
    <pivotField showAll="0" defaultSubtotal="0"/>
    <pivotField showAll="0"/>
    <pivotField showAll="0"/>
    <pivotField numFmtId="167" showAll="0" sortType="ascending" defaultSubtotal="0"/>
    <pivotField showAll="0" sortType="ascending" defaultSubtotal="0">
      <items count="2">
        <item sd="0" x="0"/>
        <item x="1"/>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Items count="1">
    <i/>
  </rowItems>
  <colItems count="1">
    <i/>
  </colItems>
  <pageFields count="4">
    <pageField fld="7" hier="-1"/>
    <pageField fld="10" hier="-1"/>
    <pageField fld="6" hier="-1"/>
    <pageField fld="20" item="0" hier="-1"/>
  </pageFields>
  <dataFields count="1">
    <dataField name="VALOR " fld="5" baseField="0" baseItem="0" numFmtId="166"/>
  </dataFields>
  <formats count="3">
    <format dxfId="112">
      <pivotArea dataOnly="0" labelOnly="1" outline="0" axis="axisValues" fieldPosition="0"/>
    </format>
    <format dxfId="111">
      <pivotArea field="18" type="button" dataOnly="0" labelOnly="1" outline="0"/>
    </format>
    <format dxfId="110">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F2C7C27-B138-4459-A558-BAC1DD329048}" name="Tabela dinâmica1"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6" rowHeaderCaption="DESCRIÇÃO" colHeaderCaption="PERÍODO">
  <location ref="F7:G20" firstHeaderRow="1" firstDataRow="1" firstDataCol="1"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defaultSubtotal="0">
      <items count="1">
        <item x="0"/>
      </items>
    </pivotField>
    <pivotField showAll="0" defaultSubtotal="0"/>
    <pivotField showAll="0"/>
    <pivotField axis="axisPage" showAll="0" defaultSubtotal="0">
      <items count="1">
        <item x="0"/>
      </items>
    </pivotField>
    <pivotField axis="axisPage" multipleItemSelectionAllowed="1" showAll="0" insertBlankRow="1">
      <items count="4">
        <item x="1"/>
        <item x="2"/>
        <item h="1" x="0"/>
        <item t="default" sd="0"/>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showAll="0">
      <items count="3">
        <item x="1"/>
        <item x="0"/>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4">
    <pageField fld="7" hier="-1"/>
    <pageField fld="10" hier="-1"/>
    <pageField fld="18" hier="-1"/>
    <pageField fld="11" hier="-1"/>
  </pageFields>
  <dataFields count="1">
    <dataField name="Resultado" fld="5" baseField="0" baseItem="2" numFmtId="166"/>
  </dataFields>
  <formats count="8">
    <format dxfId="120">
      <pivotArea type="origin" dataOnly="0" labelOnly="1" outline="0" fieldPosition="0"/>
    </format>
    <format dxfId="119">
      <pivotArea outline="0" fieldPosition="0">
        <references count="1">
          <reference field="4294967294" count="1">
            <x v="0"/>
          </reference>
        </references>
      </pivotArea>
    </format>
    <format dxfId="118">
      <pivotArea type="all" dataOnly="0" outline="0" fieldPosition="0"/>
    </format>
    <format dxfId="117">
      <pivotArea outline="0" collapsedLevelsAreSubtotals="1" fieldPosition="0"/>
    </format>
    <format dxfId="116">
      <pivotArea field="17" type="button" dataOnly="0" labelOnly="1" outline="0" axis="axisRow" fieldPosition="0"/>
    </format>
    <format dxfId="115">
      <pivotArea dataOnly="0" labelOnly="1" fieldPosition="0">
        <references count="1">
          <reference field="17" count="0"/>
        </references>
      </pivotArea>
    </format>
    <format dxfId="114">
      <pivotArea dataOnly="0" labelOnly="1" grandRow="1" outline="0" fieldPosition="0"/>
    </format>
    <format dxfId="113">
      <pivotArea dataOnly="0" labelOnly="1" outline="0" axis="axisValues"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37FD725-3769-4BC9-9918-5951F9939579}" name="Relatorio" cacheId="1" applyNumberFormats="0" applyBorderFormats="0" applyFontFormats="0" applyPatternFormats="0" applyAlignmentFormats="0" applyWidthHeightFormats="1" dataCaption="Valores" updatedVersion="6" minRefreshableVersion="3" itemPrintTitles="1" createdVersion="6" indent="0" compact="0" compactData="0" multipleFieldFilters="0" rowHeaderCaption="DESCRIÇÃO">
  <location ref="B11:J12" firstHeaderRow="1" firstDataRow="1" firstDataCol="8" rowPageCount="5" colPageCount="1"/>
  <pivotFields count="38">
    <pivotField axis="axisRow" compact="0" numFmtId="168" outline="0" showAll="0" defaultSubtotal="0">
      <items count="25">
        <item x="0"/>
        <item x="1"/>
        <item x="5"/>
        <item x="3"/>
        <item x="2"/>
        <item x="4"/>
        <item x="6"/>
        <item x="7"/>
        <item x="8"/>
        <item x="9"/>
        <item x="10"/>
        <item x="11"/>
        <item x="12"/>
        <item x="13"/>
        <item x="14"/>
        <item x="15"/>
        <item x="16"/>
        <item x="17"/>
        <item x="18"/>
        <item x="19"/>
        <item x="20"/>
        <item x="21"/>
        <item x="22"/>
        <item x="23"/>
        <item x="24"/>
      </items>
    </pivotField>
    <pivotField compact="0" numFmtId="165" outline="0" showAll="0"/>
    <pivotField compact="0" numFmtId="165" outline="0" showAll="0"/>
    <pivotField compact="0" numFmtId="165" outline="0" showAll="0" sortType="ascending" defaultSubtotal="0"/>
    <pivotField compact="0" outline="0" showAll="0" defaultSubtotal="0"/>
    <pivotField dataField="1" compact="0" numFmtId="166" outline="0" showAll="0"/>
    <pivotField axis="axisRow" compact="0" outline="0" showAll="0" defaultSubtotal="0">
      <items count="1">
        <item x="0"/>
      </items>
      <extLst>
        <ext xmlns:x14="http://schemas.microsoft.com/office/spreadsheetml/2009/9/main" uri="{2946ED86-A175-432a-8AC1-64E0C546D7DE}">
          <x14:pivotField fillDownLabels="1"/>
        </ext>
      </extLst>
    </pivotField>
    <pivotField name="TITULAR:" axis="axisPage" compact="0" outline="0" showAll="0">
      <items count="2">
        <item x="0"/>
        <item t="default"/>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name="C. CUSTOS:" axis="axisPage" compact="0" outline="0" showAll="0">
      <items count="2">
        <item x="0"/>
        <item t="default"/>
      </items>
    </pivotField>
    <pivotField compact="0" outline="0" showAll="0"/>
    <pivotField name="TIPO DOC."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pivotField compact="0" outline="0" showAll="0"/>
    <pivotField name="MÊS:" axis="axisPage" compact="0" numFmtId="167" outline="0" showAll="0" insertBlankRow="1" sortType="ascending" defaultSubtotal="0">
      <items count="13">
        <item n="out-18" sd="0" x="0"/>
        <item sd="0" x="1"/>
        <item sd="0" x="2"/>
        <item sd="0" x="3"/>
        <item sd="0" x="4"/>
        <item sd="0" x="5"/>
        <item sd="0" x="6"/>
        <item sd="0" x="7"/>
        <item sd="0" x="8"/>
        <item sd="0" x="9"/>
        <item sd="0" x="10"/>
        <item sd="0" x="11"/>
        <item sd="0" x="12"/>
      </items>
    </pivotField>
    <pivotField name="ANO:" axis="axisPage" compact="0" outline="0" showAll="0" sortType="ascending" defaultSubtotal="0">
      <items count="2">
        <item sd="0" x="0"/>
        <item sd="0" x="1"/>
      </items>
    </pivotField>
    <pivotField compact="0" outline="0" showAll="0"/>
    <pivotField name="STATUS:"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numFmtId="167"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VENCTO." axis="axisRow" compact="0" outline="0" showAll="0" sortType="ascending" defaultSubtotal="0">
      <items count="13">
        <item x="0"/>
        <item x="1"/>
        <item x="2"/>
        <item x="3"/>
        <item x="4"/>
        <item x="5"/>
        <item x="6"/>
        <item x="7"/>
        <item x="8"/>
        <item x="9"/>
        <item x="10"/>
        <item x="11"/>
        <item x="12"/>
      </items>
    </pivotField>
  </pivotFields>
  <rowFields count="8">
    <field x="37"/>
    <field x="9"/>
    <field x="8"/>
    <field x="14"/>
    <field x="6"/>
    <field x="12"/>
    <field x="13"/>
    <field x="0"/>
  </rowFields>
  <rowItems count="1">
    <i t="grand">
      <x/>
    </i>
  </rowItems>
  <colItems count="1">
    <i/>
  </colItems>
  <pageFields count="5">
    <pageField fld="7" hier="-1"/>
    <pageField fld="10" hier="-1"/>
    <pageField fld="20" item="1" hier="-1"/>
    <pageField fld="18" hier="-1"/>
    <pageField fld="17" hier="-1"/>
  </pageFields>
  <dataFields count="1">
    <dataField name="VALOR " fld="5" baseField="0" baseItem="0" numFmtId="166"/>
  </dataFields>
  <formats count="25">
    <format dxfId="99">
      <pivotArea field="18" type="button" dataOnly="0" labelOnly="1" outline="0" axis="axisPage" fieldPosition="3"/>
    </format>
    <format dxfId="98">
      <pivotArea field="37" type="button" dataOnly="0" labelOnly="1" outline="0" axis="axisRow" fieldPosition="0"/>
    </format>
    <format dxfId="97">
      <pivotArea field="9" type="button" dataOnly="0" labelOnly="1" outline="0" axis="axisRow" fieldPosition="1"/>
    </format>
    <format dxfId="96">
      <pivotArea field="8" type="button" dataOnly="0" labelOnly="1" outline="0" axis="axisRow" fieldPosition="2"/>
    </format>
    <format dxfId="95">
      <pivotArea field="14" type="button" dataOnly="0" labelOnly="1" outline="0" axis="axisRow" fieldPosition="3"/>
    </format>
    <format dxfId="94">
      <pivotArea field="6" type="button" dataOnly="0" labelOnly="1" outline="0" axis="axisRow" fieldPosition="4"/>
    </format>
    <format dxfId="93">
      <pivotArea field="12" type="button" dataOnly="0" labelOnly="1" outline="0" axis="axisRow" fieldPosition="5"/>
    </format>
    <format dxfId="92">
      <pivotArea field="13" type="button" dataOnly="0" labelOnly="1" outline="0" axis="axisRow" fieldPosition="6"/>
    </format>
    <format dxfId="91">
      <pivotArea field="0" type="button" dataOnly="0" labelOnly="1" outline="0" axis="axisRow" fieldPosition="7"/>
    </format>
    <format dxfId="90">
      <pivotArea dataOnly="0" labelOnly="1" outline="0" axis="axisValues" fieldPosition="0"/>
    </format>
    <format dxfId="89">
      <pivotArea type="all" dataOnly="0" outline="0" fieldPosition="0"/>
    </format>
    <format dxfId="88">
      <pivotArea outline="0" collapsedLevelsAreSubtotals="1" fieldPosition="0"/>
    </format>
    <format dxfId="87">
      <pivotArea field="37" type="button" dataOnly="0" labelOnly="1" outline="0" axis="axisRow" fieldPosition="0"/>
    </format>
    <format dxfId="86">
      <pivotArea field="9" type="button" dataOnly="0" labelOnly="1" outline="0" axis="axisRow" fieldPosition="1"/>
    </format>
    <format dxfId="85">
      <pivotArea field="8" type="button" dataOnly="0" labelOnly="1" outline="0" axis="axisRow" fieldPosition="2"/>
    </format>
    <format dxfId="84">
      <pivotArea field="14" type="button" dataOnly="0" labelOnly="1" outline="0" axis="axisRow" fieldPosition="3"/>
    </format>
    <format dxfId="83">
      <pivotArea field="6" type="button" dataOnly="0" labelOnly="1" outline="0" axis="axisRow" fieldPosition="4"/>
    </format>
    <format dxfId="82">
      <pivotArea field="12" type="button" dataOnly="0" labelOnly="1" outline="0" axis="axisRow" fieldPosition="5"/>
    </format>
    <format dxfId="81">
      <pivotArea field="13" type="button" dataOnly="0" labelOnly="1" outline="0" axis="axisRow" fieldPosition="6"/>
    </format>
    <format dxfId="80">
      <pivotArea field="0" type="button" dataOnly="0" labelOnly="1" outline="0" axis="axisRow" fieldPosition="7"/>
    </format>
    <format dxfId="79">
      <pivotArea dataOnly="0" labelOnly="1" grandRow="1" outline="0" fieldPosition="0"/>
    </format>
    <format dxfId="78">
      <pivotArea dataOnly="0" labelOnly="1" outline="0" axis="axisValues" fieldPosition="0"/>
    </format>
    <format dxfId="77">
      <pivotArea field="18" type="button" dataOnly="0" labelOnly="1" outline="0" axis="axisPage" fieldPosition="3"/>
    </format>
    <format dxfId="76">
      <pivotArea field="17" type="button" dataOnly="0" labelOnly="1" outline="0" axis="axisPage" fieldPosition="4"/>
    </format>
    <format dxfId="75">
      <pivotArea dataOnly="0" labelOnly="1" outline="0" fieldPosition="0">
        <references count="1">
          <reference field="20" count="1">
            <x v="0"/>
          </reference>
        </references>
      </pivotArea>
    </format>
  </formats>
  <pivotTableStyleInfo name="PivotStyleMedium2" showRowHeaders="1" showColHeaders="1" showRowStripes="1" showColStripes="1" showLastColumn="1"/>
  <filters count="1">
    <filter fld="37" type="dateBetween" evalOrder="-1" id="29">
      <autoFilter ref="A1">
        <filterColumn colId="0">
          <customFilters and="1">
            <customFilter operator="greaterThanOrEqual" val="43388"/>
            <customFilter operator="lessThanOrEqual" val="4339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F4C5FAD-EC4B-4CB8-87E4-072EA74C9F8B}"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TITULAR / CONTA">
  <location ref="B7:C10" firstHeaderRow="1" firstDataRow="1" firstDataCol="1" rowPageCount="1" colPageCount="1"/>
  <pivotFields count="38">
    <pivotField numFmtId="168" showAll="0" defaultSubtotal="0"/>
    <pivotField numFmtId="165" showAll="0"/>
    <pivotField numFmtId="165" showAll="0"/>
    <pivotField numFmtId="165" showAll="0" sortType="ascending" defaultSubtotal="0"/>
    <pivotField showAll="0" defaultSubtotal="0"/>
    <pivotField dataField="1" numFmtId="166" showAll="0"/>
    <pivotField axis="axisRow" showAll="0">
      <items count="2">
        <item x="0"/>
        <item t="default"/>
      </items>
    </pivotField>
    <pivotField axis="axisRow" showAll="0">
      <items count="2">
        <item x="0"/>
        <item t="default"/>
      </items>
    </pivotField>
    <pivotField showAll="0" defaultSubtotal="0"/>
    <pivotField showAll="0" defaultSubtotal="0"/>
    <pivotField showAll="0"/>
    <pivotField showAll="0"/>
    <pivotField showAll="0"/>
    <pivotField showAll="0"/>
    <pivotField showAll="0" defaultSubtotal="0"/>
    <pivotField showAll="0"/>
    <pivotField showAll="0"/>
    <pivotField numFmtId="167" showAll="0" sortType="ascending" defaultSubtotal="0"/>
    <pivotField showAll="0" sortType="ascending" defaultSubtotal="0">
      <items count="2">
        <item x="0"/>
        <item x="1"/>
      </items>
    </pivotField>
    <pivotField showAll="0"/>
    <pivotField name="STATUS:"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sortType="ascending"/>
  </pivotFields>
  <rowFields count="2">
    <field x="7"/>
    <field x="6"/>
  </rowFields>
  <rowItems count="3">
    <i>
      <x/>
    </i>
    <i r="1">
      <x/>
    </i>
    <i t="grand">
      <x/>
    </i>
  </rowItems>
  <colItems count="1">
    <i/>
  </colItems>
  <pageFields count="1">
    <pageField fld="20" item="0" hier="-1"/>
  </pageFields>
  <dataFields count="1">
    <dataField name="VALOR " fld="5" baseField="0" baseItem="0" numFmtId="166"/>
  </dataFields>
  <formats count="6">
    <format dxfId="74">
      <pivotArea dataOnly="0" labelOnly="1" outline="0" axis="axisValues" fieldPosition="0"/>
    </format>
    <format dxfId="73">
      <pivotArea field="18" type="button" dataOnly="0" labelOnly="1" outline="0"/>
    </format>
    <format dxfId="72">
      <pivotArea dataOnly="0" labelOnly="1" outline="0" axis="axisValues" fieldPosition="0"/>
    </format>
    <format dxfId="71">
      <pivotArea field="7" type="button" dataOnly="0" labelOnly="1" outline="0" axis="axisRow" fieldPosition="0"/>
    </format>
    <format dxfId="70">
      <pivotArea field="20" type="button" dataOnly="0" labelOnly="1" outline="0" axis="axisPage" fieldPosition="0"/>
    </format>
    <format dxfId="69">
      <pivotArea field="20"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FEA49A7-C66A-4BC4-933A-F139EB43052B}" name="Relatorio" cacheId="1"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2" rowHeaderCaption="DESCRIÇÃO" colHeaderCaption="Período:">
  <location ref="B19:O30" firstHeaderRow="1" firstDataRow="2"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defaultSubtotal="0">
      <items count="1">
        <item x="0"/>
      </items>
    </pivotField>
    <pivotField showAll="0" defaultSubtotal="0"/>
    <pivotField axis="axisRow" showAll="0">
      <items count="4">
        <item x="0"/>
        <item x="1"/>
        <item x="2"/>
        <item t="default"/>
      </items>
    </pivotField>
    <pivotField axis="axisPage" showAll="0" defaultSubtotal="0">
      <items count="1">
        <item x="0"/>
      </items>
    </pivotField>
    <pivotField axis="axisRow" showAll="0" insertBlankRow="1">
      <items count="4">
        <item n="RECEITA" sd="0" x="1"/>
        <item n="DESPESA" sd="0" x="2"/>
        <item h="1" sd="0" x="0"/>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4">
        <item x="0"/>
        <item x="1"/>
        <item x="2"/>
        <item x="3"/>
        <item x="4"/>
        <item x="5"/>
        <item x="6"/>
        <item x="7"/>
        <item x="8"/>
        <item x="9"/>
        <item x="10"/>
        <item x="11"/>
        <item x="12"/>
        <item t="default"/>
      </items>
    </pivotField>
    <pivotField showAll="0" defaultSubtotal="0">
      <items count="2">
        <item x="0"/>
        <item x="1"/>
      </items>
    </pivotField>
    <pivotField showAll="0" defaultSubtotal="0"/>
    <pivotField name="STATUS"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2"/>
        <item sd="0" x="0"/>
        <item sd="0" x="1"/>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4">
    <field x="11"/>
    <field x="29"/>
    <field x="9"/>
    <field x="-2"/>
  </rowFields>
  <rowItems count="10">
    <i>
      <x/>
    </i>
    <i r="3">
      <x/>
    </i>
    <i r="3" i="1">
      <x v="1"/>
    </i>
    <i t="blank">
      <x/>
    </i>
    <i>
      <x v="1"/>
    </i>
    <i r="3">
      <x/>
    </i>
    <i r="3" i="1">
      <x v="1"/>
    </i>
    <i t="blank">
      <x v="1"/>
    </i>
    <i t="grand">
      <x/>
    </i>
    <i t="grand" i="1">
      <x/>
    </i>
  </rowItems>
  <colFields count="1">
    <field x="17"/>
  </colFields>
  <colItems count="13">
    <i>
      <x v="1"/>
    </i>
    <i>
      <x v="2"/>
    </i>
    <i>
      <x v="3"/>
    </i>
    <i>
      <x v="4"/>
    </i>
    <i>
      <x v="5"/>
    </i>
    <i>
      <x v="6"/>
    </i>
    <i>
      <x v="7"/>
    </i>
    <i>
      <x v="8"/>
    </i>
    <i>
      <x v="9"/>
    </i>
    <i>
      <x v="10"/>
    </i>
    <i>
      <x v="11"/>
    </i>
    <i>
      <x v="12"/>
    </i>
    <i t="grand">
      <x/>
    </i>
  </colItems>
  <pageFields count="3">
    <pageField fld="7" hier="-1"/>
    <pageField fld="10" hier="-1"/>
    <pageField fld="20" hier="-1"/>
  </pageFields>
  <dataFields count="2">
    <dataField name="Valor " fld="5" baseField="0" baseItem="0" numFmtId="166"/>
    <dataField name="Saldo" fld="5" showDataAs="runTotal" baseField="17" baseItem="0" numFmtId="166"/>
  </dataFields>
  <formats count="23">
    <format dxfId="68">
      <pivotArea type="origin" dataOnly="0" labelOnly="1" outline="0" fieldPosition="0"/>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outline="0" fieldPosition="0">
        <references count="1">
          <reference field="4294967294" count="1">
            <x v="1"/>
          </reference>
        </references>
      </pivotArea>
    </format>
    <format dxfId="64">
      <pivotArea dataOnly="0" outline="0" fieldPosition="0">
        <references count="1">
          <reference field="4294967294" count="1">
            <x v="1"/>
          </reference>
        </references>
      </pivotArea>
    </format>
    <format dxfId="63">
      <pivotArea field="11" type="button" dataOnly="0" labelOnly="1" outline="0" axis="axisRow" fieldPosition="0"/>
    </format>
    <format dxfId="62">
      <pivotArea dataOnly="0" labelOnly="1" fieldPosition="0">
        <references count="1">
          <reference field="17" count="0"/>
        </references>
      </pivotArea>
    </format>
    <format dxfId="61">
      <pivotArea dataOnly="0" labelOnly="1" grandCol="1" outline="0" fieldPosition="0"/>
    </format>
    <format dxfId="60">
      <pivotArea type="all" dataOnly="0" outline="0" fieldPosition="0"/>
    </format>
    <format dxfId="59">
      <pivotArea field="11" type="button" dataOnly="0" labelOnly="1" outline="0" axis="axisRow" fieldPosition="0"/>
    </format>
    <format dxfId="58">
      <pivotArea field="11" type="button" dataOnly="0" labelOnly="1" outline="0" axis="axisRow" fieldPosition="0"/>
    </format>
    <format dxfId="57">
      <pivotArea type="all" dataOnly="0" outline="0" fieldPosition="0"/>
    </format>
    <format dxfId="56">
      <pivotArea outline="0" collapsedLevelsAreSubtotals="1" fieldPosition="0"/>
    </format>
    <format dxfId="55">
      <pivotArea type="origin" dataOnly="0" labelOnly="1" outline="0" fieldPosition="0"/>
    </format>
    <format dxfId="54">
      <pivotArea field="17" type="button" dataOnly="0" labelOnly="1" outline="0" axis="axisCol" fieldPosition="0"/>
    </format>
    <format dxfId="53">
      <pivotArea type="topRight" dataOnly="0" labelOnly="1" outline="0" fieldPosition="0"/>
    </format>
    <format dxfId="52">
      <pivotArea field="11" type="button" dataOnly="0" labelOnly="1" outline="0" axis="axisRow" fieldPosition="0"/>
    </format>
    <format dxfId="51">
      <pivotArea dataOnly="0" labelOnly="1" fieldPosition="0">
        <references count="1">
          <reference field="11" count="0"/>
        </references>
      </pivotArea>
    </format>
    <format dxfId="50">
      <pivotArea field="11" dataOnly="0" labelOnly="1" grandRow="1" outline="0" axis="axisRow" fieldPosition="0">
        <references count="1">
          <reference field="4294967294" count="1" selected="0">
            <x v="0"/>
          </reference>
        </references>
      </pivotArea>
    </format>
    <format dxfId="49">
      <pivotArea field="11" dataOnly="0" labelOnly="1" grandRow="1" outline="0" axis="axisRow" fieldPosition="0">
        <references count="1">
          <reference field="4294967294" count="1" selected="0">
            <x v="1"/>
          </reference>
        </references>
      </pivotArea>
    </format>
    <format dxfId="48">
      <pivotArea dataOnly="0" labelOnly="1" fieldPosition="0">
        <references count="1">
          <reference field="17" count="0"/>
        </references>
      </pivotArea>
    </format>
    <format dxfId="47">
      <pivotArea dataOnly="0" labelOnly="1" grandCol="1" outline="0" fieldPosition="0"/>
    </format>
    <format dxfId="46">
      <pivotArea field="20" type="button" dataOnly="0" labelOnly="1" outline="0" axis="axisPage" fieldPosition="2"/>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Tabela dinâmica2"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2" rowHeaderCaption="DESCRIÇÃO" colHeaderCaption="C. CUSTOS">
  <location ref="AF8:AG10" firstHeaderRow="1" firstDataRow="1"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4">
        <item x="0"/>
        <item x="1"/>
        <item x="2"/>
        <item t="default"/>
      </items>
    </pivotField>
    <pivotField showAll="0">
      <items count="2">
        <item x="0"/>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2">
    <i>
      <x v="1"/>
    </i>
    <i t="grand">
      <x/>
    </i>
  </rowItems>
  <colItems count="1">
    <i/>
  </colItems>
  <pageFields count="3">
    <pageField fld="18" hier="-1"/>
    <pageField fld="17" hier="-1"/>
    <pageField fld="11" item="0" hier="-1"/>
  </pageFields>
  <dataFields count="1">
    <dataField name="Soma de VALOR" fld="5" baseField="0" baseItem="0" numFmtId="166"/>
  </dataFields>
  <formats count="8">
    <format dxfId="31">
      <pivotArea type="all" dataOnly="0" outline="0" fieldPosition="0"/>
    </format>
    <format dxfId="30">
      <pivotArea outline="0" collapsedLevelsAreSubtotals="1" fieldPosition="0"/>
    </format>
    <format dxfId="29">
      <pivotArea field="10" type="button" dataOnly="0" labelOnly="1" outline="0"/>
    </format>
    <format dxfId="28">
      <pivotArea dataOnly="0" labelOnly="1" outline="0" axis="axisValues" fieldPosition="0"/>
    </format>
    <format dxfId="27">
      <pivotArea dataOnly="0" labelOnly="1" grandRow="1" outline="0" fieldPosition="0"/>
    </format>
    <format dxfId="26">
      <pivotArea dataOnly="0" labelOnly="1" outline="0" axis="axisValues" fieldPosition="0"/>
    </format>
    <format dxfId="25">
      <pivotArea type="all" dataOnly="0" outline="0" fieldPosition="0"/>
    </format>
    <format dxfId="24">
      <pivotArea outline="0" fieldPosition="0">
        <references count="1">
          <reference field="4294967294" count="1">
            <x v="0"/>
          </reference>
        </references>
      </pivotArea>
    </format>
  </formats>
  <chartFormats count="1">
    <chartFormat chart="1" format="13" series="1">
      <pivotArea type="data" outline="0" fieldPosition="0">
        <references count="1">
          <reference field="4294967294" count="1" selected="0">
            <x v="0"/>
          </reference>
        </references>
      </pivotArea>
    </chartFormat>
  </chartFormats>
  <pivotTableStyleInfo name="PivotStyleLight23"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Tabela dinâmica4"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5" rowHeaderCaption="DESCRIÇÃO" colHeaderCaption="C. CUSTOS">
  <location ref="D22:E24" firstHeaderRow="1" firstDataRow="1" firstDataCol="1" rowPageCount="2"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Row" showAll="0" defaultSubtotal="0">
      <items count="1">
        <item x="0"/>
      </items>
    </pivotField>
    <pivotField showAll="0" defaultSubtotal="0"/>
    <pivotField showAll="0"/>
    <pivotField showAll="0"/>
    <pivotField multipleItemSelectionAllowed="1" showAll="0" defaultSubtotal="0"/>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7"/>
  </rowFields>
  <rowItems count="2">
    <i>
      <x/>
    </i>
    <i t="grand">
      <x/>
    </i>
  </rowItems>
  <colItems count="1">
    <i/>
  </colItems>
  <pageFields count="2">
    <pageField fld="18" hier="-1"/>
    <pageField fld="17" hier="-1"/>
  </pageFields>
  <dataFields count="1">
    <dataField name="Soma de VALOR" fld="5" baseField="0" baseItem="0" numFmtId="166"/>
  </dataFields>
  <formats count="2">
    <format dxfId="33">
      <pivotArea type="all" dataOnly="0" outline="0" fieldPosition="0"/>
    </format>
    <format dxfId="32">
      <pivotArea outline="0" fieldPosition="0">
        <references count="1">
          <reference field="4294967294" count="1">
            <x v="0"/>
          </reference>
        </references>
      </pivotArea>
    </format>
  </formats>
  <chartFormats count="2">
    <chartFormat chart="4" format="0"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Relatorio"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1" rowHeaderCaption="DESCRIÇÃO" colHeaderCaption="C. CUSTOS">
  <location ref="D58:E71" firstHeaderRow="1" firstDataRow="1" firstDataCol="1" rowPageCount="2"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showAll="0"/>
    <pivotField showAll="0"/>
    <pivotField axis="axisPage" multipleItemSelectionAllowed="1" showAll="0" defaultSubtotal="0">
      <items count="3">
        <item x="1"/>
        <item x="2"/>
        <item h="1" x="0"/>
      </items>
    </pivotField>
    <pivotField showAll="0" defaultSubtotal="0"/>
    <pivotField showAll="0" defaultSubtotal="0"/>
    <pivotField showAll="0" defaultSubtotal="0"/>
    <pivotField showAll="0" defaultSubtotal="0"/>
    <pivotField showAll="0" defaultSubtotal="0"/>
    <pivotField axis="axisRow" numFmtId="167"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2">
    <pageField fld="18" hier="-1"/>
    <pageField fld="11" hier="-1"/>
  </pageFields>
  <dataFields count="1">
    <dataField name="Soma de VALOR" fld="5" baseField="0" baseItem="0" numFmtId="166"/>
  </dataFields>
  <formats count="2">
    <format dxfId="35">
      <pivotArea type="all" dataOnly="0" outline="0" fieldPosition="0"/>
    </format>
    <format dxfId="34">
      <pivotArea outline="0" fieldPosition="0">
        <references count="1">
          <reference field="4294967294" count="1">
            <x v="0"/>
          </reference>
        </references>
      </pivotArea>
    </format>
  </formats>
  <chartFormats count="6">
    <chartFormat chart="0" format="14" series="1">
      <pivotArea type="data" outline="0" fieldPosition="0">
        <references count="1">
          <reference field="4294967294" count="1" selected="0">
            <x v="0"/>
          </reference>
        </references>
      </pivotArea>
    </chartFormat>
    <chartFormat chart="0" format="18">
      <pivotArea type="data" outline="0" fieldPosition="0">
        <references count="2">
          <reference field="4294967294" count="1" selected="0">
            <x v="0"/>
          </reference>
          <reference field="11" count="1" selected="0">
            <x v="0"/>
          </reference>
        </references>
      </pivotArea>
    </chartFormat>
    <chartFormat chart="0" format="19">
      <pivotArea type="data" outline="0" fieldPosition="0">
        <references count="2">
          <reference field="4294967294" count="1" selected="0">
            <x v="0"/>
          </reference>
          <reference field="11" count="1" selected="0">
            <x v="1"/>
          </reference>
        </references>
      </pivotArea>
    </chartFormat>
    <chartFormat chart="0" format="22">
      <pivotArea type="data" outline="0" fieldPosition="0">
        <references count="2">
          <reference field="4294967294" count="1" selected="0">
            <x v="0"/>
          </reference>
          <reference field="17" count="1" selected="0">
            <x v="0"/>
          </reference>
        </references>
      </pivotArea>
    </chartFormat>
    <chartFormat chart="0" format="23">
      <pivotArea type="data" outline="0" fieldPosition="0">
        <references count="2">
          <reference field="4294967294" count="1" selected="0">
            <x v="0"/>
          </reference>
          <reference field="17" count="1" selected="0">
            <x v="1"/>
          </reference>
        </references>
      </pivotArea>
    </chartFormat>
    <chartFormat chart="0" format="24">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Tabela dinâmica3"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Q23:R25" firstHeaderRow="1" firstDataRow="1"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4">
        <item x="0"/>
        <item x="1"/>
        <item x="2"/>
        <item t="default"/>
      </items>
    </pivotField>
    <pivotField showAll="0">
      <items count="2">
        <item x="0"/>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2">
    <i>
      <x v="2"/>
    </i>
    <i t="grand">
      <x/>
    </i>
  </rowItems>
  <colItems count="1">
    <i/>
  </colItems>
  <pageFields count="3">
    <pageField fld="18" hier="-1"/>
    <pageField fld="17" hier="-1"/>
    <pageField fld="11" item="1" hier="-1"/>
  </pageFields>
  <dataFields count="1">
    <dataField name="Soma de VALOR" fld="5" baseField="0" baseItem="0" numFmtId="166"/>
  </dataFields>
  <formats count="8">
    <format dxfId="43">
      <pivotArea type="all" dataOnly="0" outline="0" fieldPosition="0"/>
    </format>
    <format dxfId="42">
      <pivotArea outline="0" collapsedLevelsAreSubtotals="1" fieldPosition="0"/>
    </format>
    <format dxfId="41">
      <pivotArea field="10" type="button" dataOnly="0" labelOnly="1" outline="0"/>
    </format>
    <format dxfId="40">
      <pivotArea dataOnly="0" labelOnly="1" outline="0" axis="axisValues" fieldPosition="0"/>
    </format>
    <format dxfId="39">
      <pivotArea dataOnly="0" labelOnly="1" grandRow="1" outline="0" fieldPosition="0"/>
    </format>
    <format dxfId="38">
      <pivotArea dataOnly="0" labelOnly="1" outline="0" axis="axisValues" fieldPosition="0"/>
    </format>
    <format dxfId="37">
      <pivotArea type="all" dataOnly="0" outline="0" fieldPosition="0"/>
    </format>
    <format dxfId="36">
      <pivotArea outline="0" fieldPosition="0">
        <references count="1">
          <reference field="4294967294" count="1">
            <x v="0"/>
          </reference>
        </references>
      </pivotArea>
    </format>
  </formats>
  <chartFormats count="1">
    <chartFormat chart="2" format="1" series="1">
      <pivotArea type="data" outline="0" fieldPosition="0">
        <references count="1">
          <reference field="4294967294" count="1" selected="0">
            <x v="0"/>
          </reference>
        </references>
      </pivotArea>
    </chartFormat>
  </chartFormats>
  <pivotTableStyleInfo name="PivotStyleLight2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AF3FFE1-F026-4B86-B2AC-422D747BB359}" name="TDCCustos"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H59:I61" firstHeaderRow="1" firstDataRow="1"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showAll="0"/>
    <pivotField axis="axisRow" showAll="0">
      <items count="2">
        <item x="0"/>
        <item t="default"/>
      </items>
    </pivotField>
    <pivotField axis="axisPage" multipleItemSelectionAllowed="1"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0"/>
  </rowFields>
  <rowItems count="2">
    <i>
      <x/>
    </i>
    <i t="grand">
      <x/>
    </i>
  </rowItems>
  <colItems count="1">
    <i/>
  </colItems>
  <pageFields count="3">
    <pageField fld="18" hier="-1"/>
    <pageField fld="17" hier="-1"/>
    <pageField fld="11" hier="-1"/>
  </pageFields>
  <dataFields count="1">
    <dataField name="Soma de VALOR" fld="5" baseField="0" baseItem="0" numFmtId="166"/>
  </dataFields>
  <formats count="2">
    <format dxfId="45">
      <pivotArea type="all" dataOnly="0" outline="0" fieldPosition="0"/>
    </format>
    <format dxfId="44">
      <pivotArea outline="0" fieldPosition="0">
        <references count="1">
          <reference field="4294967294" count="1">
            <x v="0"/>
          </reference>
        </references>
      </pivotArea>
    </format>
  </formats>
  <chartFormats count="5">
    <chartFormat chart="0" format="14" series="1">
      <pivotArea type="data" outline="0" fieldPosition="0">
        <references count="1">
          <reference field="4294967294" count="1" selected="0">
            <x v="0"/>
          </reference>
        </references>
      </pivotArea>
    </chartFormat>
    <chartFormat chart="0" format="18">
      <pivotArea type="data" outline="0" fieldPosition="0">
        <references count="2">
          <reference field="4294967294" count="1" selected="0">
            <x v="0"/>
          </reference>
          <reference field="11" count="1" selected="0">
            <x v="0"/>
          </reference>
        </references>
      </pivotArea>
    </chartFormat>
    <chartFormat chart="0" format="19">
      <pivotArea type="data" outline="0" fieldPosition="0">
        <references count="2">
          <reference field="4294967294" count="1" selected="0">
            <x v="0"/>
          </reference>
          <reference field="11" count="1" selected="0">
            <x v="1"/>
          </reference>
        </references>
      </pivotArea>
    </chartFormat>
    <chartFormat chart="2" format="0"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10"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ATA" colHeaderCaption="PERÍODO:">
  <location ref="B7:J11" firstHeaderRow="1" firstDataRow="3" firstDataCol="1" rowPageCount="1" colPageCount="1"/>
  <pivotFields count="38">
    <pivotField numFmtId="168" subtotalTop="0" showAll="0"/>
    <pivotField axis="axisRow" numFmtId="165" subtotalTop="0" showAll="0" sortType="ascending">
      <items count="2">
        <item x="0"/>
        <item t="default"/>
      </items>
    </pivotField>
    <pivotField numFmtId="165" subtotalTop="0" showAll="0"/>
    <pivotField numFmtId="165" subtotalTop="0" showAll="0"/>
    <pivotField subtotalTop="0" showAll="0" sortType="ascending" defaultSubtotal="0"/>
    <pivotField numFmtId="166" subtotalTop="0" showAll="0"/>
    <pivotField subtotalTop="0" showAll="0"/>
    <pivotField subtotalTop="0" showAll="0" insertBlankRow="1" sortType="ascending"/>
    <pivotField subtotalTop="0" showAll="0"/>
    <pivotField subtotalTop="0" showAll="0"/>
    <pivotField subtotalTop="0" showAll="0">
      <items count="2">
        <item x="0"/>
        <item t="default"/>
      </items>
    </pivotField>
    <pivotField axis="axisCol" subtotalTop="0" showAll="0">
      <items count="4">
        <item n="ENTRADA" x="2"/>
        <item n="SAÍDA" x="1"/>
        <item x="0"/>
        <item t="default"/>
      </items>
    </pivotField>
    <pivotField subtotalTop="0" showAll="0"/>
    <pivotField subtotalTop="0" showAll="0"/>
    <pivotField subtotalTop="0" showAll="0"/>
    <pivotField subtotalTop="0" showAll="0"/>
    <pivotField subtotalTop="0" showAll="0"/>
    <pivotField numFmtId="167" subtotalTop="0" showAll="0" sortType="ascending"/>
    <pivotField name="ANO: " subtotalTop="0" showAll="0">
      <items count="3">
        <item x="0"/>
        <item x="1"/>
        <item t="default"/>
      </items>
    </pivotField>
    <pivotField subtotalTop="0" showAll="0"/>
    <pivotField subtotalTop="0" showAll="0"/>
    <pivotField subtotalTop="0" showAll="0"/>
    <pivotField name="INSUMO:" axis="axisPage" outline="0" subtotalTop="0" showAll="0">
      <items count="2">
        <item x="0"/>
        <item t="default"/>
      </items>
    </pivotField>
    <pivotField subtotalTop="0" showAll="0"/>
    <pivotField numFmtId="164" subtotalTop="0" showAll="0"/>
    <pivotField dataField="1" numFmtId="164" subtotalTop="0" showAll="0"/>
    <pivotField subtotalTop="0" showAll="0"/>
    <pivotField subtotalTop="0" showAll="0"/>
    <pivotField numFmtId="167"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1"/>
  </rowFields>
  <rowItems count="2">
    <i>
      <x/>
    </i>
    <i t="grand">
      <x/>
    </i>
  </rowItems>
  <colFields count="2">
    <field x="11"/>
    <field x="-2"/>
  </colFields>
  <colItems count="8">
    <i>
      <x/>
      <x/>
    </i>
    <i r="1" i="1">
      <x v="1"/>
    </i>
    <i>
      <x v="1"/>
      <x/>
    </i>
    <i r="1" i="1">
      <x v="1"/>
    </i>
    <i>
      <x v="2"/>
      <x/>
    </i>
    <i r="1" i="1">
      <x v="1"/>
    </i>
    <i t="grand">
      <x/>
    </i>
    <i t="grand" i="1">
      <x/>
    </i>
  </colItems>
  <pageFields count="1">
    <pageField fld="22" hier="-1"/>
  </pageFields>
  <dataFields count="2">
    <dataField name="QDE." fld="25" baseField="0" baseItem="0" numFmtId="166"/>
    <dataField name="ACUM." fld="25" showDataAs="runTotal" baseField="1" baseItem="0" numFmtId="166"/>
  </dataFields>
  <formats count="20">
    <format dxfId="23">
      <pivotArea type="all" dataOnly="0" outline="0" fieldPosition="0"/>
    </format>
    <format dxfId="22">
      <pivotArea outline="0" collapsedLevelsAreSubtotals="1" fieldPosition="0"/>
    </format>
    <format dxfId="21">
      <pivotArea field="10" type="button" dataOnly="0" labelOnly="1" outline="0"/>
    </format>
    <format dxfId="20">
      <pivotArea dataOnly="0" labelOnly="1" outline="0" axis="axisValues" fieldPosition="0"/>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type="origin" dataOnly="0" labelOnly="1" outline="0" fieldPosition="0"/>
    </format>
    <format dxfId="15">
      <pivotArea type="all" dataOnly="0" outline="0" fieldPosition="0"/>
    </format>
    <format dxfId="14">
      <pivotArea field="18" type="button" dataOnly="0" labelOnly="1" outline="0"/>
    </format>
    <format dxfId="13">
      <pivotArea type="all" dataOnly="0" outline="0" fieldPosition="0"/>
    </format>
    <format dxfId="12">
      <pivotArea outline="0" fieldPosition="0">
        <references count="1">
          <reference field="4294967294" count="1">
            <x v="0"/>
          </reference>
        </references>
      </pivotArea>
    </format>
    <format dxfId="11">
      <pivotArea dataOnly="0" labelOnly="1" fieldPosition="0">
        <references count="1">
          <reference field="11" count="0"/>
        </references>
      </pivotArea>
    </format>
    <format dxfId="10">
      <pivotArea outline="0" fieldPosition="0">
        <references count="1">
          <reference field="4294967294" count="1">
            <x v="1"/>
          </reference>
        </references>
      </pivotArea>
    </format>
    <format dxfId="9">
      <pivotArea field="11" dataOnly="0" labelOnly="1" grandCol="1" outline="0" axis="axisCol" fieldPosition="0">
        <references count="1">
          <reference field="4294967294" count="1" selected="0">
            <x v="0"/>
          </reference>
        </references>
      </pivotArea>
    </format>
    <format dxfId="8">
      <pivotArea field="11" dataOnly="0" labelOnly="1" grandCol="1" outline="0" axis="axisCol" fieldPosition="0">
        <references count="1">
          <reference field="4294967294" count="1" selected="0">
            <x v="1"/>
          </reference>
        </references>
      </pivotArea>
    </format>
    <format dxfId="7">
      <pivotArea dataOnly="0" labelOnly="1" outline="0" fieldPosition="0">
        <references count="2">
          <reference field="4294967294" count="2">
            <x v="0"/>
            <x v="1"/>
          </reference>
          <reference field="11" count="1" selected="0">
            <x v="1"/>
          </reference>
        </references>
      </pivotArea>
    </format>
    <format dxfId="6">
      <pivotArea field="11" grandCol="1" outline="0" collapsedLevelsAreSubtotals="1" axis="axisCol" fieldPosition="0">
        <references count="1">
          <reference field="4294967294" count="2" selected="0">
            <x v="0"/>
            <x v="1"/>
          </reference>
        </references>
      </pivotArea>
    </format>
    <format dxfId="5">
      <pivotArea field="11" dataOnly="0" labelOnly="1" grandCol="1" outline="0" axis="axisCol" fieldPosition="0">
        <references count="1">
          <reference field="4294967294" count="1" selected="0">
            <x v="0"/>
          </reference>
        </references>
      </pivotArea>
    </format>
    <format dxfId="4">
      <pivotArea field="11" dataOnly="0" labelOnly="1" grandCol="1" outline="0" axis="axisCol" fieldPosition="0">
        <references count="1">
          <reference field="4294967294" count="1" selected="0">
            <x v="1"/>
          </reference>
        </references>
      </pivotArea>
    </format>
  </formats>
  <pivotTableStyleInfo name="PivotStyleMedium7" showRowHeaders="1" showColHeaders="1" showRowStripes="1" showColStripes="1" showLastColumn="1"/>
  <extLst>
    <ext xmlns:xpdl="http://schemas.microsoft.com/office/spreadsheetml/2016/pivotdefaultlayout" uri="{747A6164-185A-40DC-8AA5-F01512510D54}">
      <xpdl:pivotTableDefinition16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92CC24A-BAAB-429A-A2C5-FF6D0DCC7310}" name="Tabela dinâmica2" cacheId="1"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3" rowHeaderCaption="REC/DESP/MOV. FIN." colHeaderCaption="PERÍODO">
  <location ref="F90:G103"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1">
        <item x="0"/>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hier="-1"/>
    <pageField fld="18" hier="-1"/>
    <pageField fld="11" hier="-1"/>
  </pageFields>
  <dataFields count="1">
    <dataField name="Valor " fld="5" baseField="0" baseItem="0" numFmtId="166"/>
  </dataFields>
  <formats count="2">
    <format dxfId="1">
      <pivotArea type="origin" dataOnly="0" labelOnly="1" outline="0" fieldPosition="0"/>
    </format>
    <format dxfId="0">
      <pivotArea outline="0" fieldPosition="0">
        <references count="1">
          <reference field="4294967294" count="1">
            <x v="0"/>
          </reference>
        </references>
      </pivotArea>
    </format>
  </formats>
  <pivotTableStyleInfo name="PivotStyleMedium2" showRowHeaders="1" showColHeaders="1" showRowStripes="0" showColStripes="0" showLastColumn="1"/>
  <filters count="1">
    <filter fld="17" type="dateBetween" evalOrder="-1" id="32">
      <autoFilter ref="A1">
        <filterColumn colId="0">
          <customFilters and="1">
            <customFilter operator="greaterThanOrEqual" val="43405"/>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8D9D133-144B-45ED-8C2A-777C020DE3DF}" name="Tabela dinâmica3"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7" rowHeaderCaption="REC/DESP/MOV. FIN." colHeaderCaption="PERÍODO">
  <location ref="I90:J103"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1">
        <item x="0"/>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hier="-1"/>
    <pageField fld="18" hier="-1"/>
    <pageField fld="11" hier="-1"/>
  </pageFields>
  <dataFields count="1">
    <dataField name="Soma de VALOR" fld="5" baseField="0" baseItem="2" numFmtId="166"/>
  </dataFields>
  <formats count="2">
    <format dxfId="3">
      <pivotArea type="origin" dataOnly="0" labelOnly="1" outline="0" fieldPosition="0"/>
    </format>
    <format dxfId="2">
      <pivotArea outline="0" fieldPosition="0">
        <references count="1">
          <reference field="4294967294" count="1">
            <x v="0"/>
          </reference>
        </references>
      </pivotArea>
    </format>
  </formats>
  <pivotTableStyleInfo name="PivotStyleMedium2" showRowHeaders="1" showColHeaders="1" showRowStripes="0" showColStripes="0" showLastColumn="1"/>
  <filters count="1">
    <filter fld="17" type="dateBetween" evalOrder="-1" id="32">
      <autoFilter ref="A1">
        <filterColumn colId="0">
          <customFilters and="1">
            <customFilter operator="greaterThanOrEqual" val="43405"/>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 xr10:uid="{71348439-CD5B-4E3B-86F0-3782F6611D92}" sourceName="ANO">
  <pivotTables>
    <pivotTable tabId="12" name="Tabela dinâmica2"/>
    <pivotTable tabId="12" name="Tabela dinâmica3"/>
    <pivotTable tabId="26" name="Relatorio"/>
    <pivotTable tabId="31" name="Tabela dinâmica1"/>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ALIZADO___A_REALIZAR" xr10:uid="{F8FA946E-990D-4BF0-B56F-B627FC83FA21}" sourceName="REALIZADO / A REALIZAR">
  <pivotTables>
    <pivotTable tabId="12" name="Tabela dinâmica2"/>
    <pivotTable tabId="12" name="Tabela dinâmica3"/>
    <pivotTable tabId="26" name="Relatorio"/>
    <pivotTable tabId="31" name="Tabela dinâmica1"/>
  </pivotTables>
  <data>
    <tabular pivotCacheId="1">
      <items count="2">
        <i x="1" s="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 xr10:uid="{22725DCB-DD7F-467B-9883-9F9980F5FF21}" sourceName="MÊS">
  <pivotTables>
    <pivotTable tabId="12" name="Tabela dinâmica2"/>
    <pivotTable tabId="12" name="Tabela dinâmica3"/>
    <pivotTable tabId="26" name="Relatorio"/>
    <pivotTable tabId="31" name="Tabela dinâmica1"/>
  </pivotTables>
  <data>
    <tabular pivotCacheId="1">
      <items count="13">
        <i x="1" s="1"/>
        <i x="2" s="1"/>
        <i x="3" s="1"/>
        <i x="4" s="1"/>
        <i x="5" s="1"/>
        <i x="6" s="1"/>
        <i x="7" s="1"/>
        <i x="8" s="1"/>
        <i x="9" s="1"/>
        <i x="10" s="1"/>
        <i x="11" s="1"/>
        <i x="12" s="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C._DESP." xr10:uid="{CF474F13-898D-4579-AF8F-DD8279921C3B}" sourceName="REC./DESP.">
  <pivotTables>
    <pivotTable tabId="12" name="Tabela dinâmica2"/>
    <pivotTable tabId="12" name="Tabela dinâmica3"/>
    <pivotTable tabId="26" name="Relatorio"/>
    <pivotTable tabId="31" name="Tabela dinâmica1"/>
  </pivotTables>
  <data>
    <tabular pivotCacheId="1">
      <items count="3">
        <i x="2" s="1"/>
        <i x="0"/>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NTA_CORRENTE1" xr10:uid="{49042143-5F64-4C1E-BC0E-2F596EC7292A}" sourceName="CONTA CORRENTE">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1" xr10:uid="{228E6284-D264-46C6-837C-90E92B011F9A}" sourceName="TITULAR">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1" xr10:uid="{A9D72C44-F206-44AD-858C-562831374FF7}" sourceName="CENTRO CUSTO">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 xr10:uid="{847EFB9B-AFC6-4461-AC53-4C221E6A1F34}" sourceName="TITULAR">
  <pivotTables>
    <pivotTable tabId="26" name="Relatorio"/>
    <pivotTable tabId="12" name="Tabela dinâmica2"/>
    <pivotTable tabId="12" name="Tabela dinâmica3"/>
    <pivotTable tabId="31" name="Tabela dinâmica1"/>
  </pivotTables>
  <data>
    <tabular pivotCacheId="1">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 xr10:uid="{8C3EC263-99F9-4879-9396-B37137F8D41C}" sourceName="CENTRO CUSTO">
  <pivotTables>
    <pivotTable tabId="26" name="Relatorio"/>
    <pivotTable tabId="12" name="Tabela dinâmica2"/>
    <pivotTable tabId="31" name="Tabela dinâmica1"/>
  </pivotTables>
  <data>
    <tabular pivotCacheId="1">
      <items count="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1" xr10:uid="{D54D77FD-4A28-48B9-B7EB-BF50C9A56831}" sourceName="ANO">
  <pivotTables>
    <pivotTable tabId="8" name="Relatorio"/>
    <pivotTable tabId="8" name="Tabela dinâmica2"/>
    <pivotTable tabId="8" name="Tabela dinâmica3"/>
    <pivotTable tabId="8" name="Tabela dinâmica4"/>
    <pivotTable tabId="8" name="TDCCustos"/>
  </pivotTables>
  <data>
    <tabular pivotCacheId="1">
      <items count="2">
        <i x="0" s="1"/>
        <i x="1"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4" xr10:uid="{884C2C2B-2BC0-45B7-A111-664780A14192}" sourceName="MÊS">
  <pivotTables>
    <pivotTable tabId="8" name="Relatorio"/>
    <pivotTable tabId="8" name="Tabela dinâmica2"/>
    <pivotTable tabId="8" name="Tabela dinâmica3"/>
    <pivotTable tabId="8" name="Tabela dinâmica4"/>
    <pivotTable tabId="8" name="TDCCustos"/>
  </pivotTables>
  <data>
    <tabular pivotCacheId="1">
      <items count="13">
        <i x="0" s="1"/>
        <i x="1" s="1"/>
        <i x="2" s="1"/>
        <i x="3" s="1"/>
        <i x="4" s="1"/>
        <i x="5" s="1"/>
        <i x="6" s="1"/>
        <i x="7" s="1"/>
        <i x="8" s="1"/>
        <i x="9" s="1"/>
        <i x="10" s="1"/>
        <i x="11" s="1"/>
        <i x="1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xr10:uid="{BDB5AE39-BE84-4348-8419-72356E8322F8}" cache="SegmentaçãodeDados_CONTA_CORRENTE1" caption="CONTA CORRENTE" rowHeight="241300"/>
  <slicer name="TITULAR 2" xr10:uid="{CDB28167-35E7-461A-93B6-D7EE88B04490}" cache="SegmentaçãodeDados_TITULAR1" caption="TITULAR" rowHeight="241300"/>
  <slicer name="CENTRO CUSTO 2" xr10:uid="{2B64160F-DD93-4814-87F2-BD26EBA6EB36}" cache="SegmentaçãodeDados_CENTRO_CUSTO1" caption="CENTRO CUST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4" xr10:uid="{7F7AD4D7-7129-463A-8FFD-E8167719C871}" cache="SegmentaçãodeDados_CONTA_CORRENTE1" caption="CONTA CORRENTE" rowHeight="241300"/>
  <slicer name="TITULAR 4" xr10:uid="{35A66ED7-1E59-4123-B3E0-79D373DB7F16}" cache="SegmentaçãodeDados_TITULAR1" caption="TITULAR" rowHeight="241300"/>
  <slicer name="CENTRO CUSTO 4" xr10:uid="{E1282A64-028A-43BB-9FAB-FB6B52730165}" cache="SegmentaçãodeDados_CENTRO_CUSTO1" caption="CENTRO CUST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2" xr10:uid="{4E3C755B-C161-4D09-9672-88474D88AF94}" cache="SegmentaçãodeDados_CONTA_CORRENTE1" caption="CONTA CORRENTE" rowHeight="241300"/>
  <slicer name="TITULAR 1" xr10:uid="{BEEB5A1D-982C-445F-B04B-AB6A0A685457}" cache="SegmentaçãodeDados_TITULAR1" caption="TITULAR" rowHeight="241300"/>
  <slicer name="CENTRO CUSTO 1" xr10:uid="{83EAEC63-AF7D-4E37-A767-B3FACE37B523}" cache="SegmentaçãodeDados_CENTRO_CUSTO1" caption="CENTRO CUSTO"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3" xr10:uid="{646BABD9-6032-4B0D-ADCC-0B044341C7D8}" cache="SegmentaçãodeDados_CONTA_CORRENTE1" caption="CONTA CORRENTE" rowHeight="241300"/>
  <slicer name="TITULAR 3" xr10:uid="{833388CD-8CAF-469D-B1EC-F4F94A6F4A8D}" cache="SegmentaçãodeDados_TITULAR1" caption="TITULAR:" rowHeight="241300"/>
  <slicer name="CENTRO CUSTO 3" xr10:uid="{FE16568F-EEB4-4245-ADC5-8BE60D31238A}" cache="SegmentaçãodeDados_CENTRO_CUSTO1" caption="C. CUSTOS:"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ALIZADO / A REALIZAR 1" xr10:uid="{AE4DC8A1-E6C6-4A78-85F8-A95F58A7C6EC}" cache="SegmentaçãodeDados_REALIZADO___A_REALIZAR" caption="STATUS" rowHeight="241300"/>
  <slicer name="TITULAR 5" xr10:uid="{13BCA819-2F89-41A0-85BB-EA4971423293}" cache="SegmentaçãodeDados_TITULAR" caption="TITULAR" rowHeight="241300"/>
  <slicer name="CENTRO CUSTO 5" xr10:uid="{CC419D54-4D62-4E12-98C5-2B884B6ADAE0}" cache="SegmentaçãodeDados_CENTRO_CUSTO" caption="CENTRO CUSTO"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2" xr10:uid="{5FD15F2A-6678-4A77-949F-3C5E3B301730}" cache="SegmentaçãodeDados_ANO1" caption="ANO" startItem="1" rowHeight="241300"/>
  <slicer name="ANO 3" xr10:uid="{A1D56980-D605-49AF-B315-528F9FE9931F}" cache="SegmentaçãodeDados_ANO1" caption="ANO" rowHeight="241300"/>
  <slicer name="ANO 4" xr10:uid="{EB5736B6-5D43-4601-8E56-89AA1773365F}" cache="SegmentaçãodeDados_ANO1" caption="ANO" rowHeight="241300"/>
  <slicer name="ANO 5" xr10:uid="{5BDAA98A-BAF6-4BD0-89D4-04BEEFCF1B00}" cache="SegmentaçãodeDados_ANO1" caption="ANO" rowHeight="241300"/>
  <slicer name="MÊS 4" xr10:uid="{C828E65E-6653-4942-B826-83992C558BDA}" cache="SegmentaçãodeDados_MÊS4" caption="MÊS" rowHeight="241300"/>
  <slicer name="MÊS 3" xr10:uid="{EC922DC4-BD2E-4388-8C4C-3C03E0867C37}" cache="SegmentaçãodeDados_MÊS4" caption="MÊS" rowHeight="241300"/>
  <slicer name="MÊS 2" xr10:uid="{45FE0739-95DF-4380-B799-9BBB3E6896A4}" cache="SegmentaçãodeDados_MÊS4" caption="MÊS" startItem="1" rowHeight="241300"/>
  <slicer name="MÊS 1" xr10:uid="{BB56C7A1-D5CC-4223-AD04-6E5CB0391144}" cache="SegmentaçãodeDados_MÊS4" caption="MÊS"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xr10:uid="{AC39BE15-129A-4197-9A89-21F06CE18AFC}" cache="SegmentaçãodeDados_ANO" caption="ANO" rowHeight="241300"/>
  <slicer name="REALIZADO / A REALIZAR" xr10:uid="{71572890-0491-4AC5-84AD-B730B2180760}" cache="SegmentaçãodeDados_REALIZADO___A_REALIZAR" caption="REALIZADO / A REALIZAR" rowHeight="241300"/>
  <slicer name="MÊS" xr10:uid="{44BF1B80-A944-482D-A3DD-D4936DDFB741}" cache="SegmentaçãodeDados_MÊS" caption="MÊS" rowHeight="241300"/>
  <slicer name="REC./DESP." xr10:uid="{99A02BF1-D688-435C-87B8-F2381A7B8E84}" cache="SegmentaçãodeDados_REC._DESP." caption="REC./DESP." rowHeight="241300"/>
  <slicer name="CONTA CORRENTE 1" xr10:uid="{61438206-1703-466D-A904-C00B3D8C83DD}" cache="SegmentaçãodeDados_CONTA_CORRENTE1" caption="CONTA CORRENTE" rowHeight="241300"/>
  <slicer name="TITULAR" xr10:uid="{69CCE3C4-B716-4972-B15F-E5716DFFEF74}" cache="SegmentaçãodeDados_TITULAR1" caption="TITULAR" rowHeight="241300"/>
  <slicer name="CENTRO CUSTO" xr10:uid="{74B44B82-299A-4C2F-85FA-FB02F79EA22C}" cache="SegmentaçãodeDados_CENTRO_CUSTO1" caption="CENTRO CUSTO"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75000"/>
          </a:schemeClr>
        </a:solidFill>
        <a:ln w="12700" cap="flat" cmpd="sng" algn="ctr">
          <a:solidFill>
            <a:srgbClr val="5B9BD5">
              <a:shade val="50000"/>
            </a:srgbClr>
          </a:solidFill>
          <a:prstDash val="solid"/>
          <a:miter lim="800000"/>
        </a:ln>
        <a:effectLst>
          <a:softEdge rad="12700"/>
        </a:effectLst>
      </a:spPr>
      <a:bodyPr vertOverflow="clip" horzOverflow="clip" rtlCol="0" anchor="ctr"/>
      <a:lstStyle>
        <a:defPPr marL="0" marR="0" indent="0" algn="ctr" defTabSz="914400" eaLnBrk="1" fontAlgn="auto" latinLnBrk="0" hangingPunct="1">
          <a:lnSpc>
            <a:spcPct val="100000"/>
          </a:lnSpc>
          <a:spcBef>
            <a:spcPts val="0"/>
          </a:spcBef>
          <a:spcAft>
            <a:spcPts val="0"/>
          </a:spcAft>
          <a:buClrTx/>
          <a:buSzTx/>
          <a:buFontTx/>
          <a:buNone/>
          <a:tabLst/>
          <a:defRPr kumimoji="0" sz="1100" b="0" i="0" u="none" strike="noStrike" kern="0" cap="none" spc="0" normalizeH="0" baseline="0" noProof="0">
            <a:ln>
              <a:noFill/>
            </a:ln>
            <a:solidFill>
              <a:sysClr val="window" lastClr="FFFFFF"/>
            </a:solidFill>
            <a:effectLst/>
            <a:uLnTx/>
            <a:uFillTx/>
            <a:latin typeface="Calibri" panose="020F0502020204030204"/>
            <a:ea typeface="+mn-ea"/>
            <a:cs typeface="+mn-cs"/>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10.xml"/><Relationship Id="rId7" Type="http://schemas.microsoft.com/office/2007/relationships/slicer" Target="../slicers/slicer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7" Type="http://schemas.microsoft.com/office/2007/relationships/slicer" Target="../slicers/slicer2.xml"/><Relationship Id="rId2" Type="http://schemas.openxmlformats.org/officeDocument/2006/relationships/printerSettings" Target="../printerSettings/printerSettings14.bin"/><Relationship Id="rId1" Type="http://schemas.openxmlformats.org/officeDocument/2006/relationships/pivotTable" Target="../pivotTables/pivotTable5.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microsoft.com/office/2007/relationships/slicer" Target="../slicers/slicer3.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pivotTable" Target="../pivotTables/pivotTable8.xml"/><Relationship Id="rId6" Type="http://schemas.openxmlformats.org/officeDocument/2006/relationships/comments" Target="../comments4.xml"/><Relationship Id="rId5" Type="http://schemas.microsoft.com/office/2007/relationships/slicer" Target="../slicers/slicer4.xml"/><Relationship Id="rId4"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drawing" Target="../drawings/drawing17.xml"/><Relationship Id="rId7" Type="http://schemas.microsoft.com/office/2007/relationships/slicer" Target="../slicers/slicer5.xml"/><Relationship Id="rId2" Type="http://schemas.openxmlformats.org/officeDocument/2006/relationships/printerSettings" Target="../printerSettings/printerSettings17.bin"/><Relationship Id="rId1" Type="http://schemas.openxmlformats.org/officeDocument/2006/relationships/pivotTable" Target="../pivotTables/pivotTable10.xml"/><Relationship Id="rId6" Type="http://schemas.openxmlformats.org/officeDocument/2006/relationships/image" Target="../media/image7.emf"/><Relationship Id="rId5" Type="http://schemas.openxmlformats.org/officeDocument/2006/relationships/control" Target="../activeX/activeX4.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8" Type="http://schemas.microsoft.com/office/2007/relationships/slicer" Target="../slicers/slicer6.xml"/><Relationship Id="rId3" Type="http://schemas.openxmlformats.org/officeDocument/2006/relationships/pivotTable" Target="../pivotTables/pivotTable13.xml"/><Relationship Id="rId7" Type="http://schemas.openxmlformats.org/officeDocument/2006/relationships/drawing" Target="../drawings/drawing18.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rinterSettings" Target="../printerSettings/printerSettings18.bin"/><Relationship Id="rId5" Type="http://schemas.openxmlformats.org/officeDocument/2006/relationships/pivotTable" Target="../pivotTables/pivotTable15.xml"/><Relationship Id="rId4" Type="http://schemas.openxmlformats.org/officeDocument/2006/relationships/pivotTable" Target="../pivotTables/pivotTable14.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6.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microsoft.com/office/2007/relationships/slicer" Target="../slicers/slicer7.xml"/><Relationship Id="rId4"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Menu">
    <tabColor theme="3"/>
    <pageSetUpPr fitToPage="1"/>
  </sheetPr>
  <dimension ref="A1:H38"/>
  <sheetViews>
    <sheetView showGridLines="0" showRowColHeaders="0" tabSelected="1" zoomScale="85" zoomScaleNormal="85" workbookViewId="0">
      <selection activeCell="B2" sqref="B2:G3"/>
    </sheetView>
  </sheetViews>
  <sheetFormatPr defaultRowHeight="15" x14ac:dyDescent="0.25"/>
  <cols>
    <col min="1" max="1" width="1.7109375" customWidth="1"/>
    <col min="2" max="2" width="3.140625" customWidth="1"/>
    <col min="3" max="3" width="40.7109375" customWidth="1"/>
    <col min="4" max="4" width="3.140625" customWidth="1"/>
    <col min="5" max="5" width="3.28515625" customWidth="1"/>
    <col min="6" max="6" width="40.7109375" customWidth="1"/>
    <col min="7" max="7" width="3.140625" customWidth="1"/>
  </cols>
  <sheetData>
    <row r="1" spans="2:8" x14ac:dyDescent="0.25">
      <c r="G1" s="20"/>
    </row>
    <row r="2" spans="2:8" ht="15" customHeight="1" x14ac:dyDescent="0.25">
      <c r="B2" s="173" t="s">
        <v>161</v>
      </c>
      <c r="C2" s="173"/>
      <c r="D2" s="173"/>
      <c r="E2" s="173"/>
      <c r="F2" s="173"/>
      <c r="G2" s="173"/>
    </row>
    <row r="3" spans="2:8" ht="15" customHeight="1" x14ac:dyDescent="0.25">
      <c r="B3" s="173"/>
      <c r="C3" s="173"/>
      <c r="D3" s="173"/>
      <c r="E3" s="173"/>
      <c r="F3" s="173"/>
      <c r="G3" s="173"/>
    </row>
    <row r="5" spans="2:8" x14ac:dyDescent="0.25">
      <c r="B5" s="3"/>
    </row>
    <row r="6" spans="2:8" ht="4.5" customHeight="1" x14ac:dyDescent="0.25">
      <c r="B6" s="3"/>
    </row>
    <row r="7" spans="2:8" ht="18" customHeight="1" x14ac:dyDescent="0.3">
      <c r="B7" s="3"/>
      <c r="D7" s="21" t="s">
        <v>8</v>
      </c>
      <c r="G7" s="21" t="s">
        <v>8</v>
      </c>
    </row>
    <row r="8" spans="2:8" ht="9.9499999999999993" customHeight="1" x14ac:dyDescent="0.25">
      <c r="B8" s="3"/>
      <c r="D8" s="19"/>
    </row>
    <row r="9" spans="2:8" ht="18" customHeight="1" x14ac:dyDescent="0.3">
      <c r="B9" s="3"/>
      <c r="D9" s="21" t="s">
        <v>8</v>
      </c>
      <c r="G9" s="21" t="s">
        <v>8</v>
      </c>
      <c r="H9" s="26"/>
    </row>
    <row r="10" spans="2:8" ht="9.9499999999999993" customHeight="1" x14ac:dyDescent="0.25"/>
    <row r="11" spans="2:8" ht="18" customHeight="1" x14ac:dyDescent="0.3">
      <c r="D11" s="21" t="s">
        <v>8</v>
      </c>
      <c r="G11" s="21" t="s">
        <v>8</v>
      </c>
    </row>
    <row r="12" spans="2:8" ht="9.9499999999999993" customHeight="1" x14ac:dyDescent="0.25">
      <c r="D12" s="19"/>
    </row>
    <row r="13" spans="2:8" ht="18" customHeight="1" x14ac:dyDescent="0.3">
      <c r="D13" s="21" t="s">
        <v>8</v>
      </c>
      <c r="G13" s="21" t="s">
        <v>8</v>
      </c>
    </row>
    <row r="14" spans="2:8" ht="9.9499999999999993" customHeight="1" x14ac:dyDescent="0.25">
      <c r="D14" s="19"/>
    </row>
    <row r="15" spans="2:8" ht="18" customHeight="1" x14ac:dyDescent="0.3">
      <c r="D15" s="21" t="s">
        <v>8</v>
      </c>
      <c r="G15" s="21" t="s">
        <v>8</v>
      </c>
    </row>
    <row r="16" spans="2:8" ht="9.9499999999999993" customHeight="1" x14ac:dyDescent="0.25">
      <c r="D16" s="18"/>
    </row>
    <row r="17" spans="4:8" ht="18.75" x14ac:dyDescent="0.3">
      <c r="D17" s="21" t="s">
        <v>8</v>
      </c>
      <c r="G17" s="21" t="s">
        <v>8</v>
      </c>
      <c r="H17" s="26"/>
    </row>
    <row r="18" spans="4:8" ht="9.9499999999999993" customHeight="1" x14ac:dyDescent="0.25"/>
    <row r="19" spans="4:8" ht="18.75" x14ac:dyDescent="0.3">
      <c r="D19" s="21" t="s">
        <v>8</v>
      </c>
      <c r="G19" s="21" t="s">
        <v>8</v>
      </c>
    </row>
    <row r="20" spans="4:8" ht="9.9499999999999993" customHeight="1" x14ac:dyDescent="0.25">
      <c r="D20" s="18"/>
    </row>
    <row r="21" spans="4:8" ht="18.75" x14ac:dyDescent="0.3">
      <c r="D21" s="21" t="s">
        <v>8</v>
      </c>
      <c r="G21" s="21" t="s">
        <v>8</v>
      </c>
    </row>
    <row r="22" spans="4:8" ht="9.9499999999999993" customHeight="1" x14ac:dyDescent="0.25"/>
    <row r="23" spans="4:8" x14ac:dyDescent="0.25">
      <c r="D23" s="18"/>
    </row>
    <row r="24" spans="4:8" ht="9.9499999999999993" customHeight="1" x14ac:dyDescent="0.25">
      <c r="D24" s="18"/>
    </row>
    <row r="38" spans="1:1" x14ac:dyDescent="0.25">
      <c r="A38" s="8" t="s">
        <v>9</v>
      </c>
    </row>
  </sheetData>
  <sheetProtection algorithmName="SHA-512" hashValue="Te4KNCqdreW1Q69iInqJ2xFlAbtcyuvsS+KL8uTUwADsG62pr7dIxDU6I2LWpZ/NEapKF3aoGI0ttWnE+UFzAA==" saltValue="YExinYNDoeYclZ730pnAHw==" spinCount="100000" sheet="1" objects="1" scenarios="1" formatCells="0" formatColumns="0" sort="0" autoFilter="0" pivotTables="0"/>
  <mergeCells count="1">
    <mergeCell ref="B2:G3"/>
  </mergeCells>
  <printOptions horizontalCentered="1" verticalCentered="1"/>
  <pageMargins left="0.27559055118110237" right="0.51181102362204722" top="0.78740157480314965" bottom="1.19" header="0.31496062992125984" footer="0.31496062992125984"/>
  <pageSetup paperSize="9" scale="59" orientation="landscape" r:id="rId1"/>
  <headerFooter>
    <oddFooter>&amp;L&amp;8&amp;Z&amp;F&amp;R&amp;D / &amp;T</oddFooter>
  </headerFooter>
  <drawing r:id="rId2"/>
  <legacyDrawing r:id="rId3"/>
  <picture r:id="rId4"/>
  <controls>
    <mc:AlternateContent xmlns:mc="http://schemas.openxmlformats.org/markup-compatibility/2006">
      <mc:Choice Requires="x14">
        <control shapeId="1030" r:id="rId5" name="ChBoxDicas">
          <controlPr defaultSize="0" autoLine="0" r:id="rId6">
            <anchor>
              <from>
                <xdr:col>5</xdr:col>
                <xdr:colOff>1466850</xdr:colOff>
                <xdr:row>3</xdr:row>
                <xdr:rowOff>28575</xdr:rowOff>
              </from>
              <to>
                <xdr:col>6</xdr:col>
                <xdr:colOff>133350</xdr:colOff>
                <xdr:row>4</xdr:row>
                <xdr:rowOff>104775</xdr:rowOff>
              </to>
            </anchor>
          </controlPr>
        </control>
      </mc:Choice>
      <mc:Fallback>
        <control shapeId="1030" r:id="rId5" name="ChBoxDic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Titular">
    <tabColor theme="8" tint="0.39997558519241921"/>
  </sheetPr>
  <dimension ref="B1:C7"/>
  <sheetViews>
    <sheetView showGridLines="0" showRowColHeaders="0" workbookViewId="0">
      <pane ySplit="2" topLeftCell="A3" activePane="bottomLeft" state="frozen"/>
      <selection activeCell="B2" sqref="B2:G3"/>
      <selection pane="bottomLeft" activeCell="C4" sqref="C4"/>
    </sheetView>
  </sheetViews>
  <sheetFormatPr defaultColWidth="9.140625" defaultRowHeight="15" x14ac:dyDescent="0.25"/>
  <cols>
    <col min="1" max="1" width="1.7109375" style="5" customWidth="1"/>
    <col min="2" max="2" width="7" style="6" hidden="1" customWidth="1"/>
    <col min="3" max="3" width="40.140625" style="5" customWidth="1"/>
    <col min="4" max="16384" width="9.140625" style="5"/>
  </cols>
  <sheetData>
    <row r="1" spans="2:3" ht="3.75" customHeight="1" x14ac:dyDescent="0.25"/>
    <row r="2" spans="2:3" s="4" customFormat="1" ht="30" customHeight="1" thickBot="1" x14ac:dyDescent="0.3">
      <c r="B2" s="15" t="s">
        <v>4</v>
      </c>
      <c r="C2" s="36" t="s">
        <v>14</v>
      </c>
    </row>
    <row r="3" spans="2:3" ht="0.75" customHeight="1" x14ac:dyDescent="0.25">
      <c r="B3" s="5"/>
    </row>
    <row r="4" spans="2:3" x14ac:dyDescent="0.25">
      <c r="B4" s="42"/>
    </row>
    <row r="5" spans="2:3" x14ac:dyDescent="0.25">
      <c r="B5" s="42"/>
    </row>
    <row r="6" spans="2:3" x14ac:dyDescent="0.25">
      <c r="B6" s="42"/>
    </row>
    <row r="7" spans="2:3" x14ac:dyDescent="0.25">
      <c r="B7" s="42"/>
    </row>
  </sheetData>
  <sheetProtection algorithmName="SHA-512" hashValue="Qe+Y2/shOzZSUQnQXaPyghyr0oM0eFGckrNgj5/rpnaV8YIyK4whwIYe217JGIS13f6dnK2Q3MTFVo+SU1FWjA==" saltValue="TgX+mlMwU6PzThYiBI018Q==" spinCount="100000" sheet="1" objects="1" scenarios="1" formatCells="0" formatColumns="0" sort="0" autoFilter="0" pivotTables="0"/>
  <autoFilter ref="B2:C3" xr:uid="{00D7E7A6-C411-4A43-B42C-16F23CF22F92}"/>
  <dataValidations count="1">
    <dataValidation allowBlank="1" showInputMessage="1" showErrorMessage="1" sqref="B3:F3 G2:G3" xr:uid="{00000000-0002-0000-0100-000000000000}"/>
  </dataValidation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_CliFor">
    <tabColor theme="7" tint="0.59999389629810485"/>
  </sheetPr>
  <dimension ref="B1:M4"/>
  <sheetViews>
    <sheetView showGridLines="0" showRowColHeaders="0" zoomScale="85" zoomScaleNormal="85" workbookViewId="0">
      <pane ySplit="3" topLeftCell="A4" activePane="bottomLeft" state="frozen"/>
      <selection pane="bottomLeft" activeCell="C4" sqref="C4"/>
    </sheetView>
  </sheetViews>
  <sheetFormatPr defaultColWidth="9.140625" defaultRowHeight="15" x14ac:dyDescent="0.25"/>
  <cols>
    <col min="1" max="1" width="0.5703125" style="5" customWidth="1"/>
    <col min="2" max="2" width="7" style="6" customWidth="1"/>
    <col min="3" max="3" width="41.7109375" style="5" customWidth="1"/>
    <col min="4" max="4" width="23.28515625" style="6" customWidth="1"/>
    <col min="5" max="5" width="24.85546875" style="6" customWidth="1"/>
    <col min="6" max="6" width="34.28515625" style="5" customWidth="1"/>
    <col min="7" max="7" width="14.28515625" style="5" customWidth="1"/>
    <col min="8" max="8" width="18.85546875" style="5" customWidth="1"/>
    <col min="9" max="9" width="12.85546875" style="5" bestFit="1" customWidth="1"/>
    <col min="10" max="10" width="27.7109375" style="5" customWidth="1"/>
    <col min="11" max="11" width="15.28515625" style="5" bestFit="1" customWidth="1"/>
    <col min="12" max="12" width="19.7109375" style="5" customWidth="1"/>
    <col min="13" max="13" width="5.85546875" style="5" bestFit="1" customWidth="1"/>
    <col min="14" max="16384" width="9.140625" style="5"/>
  </cols>
  <sheetData>
    <row r="1" spans="2:13" ht="3" customHeight="1" x14ac:dyDescent="0.25"/>
    <row r="2" spans="2:13" s="4" customFormat="1" ht="31.5" customHeight="1" thickBot="1" x14ac:dyDescent="0.3">
      <c r="B2" s="22" t="s">
        <v>4</v>
      </c>
      <c r="C2" s="22" t="s">
        <v>30</v>
      </c>
      <c r="D2" s="22" t="s">
        <v>31</v>
      </c>
      <c r="E2" s="22" t="s">
        <v>41</v>
      </c>
      <c r="F2" s="22" t="s">
        <v>32</v>
      </c>
      <c r="G2" s="22" t="s">
        <v>33</v>
      </c>
      <c r="H2" s="22" t="s">
        <v>35</v>
      </c>
      <c r="I2" s="22" t="s">
        <v>34</v>
      </c>
      <c r="J2" s="22" t="s">
        <v>36</v>
      </c>
      <c r="K2" s="22" t="s">
        <v>37</v>
      </c>
      <c r="L2" s="22" t="s">
        <v>38</v>
      </c>
      <c r="M2" s="22" t="s">
        <v>39</v>
      </c>
    </row>
    <row r="3" spans="2:13" ht="2.25" customHeight="1" x14ac:dyDescent="0.25">
      <c r="D3" s="5"/>
      <c r="E3" s="5"/>
    </row>
    <row r="4" spans="2:13" x14ac:dyDescent="0.25">
      <c r="B4" s="171"/>
      <c r="C4" s="172"/>
      <c r="D4" s="171"/>
      <c r="E4" s="171"/>
      <c r="F4" s="172"/>
      <c r="G4" s="172"/>
      <c r="H4" s="172"/>
      <c r="I4" s="172"/>
      <c r="J4" s="172"/>
      <c r="K4" s="172"/>
      <c r="L4" s="172"/>
      <c r="M4" s="172"/>
    </row>
  </sheetData>
  <sheetProtection algorithmName="SHA-512" hashValue="WtjBhzvZEA4WWQGtWUxHJ1LihLIoKo5t7mG8VgPRDXkzmbo3jmE9JeL8TMymN52dUgGFvi5mSfA+OHD1xQCzvw==" saltValue="VGbjBVVjZLqoN96iYTBOHQ==" spinCount="100000" sheet="1" objects="1" scenarios="1" formatCells="0" formatColumns="0" sort="0" autoFilter="0" pivotTables="0"/>
  <autoFilter ref="B2:M3" xr:uid="{89096624-5FEF-40A0-8BA4-377FFF2E363F}"/>
  <dataValidations count="1">
    <dataValidation allowBlank="1" showInputMessage="1" showErrorMessage="1" sqref="B3:C3 F3:G3 F2:K2 D1:E1048576" xr:uid="{00000000-0002-0000-0200-000000000000}"/>
  </dataValidation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_CentroCustos">
    <tabColor theme="7" tint="-0.249977111117893"/>
  </sheetPr>
  <dimension ref="B1:C4"/>
  <sheetViews>
    <sheetView showGridLines="0" showRowColHeaders="0" zoomScaleNormal="100" workbookViewId="0">
      <pane ySplit="3" topLeftCell="A4" activePane="bottomLeft" state="frozen"/>
      <selection activeCell="E14" sqref="E14"/>
      <selection pane="bottomLeft" activeCell="C4" sqref="C4"/>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13" t="s">
        <v>4</v>
      </c>
      <c r="C2" s="13" t="s">
        <v>6</v>
      </c>
    </row>
    <row r="3" spans="2:3" ht="0.75" customHeight="1" x14ac:dyDescent="0.25">
      <c r="B3" s="5"/>
    </row>
    <row r="4" spans="2:3" x14ac:dyDescent="0.25">
      <c r="B4"/>
      <c r="C4"/>
    </row>
  </sheetData>
  <sheetProtection algorithmName="SHA-512" hashValue="J5HhuEBMHL+1WMSx00JckoCMC60PeL4zDsMJTkDxCPVoqUrAq3GSoGgKCzKOZ2hfGanGYmQtySf9SCeJfFGvig==" saltValue="69EAsK+fUrRxYXPlYu954w==" spinCount="100000" sheet="1" objects="1" scenarios="1" formatCells="0" formatColumns="0" sort="0" autoFilter="0" pivotTables="0"/>
  <autoFilter ref="B2:C3" xr:uid="{00000000-0009-0000-0000-000003000000}"/>
  <conditionalFormatting sqref="B5:C64880">
    <cfRule type="expression" dxfId="186" priority="4">
      <formula>$B5&lt;&gt;""</formula>
    </cfRule>
  </conditionalFormatting>
  <dataValidations count="1">
    <dataValidation allowBlank="1" showInputMessage="1" showErrorMessage="1" sqref="B3:F3 G2:G3" xr:uid="{00000000-0002-0000-0300-000000000000}"/>
  </dataValidation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E03C-733D-4064-B84B-F0D990CCBC5E}">
  <sheetPr codeName="Sht_GrupoContas">
    <tabColor theme="5" tint="0.39997558519241921"/>
  </sheetPr>
  <dimension ref="B1:C4"/>
  <sheetViews>
    <sheetView showGridLines="0" showRowColHeaders="0" zoomScaleNormal="100" workbookViewId="0">
      <pane ySplit="3" topLeftCell="A4" activePane="bottomLeft" state="frozen"/>
      <selection activeCell="E14" sqref="E14"/>
      <selection pane="bottomLeft" activeCell="C4" sqref="C4"/>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54" t="s">
        <v>4</v>
      </c>
      <c r="C2" s="54" t="s">
        <v>96</v>
      </c>
    </row>
    <row r="3" spans="2:3" ht="0.75" customHeight="1" x14ac:dyDescent="0.25">
      <c r="B3" s="5"/>
    </row>
    <row r="4" spans="2:3" x14ac:dyDescent="0.25">
      <c r="B4"/>
      <c r="C4"/>
    </row>
  </sheetData>
  <sheetProtection algorithmName="SHA-512" hashValue="u+y2fIJhqm52KwkRxP8oKxIsn3QaPAbeeewiKs2SCQOHjEG8AKzAHz9TQCD2V2hyBkYnFJXjEmfUBzrZeaK2wg==" saltValue="vXyvesyTT61lX4y0OwN9Ww==" spinCount="100000" sheet="1" objects="1" scenarios="1" formatCells="0" formatColumns="0" sort="0" autoFilter="0" pivotTables="0"/>
  <autoFilter ref="B2:C3" xr:uid="{00000000-0009-0000-0000-000003000000}"/>
  <dataValidations count="1">
    <dataValidation allowBlank="1" showInputMessage="1" showErrorMessage="1" sqref="B3:F3 G2:G3" xr:uid="{FB549F83-1776-4038-8FE2-B2808D94B626}"/>
  </dataValidation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PlanoContas">
    <tabColor theme="1" tint="0.249977111117893"/>
  </sheetPr>
  <dimension ref="B1:G10"/>
  <sheetViews>
    <sheetView showGridLines="0" showRowColHeaders="0" zoomScaleNormal="100" workbookViewId="0">
      <pane ySplit="3" topLeftCell="A4" activePane="bottomLeft" state="frozen"/>
      <selection activeCell="D26" sqref="D26"/>
      <selection pane="bottomLeft" activeCell="C4" sqref="C4"/>
    </sheetView>
  </sheetViews>
  <sheetFormatPr defaultRowHeight="15" x14ac:dyDescent="0.25"/>
  <cols>
    <col min="1" max="1" width="1.7109375" style="5" customWidth="1"/>
    <col min="2" max="2" width="7" style="6" hidden="1" customWidth="1"/>
    <col min="3" max="3" width="39.42578125" style="5" customWidth="1"/>
    <col min="4" max="5" width="29.140625" style="42" customWidth="1"/>
    <col min="6" max="6" width="19" style="6" bestFit="1" customWidth="1"/>
    <col min="7" max="7" width="9.140625" style="6" hidden="1" customWidth="1"/>
    <col min="8" max="16384" width="9.140625" style="5"/>
  </cols>
  <sheetData>
    <row r="1" spans="2:7" ht="3.75" customHeight="1" x14ac:dyDescent="0.25"/>
    <row r="2" spans="2:7" s="4" customFormat="1" ht="25.5" customHeight="1" thickBot="1" x14ac:dyDescent="0.3">
      <c r="B2" s="35" t="s">
        <v>4</v>
      </c>
      <c r="C2" s="35" t="s">
        <v>0</v>
      </c>
      <c r="D2" s="35" t="s">
        <v>45</v>
      </c>
      <c r="E2" s="35" t="s">
        <v>97</v>
      </c>
      <c r="F2" s="35" t="s">
        <v>64</v>
      </c>
      <c r="G2" s="35" t="s">
        <v>99</v>
      </c>
    </row>
    <row r="3" spans="2:7" ht="0.75" customHeight="1" x14ac:dyDescent="0.25">
      <c r="B3" s="5"/>
    </row>
    <row r="4" spans="2:7" x14ac:dyDescent="0.25">
      <c r="B4"/>
      <c r="C4"/>
      <c r="D4"/>
      <c r="E4"/>
      <c r="F4"/>
      <c r="G4"/>
    </row>
    <row r="5" spans="2:7" x14ac:dyDescent="0.25">
      <c r="B5"/>
      <c r="C5"/>
      <c r="D5"/>
      <c r="E5"/>
      <c r="F5"/>
      <c r="G5"/>
    </row>
    <row r="6" spans="2:7" x14ac:dyDescent="0.25">
      <c r="B6"/>
      <c r="C6"/>
      <c r="D6"/>
      <c r="E6"/>
      <c r="F6"/>
      <c r="G6"/>
    </row>
    <row r="7" spans="2:7" x14ac:dyDescent="0.25">
      <c r="B7"/>
      <c r="C7"/>
      <c r="D7"/>
      <c r="E7"/>
      <c r="F7"/>
      <c r="G7"/>
    </row>
    <row r="8" spans="2:7" x14ac:dyDescent="0.25">
      <c r="B8"/>
      <c r="C8"/>
      <c r="D8"/>
      <c r="E8"/>
      <c r="F8"/>
      <c r="G8"/>
    </row>
    <row r="9" spans="2:7" x14ac:dyDescent="0.25">
      <c r="B9"/>
      <c r="C9"/>
      <c r="D9"/>
      <c r="E9"/>
      <c r="F9"/>
      <c r="G9"/>
    </row>
    <row r="10" spans="2:7" x14ac:dyDescent="0.25">
      <c r="B10"/>
      <c r="C10"/>
      <c r="D10"/>
      <c r="E10"/>
      <c r="F10"/>
      <c r="G10"/>
    </row>
  </sheetData>
  <sheetProtection algorithmName="SHA-512" hashValue="oEIIpZNegnF69dipEt0rWttL1uHgQImBrtKqe/LTPIJAt/cwH/t/yVv080ToQ8zUo2DQuEziHLS3V68smhBBqA==" saltValue="osIGrS7JEUN8hPlOjJvcRQ==" spinCount="100000" sheet="1" objects="1" scenarios="1" formatCells="0" formatColumns="0" sort="0" autoFilter="0" pivotTables="0"/>
  <autoFilter ref="B2:F3" xr:uid="{00000000-0009-0000-0000-000004000000}"/>
  <conditionalFormatting sqref="B11:E105">
    <cfRule type="expression" dxfId="185" priority="13">
      <formula>$D11="DESPESAS"</formula>
    </cfRule>
    <cfRule type="expression" dxfId="184" priority="14">
      <formula>$D11="RECEITAS"</formula>
    </cfRule>
  </conditionalFormatting>
  <conditionalFormatting sqref="F11:F105">
    <cfRule type="expression" dxfId="183" priority="4">
      <formula>$D11="DESPESAS"</formula>
    </cfRule>
    <cfRule type="expression" dxfId="182" priority="5">
      <formula>$D11="RECEITAS"</formula>
    </cfRule>
  </conditionalFormatting>
  <conditionalFormatting sqref="B11:G949">
    <cfRule type="expression" dxfId="181" priority="1">
      <formula>$D11="PAGAMENTOS"</formula>
    </cfRule>
    <cfRule type="expression" dxfId="180" priority="2">
      <formula>$D11="RECEBIMENTOS"</formula>
    </cfRule>
  </conditionalFormatting>
  <dataValidations count="1">
    <dataValidation allowBlank="1" showInputMessage="1" showErrorMessage="1" sqref="B3:C3 G3:H3 D1:F3 D11:F1048576" xr:uid="{00000000-0002-0000-04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_CCorrente">
    <tabColor rgb="FF66FF33"/>
  </sheetPr>
  <dimension ref="B1:E4"/>
  <sheetViews>
    <sheetView showGridLines="0" showRowColHeaders="0" workbookViewId="0">
      <pane ySplit="2" topLeftCell="A3" activePane="bottomLeft" state="frozen"/>
      <selection pane="bottomLeft" activeCell="B1" sqref="B1"/>
    </sheetView>
  </sheetViews>
  <sheetFormatPr defaultColWidth="9.140625" defaultRowHeight="15" x14ac:dyDescent="0.25"/>
  <cols>
    <col min="1" max="1" width="1.7109375" style="5" customWidth="1"/>
    <col min="2" max="2" width="7" style="6" hidden="1" customWidth="1"/>
    <col min="3" max="3" width="40.140625" style="5" customWidth="1"/>
    <col min="4" max="4" width="25" style="5" customWidth="1"/>
    <col min="5" max="5" width="18.7109375" style="52" bestFit="1" customWidth="1"/>
    <col min="6" max="16384" width="9.140625" style="5"/>
  </cols>
  <sheetData>
    <row r="1" spans="2:5" ht="3" customHeight="1" x14ac:dyDescent="0.25"/>
    <row r="2" spans="2:5" s="4" customFormat="1" ht="30" customHeight="1" x14ac:dyDescent="0.25">
      <c r="B2" s="51" t="s">
        <v>4</v>
      </c>
      <c r="C2" s="51" t="s">
        <v>7</v>
      </c>
      <c r="D2" s="51" t="s">
        <v>17</v>
      </c>
      <c r="E2" s="97" t="s">
        <v>124</v>
      </c>
    </row>
    <row r="3" spans="2:5" ht="0.75" customHeight="1" x14ac:dyDescent="0.25">
      <c r="B3" s="5"/>
    </row>
    <row r="4" spans="2:5" x14ac:dyDescent="0.25">
      <c r="B4"/>
      <c r="C4"/>
      <c r="D4"/>
      <c r="E4"/>
    </row>
  </sheetData>
  <sheetProtection algorithmName="SHA-512" hashValue="CEG0gX90Jlv/vt3srBKUrx64wmMwUYk4Zdwvx8t23hCds0nD6dEXY45jZUt9Qv7BU/3j/UI0Ef37uIdaRMweJg==" saltValue="wqrrAzXYpndAAfletPzsaw==" spinCount="100000" sheet="1" objects="1" scenarios="1" formatCells="0" formatColumns="0" sort="0" autoFilter="0" pivotTables="0"/>
  <dataValidations disablePrompts="1" count="1">
    <dataValidation allowBlank="1" showInputMessage="1" showErrorMessage="1" sqref="F2:F3 B3:E3" xr:uid="{00000000-0002-0000-05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_Insumos">
    <tabColor theme="1" tint="0.249977111117893"/>
  </sheetPr>
  <dimension ref="B1:G4"/>
  <sheetViews>
    <sheetView showGridLines="0" showRowColHeaders="0" zoomScaleNormal="100" workbookViewId="0">
      <pane ySplit="3" topLeftCell="A4" activePane="bottomLeft" state="frozen"/>
      <selection activeCell="E14" sqref="E14"/>
      <selection pane="bottomLeft" activeCell="C4" sqref="C4"/>
    </sheetView>
  </sheetViews>
  <sheetFormatPr defaultRowHeight="15" x14ac:dyDescent="0.25"/>
  <cols>
    <col min="1" max="1" width="1.7109375" style="5" customWidth="1"/>
    <col min="2" max="2" width="8" style="6" hidden="1" customWidth="1"/>
    <col min="3" max="3" width="49" style="5" customWidth="1"/>
    <col min="4" max="4" width="21.85546875" style="42" customWidth="1"/>
    <col min="5" max="5" width="18.5703125" style="42" customWidth="1"/>
    <col min="6" max="6" width="21.85546875" style="42" customWidth="1"/>
    <col min="7" max="7" width="19" style="42" customWidth="1"/>
    <col min="8" max="16384" width="9.140625" style="5"/>
  </cols>
  <sheetData>
    <row r="1" spans="2:7" ht="3.75" customHeight="1" x14ac:dyDescent="0.25"/>
    <row r="2" spans="2:7" s="4" customFormat="1" ht="27" customHeight="1" thickBot="1" x14ac:dyDescent="0.3">
      <c r="B2" s="41" t="s">
        <v>4</v>
      </c>
      <c r="C2" s="41" t="s">
        <v>90</v>
      </c>
      <c r="D2" s="41" t="s">
        <v>65</v>
      </c>
      <c r="E2" s="41" t="s">
        <v>67</v>
      </c>
      <c r="F2" s="41" t="s">
        <v>68</v>
      </c>
      <c r="G2" s="41" t="s">
        <v>66</v>
      </c>
    </row>
    <row r="3" spans="2:7" ht="0.75" customHeight="1" x14ac:dyDescent="0.25">
      <c r="B3" s="5"/>
    </row>
    <row r="4" spans="2:7" x14ac:dyDescent="0.25">
      <c r="B4"/>
      <c r="C4"/>
      <c r="D4"/>
      <c r="E4"/>
      <c r="F4"/>
      <c r="G4"/>
    </row>
  </sheetData>
  <sheetProtection algorithmName="SHA-512" hashValue="/bcShex2p+/Sj4Z2Kvg+QHHuSeHXBPlQOg+L+p+Z2lCOSgEWtUu0ve/4yhxf3CKIEeyhPThWGpF4tMBW2vmLCA==" saltValue="Wi+bJENJvnJlzTD/9raSDg==" spinCount="100000" sheet="1" objects="1" scenarios="1" formatCells="0" formatColumns="0" sort="0" autoFilter="0" pivotTables="0"/>
  <autoFilter ref="B2:G3" xr:uid="{00000000-0009-0000-0000-000006000000}"/>
  <sortState ref="B4:G4">
    <sortCondition ref="C4"/>
  </sortState>
  <conditionalFormatting sqref="B5:F64949 G5:G56">
    <cfRule type="expression" dxfId="179" priority="17">
      <formula>$B5&lt;&gt;""</formula>
    </cfRule>
  </conditionalFormatting>
  <conditionalFormatting sqref="B57:D163">
    <cfRule type="expression" dxfId="178" priority="15">
      <formula>$D57="DESPESAS"</formula>
    </cfRule>
    <cfRule type="expression" dxfId="177" priority="16">
      <formula>$D57="RECEITAS"</formula>
    </cfRule>
  </conditionalFormatting>
  <conditionalFormatting sqref="B5:G56">
    <cfRule type="expression" dxfId="176" priority="12">
      <formula>$D5="PAGAMENTOS"</formula>
    </cfRule>
    <cfRule type="expression" dxfId="175" priority="13">
      <formula>$D5="RECEBIMENTOS"</formula>
    </cfRule>
  </conditionalFormatting>
  <conditionalFormatting sqref="G57:G163">
    <cfRule type="expression" dxfId="174" priority="9">
      <formula>$D57="DESPESAS"</formula>
    </cfRule>
    <cfRule type="expression" dxfId="173" priority="10">
      <formula>$D57="RECEITAS"</formula>
    </cfRule>
  </conditionalFormatting>
  <conditionalFormatting sqref="E57:F163">
    <cfRule type="expression" dxfId="172" priority="3">
      <formula>$D57="DESPESAS"</formula>
    </cfRule>
    <cfRule type="expression" dxfId="171" priority="4">
      <formula>$D57="RECEITAS"</formula>
    </cfRule>
  </conditionalFormatting>
  <dataValidations count="1">
    <dataValidation allowBlank="1" showInputMessage="1" showErrorMessage="1" sqref="B3:C3 H3:I3 D1:G3 D5:G1048576" xr:uid="{00000000-0002-0000-0600-000000000000}"/>
  </dataValidation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_Lanctos">
    <tabColor rgb="FF002060"/>
    <pageSetUpPr fitToPage="1"/>
  </sheetPr>
  <dimension ref="A1:AL78"/>
  <sheetViews>
    <sheetView showGridLines="0" zoomScaleNormal="100" workbookViewId="0">
      <pane xSplit="1" ySplit="3" topLeftCell="B4" activePane="bottomRight" state="frozen"/>
      <selection activeCell="A2" sqref="A2"/>
      <selection pane="topRight" activeCell="B2" sqref="B2"/>
      <selection pane="bottomLeft" activeCell="A4" sqref="A4"/>
      <selection pane="bottomRight" activeCell="F3" sqref="F3"/>
    </sheetView>
  </sheetViews>
  <sheetFormatPr defaultColWidth="9.140625" defaultRowHeight="15" x14ac:dyDescent="0.25"/>
  <cols>
    <col min="1" max="1" width="8.5703125" style="82" customWidth="1"/>
    <col min="2" max="4" width="11.42578125" style="83" customWidth="1"/>
    <col min="5" max="5" width="10.5703125" style="83" customWidth="1"/>
    <col min="6" max="6" width="16.140625" style="84" customWidth="1"/>
    <col min="7" max="7" width="13.7109375" style="38" customWidth="1"/>
    <col min="8" max="8" width="14.5703125" style="23" customWidth="1"/>
    <col min="9" max="9" width="28.7109375" style="23" customWidth="1"/>
    <col min="10" max="10" width="20.5703125" style="23" customWidth="1"/>
    <col min="11" max="11" width="23.28515625" style="23" customWidth="1"/>
    <col min="12" max="12" width="28.140625" style="91" bestFit="1" customWidth="1"/>
    <col min="13" max="13" width="9.7109375" style="86" customWidth="1"/>
    <col min="14" max="14" width="15.140625" style="85" customWidth="1"/>
    <col min="15" max="15" width="36" style="85" customWidth="1"/>
    <col min="16" max="16" width="31.140625" style="38" customWidth="1"/>
    <col min="17" max="17" width="13.42578125" style="86" customWidth="1"/>
    <col min="18" max="18" width="10.85546875" style="87" hidden="1" customWidth="1"/>
    <col min="19" max="19" width="8.140625" style="86" hidden="1" customWidth="1"/>
    <col min="20" max="20" width="10.140625" style="86" hidden="1" customWidth="1"/>
    <col min="21" max="21" width="14.5703125" style="86" hidden="1" customWidth="1"/>
    <col min="22" max="22" width="13.42578125" style="86" hidden="1" customWidth="1"/>
    <col min="23" max="23" width="15.42578125" style="86" hidden="1" customWidth="1"/>
    <col min="24" max="24" width="11.5703125" style="86" hidden="1" customWidth="1"/>
    <col min="25" max="25" width="13.7109375" style="140" hidden="1" customWidth="1"/>
    <col min="26" max="26" width="12.140625" style="88" hidden="1" customWidth="1"/>
    <col min="27" max="27" width="16.140625" style="83" hidden="1" customWidth="1"/>
    <col min="28" max="28" width="6.7109375" style="86" hidden="1" customWidth="1"/>
    <col min="29" max="29" width="10.5703125" style="87" hidden="1" customWidth="1"/>
    <col min="30" max="30" width="39" style="89" hidden="1" customWidth="1"/>
    <col min="31" max="31" width="12.28515625" style="86" hidden="1" customWidth="1"/>
    <col min="32" max="33" width="11.7109375" style="86" hidden="1" customWidth="1"/>
    <col min="34" max="34" width="13.42578125" style="86" hidden="1" customWidth="1"/>
    <col min="35" max="35" width="14.42578125" style="86" hidden="1" customWidth="1"/>
    <col min="36" max="36" width="12.140625" style="86" hidden="1" customWidth="1"/>
    <col min="37" max="37" width="6.7109375" style="86" hidden="1" customWidth="1"/>
    <col min="38" max="38" width="11.7109375" style="83" hidden="1" customWidth="1"/>
    <col min="39" max="16384" width="9.140625" style="90"/>
  </cols>
  <sheetData>
    <row r="1" spans="1:38" s="137" customFormat="1" hidden="1" x14ac:dyDescent="0.25">
      <c r="A1" s="124"/>
      <c r="B1" s="125"/>
      <c r="C1" s="125"/>
      <c r="D1" s="125"/>
      <c r="E1" s="125"/>
      <c r="F1" s="126"/>
      <c r="G1" s="127" t="e">
        <f>VLOOKUP(AH1,rng_DadosCCorrente,2,FALSE)</f>
        <v>#REF!</v>
      </c>
      <c r="H1" s="128" t="e">
        <f>VLOOKUP(AE1,rng_DadosTitular,2,FALSE)</f>
        <v>#N/A</v>
      </c>
      <c r="I1" s="127" t="e">
        <f>VLOOKUP(AI1,rng_DadosCliFor,2,FALSE)</f>
        <v>#N/A</v>
      </c>
      <c r="J1" s="129" t="e">
        <f>VLOOKUP(AG1,rng_DadosPlanoContas,2,FALSE)</f>
        <v>#REF!</v>
      </c>
      <c r="K1" s="130" t="e">
        <f>VLOOKUP(AF1,rng_DadosCentroCustos,2,FALSE)</f>
        <v>#REF!</v>
      </c>
      <c r="L1" s="128" t="e">
        <f>VLOOKUP(AG1,rng_DadosPlanoContas,3,FALSE)</f>
        <v>#REF!</v>
      </c>
      <c r="M1" s="130"/>
      <c r="N1" s="131"/>
      <c r="O1" s="131"/>
      <c r="P1" s="132"/>
      <c r="Q1" s="133"/>
      <c r="R1" s="134"/>
      <c r="S1" s="133"/>
      <c r="T1" s="133"/>
      <c r="U1" s="133"/>
      <c r="V1" s="133"/>
      <c r="W1" s="133" t="str">
        <f>IFERROR(VLOOKUP(AJ1,rng_DadosInsumos,2,FALSE),"-")</f>
        <v>-</v>
      </c>
      <c r="X1" s="133" t="str">
        <f>IFERROR(VLOOKUP(AJ1,rng_DadosInsumos,3,FALSE),"-")</f>
        <v>-</v>
      </c>
      <c r="Y1" s="139"/>
      <c r="Z1" s="135"/>
      <c r="AA1" s="125"/>
      <c r="AB1" s="133"/>
      <c r="AC1" s="134"/>
      <c r="AD1" s="136" t="e">
        <f>VLOOKUP(AK1,rng_DadosGrupoContas,2,FALSE)</f>
        <v>#REF!</v>
      </c>
      <c r="AE1" s="133"/>
      <c r="AF1" s="133"/>
      <c r="AG1" s="133"/>
      <c r="AH1" s="133"/>
      <c r="AI1" s="133"/>
      <c r="AJ1" s="133"/>
      <c r="AK1" s="133"/>
      <c r="AL1" s="125"/>
    </row>
    <row r="2" spans="1:38" s="91" customFormat="1" ht="3.75" customHeight="1" x14ac:dyDescent="0.25">
      <c r="A2" s="86"/>
      <c r="B2" s="83"/>
      <c r="C2" s="83"/>
      <c r="D2" s="83"/>
      <c r="E2" s="83"/>
      <c r="F2" s="86"/>
      <c r="G2" s="86"/>
      <c r="H2" s="86"/>
      <c r="I2" s="86"/>
      <c r="J2" s="86"/>
      <c r="K2" s="86"/>
      <c r="M2" s="86"/>
      <c r="N2" s="86"/>
      <c r="O2" s="86"/>
      <c r="P2" s="23"/>
      <c r="Q2" s="86"/>
      <c r="R2" s="86"/>
      <c r="S2" s="86"/>
      <c r="T2" s="86"/>
      <c r="U2" s="86"/>
      <c r="V2" s="86"/>
      <c r="W2" s="86"/>
      <c r="X2" s="86"/>
      <c r="Y2" s="140"/>
      <c r="Z2" s="88"/>
      <c r="AA2" s="83"/>
      <c r="AB2" s="86"/>
      <c r="AC2" s="87"/>
      <c r="AD2" s="89"/>
      <c r="AE2" s="86"/>
      <c r="AF2" s="86"/>
      <c r="AG2" s="86"/>
      <c r="AH2" s="86"/>
      <c r="AI2" s="86"/>
      <c r="AJ2" s="86"/>
      <c r="AK2" s="86"/>
      <c r="AL2" s="83"/>
    </row>
    <row r="3" spans="1:38" s="7" customFormat="1" ht="42.75" customHeight="1" x14ac:dyDescent="0.25">
      <c r="A3" s="98" t="s">
        <v>80</v>
      </c>
      <c r="B3" s="99" t="s">
        <v>46</v>
      </c>
      <c r="C3" s="99" t="s">
        <v>74</v>
      </c>
      <c r="D3" s="99" t="s">
        <v>75</v>
      </c>
      <c r="E3" s="99" t="s">
        <v>16</v>
      </c>
      <c r="F3" s="100" t="s">
        <v>52</v>
      </c>
      <c r="G3" s="101" t="s">
        <v>7</v>
      </c>
      <c r="H3" s="101" t="s">
        <v>17</v>
      </c>
      <c r="I3" s="101" t="s">
        <v>40</v>
      </c>
      <c r="J3" s="101" t="s">
        <v>0</v>
      </c>
      <c r="K3" s="101" t="s">
        <v>18</v>
      </c>
      <c r="L3" s="101" t="s">
        <v>5</v>
      </c>
      <c r="M3" s="101" t="s">
        <v>51</v>
      </c>
      <c r="N3" s="101" t="s">
        <v>49</v>
      </c>
      <c r="O3" s="101" t="s">
        <v>3</v>
      </c>
      <c r="P3" s="101" t="s">
        <v>50</v>
      </c>
      <c r="Q3" s="101" t="s">
        <v>48</v>
      </c>
      <c r="R3" s="102" t="s">
        <v>19</v>
      </c>
      <c r="S3" s="101" t="s">
        <v>1</v>
      </c>
      <c r="T3" s="101" t="s">
        <v>20</v>
      </c>
      <c r="U3" s="101" t="s">
        <v>108</v>
      </c>
      <c r="V3" s="101" t="s">
        <v>21</v>
      </c>
      <c r="W3" s="101" t="s">
        <v>69</v>
      </c>
      <c r="X3" s="101" t="s">
        <v>70</v>
      </c>
      <c r="Y3" s="138" t="s">
        <v>73</v>
      </c>
      <c r="Z3" s="103" t="s">
        <v>76</v>
      </c>
      <c r="AA3" s="99" t="s">
        <v>53</v>
      </c>
      <c r="AB3" s="101" t="s">
        <v>26</v>
      </c>
      <c r="AC3" s="102" t="s">
        <v>78</v>
      </c>
      <c r="AD3" s="102" t="s">
        <v>96</v>
      </c>
      <c r="AE3" s="101" t="s">
        <v>22</v>
      </c>
      <c r="AF3" s="101" t="s">
        <v>23</v>
      </c>
      <c r="AG3" s="101" t="s">
        <v>24</v>
      </c>
      <c r="AH3" s="101" t="s">
        <v>25</v>
      </c>
      <c r="AI3" s="101" t="s">
        <v>72</v>
      </c>
      <c r="AJ3" s="101" t="s">
        <v>71</v>
      </c>
      <c r="AK3" s="101" t="s">
        <v>98</v>
      </c>
      <c r="AL3" s="99" t="s">
        <v>95</v>
      </c>
    </row>
    <row r="4" spans="1:38" x14ac:dyDescent="0.25">
      <c r="A4"/>
      <c r="B4"/>
      <c r="C4"/>
      <c r="D4"/>
      <c r="E4"/>
      <c r="F4"/>
      <c r="G4"/>
      <c r="H4"/>
      <c r="I4"/>
      <c r="J4"/>
      <c r="K4"/>
      <c r="L4"/>
      <c r="M4"/>
      <c r="N4"/>
      <c r="O4"/>
      <c r="P4"/>
      <c r="Q4"/>
      <c r="R4"/>
      <c r="S4"/>
      <c r="T4"/>
      <c r="U4"/>
      <c r="V4"/>
      <c r="W4"/>
      <c r="X4"/>
      <c r="Y4"/>
      <c r="Z4"/>
      <c r="AA4"/>
      <c r="AB4"/>
      <c r="AC4"/>
      <c r="AD4"/>
      <c r="AE4"/>
      <c r="AF4"/>
      <c r="AG4"/>
      <c r="AH4"/>
      <c r="AI4"/>
      <c r="AJ4"/>
      <c r="AK4"/>
      <c r="AL4"/>
    </row>
    <row r="5" spans="1:38" x14ac:dyDescent="0.25">
      <c r="A5"/>
      <c r="B5"/>
      <c r="C5"/>
      <c r="D5"/>
      <c r="E5"/>
      <c r="F5"/>
      <c r="G5"/>
      <c r="H5"/>
      <c r="I5"/>
      <c r="J5"/>
      <c r="K5"/>
      <c r="L5"/>
      <c r="M5"/>
      <c r="N5"/>
      <c r="O5"/>
      <c r="P5"/>
      <c r="Q5"/>
      <c r="R5"/>
      <c r="S5"/>
      <c r="T5"/>
      <c r="U5"/>
      <c r="V5"/>
      <c r="W5"/>
      <c r="X5"/>
      <c r="Y5"/>
      <c r="Z5"/>
      <c r="AA5"/>
      <c r="AB5"/>
      <c r="AC5"/>
      <c r="AD5"/>
      <c r="AE5"/>
      <c r="AF5"/>
      <c r="AG5"/>
      <c r="AH5"/>
      <c r="AI5"/>
      <c r="AJ5"/>
      <c r="AK5"/>
      <c r="AL5"/>
    </row>
    <row r="6" spans="1:38" x14ac:dyDescent="0.25">
      <c r="A6"/>
      <c r="B6"/>
      <c r="C6"/>
      <c r="D6"/>
      <c r="E6"/>
      <c r="F6"/>
      <c r="G6"/>
      <c r="H6"/>
      <c r="I6"/>
      <c r="J6"/>
      <c r="K6"/>
      <c r="L6"/>
      <c r="M6"/>
      <c r="N6"/>
      <c r="O6"/>
      <c r="P6"/>
      <c r="Q6"/>
      <c r="R6"/>
      <c r="S6"/>
      <c r="T6"/>
      <c r="U6"/>
      <c r="V6"/>
      <c r="W6"/>
      <c r="X6"/>
      <c r="Y6"/>
      <c r="Z6"/>
      <c r="AA6"/>
      <c r="AB6"/>
      <c r="AC6"/>
      <c r="AD6"/>
      <c r="AE6"/>
      <c r="AF6"/>
      <c r="AG6"/>
      <c r="AH6"/>
      <c r="AI6"/>
      <c r="AJ6"/>
      <c r="AK6"/>
      <c r="AL6"/>
    </row>
    <row r="7" spans="1:38" x14ac:dyDescent="0.25">
      <c r="A7"/>
      <c r="B7"/>
      <c r="C7"/>
      <c r="D7"/>
      <c r="E7"/>
      <c r="F7"/>
      <c r="G7"/>
      <c r="H7"/>
      <c r="I7"/>
      <c r="J7"/>
      <c r="K7"/>
      <c r="L7"/>
      <c r="M7"/>
      <c r="N7"/>
      <c r="O7"/>
      <c r="P7"/>
      <c r="Q7"/>
      <c r="R7"/>
      <c r="S7"/>
      <c r="T7"/>
      <c r="U7"/>
      <c r="V7"/>
      <c r="W7"/>
      <c r="X7"/>
      <c r="Y7"/>
      <c r="Z7"/>
      <c r="AA7"/>
      <c r="AB7"/>
      <c r="AC7"/>
      <c r="AD7"/>
      <c r="AE7"/>
      <c r="AF7"/>
      <c r="AG7"/>
      <c r="AH7"/>
      <c r="AI7"/>
      <c r="AJ7"/>
      <c r="AK7"/>
      <c r="AL7"/>
    </row>
    <row r="8" spans="1:38" x14ac:dyDescent="0.25">
      <c r="A8"/>
      <c r="B8"/>
      <c r="C8"/>
      <c r="D8"/>
      <c r="E8"/>
      <c r="F8"/>
      <c r="G8"/>
      <c r="H8"/>
      <c r="I8"/>
      <c r="J8"/>
      <c r="K8"/>
      <c r="L8"/>
      <c r="M8"/>
      <c r="N8"/>
      <c r="O8"/>
      <c r="P8"/>
      <c r="Q8"/>
      <c r="R8"/>
      <c r="S8"/>
      <c r="T8"/>
      <c r="U8"/>
      <c r="V8"/>
      <c r="W8"/>
      <c r="X8"/>
      <c r="Y8"/>
      <c r="Z8"/>
      <c r="AA8"/>
      <c r="AB8"/>
      <c r="AC8"/>
      <c r="AD8"/>
      <c r="AE8"/>
      <c r="AF8"/>
      <c r="AG8"/>
      <c r="AH8"/>
      <c r="AI8"/>
      <c r="AJ8"/>
      <c r="AK8"/>
      <c r="AL8"/>
    </row>
    <row r="9" spans="1:38" x14ac:dyDescent="0.25">
      <c r="A9"/>
      <c r="B9"/>
      <c r="C9"/>
      <c r="D9"/>
      <c r="E9"/>
      <c r="F9"/>
      <c r="G9"/>
      <c r="H9"/>
      <c r="I9"/>
      <c r="J9"/>
      <c r="K9"/>
      <c r="L9"/>
      <c r="M9"/>
      <c r="N9"/>
      <c r="O9"/>
      <c r="P9"/>
      <c r="Q9"/>
      <c r="R9"/>
      <c r="S9"/>
      <c r="T9"/>
      <c r="U9"/>
      <c r="V9"/>
      <c r="W9"/>
      <c r="X9"/>
      <c r="Y9"/>
      <c r="Z9"/>
      <c r="AA9"/>
      <c r="AB9"/>
      <c r="AC9"/>
      <c r="AD9"/>
      <c r="AE9"/>
      <c r="AF9"/>
      <c r="AG9"/>
      <c r="AH9"/>
      <c r="AI9"/>
      <c r="AJ9"/>
      <c r="AK9"/>
      <c r="AL9"/>
    </row>
    <row r="10" spans="1:38"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38"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1:38"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1:38"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1:38"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row>
  </sheetData>
  <sheetProtection algorithmName="SHA-512" hashValue="++Ure4pv1Wqp7hNXd1JzCEnpj19bCEVexZFW3cj0FplzxDUDHgCcxZQKKKsqGGtQ6/tL17OPWoZeFE3iXLhtMw==" saltValue="/2FIQ4PoKmgorBC3YONODQ==" spinCount="100000" sheet="1" objects="1" scenarios="1" formatCells="0" formatColumns="0" sort="0" autoFilter="0" pivotTables="0"/>
  <autoFilter ref="A3:AJ73" xr:uid="{134AFEB8-E099-488A-9BA1-5AF6C2F934D3}"/>
  <pageMargins left="0.19685039370078741" right="0.19685039370078741" top="0.78740157480314965" bottom="0.78740157480314965" header="0.31496062992125984" footer="0.31496062992125984"/>
  <pageSetup paperSize="9" scale="26" orientation="landscape"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6CD0F-BA0B-4B09-AD59-1DB06128AF51}">
  <sheetPr codeName="Sht_RelFluxoDeCaixaVertical">
    <tabColor theme="8" tint="-0.249977111117893"/>
    <pageSetUpPr fitToPage="1"/>
  </sheetPr>
  <dimension ref="A1:D136"/>
  <sheetViews>
    <sheetView showGridLines="0" workbookViewId="0">
      <pane ySplit="10" topLeftCell="A11" activePane="bottomLeft" state="frozen"/>
      <selection pane="bottomLeft" activeCell="D11" sqref="D11:D12"/>
    </sheetView>
  </sheetViews>
  <sheetFormatPr defaultRowHeight="15" x14ac:dyDescent="0.25"/>
  <cols>
    <col min="1" max="1" width="2.85546875" customWidth="1"/>
    <col min="2" max="2" width="23" bestFit="1" customWidth="1"/>
    <col min="3" max="3" width="17.42578125" bestFit="1" customWidth="1"/>
    <col min="4" max="4" width="13.140625" style="45" customWidth="1"/>
  </cols>
  <sheetData>
    <row r="1" spans="1:4" x14ac:dyDescent="0.25">
      <c r="A1" s="8">
        <f>COUNTIF([0]!rng_DadosLanctosTD,"A REALIZAR")</f>
        <v>0</v>
      </c>
    </row>
    <row r="2" spans="1:4" x14ac:dyDescent="0.25">
      <c r="D2" s="61" t="str">
        <f>IFERROR(IF(B2="Total Geral","",IF(B2="","",D1+C2)),$D$9+$C$11)</f>
        <v/>
      </c>
    </row>
    <row r="4" spans="1:4" hidden="1" x14ac:dyDescent="0.25"/>
    <row r="5" spans="1:4" x14ac:dyDescent="0.25">
      <c r="B5" s="2" t="s">
        <v>17</v>
      </c>
      <c r="C5" t="s">
        <v>10</v>
      </c>
    </row>
    <row r="6" spans="1:4" x14ac:dyDescent="0.25">
      <c r="B6" s="2" t="s">
        <v>18</v>
      </c>
      <c r="C6" t="s">
        <v>10</v>
      </c>
    </row>
    <row r="7" spans="1:4" x14ac:dyDescent="0.25">
      <c r="B7" s="2" t="s">
        <v>7</v>
      </c>
      <c r="C7" t="s">
        <v>10</v>
      </c>
    </row>
    <row r="8" spans="1:4" hidden="1" x14ac:dyDescent="0.25">
      <c r="B8" s="2" t="s">
        <v>108</v>
      </c>
      <c r="C8" t="s">
        <v>127</v>
      </c>
    </row>
    <row r="9" spans="1:4" ht="27" customHeight="1" x14ac:dyDescent="0.25">
      <c r="C9" s="62" t="s">
        <v>107</v>
      </c>
      <c r="D9" s="63">
        <f>'Apoio TDs'!C8</f>
        <v>10000</v>
      </c>
    </row>
    <row r="10" spans="1:4" s="50" customFormat="1" ht="19.5" customHeight="1" x14ac:dyDescent="0.25">
      <c r="B10" s="47" t="s">
        <v>3</v>
      </c>
      <c r="C10" s="48" t="s">
        <v>92</v>
      </c>
      <c r="D10" s="49">
        <f t="shared" ref="D10:D12" si="0">IFERROR(IF(B10="Total Geral","",IF(B10="","",D9+C10)),$D$9+$C$11)</f>
        <v>20000</v>
      </c>
    </row>
    <row r="11" spans="1:4" x14ac:dyDescent="0.25">
      <c r="B11" s="3">
        <v>2018</v>
      </c>
      <c r="C11" s="1">
        <v>10000</v>
      </c>
      <c r="D11" s="61">
        <f t="shared" si="0"/>
        <v>30000</v>
      </c>
    </row>
    <row r="12" spans="1:4" x14ac:dyDescent="0.25">
      <c r="B12" s="3">
        <v>2019</v>
      </c>
      <c r="C12" s="1">
        <v>50000</v>
      </c>
      <c r="D12" s="61">
        <f t="shared" si="0"/>
        <v>80000</v>
      </c>
    </row>
    <row r="13" spans="1:4" x14ac:dyDescent="0.25">
      <c r="B13" s="3" t="s">
        <v>2</v>
      </c>
      <c r="C13" s="1">
        <v>60000</v>
      </c>
      <c r="D13" s="61"/>
    </row>
    <row r="14" spans="1:4" x14ac:dyDescent="0.25">
      <c r="D14" s="61"/>
    </row>
    <row r="15" spans="1:4" x14ac:dyDescent="0.25">
      <c r="D15" s="61"/>
    </row>
    <row r="16" spans="1:4" x14ac:dyDescent="0.25">
      <c r="D16" s="61"/>
    </row>
    <row r="17" spans="4:4" x14ac:dyDescent="0.25">
      <c r="D17" s="61"/>
    </row>
    <row r="18" spans="4:4" x14ac:dyDescent="0.25">
      <c r="D18" s="61"/>
    </row>
    <row r="19" spans="4:4" x14ac:dyDescent="0.25">
      <c r="D19" s="61"/>
    </row>
    <row r="20" spans="4:4" x14ac:dyDescent="0.25">
      <c r="D20" s="61"/>
    </row>
    <row r="21" spans="4:4" x14ac:dyDescent="0.25">
      <c r="D21" s="61"/>
    </row>
    <row r="22" spans="4:4" x14ac:dyDescent="0.25">
      <c r="D22" s="61"/>
    </row>
    <row r="23" spans="4:4" x14ac:dyDescent="0.25">
      <c r="D23" s="61"/>
    </row>
    <row r="24" spans="4:4" x14ac:dyDescent="0.25">
      <c r="D24" s="61"/>
    </row>
    <row r="25" spans="4:4" x14ac:dyDescent="0.25">
      <c r="D25" s="61"/>
    </row>
    <row r="26" spans="4:4" x14ac:dyDescent="0.25">
      <c r="D26" s="61"/>
    </row>
    <row r="27" spans="4:4" x14ac:dyDescent="0.25">
      <c r="D27" s="61"/>
    </row>
    <row r="28" spans="4:4" x14ac:dyDescent="0.25">
      <c r="D28" s="61"/>
    </row>
    <row r="29" spans="4:4" x14ac:dyDescent="0.25">
      <c r="D29" s="61"/>
    </row>
    <row r="30" spans="4:4" x14ac:dyDescent="0.25">
      <c r="D30" s="61"/>
    </row>
    <row r="31" spans="4:4" x14ac:dyDescent="0.25">
      <c r="D31" s="61"/>
    </row>
    <row r="32" spans="4:4" x14ac:dyDescent="0.25">
      <c r="D32" s="61"/>
    </row>
    <row r="33" spans="4:4" x14ac:dyDescent="0.25">
      <c r="D33" s="61"/>
    </row>
    <row r="34" spans="4:4" x14ac:dyDescent="0.25">
      <c r="D34" s="61"/>
    </row>
    <row r="35" spans="4:4" x14ac:dyDescent="0.25">
      <c r="D35" s="61"/>
    </row>
    <row r="36" spans="4:4" x14ac:dyDescent="0.25">
      <c r="D36" s="61"/>
    </row>
    <row r="37" spans="4:4" x14ac:dyDescent="0.25">
      <c r="D37" s="61"/>
    </row>
    <row r="38" spans="4:4" x14ac:dyDescent="0.25">
      <c r="D38" s="61"/>
    </row>
    <row r="39" spans="4:4" x14ac:dyDescent="0.25">
      <c r="D39" s="61"/>
    </row>
    <row r="40" spans="4:4" x14ac:dyDescent="0.25">
      <c r="D40" s="61"/>
    </row>
    <row r="41" spans="4:4" x14ac:dyDescent="0.25">
      <c r="D41" s="61"/>
    </row>
    <row r="42" spans="4:4" x14ac:dyDescent="0.25">
      <c r="D42" s="61"/>
    </row>
    <row r="43" spans="4:4" x14ac:dyDescent="0.25">
      <c r="D43" s="61"/>
    </row>
    <row r="44" spans="4:4" x14ac:dyDescent="0.25">
      <c r="D44" s="61"/>
    </row>
    <row r="45" spans="4:4" x14ac:dyDescent="0.25">
      <c r="D45" s="61"/>
    </row>
    <row r="46" spans="4:4" x14ac:dyDescent="0.25">
      <c r="D46" s="61"/>
    </row>
    <row r="47" spans="4:4" x14ac:dyDescent="0.25">
      <c r="D47" s="61"/>
    </row>
    <row r="48" spans="4:4" x14ac:dyDescent="0.25">
      <c r="D48" s="61"/>
    </row>
    <row r="49" spans="4:4" x14ac:dyDescent="0.25">
      <c r="D49" s="61"/>
    </row>
    <row r="50" spans="4:4" x14ac:dyDescent="0.25">
      <c r="D50" s="61"/>
    </row>
    <row r="51" spans="4:4" x14ac:dyDescent="0.25">
      <c r="D51" s="61"/>
    </row>
    <row r="52" spans="4:4" x14ac:dyDescent="0.25">
      <c r="D52" s="61"/>
    </row>
    <row r="53" spans="4:4" x14ac:dyDescent="0.25">
      <c r="D53" s="61"/>
    </row>
    <row r="54" spans="4:4" x14ac:dyDescent="0.25">
      <c r="D54" s="61"/>
    </row>
    <row r="55" spans="4:4" x14ac:dyDescent="0.25">
      <c r="D55" s="61"/>
    </row>
    <row r="56" spans="4:4" x14ac:dyDescent="0.25">
      <c r="D56" s="61"/>
    </row>
    <row r="57" spans="4:4" x14ac:dyDescent="0.25">
      <c r="D57" s="61"/>
    </row>
    <row r="58" spans="4:4" x14ac:dyDescent="0.25">
      <c r="D58" s="61"/>
    </row>
    <row r="59" spans="4:4" x14ac:dyDescent="0.25">
      <c r="D59" s="61"/>
    </row>
    <row r="60" spans="4:4" x14ac:dyDescent="0.25">
      <c r="D60" s="61"/>
    </row>
    <row r="61" spans="4:4" x14ac:dyDescent="0.25">
      <c r="D61" s="61"/>
    </row>
    <row r="62" spans="4:4" x14ac:dyDescent="0.25">
      <c r="D62" s="61"/>
    </row>
    <row r="63" spans="4:4" x14ac:dyDescent="0.25">
      <c r="D63" s="61"/>
    </row>
    <row r="64" spans="4:4" x14ac:dyDescent="0.25">
      <c r="D64" s="61"/>
    </row>
    <row r="65" spans="4:4" x14ac:dyDescent="0.25">
      <c r="D65" s="61"/>
    </row>
    <row r="66" spans="4:4" x14ac:dyDescent="0.25">
      <c r="D66" s="61"/>
    </row>
    <row r="67" spans="4:4" x14ac:dyDescent="0.25">
      <c r="D67" s="61"/>
    </row>
    <row r="68" spans="4:4" x14ac:dyDescent="0.25">
      <c r="D68" s="61"/>
    </row>
    <row r="69" spans="4:4" x14ac:dyDescent="0.25">
      <c r="D69" s="61"/>
    </row>
    <row r="70" spans="4:4" x14ac:dyDescent="0.25">
      <c r="D70" s="61"/>
    </row>
    <row r="71" spans="4:4" x14ac:dyDescent="0.25">
      <c r="D71" s="61"/>
    </row>
    <row r="72" spans="4:4" x14ac:dyDescent="0.25">
      <c r="D72" s="61"/>
    </row>
    <row r="73" spans="4:4" x14ac:dyDescent="0.25">
      <c r="D73" s="61"/>
    </row>
    <row r="74" spans="4:4" x14ac:dyDescent="0.25">
      <c r="D74" s="61"/>
    </row>
    <row r="75" spans="4:4" x14ac:dyDescent="0.25">
      <c r="D75" s="61"/>
    </row>
    <row r="76" spans="4:4" x14ac:dyDescent="0.25">
      <c r="D76" s="61"/>
    </row>
    <row r="77" spans="4:4" x14ac:dyDescent="0.25">
      <c r="D77" s="61"/>
    </row>
    <row r="78" spans="4:4" x14ac:dyDescent="0.25">
      <c r="D78" s="61"/>
    </row>
    <row r="79" spans="4:4" x14ac:dyDescent="0.25">
      <c r="D79" s="61"/>
    </row>
    <row r="80" spans="4:4" x14ac:dyDescent="0.25">
      <c r="D80" s="61"/>
    </row>
    <row r="81" spans="4:4" x14ac:dyDescent="0.25">
      <c r="D81" s="61"/>
    </row>
    <row r="82" spans="4:4" x14ac:dyDescent="0.25">
      <c r="D82" s="61"/>
    </row>
    <row r="83" spans="4:4" x14ac:dyDescent="0.25">
      <c r="D83" s="61"/>
    </row>
    <row r="84" spans="4:4" x14ac:dyDescent="0.25">
      <c r="D84" s="61"/>
    </row>
    <row r="85" spans="4:4" x14ac:dyDescent="0.25">
      <c r="D85" s="61"/>
    </row>
    <row r="86" spans="4:4" x14ac:dyDescent="0.25">
      <c r="D86" s="61"/>
    </row>
    <row r="87" spans="4:4" x14ac:dyDescent="0.25">
      <c r="D87" s="61"/>
    </row>
    <row r="88" spans="4:4" x14ac:dyDescent="0.25">
      <c r="D88" s="61"/>
    </row>
    <row r="89" spans="4:4" x14ac:dyDescent="0.25">
      <c r="D89" s="61"/>
    </row>
    <row r="90" spans="4:4" x14ac:dyDescent="0.25">
      <c r="D90" s="61"/>
    </row>
    <row r="91" spans="4:4" x14ac:dyDescent="0.25">
      <c r="D91" s="61"/>
    </row>
    <row r="92" spans="4:4" x14ac:dyDescent="0.25">
      <c r="D92" s="61"/>
    </row>
    <row r="93" spans="4:4" x14ac:dyDescent="0.25">
      <c r="D93" s="61"/>
    </row>
    <row r="94" spans="4:4" x14ac:dyDescent="0.25">
      <c r="D94" s="61"/>
    </row>
    <row r="95" spans="4:4" x14ac:dyDescent="0.25">
      <c r="D95" s="61"/>
    </row>
    <row r="96" spans="4:4" x14ac:dyDescent="0.25">
      <c r="D96" s="61"/>
    </row>
    <row r="97" spans="4:4" x14ac:dyDescent="0.25">
      <c r="D97" s="61"/>
    </row>
    <row r="98" spans="4:4" x14ac:dyDescent="0.25">
      <c r="D98" s="61"/>
    </row>
    <row r="99" spans="4:4" x14ac:dyDescent="0.25">
      <c r="D99" s="61"/>
    </row>
    <row r="100" spans="4:4" x14ac:dyDescent="0.25">
      <c r="D100" s="61"/>
    </row>
    <row r="101" spans="4:4" x14ac:dyDescent="0.25">
      <c r="D101" s="61"/>
    </row>
    <row r="102" spans="4:4" x14ac:dyDescent="0.25">
      <c r="D102" s="61"/>
    </row>
    <row r="103" spans="4:4" x14ac:dyDescent="0.25">
      <c r="D103" s="61"/>
    </row>
    <row r="104" spans="4:4" x14ac:dyDescent="0.25">
      <c r="D104" s="61"/>
    </row>
    <row r="105" spans="4:4" x14ac:dyDescent="0.25">
      <c r="D105" s="61"/>
    </row>
    <row r="106" spans="4:4" x14ac:dyDescent="0.25">
      <c r="D106" s="61"/>
    </row>
    <row r="107" spans="4:4" x14ac:dyDescent="0.25">
      <c r="D107" s="61"/>
    </row>
    <row r="108" spans="4:4" x14ac:dyDescent="0.25">
      <c r="D108" s="61"/>
    </row>
    <row r="109" spans="4:4" x14ac:dyDescent="0.25">
      <c r="D109" s="61"/>
    </row>
    <row r="110" spans="4:4" x14ac:dyDescent="0.25">
      <c r="D110" s="61"/>
    </row>
    <row r="111" spans="4:4" x14ac:dyDescent="0.25">
      <c r="D111" s="61"/>
    </row>
    <row r="112" spans="4:4" x14ac:dyDescent="0.25">
      <c r="D112" s="61"/>
    </row>
    <row r="113" spans="4:4" x14ac:dyDescent="0.25">
      <c r="D113" s="61"/>
    </row>
    <row r="114" spans="4:4" x14ac:dyDescent="0.25">
      <c r="D114" s="61"/>
    </row>
    <row r="115" spans="4:4" x14ac:dyDescent="0.25">
      <c r="D115" s="61"/>
    </row>
    <row r="116" spans="4:4" x14ac:dyDescent="0.25">
      <c r="D116" s="61"/>
    </row>
    <row r="117" spans="4:4" x14ac:dyDescent="0.25">
      <c r="D117" s="61"/>
    </row>
    <row r="118" spans="4:4" x14ac:dyDescent="0.25">
      <c r="D118" s="61"/>
    </row>
    <row r="119" spans="4:4" x14ac:dyDescent="0.25">
      <c r="D119" s="61"/>
    </row>
    <row r="120" spans="4:4" x14ac:dyDescent="0.25">
      <c r="D120" s="61"/>
    </row>
    <row r="121" spans="4:4" x14ac:dyDescent="0.25">
      <c r="D121" s="61"/>
    </row>
    <row r="122" spans="4:4" x14ac:dyDescent="0.25">
      <c r="D122" s="61"/>
    </row>
    <row r="123" spans="4:4" x14ac:dyDescent="0.25">
      <c r="D123" s="61"/>
    </row>
    <row r="124" spans="4:4" x14ac:dyDescent="0.25">
      <c r="D124" s="61"/>
    </row>
    <row r="125" spans="4:4" x14ac:dyDescent="0.25">
      <c r="D125" s="61"/>
    </row>
    <row r="126" spans="4:4" x14ac:dyDescent="0.25">
      <c r="D126" s="61"/>
    </row>
    <row r="127" spans="4:4" x14ac:dyDescent="0.25">
      <c r="D127" s="61"/>
    </row>
    <row r="128" spans="4:4" x14ac:dyDescent="0.25">
      <c r="D128" s="61"/>
    </row>
    <row r="129" spans="4:4" x14ac:dyDescent="0.25">
      <c r="D129" s="61"/>
    </row>
    <row r="130" spans="4:4" x14ac:dyDescent="0.25">
      <c r="D130" s="61"/>
    </row>
    <row r="131" spans="4:4" x14ac:dyDescent="0.25">
      <c r="D131" s="61"/>
    </row>
    <row r="132" spans="4:4" x14ac:dyDescent="0.25">
      <c r="D132" s="61"/>
    </row>
    <row r="133" spans="4:4" x14ac:dyDescent="0.25">
      <c r="D133" s="61"/>
    </row>
    <row r="134" spans="4:4" x14ac:dyDescent="0.25">
      <c r="D134" s="61"/>
    </row>
    <row r="135" spans="4:4" x14ac:dyDescent="0.25">
      <c r="D135" s="61"/>
    </row>
    <row r="136" spans="4:4" x14ac:dyDescent="0.25">
      <c r="D136" s="61"/>
    </row>
  </sheetData>
  <sheetProtection algorithmName="SHA-512" hashValue="+ld6RHrPRAE1J3OAbzKFe/2md+m++zEAn+LP8VOxpTSdpE3G/5e8uxy7M7/122wum6y6L30ADhysEPQoSd46VQ==" saltValue="uOsgAo3UJNGM9tku97zYeQ==" spinCount="100000" sheet="1" objects="1" scenarios="1" formatCells="0" formatColumns="0" sort="0" autoFilter="0" pivotTables="0"/>
  <pageMargins left="0.51181102362204722" right="0.51181102362204722" top="0.78740157480314965" bottom="0.78740157480314965" header="0.31496062992125984" footer="0.31496062992125984"/>
  <pageSetup paperSize="9" orientation="landscape" r:id="rId2"/>
  <headerFooter>
    <oddFooter>&amp;L&amp;8&amp;Z&amp;F&amp;R&amp;D / &amp;T</oddFooter>
  </headerFooter>
  <drawing r:id="rId3"/>
  <legacyDrawing r:id="rId4"/>
  <controls>
    <mc:AlternateContent xmlns:mc="http://schemas.openxmlformats.org/markup-compatibility/2006">
      <mc:Choice Requires="x14">
        <control shapeId="10242" r:id="rId5" name="ScrollBar1">
          <controlPr defaultSize="0" autoLine="0" r:id="rId6">
            <anchor moveWithCells="1">
              <from>
                <xdr:col>1</xdr:col>
                <xdr:colOff>28575</xdr:colOff>
                <xdr:row>9</xdr:row>
                <xdr:rowOff>47625</xdr:rowOff>
              </from>
              <to>
                <xdr:col>1</xdr:col>
                <xdr:colOff>762000</xdr:colOff>
                <xdr:row>9</xdr:row>
                <xdr:rowOff>209550</xdr:rowOff>
              </to>
            </anchor>
          </controlPr>
        </control>
      </mc:Choice>
      <mc:Fallback>
        <control shapeId="10242" r:id="rId5" name="ScrollBar1"/>
      </mc:Fallback>
    </mc:AlternateContent>
  </controls>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_RelPorTitular">
    <tabColor theme="4" tint="0.39997558519241921"/>
  </sheetPr>
  <dimension ref="B1:Q41"/>
  <sheetViews>
    <sheetView showGridLines="0" zoomScaleNormal="100" workbookViewId="0">
      <selection activeCell="C6" sqref="C6"/>
    </sheetView>
  </sheetViews>
  <sheetFormatPr defaultColWidth="9.140625" defaultRowHeight="15" x14ac:dyDescent="0.25"/>
  <cols>
    <col min="1" max="1" width="1.7109375" style="26" customWidth="1"/>
    <col min="2" max="2" width="20.5703125" style="26" bestFit="1" customWidth="1"/>
    <col min="3" max="3" width="11.85546875" style="26" bestFit="1" customWidth="1"/>
    <col min="4" max="12" width="10.28515625" style="26" bestFit="1" customWidth="1"/>
    <col min="13" max="13" width="11.28515625" style="26" bestFit="1" customWidth="1"/>
    <col min="14" max="15" width="10.28515625" style="26" bestFit="1" customWidth="1"/>
    <col min="16" max="16" width="11.28515625" style="26" bestFit="1" customWidth="1"/>
    <col min="17" max="17" width="10.5703125" style="26" bestFit="1" customWidth="1"/>
    <col min="18" max="16384" width="9.140625" style="26"/>
  </cols>
  <sheetData>
    <row r="1" spans="2:17" ht="3" customHeight="1" x14ac:dyDescent="0.25"/>
    <row r="2" spans="2:17" ht="17.25" customHeight="1" x14ac:dyDescent="0.25"/>
    <row r="3" spans="2:17" ht="17.25" customHeight="1" x14ac:dyDescent="0.25"/>
    <row r="4" spans="2:17" ht="17.25" hidden="1" customHeight="1" x14ac:dyDescent="0.25"/>
    <row r="5" spans="2:17" x14ac:dyDescent="0.25">
      <c r="B5" s="27" t="s">
        <v>130</v>
      </c>
      <c r="C5" s="26" t="s">
        <v>10</v>
      </c>
    </row>
    <row r="6" spans="2:17" x14ac:dyDescent="0.25">
      <c r="B6" s="141" t="s">
        <v>138</v>
      </c>
      <c r="C6" s="32">
        <v>2019</v>
      </c>
    </row>
    <row r="8" spans="2:17" x14ac:dyDescent="0.25">
      <c r="B8" s="16" t="s">
        <v>63</v>
      </c>
      <c r="C8" s="24" t="s">
        <v>43</v>
      </c>
      <c r="N8"/>
      <c r="O8"/>
      <c r="P8"/>
      <c r="Q8"/>
    </row>
    <row r="9" spans="2:17" x14ac:dyDescent="0.25">
      <c r="B9" s="24" t="s">
        <v>3</v>
      </c>
      <c r="C9" s="28">
        <v>43496</v>
      </c>
      <c r="D9" s="28">
        <v>43524</v>
      </c>
      <c r="E9" s="28">
        <v>43555</v>
      </c>
      <c r="F9" s="28">
        <v>43585</v>
      </c>
      <c r="G9" s="28">
        <v>43616</v>
      </c>
      <c r="H9" s="28">
        <v>43646</v>
      </c>
      <c r="I9" s="28">
        <v>43677</v>
      </c>
      <c r="J9" s="28">
        <v>43708</v>
      </c>
      <c r="K9" s="28">
        <v>43738</v>
      </c>
      <c r="L9" s="28">
        <v>43769</v>
      </c>
      <c r="M9" s="46" t="s">
        <v>2</v>
      </c>
      <c r="N9"/>
      <c r="O9"/>
      <c r="P9"/>
      <c r="Q9"/>
    </row>
    <row r="10" spans="2:17" x14ac:dyDescent="0.25">
      <c r="B10" s="32" t="s">
        <v>142</v>
      </c>
      <c r="C10" s="30">
        <v>20000</v>
      </c>
      <c r="D10" s="30">
        <v>20000</v>
      </c>
      <c r="E10" s="30">
        <v>20000</v>
      </c>
      <c r="F10" s="30">
        <v>20000</v>
      </c>
      <c r="G10" s="30">
        <v>20000</v>
      </c>
      <c r="H10" s="30">
        <v>20000</v>
      </c>
      <c r="I10" s="30">
        <v>20000</v>
      </c>
      <c r="J10" s="30">
        <v>20000</v>
      </c>
      <c r="K10" s="30">
        <v>20000</v>
      </c>
      <c r="L10" s="30">
        <v>20000</v>
      </c>
      <c r="M10" s="30">
        <v>200000</v>
      </c>
      <c r="N10"/>
      <c r="O10"/>
      <c r="P10"/>
      <c r="Q10"/>
    </row>
    <row r="11" spans="2:17" x14ac:dyDescent="0.25">
      <c r="B11" s="33" t="s">
        <v>175</v>
      </c>
      <c r="C11" s="30">
        <v>20000</v>
      </c>
      <c r="D11" s="30">
        <v>20000</v>
      </c>
      <c r="E11" s="30">
        <v>20000</v>
      </c>
      <c r="F11" s="30">
        <v>20000</v>
      </c>
      <c r="G11" s="30">
        <v>20000</v>
      </c>
      <c r="H11" s="30">
        <v>20000</v>
      </c>
      <c r="I11" s="30">
        <v>20000</v>
      </c>
      <c r="J11" s="30">
        <v>20000</v>
      </c>
      <c r="K11" s="30">
        <v>20000</v>
      </c>
      <c r="L11" s="30">
        <v>20000</v>
      </c>
      <c r="M11" s="30">
        <v>200000</v>
      </c>
      <c r="N11"/>
      <c r="O11"/>
      <c r="P11"/>
      <c r="Q11"/>
    </row>
    <row r="12" spans="2:17" x14ac:dyDescent="0.25">
      <c r="B12" s="34" t="s">
        <v>178</v>
      </c>
      <c r="C12" s="30">
        <v>20000</v>
      </c>
      <c r="D12" s="30">
        <v>20000</v>
      </c>
      <c r="E12" s="30">
        <v>20000</v>
      </c>
      <c r="F12" s="30">
        <v>20000</v>
      </c>
      <c r="G12" s="30">
        <v>20000</v>
      </c>
      <c r="H12" s="30">
        <v>20000</v>
      </c>
      <c r="I12" s="30">
        <v>20000</v>
      </c>
      <c r="J12" s="30">
        <v>20000</v>
      </c>
      <c r="K12" s="30">
        <v>20000</v>
      </c>
      <c r="L12" s="30">
        <v>20000</v>
      </c>
      <c r="M12" s="30">
        <v>200000</v>
      </c>
      <c r="N12"/>
      <c r="O12"/>
      <c r="P12"/>
      <c r="Q12"/>
    </row>
    <row r="13" spans="2:17" x14ac:dyDescent="0.25">
      <c r="B13" s="32" t="s">
        <v>155</v>
      </c>
      <c r="C13" s="30">
        <v>-15000</v>
      </c>
      <c r="D13" s="30">
        <v>-15000</v>
      </c>
      <c r="E13" s="30">
        <v>-15000</v>
      </c>
      <c r="F13" s="30">
        <v>-15000</v>
      </c>
      <c r="G13" s="30">
        <v>-15000</v>
      </c>
      <c r="H13" s="30">
        <v>-15000</v>
      </c>
      <c r="I13" s="30">
        <v>-15000</v>
      </c>
      <c r="J13" s="30">
        <v>-15000</v>
      </c>
      <c r="K13" s="30">
        <v>-15000</v>
      </c>
      <c r="L13" s="30">
        <v>-15000</v>
      </c>
      <c r="M13" s="30">
        <v>-150000</v>
      </c>
      <c r="N13"/>
      <c r="O13"/>
      <c r="P13"/>
      <c r="Q13"/>
    </row>
    <row r="14" spans="2:17" x14ac:dyDescent="0.25">
      <c r="B14" s="33" t="s">
        <v>175</v>
      </c>
      <c r="C14" s="30">
        <v>-15000</v>
      </c>
      <c r="D14" s="30">
        <v>-15000</v>
      </c>
      <c r="E14" s="30">
        <v>-15000</v>
      </c>
      <c r="F14" s="30">
        <v>-15000</v>
      </c>
      <c r="G14" s="30">
        <v>-15000</v>
      </c>
      <c r="H14" s="30">
        <v>-15000</v>
      </c>
      <c r="I14" s="30">
        <v>-15000</v>
      </c>
      <c r="J14" s="30">
        <v>-15000</v>
      </c>
      <c r="K14" s="30">
        <v>-15000</v>
      </c>
      <c r="L14" s="30">
        <v>-15000</v>
      </c>
      <c r="M14" s="30">
        <v>-150000</v>
      </c>
      <c r="N14"/>
      <c r="O14"/>
      <c r="P14"/>
      <c r="Q14"/>
    </row>
    <row r="15" spans="2:17" x14ac:dyDescent="0.25">
      <c r="B15" s="34" t="s">
        <v>173</v>
      </c>
      <c r="C15" s="30">
        <v>-15000</v>
      </c>
      <c r="D15" s="30">
        <v>-15000</v>
      </c>
      <c r="E15" s="30">
        <v>-15000</v>
      </c>
      <c r="F15" s="30">
        <v>-15000</v>
      </c>
      <c r="G15" s="30">
        <v>-15000</v>
      </c>
      <c r="H15" s="30">
        <v>-15000</v>
      </c>
      <c r="I15" s="30">
        <v>-15000</v>
      </c>
      <c r="J15" s="30">
        <v>-15000</v>
      </c>
      <c r="K15" s="30">
        <v>-15000</v>
      </c>
      <c r="L15" s="30">
        <v>-15000</v>
      </c>
      <c r="M15" s="30">
        <v>-150000</v>
      </c>
      <c r="N15"/>
      <c r="O15"/>
      <c r="P15"/>
      <c r="Q15"/>
    </row>
    <row r="16" spans="2:17" x14ac:dyDescent="0.25">
      <c r="B16" s="32" t="s">
        <v>2</v>
      </c>
      <c r="C16" s="30">
        <v>5000</v>
      </c>
      <c r="D16" s="30">
        <v>5000</v>
      </c>
      <c r="E16" s="30">
        <v>5000</v>
      </c>
      <c r="F16" s="30">
        <v>5000</v>
      </c>
      <c r="G16" s="30">
        <v>5000</v>
      </c>
      <c r="H16" s="30">
        <v>5000</v>
      </c>
      <c r="I16" s="30">
        <v>5000</v>
      </c>
      <c r="J16" s="30">
        <v>5000</v>
      </c>
      <c r="K16" s="30">
        <v>5000</v>
      </c>
      <c r="L16" s="30">
        <v>5000</v>
      </c>
      <c r="M16" s="30">
        <v>50000</v>
      </c>
      <c r="N16"/>
      <c r="O16"/>
      <c r="P16"/>
      <c r="Q16"/>
    </row>
    <row r="17" spans="2:17" x14ac:dyDescent="0.25">
      <c r="B17"/>
      <c r="C17"/>
      <c r="D17"/>
      <c r="E17"/>
      <c r="F17"/>
      <c r="G17"/>
      <c r="H17"/>
      <c r="I17"/>
      <c r="J17"/>
      <c r="K17"/>
      <c r="L17"/>
      <c r="M17"/>
      <c r="N17"/>
      <c r="O17"/>
      <c r="P17"/>
      <c r="Q17"/>
    </row>
    <row r="18" spans="2:17" x14ac:dyDescent="0.25">
      <c r="B18"/>
      <c r="C18"/>
      <c r="D18"/>
      <c r="E18"/>
      <c r="F18"/>
      <c r="G18"/>
      <c r="H18"/>
      <c r="I18"/>
      <c r="J18"/>
      <c r="K18"/>
      <c r="L18"/>
      <c r="M18"/>
      <c r="N18"/>
      <c r="O18"/>
      <c r="P18"/>
      <c r="Q18"/>
    </row>
    <row r="19" spans="2:17" x14ac:dyDescent="0.25">
      <c r="B19"/>
      <c r="C19"/>
      <c r="D19"/>
      <c r="E19"/>
      <c r="F19"/>
      <c r="G19"/>
      <c r="H19"/>
      <c r="I19"/>
      <c r="J19"/>
      <c r="K19"/>
      <c r="L19"/>
      <c r="M19"/>
      <c r="N19"/>
      <c r="O19"/>
      <c r="P19"/>
      <c r="Q19"/>
    </row>
    <row r="20" spans="2:17" x14ac:dyDescent="0.25">
      <c r="B20"/>
      <c r="C20"/>
      <c r="D20"/>
      <c r="E20"/>
      <c r="F20"/>
      <c r="G20"/>
      <c r="H20"/>
      <c r="I20"/>
      <c r="J20"/>
      <c r="K20"/>
      <c r="L20"/>
      <c r="M20"/>
      <c r="N20"/>
      <c r="O20"/>
      <c r="P20"/>
      <c r="Q20"/>
    </row>
    <row r="21" spans="2:17" x14ac:dyDescent="0.25">
      <c r="B21"/>
      <c r="C21"/>
      <c r="D21"/>
      <c r="E21"/>
      <c r="F21"/>
      <c r="G21"/>
      <c r="H21"/>
      <c r="I21"/>
      <c r="J21"/>
      <c r="K21"/>
      <c r="L21"/>
      <c r="M21"/>
      <c r="N21"/>
      <c r="O21"/>
      <c r="P21"/>
      <c r="Q21"/>
    </row>
    <row r="22" spans="2:17" x14ac:dyDescent="0.25">
      <c r="B22"/>
      <c r="C22"/>
      <c r="D22"/>
      <c r="E22"/>
      <c r="F22"/>
      <c r="G22"/>
      <c r="H22"/>
      <c r="I22"/>
      <c r="J22"/>
      <c r="K22"/>
      <c r="L22"/>
      <c r="M22"/>
      <c r="N22"/>
      <c r="O22"/>
      <c r="P22"/>
      <c r="Q22"/>
    </row>
    <row r="23" spans="2:17" x14ac:dyDescent="0.25">
      <c r="B23"/>
      <c r="C23"/>
      <c r="D23"/>
      <c r="E23"/>
      <c r="F23"/>
      <c r="G23"/>
      <c r="H23"/>
      <c r="I23"/>
      <c r="J23"/>
      <c r="K23"/>
      <c r="L23"/>
      <c r="M23"/>
      <c r="N23"/>
      <c r="O23"/>
      <c r="P23"/>
      <c r="Q23"/>
    </row>
    <row r="24" spans="2:17" x14ac:dyDescent="0.25">
      <c r="B24"/>
      <c r="C24"/>
      <c r="D24"/>
      <c r="E24"/>
      <c r="F24"/>
      <c r="G24"/>
      <c r="H24"/>
      <c r="I24"/>
      <c r="J24"/>
      <c r="K24"/>
      <c r="L24"/>
      <c r="M24"/>
      <c r="N24"/>
      <c r="O24"/>
      <c r="P24"/>
      <c r="Q24"/>
    </row>
    <row r="25" spans="2:17" x14ac:dyDescent="0.25">
      <c r="B25"/>
      <c r="C25"/>
      <c r="D25"/>
      <c r="E25"/>
      <c r="F25"/>
      <c r="G25"/>
      <c r="H25"/>
      <c r="I25"/>
      <c r="J25"/>
      <c r="K25"/>
      <c r="L25"/>
      <c r="M25"/>
      <c r="N25"/>
      <c r="O25"/>
      <c r="P25"/>
      <c r="Q25"/>
    </row>
    <row r="26" spans="2:17" x14ac:dyDescent="0.25">
      <c r="B26"/>
      <c r="C26"/>
      <c r="D26"/>
      <c r="E26"/>
      <c r="F26"/>
      <c r="G26"/>
      <c r="H26"/>
      <c r="I26"/>
      <c r="J26"/>
      <c r="K26"/>
      <c r="L26"/>
      <c r="M26"/>
      <c r="N26"/>
      <c r="O26"/>
      <c r="P26"/>
      <c r="Q26"/>
    </row>
    <row r="27" spans="2:17" x14ac:dyDescent="0.25">
      <c r="B27"/>
      <c r="C27"/>
      <c r="D27"/>
      <c r="E27"/>
      <c r="F27"/>
      <c r="G27"/>
      <c r="H27"/>
      <c r="I27"/>
      <c r="J27"/>
      <c r="K27"/>
      <c r="L27"/>
      <c r="M27"/>
      <c r="N27"/>
      <c r="O27"/>
      <c r="P27"/>
      <c r="Q27"/>
    </row>
    <row r="28" spans="2:17" x14ac:dyDescent="0.25">
      <c r="B28"/>
      <c r="C28"/>
      <c r="D28"/>
      <c r="E28"/>
      <c r="F28"/>
      <c r="G28"/>
      <c r="H28"/>
      <c r="I28"/>
      <c r="J28"/>
      <c r="K28"/>
      <c r="L28"/>
      <c r="M28"/>
      <c r="N28"/>
      <c r="O28"/>
      <c r="P28"/>
      <c r="Q28"/>
    </row>
    <row r="29" spans="2:17" x14ac:dyDescent="0.25">
      <c r="B29"/>
      <c r="C29"/>
      <c r="D29"/>
      <c r="E29"/>
      <c r="F29"/>
      <c r="G29"/>
      <c r="H29"/>
      <c r="I29"/>
      <c r="J29"/>
      <c r="K29"/>
      <c r="L29"/>
      <c r="M29"/>
      <c r="N29"/>
      <c r="O29"/>
      <c r="P29"/>
      <c r="Q29"/>
    </row>
    <row r="30" spans="2:17" x14ac:dyDescent="0.25">
      <c r="B30"/>
      <c r="C30"/>
      <c r="D30"/>
      <c r="E30"/>
      <c r="F30"/>
      <c r="G30"/>
      <c r="H30"/>
      <c r="I30"/>
      <c r="J30"/>
      <c r="K30"/>
      <c r="L30"/>
      <c r="M30"/>
      <c r="N30"/>
      <c r="O30"/>
      <c r="P30"/>
      <c r="Q30"/>
    </row>
    <row r="31" spans="2:17" x14ac:dyDescent="0.25">
      <c r="B31"/>
      <c r="C31"/>
      <c r="D31"/>
      <c r="E31"/>
      <c r="F31"/>
      <c r="G31"/>
      <c r="H31"/>
      <c r="I31"/>
      <c r="J31"/>
      <c r="K31"/>
      <c r="L31"/>
      <c r="M31"/>
      <c r="N31"/>
      <c r="O31"/>
      <c r="P31"/>
      <c r="Q31"/>
    </row>
    <row r="32" spans="2:17"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sheetData>
  <sheetProtection algorithmName="SHA-512" hashValue="XMeFtG6PLRAU9m3r0xr9WjXgaBouFmcqM5cL+pBAKa/ir5dtWClnKCW2O6n3XTmqnr+CgxlVngCgOdAzgOIGXQ==" saltValue="wegeEYvDUSI7AZxDTrOcC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_RelFixoEsporadico">
    <tabColor theme="5" tint="-0.249977111117893"/>
  </sheetPr>
  <dimension ref="B1:Q30"/>
  <sheetViews>
    <sheetView showGridLines="0" zoomScaleNormal="100" workbookViewId="0">
      <selection activeCell="E4" sqref="E4"/>
    </sheetView>
  </sheetViews>
  <sheetFormatPr defaultColWidth="9.140625" defaultRowHeight="15" x14ac:dyDescent="0.25"/>
  <cols>
    <col min="1" max="1" width="1.7109375" style="26" customWidth="1"/>
    <col min="2" max="2" width="15.5703125" style="26" bestFit="1" customWidth="1"/>
    <col min="3" max="3" width="12.28515625" style="26" bestFit="1" customWidth="1"/>
    <col min="4" max="12" width="10.28515625" style="26" bestFit="1" customWidth="1"/>
    <col min="13" max="13" width="11.28515625" style="26" bestFit="1" customWidth="1"/>
    <col min="14" max="15" width="10.28515625" style="26" bestFit="1" customWidth="1"/>
    <col min="16" max="16" width="11.28515625" style="26" bestFit="1" customWidth="1"/>
    <col min="17" max="17" width="10.5703125" style="26" bestFit="1" customWidth="1"/>
    <col min="18" max="16384" width="9.140625" style="26"/>
  </cols>
  <sheetData>
    <row r="1" spans="2:17" ht="3" customHeight="1" x14ac:dyDescent="0.25"/>
    <row r="2" spans="2:17" ht="17.25" customHeight="1" x14ac:dyDescent="0.25"/>
    <row r="4" spans="2:17" x14ac:dyDescent="0.25">
      <c r="B4" s="27" t="s">
        <v>13</v>
      </c>
      <c r="C4" s="32">
        <v>2019</v>
      </c>
    </row>
    <row r="6" spans="2:17" x14ac:dyDescent="0.25">
      <c r="B6" s="16" t="s">
        <v>63</v>
      </c>
      <c r="C6" s="24" t="s">
        <v>44</v>
      </c>
      <c r="N6"/>
      <c r="O6"/>
      <c r="P6"/>
      <c r="Q6"/>
    </row>
    <row r="7" spans="2:17" x14ac:dyDescent="0.25">
      <c r="B7" s="24" t="s">
        <v>12</v>
      </c>
      <c r="C7" s="28">
        <v>43496</v>
      </c>
      <c r="D7" s="28">
        <v>43524</v>
      </c>
      <c r="E7" s="28">
        <v>43555</v>
      </c>
      <c r="F7" s="28">
        <v>43585</v>
      </c>
      <c r="G7" s="28">
        <v>43616</v>
      </c>
      <c r="H7" s="28">
        <v>43646</v>
      </c>
      <c r="I7" s="28">
        <v>43677</v>
      </c>
      <c r="J7" s="28">
        <v>43708</v>
      </c>
      <c r="K7" s="28">
        <v>43738</v>
      </c>
      <c r="L7" s="28">
        <v>43769</v>
      </c>
      <c r="M7" s="28" t="s">
        <v>2</v>
      </c>
      <c r="N7"/>
      <c r="O7"/>
      <c r="P7"/>
      <c r="Q7"/>
    </row>
    <row r="8" spans="2:17" x14ac:dyDescent="0.25">
      <c r="B8" s="29" t="s">
        <v>119</v>
      </c>
      <c r="C8" s="30">
        <v>5000</v>
      </c>
      <c r="D8" s="30">
        <v>5000</v>
      </c>
      <c r="E8" s="30">
        <v>5000</v>
      </c>
      <c r="F8" s="30">
        <v>5000</v>
      </c>
      <c r="G8" s="30">
        <v>5000</v>
      </c>
      <c r="H8" s="30">
        <v>5000</v>
      </c>
      <c r="I8" s="30">
        <v>5000</v>
      </c>
      <c r="J8" s="30">
        <v>5000</v>
      </c>
      <c r="K8" s="30">
        <v>5000</v>
      </c>
      <c r="L8" s="30">
        <v>5000</v>
      </c>
      <c r="M8" s="30">
        <v>50000</v>
      </c>
      <c r="N8"/>
      <c r="O8"/>
      <c r="P8"/>
      <c r="Q8"/>
    </row>
    <row r="9" spans="2:17" x14ac:dyDescent="0.25">
      <c r="B9" s="25" t="s">
        <v>142</v>
      </c>
      <c r="C9" s="30">
        <v>20000</v>
      </c>
      <c r="D9" s="30">
        <v>20000</v>
      </c>
      <c r="E9" s="30">
        <v>20000</v>
      </c>
      <c r="F9" s="30">
        <v>20000</v>
      </c>
      <c r="G9" s="30">
        <v>20000</v>
      </c>
      <c r="H9" s="30">
        <v>20000</v>
      </c>
      <c r="I9" s="30">
        <v>20000</v>
      </c>
      <c r="J9" s="30">
        <v>20000</v>
      </c>
      <c r="K9" s="30">
        <v>20000</v>
      </c>
      <c r="L9" s="30">
        <v>20000</v>
      </c>
      <c r="M9" s="30">
        <v>200000</v>
      </c>
      <c r="N9"/>
      <c r="O9"/>
      <c r="P9"/>
      <c r="Q9"/>
    </row>
    <row r="10" spans="2:17" x14ac:dyDescent="0.25">
      <c r="B10" s="31" t="s">
        <v>178</v>
      </c>
      <c r="C10" s="30">
        <v>20000</v>
      </c>
      <c r="D10" s="30">
        <v>20000</v>
      </c>
      <c r="E10" s="30">
        <v>20000</v>
      </c>
      <c r="F10" s="30">
        <v>20000</v>
      </c>
      <c r="G10" s="30">
        <v>20000</v>
      </c>
      <c r="H10" s="30">
        <v>20000</v>
      </c>
      <c r="I10" s="30">
        <v>20000</v>
      </c>
      <c r="J10" s="30">
        <v>20000</v>
      </c>
      <c r="K10" s="30">
        <v>20000</v>
      </c>
      <c r="L10" s="30">
        <v>20000</v>
      </c>
      <c r="M10" s="30">
        <v>200000</v>
      </c>
      <c r="N10"/>
      <c r="O10"/>
      <c r="P10"/>
      <c r="Q10"/>
    </row>
    <row r="11" spans="2:17" x14ac:dyDescent="0.25">
      <c r="B11" s="25" t="s">
        <v>155</v>
      </c>
      <c r="C11" s="30">
        <v>-15000</v>
      </c>
      <c r="D11" s="30">
        <v>-15000</v>
      </c>
      <c r="E11" s="30">
        <v>-15000</v>
      </c>
      <c r="F11" s="30">
        <v>-15000</v>
      </c>
      <c r="G11" s="30">
        <v>-15000</v>
      </c>
      <c r="H11" s="30">
        <v>-15000</v>
      </c>
      <c r="I11" s="30">
        <v>-15000</v>
      </c>
      <c r="J11" s="30">
        <v>-15000</v>
      </c>
      <c r="K11" s="30">
        <v>-15000</v>
      </c>
      <c r="L11" s="30">
        <v>-15000</v>
      </c>
      <c r="M11" s="30">
        <v>-150000</v>
      </c>
      <c r="N11"/>
      <c r="O11"/>
      <c r="P11"/>
      <c r="Q11"/>
    </row>
    <row r="12" spans="2:17" x14ac:dyDescent="0.25">
      <c r="B12" s="31" t="s">
        <v>173</v>
      </c>
      <c r="C12" s="30">
        <v>-15000</v>
      </c>
      <c r="D12" s="30">
        <v>-15000</v>
      </c>
      <c r="E12" s="30">
        <v>-15000</v>
      </c>
      <c r="F12" s="30">
        <v>-15000</v>
      </c>
      <c r="G12" s="30">
        <v>-15000</v>
      </c>
      <c r="H12" s="30">
        <v>-15000</v>
      </c>
      <c r="I12" s="30">
        <v>-15000</v>
      </c>
      <c r="J12" s="30">
        <v>-15000</v>
      </c>
      <c r="K12" s="30">
        <v>-15000</v>
      </c>
      <c r="L12" s="30">
        <v>-15000</v>
      </c>
      <c r="M12" s="30">
        <v>-150000</v>
      </c>
      <c r="N12"/>
      <c r="O12"/>
      <c r="P12"/>
      <c r="Q12"/>
    </row>
    <row r="13" spans="2:17" x14ac:dyDescent="0.25">
      <c r="B13" s="32"/>
      <c r="C13" s="30"/>
      <c r="D13" s="30"/>
      <c r="E13" s="30"/>
      <c r="F13" s="30"/>
      <c r="G13" s="30"/>
      <c r="H13" s="30"/>
      <c r="I13" s="30"/>
      <c r="J13" s="30"/>
      <c r="K13" s="30"/>
      <c r="L13" s="30"/>
      <c r="M13" s="30"/>
      <c r="N13"/>
      <c r="O13"/>
      <c r="P13"/>
      <c r="Q13"/>
    </row>
    <row r="14" spans="2:17" x14ac:dyDescent="0.25">
      <c r="B14" s="32" t="s">
        <v>2</v>
      </c>
      <c r="C14" s="30">
        <v>5000</v>
      </c>
      <c r="D14" s="30">
        <v>5000</v>
      </c>
      <c r="E14" s="30">
        <v>5000</v>
      </c>
      <c r="F14" s="30">
        <v>5000</v>
      </c>
      <c r="G14" s="30">
        <v>5000</v>
      </c>
      <c r="H14" s="30">
        <v>5000</v>
      </c>
      <c r="I14" s="30">
        <v>5000</v>
      </c>
      <c r="J14" s="30">
        <v>5000</v>
      </c>
      <c r="K14" s="30">
        <v>5000</v>
      </c>
      <c r="L14" s="30">
        <v>5000</v>
      </c>
      <c r="M14" s="30">
        <v>50000</v>
      </c>
      <c r="N14"/>
      <c r="O14"/>
      <c r="P14"/>
      <c r="Q14"/>
    </row>
    <row r="15" spans="2:17" x14ac:dyDescent="0.25">
      <c r="B15"/>
      <c r="C15"/>
      <c r="D15"/>
      <c r="E15"/>
      <c r="F15"/>
      <c r="G15"/>
      <c r="H15"/>
      <c r="I15"/>
      <c r="J15"/>
      <c r="K15"/>
      <c r="L15"/>
      <c r="M15"/>
      <c r="N15"/>
      <c r="O15"/>
      <c r="P15"/>
      <c r="Q15"/>
    </row>
    <row r="16" spans="2:17" x14ac:dyDescent="0.25">
      <c r="B16"/>
      <c r="C16"/>
      <c r="D16"/>
      <c r="E16"/>
      <c r="F16"/>
      <c r="G16"/>
      <c r="H16"/>
      <c r="I16"/>
      <c r="J16"/>
      <c r="K16"/>
      <c r="L16"/>
      <c r="M16"/>
      <c r="N16"/>
      <c r="O16"/>
      <c r="P16"/>
      <c r="Q16"/>
    </row>
    <row r="17" spans="2:17" x14ac:dyDescent="0.25">
      <c r="B17"/>
      <c r="C17"/>
      <c r="D17"/>
      <c r="E17"/>
      <c r="F17"/>
      <c r="G17"/>
      <c r="H17"/>
      <c r="I17"/>
      <c r="J17"/>
      <c r="K17"/>
      <c r="L17"/>
      <c r="M17"/>
      <c r="N17"/>
      <c r="O17"/>
      <c r="P17"/>
      <c r="Q17"/>
    </row>
    <row r="18" spans="2:17" x14ac:dyDescent="0.25">
      <c r="B18"/>
      <c r="C18"/>
      <c r="D18"/>
      <c r="E18"/>
      <c r="F18"/>
      <c r="G18"/>
      <c r="H18"/>
      <c r="I18"/>
      <c r="J18"/>
      <c r="K18"/>
      <c r="L18"/>
      <c r="M18"/>
      <c r="N18"/>
      <c r="O18"/>
      <c r="P18"/>
      <c r="Q18"/>
    </row>
    <row r="19" spans="2:17" x14ac:dyDescent="0.25">
      <c r="B19"/>
      <c r="C19"/>
      <c r="D19"/>
      <c r="E19"/>
      <c r="F19"/>
      <c r="G19"/>
      <c r="H19"/>
      <c r="I19"/>
      <c r="J19"/>
      <c r="K19"/>
      <c r="L19"/>
      <c r="M19"/>
      <c r="N19"/>
      <c r="O19"/>
      <c r="P19"/>
      <c r="Q19"/>
    </row>
    <row r="20" spans="2:17" x14ac:dyDescent="0.25">
      <c r="B20"/>
      <c r="C20"/>
      <c r="D20"/>
      <c r="E20"/>
      <c r="F20"/>
      <c r="G20"/>
      <c r="H20"/>
      <c r="I20"/>
      <c r="J20"/>
      <c r="K20"/>
      <c r="L20"/>
      <c r="M20"/>
      <c r="N20"/>
      <c r="O20"/>
      <c r="P20"/>
    </row>
    <row r="21" spans="2:17" x14ac:dyDescent="0.25">
      <c r="B21"/>
      <c r="C21"/>
      <c r="D21"/>
      <c r="E21"/>
      <c r="F21"/>
      <c r="G21"/>
      <c r="H21"/>
      <c r="I21"/>
      <c r="J21"/>
      <c r="K21"/>
      <c r="L21"/>
      <c r="M21"/>
      <c r="N21"/>
      <c r="O21"/>
      <c r="P21"/>
    </row>
    <row r="22" spans="2:17" x14ac:dyDescent="0.25">
      <c r="B22"/>
      <c r="C22"/>
      <c r="D22"/>
      <c r="E22"/>
      <c r="F22"/>
      <c r="G22"/>
      <c r="H22"/>
      <c r="I22"/>
      <c r="J22"/>
      <c r="K22"/>
      <c r="L22"/>
      <c r="M22"/>
      <c r="N22"/>
      <c r="O22"/>
      <c r="P22"/>
    </row>
    <row r="23" spans="2:17" x14ac:dyDescent="0.25">
      <c r="B23"/>
      <c r="C23"/>
      <c r="D23"/>
      <c r="E23"/>
      <c r="F23"/>
      <c r="G23"/>
      <c r="H23"/>
      <c r="I23"/>
      <c r="J23"/>
      <c r="K23"/>
      <c r="L23"/>
      <c r="M23"/>
      <c r="N23"/>
      <c r="O23"/>
    </row>
    <row r="24" spans="2:17" x14ac:dyDescent="0.25">
      <c r="B24"/>
      <c r="C24"/>
      <c r="D24"/>
      <c r="E24"/>
      <c r="F24"/>
      <c r="G24"/>
      <c r="H24"/>
      <c r="I24"/>
      <c r="J24"/>
      <c r="K24"/>
      <c r="L24"/>
      <c r="M24"/>
      <c r="N24"/>
      <c r="O24"/>
    </row>
    <row r="25" spans="2:17" x14ac:dyDescent="0.25">
      <c r="B25"/>
      <c r="C25"/>
      <c r="D25"/>
      <c r="E25"/>
      <c r="F25"/>
      <c r="G25"/>
      <c r="H25"/>
      <c r="I25"/>
      <c r="J25"/>
      <c r="K25"/>
      <c r="L25"/>
      <c r="M25"/>
      <c r="N25"/>
      <c r="O25"/>
    </row>
    <row r="26" spans="2:17" x14ac:dyDescent="0.25">
      <c r="B26"/>
      <c r="C26"/>
      <c r="D26"/>
      <c r="E26"/>
      <c r="F26"/>
      <c r="G26"/>
      <c r="H26"/>
      <c r="I26"/>
      <c r="J26"/>
      <c r="K26"/>
      <c r="L26"/>
      <c r="M26"/>
      <c r="N26"/>
      <c r="O26"/>
    </row>
    <row r="27" spans="2:17" x14ac:dyDescent="0.25">
      <c r="B27"/>
      <c r="C27"/>
      <c r="D27"/>
      <c r="E27"/>
      <c r="F27"/>
      <c r="G27"/>
      <c r="H27"/>
      <c r="I27"/>
      <c r="J27"/>
      <c r="K27"/>
      <c r="L27"/>
      <c r="M27"/>
      <c r="N27"/>
      <c r="O27"/>
    </row>
    <row r="28" spans="2:17" x14ac:dyDescent="0.25">
      <c r="B28"/>
      <c r="C28"/>
      <c r="D28"/>
      <c r="E28"/>
      <c r="F28"/>
      <c r="G28"/>
      <c r="H28"/>
      <c r="I28"/>
      <c r="J28"/>
      <c r="K28"/>
      <c r="L28"/>
      <c r="M28"/>
      <c r="N28"/>
      <c r="O28"/>
    </row>
    <row r="29" spans="2:17" x14ac:dyDescent="0.25">
      <c r="B29"/>
      <c r="C29"/>
      <c r="D29"/>
      <c r="E29"/>
      <c r="F29"/>
      <c r="G29"/>
      <c r="H29"/>
      <c r="I29"/>
      <c r="J29"/>
      <c r="K29"/>
      <c r="L29"/>
      <c r="M29"/>
      <c r="N29"/>
      <c r="O29"/>
    </row>
    <row r="30" spans="2:17" x14ac:dyDescent="0.25">
      <c r="B30"/>
      <c r="C30"/>
      <c r="D30"/>
      <c r="E30"/>
      <c r="F30"/>
      <c r="G30"/>
      <c r="H30"/>
      <c r="I30"/>
      <c r="J30"/>
      <c r="K30"/>
      <c r="L30"/>
      <c r="M30"/>
      <c r="N30"/>
      <c r="O30"/>
    </row>
  </sheetData>
  <sheetProtection algorithmName="SHA-512" hashValue="8EdYIe6nTrD3yUdFv4X0fgZcsE7MKQDBNlPiuufffjMpu111hn1e6A7BvpWOu2c2qT7xneum7oByXcP0JjR/DA==" saltValue="xRaWjTzLKl4nOo95PTlGX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_RelCriar">
    <tabColor rgb="FFCFD24A"/>
  </sheetPr>
  <dimension ref="B4:H26"/>
  <sheetViews>
    <sheetView showGridLines="0" showRowColHeaders="0" zoomScale="115" zoomScaleNormal="115" workbookViewId="0">
      <selection activeCell="C12" sqref="C12"/>
    </sheetView>
  </sheetViews>
  <sheetFormatPr defaultColWidth="9.140625" defaultRowHeight="11.25" x14ac:dyDescent="0.2"/>
  <cols>
    <col min="1" max="1" width="2.140625" style="9" customWidth="1"/>
    <col min="2" max="2" width="20.140625" style="9" bestFit="1" customWidth="1"/>
    <col min="3" max="3" width="8.5703125" style="9" bestFit="1" customWidth="1"/>
    <col min="4" max="5" width="9.42578125" style="9" bestFit="1" customWidth="1"/>
    <col min="6" max="6" width="8.5703125" style="9" bestFit="1" customWidth="1"/>
    <col min="7" max="7" width="8.140625" style="9" customWidth="1"/>
    <col min="8" max="8" width="9" style="9" customWidth="1"/>
    <col min="9" max="9" width="10.7109375" style="9" bestFit="1" customWidth="1"/>
    <col min="10" max="16384" width="9.140625" style="9"/>
  </cols>
  <sheetData>
    <row r="4" spans="2:8" ht="15" x14ac:dyDescent="0.25">
      <c r="B4"/>
      <c r="C4"/>
    </row>
    <row r="5" spans="2:8" x14ac:dyDescent="0.2">
      <c r="B5" s="145" t="s">
        <v>17</v>
      </c>
      <c r="C5" s="9" t="s">
        <v>10</v>
      </c>
    </row>
    <row r="6" spans="2:8" x14ac:dyDescent="0.2">
      <c r="B6" s="11"/>
    </row>
    <row r="7" spans="2:8" ht="15" x14ac:dyDescent="0.25">
      <c r="B7" s="146" t="s">
        <v>63</v>
      </c>
      <c r="C7" s="17" t="s">
        <v>29</v>
      </c>
      <c r="F7"/>
      <c r="G7"/>
      <c r="H7"/>
    </row>
    <row r="8" spans="2:8" ht="15" x14ac:dyDescent="0.25">
      <c r="B8" s="145" t="s">
        <v>93</v>
      </c>
      <c r="C8" s="14">
        <v>2018</v>
      </c>
      <c r="D8" s="14">
        <v>2019</v>
      </c>
      <c r="E8" s="9" t="s">
        <v>2</v>
      </c>
      <c r="F8"/>
      <c r="G8"/>
      <c r="H8"/>
    </row>
    <row r="9" spans="2:8" ht="15" x14ac:dyDescent="0.25">
      <c r="B9" s="11" t="s">
        <v>142</v>
      </c>
      <c r="C9" s="12">
        <v>40000</v>
      </c>
      <c r="D9" s="12">
        <v>200000</v>
      </c>
      <c r="E9" s="12">
        <v>240000</v>
      </c>
      <c r="F9"/>
      <c r="G9"/>
      <c r="H9"/>
    </row>
    <row r="10" spans="2:8" ht="15" x14ac:dyDescent="0.25">
      <c r="B10" s="11" t="s">
        <v>155</v>
      </c>
      <c r="C10" s="12">
        <v>-30000</v>
      </c>
      <c r="D10" s="12">
        <v>-150000</v>
      </c>
      <c r="E10" s="12">
        <v>-180000</v>
      </c>
      <c r="F10"/>
      <c r="G10"/>
      <c r="H10"/>
    </row>
    <row r="11" spans="2:8" ht="15" x14ac:dyDescent="0.25">
      <c r="B11" s="11" t="s">
        <v>176</v>
      </c>
      <c r="C11" s="12">
        <v>10000</v>
      </c>
      <c r="D11" s="12"/>
      <c r="E11" s="12">
        <v>10000</v>
      </c>
      <c r="F11"/>
      <c r="G11"/>
      <c r="H11"/>
    </row>
    <row r="12" spans="2:8" ht="15" x14ac:dyDescent="0.25">
      <c r="B12" s="11" t="s">
        <v>2</v>
      </c>
      <c r="C12" s="12">
        <v>20000</v>
      </c>
      <c r="D12" s="12">
        <v>50000</v>
      </c>
      <c r="E12" s="12">
        <v>70000</v>
      </c>
      <c r="F12"/>
      <c r="G12"/>
      <c r="H12"/>
    </row>
    <row r="13" spans="2:8" ht="15" x14ac:dyDescent="0.25">
      <c r="B13"/>
      <c r="C13"/>
      <c r="D13"/>
      <c r="E13"/>
      <c r="F13"/>
      <c r="G13"/>
      <c r="H13"/>
    </row>
    <row r="14" spans="2:8" ht="15" x14ac:dyDescent="0.25">
      <c r="B14"/>
      <c r="C14"/>
      <c r="D14"/>
      <c r="E14"/>
      <c r="F14"/>
      <c r="G14"/>
      <c r="H14"/>
    </row>
    <row r="15" spans="2:8" ht="15" x14ac:dyDescent="0.25">
      <c r="B15"/>
      <c r="C15"/>
      <c r="D15"/>
      <c r="E15"/>
      <c r="F15"/>
      <c r="G15"/>
      <c r="H15"/>
    </row>
    <row r="16" spans="2:8" ht="15" x14ac:dyDescent="0.25">
      <c r="B16"/>
      <c r="C16"/>
      <c r="D16"/>
      <c r="E16"/>
      <c r="F16"/>
      <c r="G16"/>
      <c r="H16"/>
    </row>
    <row r="17" spans="2:8" ht="15" x14ac:dyDescent="0.25">
      <c r="B17"/>
      <c r="C17"/>
      <c r="D17"/>
      <c r="E17"/>
      <c r="F17"/>
      <c r="G17"/>
      <c r="H17"/>
    </row>
    <row r="18" spans="2:8" ht="15" x14ac:dyDescent="0.25">
      <c r="B18"/>
      <c r="C18"/>
      <c r="D18"/>
      <c r="E18"/>
      <c r="F18"/>
      <c r="G18"/>
      <c r="H18"/>
    </row>
    <row r="19" spans="2:8" ht="15" x14ac:dyDescent="0.25">
      <c r="B19"/>
      <c r="C19"/>
      <c r="D19"/>
      <c r="E19"/>
      <c r="F19"/>
      <c r="G19"/>
      <c r="H19"/>
    </row>
    <row r="20" spans="2:8" ht="15" x14ac:dyDescent="0.25">
      <c r="B20"/>
      <c r="C20"/>
      <c r="D20"/>
      <c r="E20"/>
      <c r="F20"/>
      <c r="G20"/>
      <c r="H20"/>
    </row>
    <row r="21" spans="2:8" ht="15" x14ac:dyDescent="0.25">
      <c r="B21"/>
      <c r="C21"/>
      <c r="D21"/>
      <c r="E21"/>
      <c r="F21"/>
      <c r="G21"/>
      <c r="H21"/>
    </row>
    <row r="22" spans="2:8" ht="15" x14ac:dyDescent="0.25">
      <c r="B22"/>
      <c r="C22"/>
      <c r="D22"/>
      <c r="E22"/>
      <c r="F22"/>
      <c r="G22"/>
      <c r="H22"/>
    </row>
    <row r="23" spans="2:8" ht="15" x14ac:dyDescent="0.25">
      <c r="B23"/>
      <c r="C23"/>
      <c r="D23"/>
      <c r="E23"/>
      <c r="F23"/>
      <c r="G23"/>
      <c r="H23"/>
    </row>
    <row r="24" spans="2:8" ht="15" x14ac:dyDescent="0.25">
      <c r="B24"/>
      <c r="C24"/>
      <c r="D24"/>
      <c r="E24"/>
      <c r="F24"/>
      <c r="G24"/>
      <c r="H24"/>
    </row>
    <row r="25" spans="2:8" ht="15" x14ac:dyDescent="0.25">
      <c r="B25"/>
      <c r="C25"/>
      <c r="D25"/>
      <c r="E25"/>
      <c r="F25"/>
      <c r="G25"/>
      <c r="H25"/>
    </row>
    <row r="26" spans="2:8" ht="15" x14ac:dyDescent="0.25">
      <c r="B26"/>
      <c r="C26"/>
      <c r="D26"/>
      <c r="E26"/>
      <c r="F26"/>
      <c r="G26"/>
      <c r="H26"/>
    </row>
  </sheetData>
  <sheetProtection algorithmName="SHA-512" hashValue="5q2xPzDzFTfDKZM3mbjRdG1rut82L7vNmYjcV7nHC4YDGmdHqDScDsiOvSeQtOs6qmhqjvjCPYVi1bo+k3D9Sw==" saltValue="uSQ5sAtkQTKEFeW+M+DE4A=="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RelFluxoDeCaixa">
    <tabColor theme="8" tint="-0.249977111117893"/>
    <pageSetUpPr fitToPage="1"/>
  </sheetPr>
  <dimension ref="A1:R3000"/>
  <sheetViews>
    <sheetView showGridLines="0" workbookViewId="0">
      <pane ySplit="11" topLeftCell="A12" activePane="bottomLeft" state="frozen"/>
      <selection pane="bottomLeft" activeCell="E3000" sqref="E3000:P3000"/>
    </sheetView>
  </sheetViews>
  <sheetFormatPr defaultRowHeight="15" x14ac:dyDescent="0.25"/>
  <cols>
    <col min="1" max="1" width="1.7109375" customWidth="1"/>
    <col min="2" max="2" width="23" bestFit="1" customWidth="1"/>
    <col min="3" max="3" width="33" bestFit="1" customWidth="1"/>
    <col min="4" max="4" width="11.28515625" bestFit="1" customWidth="1"/>
    <col min="5" max="15" width="10.5703125" bestFit="1" customWidth="1"/>
    <col min="16" max="17" width="11.28515625" bestFit="1" customWidth="1"/>
    <col min="18" max="351" width="12.7109375" customWidth="1"/>
  </cols>
  <sheetData>
    <row r="1" spans="1:18" ht="3" customHeight="1" x14ac:dyDescent="0.25">
      <c r="A1">
        <f>COUNTIF([0]!rng_DadosLanctosTD,"A REALIZAR")</f>
        <v>0</v>
      </c>
    </row>
    <row r="2" spans="1:18" ht="17.25" customHeight="1" x14ac:dyDescent="0.25"/>
    <row r="3" spans="1:18" ht="17.25" customHeight="1" x14ac:dyDescent="0.25"/>
    <row r="4" spans="1:18" ht="17.25" customHeight="1" x14ac:dyDescent="0.25"/>
    <row r="5" spans="1:18" ht="17.25" customHeight="1" thickBot="1" x14ac:dyDescent="0.3">
      <c r="B5" s="2" t="s">
        <v>17</v>
      </c>
      <c r="C5" t="s">
        <v>10</v>
      </c>
      <c r="D5" s="158" t="s">
        <v>167</v>
      </c>
      <c r="E5" s="156">
        <v>43344</v>
      </c>
      <c r="F5" s="118"/>
    </row>
    <row r="6" spans="1:18" ht="17.25" customHeight="1" x14ac:dyDescent="0.25">
      <c r="B6" s="2" t="s">
        <v>18</v>
      </c>
      <c r="C6" t="s">
        <v>10</v>
      </c>
      <c r="D6" s="159" t="s">
        <v>168</v>
      </c>
      <c r="E6" s="157">
        <v>43465</v>
      </c>
    </row>
    <row r="7" spans="1:18" x14ac:dyDescent="0.25">
      <c r="B7" s="2" t="s">
        <v>7</v>
      </c>
      <c r="C7" t="s">
        <v>10</v>
      </c>
    </row>
    <row r="8" spans="1:18" hidden="1" x14ac:dyDescent="0.25">
      <c r="B8" s="2" t="s">
        <v>108</v>
      </c>
      <c r="C8" t="s">
        <v>127</v>
      </c>
    </row>
    <row r="9" spans="1:18" s="67" customFormat="1" ht="19.5" customHeight="1" x14ac:dyDescent="0.25">
      <c r="C9" s="68" t="s">
        <v>107</v>
      </c>
      <c r="D9" s="69">
        <f>'Apoio TDs'!C8</f>
        <v>10000</v>
      </c>
      <c r="E9" s="69">
        <f>D3000</f>
        <v>15000</v>
      </c>
      <c r="F9" s="69">
        <f t="shared" ref="F9:P9" si="0">E3000</f>
        <v>20000</v>
      </c>
      <c r="G9" s="67">
        <f t="shared" si="0"/>
        <v>25000</v>
      </c>
      <c r="H9" s="67">
        <f t="shared" si="0"/>
        <v>30000</v>
      </c>
      <c r="I9" s="67">
        <f t="shared" si="0"/>
        <v>35000</v>
      </c>
      <c r="J9" s="67">
        <f t="shared" si="0"/>
        <v>40000</v>
      </c>
      <c r="K9" s="67">
        <f t="shared" si="0"/>
        <v>45000</v>
      </c>
      <c r="L9" s="67">
        <f t="shared" si="0"/>
        <v>50000</v>
      </c>
      <c r="M9" s="67">
        <f t="shared" si="0"/>
        <v>55000</v>
      </c>
      <c r="N9" s="67">
        <f t="shared" si="0"/>
        <v>60000</v>
      </c>
      <c r="O9" s="67">
        <f t="shared" si="0"/>
        <v>65000</v>
      </c>
      <c r="P9" s="67">
        <f t="shared" si="0"/>
        <v>70000</v>
      </c>
    </row>
    <row r="10" spans="1:18" x14ac:dyDescent="0.25">
      <c r="B10" s="16" t="s">
        <v>91</v>
      </c>
      <c r="C10" s="43"/>
      <c r="D10" s="2" t="s">
        <v>11</v>
      </c>
    </row>
    <row r="11" spans="1:18" s="64" customFormat="1" x14ac:dyDescent="0.25">
      <c r="A11"/>
      <c r="B11" s="2" t="s">
        <v>106</v>
      </c>
      <c r="C11" s="2" t="s">
        <v>96</v>
      </c>
      <c r="D11" s="65">
        <v>43434</v>
      </c>
      <c r="E11" s="65">
        <v>43465</v>
      </c>
      <c r="F11" s="65">
        <v>43496</v>
      </c>
      <c r="G11" s="65">
        <v>43524</v>
      </c>
      <c r="H11" s="65">
        <v>43555</v>
      </c>
      <c r="I11" s="65">
        <v>43585</v>
      </c>
      <c r="J11" s="65">
        <v>43616</v>
      </c>
      <c r="K11" s="65">
        <v>43646</v>
      </c>
      <c r="L11" s="65">
        <v>43677</v>
      </c>
      <c r="M11" s="65">
        <v>43708</v>
      </c>
      <c r="N11" s="65">
        <v>43738</v>
      </c>
      <c r="O11" s="65">
        <v>43769</v>
      </c>
      <c r="P11" s="65" t="s">
        <v>2</v>
      </c>
      <c r="Q11"/>
      <c r="R11"/>
    </row>
    <row r="12" spans="1:18" x14ac:dyDescent="0.25">
      <c r="B12" s="3" t="s">
        <v>142</v>
      </c>
      <c r="D12" s="1">
        <v>20000</v>
      </c>
      <c r="E12" s="1">
        <v>20000</v>
      </c>
      <c r="F12" s="1">
        <v>20000</v>
      </c>
      <c r="G12" s="1">
        <v>20000</v>
      </c>
      <c r="H12" s="1">
        <v>20000</v>
      </c>
      <c r="I12" s="1">
        <v>20000</v>
      </c>
      <c r="J12" s="1">
        <v>20000</v>
      </c>
      <c r="K12" s="1">
        <v>20000</v>
      </c>
      <c r="L12" s="1">
        <v>20000</v>
      </c>
      <c r="M12" s="1">
        <v>20000</v>
      </c>
      <c r="N12" s="1">
        <v>20000</v>
      </c>
      <c r="O12" s="1">
        <v>20000</v>
      </c>
      <c r="P12" s="1">
        <v>240000</v>
      </c>
    </row>
    <row r="13" spans="1:18" x14ac:dyDescent="0.25">
      <c r="B13" s="3"/>
      <c r="D13" s="1"/>
      <c r="E13" s="1"/>
      <c r="F13" s="1"/>
      <c r="G13" s="1"/>
      <c r="H13" s="1"/>
      <c r="I13" s="1"/>
      <c r="J13" s="1"/>
      <c r="K13" s="1"/>
      <c r="L13" s="1"/>
      <c r="M13" s="1"/>
      <c r="N13" s="1"/>
      <c r="O13" s="1"/>
      <c r="P13" s="1"/>
    </row>
    <row r="14" spans="1:18" x14ac:dyDescent="0.25">
      <c r="B14" s="3" t="s">
        <v>155</v>
      </c>
      <c r="D14" s="1">
        <v>-15000</v>
      </c>
      <c r="E14" s="1">
        <v>-15000</v>
      </c>
      <c r="F14" s="1">
        <v>-15000</v>
      </c>
      <c r="G14" s="1">
        <v>-15000</v>
      </c>
      <c r="H14" s="1">
        <v>-15000</v>
      </c>
      <c r="I14" s="1">
        <v>-15000</v>
      </c>
      <c r="J14" s="1">
        <v>-15000</v>
      </c>
      <c r="K14" s="1">
        <v>-15000</v>
      </c>
      <c r="L14" s="1">
        <v>-15000</v>
      </c>
      <c r="M14" s="1">
        <v>-15000</v>
      </c>
      <c r="N14" s="1">
        <v>-15000</v>
      </c>
      <c r="O14" s="1">
        <v>-15000</v>
      </c>
      <c r="P14" s="1">
        <v>-180000</v>
      </c>
    </row>
    <row r="15" spans="1:18" x14ac:dyDescent="0.25">
      <c r="B15" s="3"/>
      <c r="D15" s="1"/>
      <c r="E15" s="1"/>
      <c r="F15" s="1"/>
      <c r="G15" s="1"/>
      <c r="H15" s="1"/>
      <c r="I15" s="1"/>
      <c r="J15" s="1"/>
      <c r="K15" s="1"/>
      <c r="L15" s="1"/>
      <c r="M15" s="1"/>
      <c r="N15" s="1"/>
      <c r="O15" s="1"/>
      <c r="P15" s="1"/>
    </row>
    <row r="16" spans="1:18" x14ac:dyDescent="0.25">
      <c r="B16" s="3" t="s">
        <v>2</v>
      </c>
      <c r="D16" s="1">
        <v>5000</v>
      </c>
      <c r="E16" s="1">
        <v>5000</v>
      </c>
      <c r="F16" s="1">
        <v>5000</v>
      </c>
      <c r="G16" s="1">
        <v>5000</v>
      </c>
      <c r="H16" s="1">
        <v>5000</v>
      </c>
      <c r="I16" s="1">
        <v>5000</v>
      </c>
      <c r="J16" s="1">
        <v>5000</v>
      </c>
      <c r="K16" s="1">
        <v>5000</v>
      </c>
      <c r="L16" s="1">
        <v>5000</v>
      </c>
      <c r="M16" s="1">
        <v>5000</v>
      </c>
      <c r="N16" s="1">
        <v>5000</v>
      </c>
      <c r="O16" s="1">
        <v>5000</v>
      </c>
      <c r="P16" s="1">
        <v>60000</v>
      </c>
    </row>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spans="3:16" hidden="1" x14ac:dyDescent="0.25"/>
    <row r="2994" spans="3:16" hidden="1" x14ac:dyDescent="0.25"/>
    <row r="2995" spans="3:16" hidden="1" x14ac:dyDescent="0.25"/>
    <row r="2996" spans="3:16" hidden="1" x14ac:dyDescent="0.25"/>
    <row r="2997" spans="3:16" hidden="1" x14ac:dyDescent="0.25"/>
    <row r="2998" spans="3:16" hidden="1" x14ac:dyDescent="0.25"/>
    <row r="2999" spans="3:16" hidden="1" x14ac:dyDescent="0.25"/>
    <row r="3000" spans="3:16" s="67" customFormat="1" ht="19.5" customHeight="1" x14ac:dyDescent="0.25">
      <c r="C3000" s="66" t="s">
        <v>109</v>
      </c>
      <c r="D3000" s="67">
        <f>IFERROR(IF(D11="Total Geral",D9,D9+GETPIVOTDATA("VALOR",$B$10,"MÊS",DATE(YEAR(D11),MONTH(D11),DAY(D11)))),C3000)</f>
        <v>15000</v>
      </c>
      <c r="E3000" s="67">
        <f t="shared" ref="E3000:P3000" si="1">IFERROR(IF(E11="Total Geral",E9,E9+GETPIVOTDATA("VALOR",$B$10,"MÊS",DATE(YEAR(E11),MONTH(E11),DAY(E11)))),D3000)</f>
        <v>20000</v>
      </c>
      <c r="F3000" s="67">
        <f t="shared" si="1"/>
        <v>25000</v>
      </c>
      <c r="G3000" s="67">
        <f t="shared" si="1"/>
        <v>30000</v>
      </c>
      <c r="H3000" s="67">
        <f t="shared" si="1"/>
        <v>35000</v>
      </c>
      <c r="I3000" s="67">
        <f t="shared" si="1"/>
        <v>40000</v>
      </c>
      <c r="J3000" s="67">
        <f t="shared" si="1"/>
        <v>45000</v>
      </c>
      <c r="K3000" s="67">
        <f t="shared" si="1"/>
        <v>50000</v>
      </c>
      <c r="L3000" s="67">
        <f t="shared" si="1"/>
        <v>55000</v>
      </c>
      <c r="M3000" s="67">
        <f t="shared" si="1"/>
        <v>60000</v>
      </c>
      <c r="N3000" s="67">
        <f t="shared" si="1"/>
        <v>65000</v>
      </c>
      <c r="O3000" s="67">
        <f t="shared" si="1"/>
        <v>70000</v>
      </c>
      <c r="P3000" s="67">
        <f t="shared" si="1"/>
        <v>70000</v>
      </c>
    </row>
  </sheetData>
  <sheetProtection algorithmName="SHA-512" hashValue="SNYU0h9Qzqp12PsNyVD65llgSkvboRh7j7WW/FBkCkosFiZDb6m5EHWOmCeaSp5OyQabSyCXCHKmNisH11Xv7Q==" saltValue="EcLN9j5Yc8f92GN3Bmv86g==" spinCount="100000" sheet="1" objects="1" scenarios="1" formatCells="0" formatColumns="0" sort="0" autoFilter="0" pivotTables="0"/>
  <conditionalFormatting sqref="C9:BZ9 C3000:BZ3000">
    <cfRule type="expression" dxfId="125" priority="1">
      <formula>C$9&lt;&gt;""</formula>
    </cfRule>
  </conditionalFormatting>
  <pageMargins left="0.51181102362204722" right="0.51181102362204722" top="0.78740157480314965" bottom="0.78740157480314965" header="0.31496062992125984" footer="0.31496062992125984"/>
  <pageSetup paperSize="9" scale="71" orientation="landscape" r:id="rId2"/>
  <headerFooter>
    <oddFooter>&amp;L&amp;8&amp;Z&amp;F&amp;R&amp;D / &amp;T</oddFooter>
  </headerFooter>
  <drawing r:id="rId3"/>
  <legacyDrawing r:id="rId4"/>
  <controls>
    <mc:AlternateContent xmlns:mc="http://schemas.openxmlformats.org/markup-compatibility/2006">
      <mc:Choice Requires="x14">
        <control shapeId="14337" r:id="rId5" name="ScrollBar1">
          <controlPr defaultSize="0" autoLine="0" r:id="rId6">
            <anchor moveWithCells="1">
              <from>
                <xdr:col>1</xdr:col>
                <xdr:colOff>28575</xdr:colOff>
                <xdr:row>9</xdr:row>
                <xdr:rowOff>19050</xdr:rowOff>
              </from>
              <to>
                <xdr:col>1</xdr:col>
                <xdr:colOff>609600</xdr:colOff>
                <xdr:row>10</xdr:row>
                <xdr:rowOff>9525</xdr:rowOff>
              </to>
            </anchor>
          </controlPr>
        </control>
      </mc:Choice>
      <mc:Fallback>
        <control shapeId="14337" r:id="rId5" name="ScrollBar1"/>
      </mc:Fallback>
    </mc:AlternateContent>
  </controls>
  <extLst>
    <ext xmlns:x14="http://schemas.microsoft.com/office/spreadsheetml/2009/9/main" uri="{A8765BA9-456A-4dab-B4F3-ACF838C121DE}">
      <x14:slicerList>
        <x14:slicer r:id="rId7"/>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2C47D-4681-4A50-9E17-AA7CBB2B3094}">
  <sheetPr codeName="Sht_ApoioTDs"/>
  <dimension ref="B1:G20"/>
  <sheetViews>
    <sheetView workbookViewId="0">
      <selection activeCell="I20" sqref="I20"/>
    </sheetView>
  </sheetViews>
  <sheetFormatPr defaultRowHeight="15" x14ac:dyDescent="0.25"/>
  <cols>
    <col min="1" max="1" width="1.7109375" customWidth="1"/>
    <col min="2" max="2" width="23" bestFit="1" customWidth="1"/>
    <col min="3" max="3" width="13.140625" bestFit="1" customWidth="1"/>
    <col min="6" max="6" width="12.140625" bestFit="1" customWidth="1"/>
    <col min="7" max="7" width="13.85546875" bestFit="1" customWidth="1"/>
  </cols>
  <sheetData>
    <row r="1" spans="2:7" ht="6" customHeight="1" x14ac:dyDescent="0.25"/>
    <row r="2" spans="2:7" x14ac:dyDescent="0.25">
      <c r="B2" s="2" t="s">
        <v>17</v>
      </c>
      <c r="C2" t="s">
        <v>10</v>
      </c>
      <c r="F2" s="73" t="s">
        <v>17</v>
      </c>
      <c r="G2" s="72" t="s">
        <v>10</v>
      </c>
    </row>
    <row r="3" spans="2:7" x14ac:dyDescent="0.25">
      <c r="B3" s="2" t="s">
        <v>18</v>
      </c>
      <c r="C3" t="s">
        <v>10</v>
      </c>
      <c r="F3" s="73" t="s">
        <v>18</v>
      </c>
      <c r="G3" s="72" t="s">
        <v>10</v>
      </c>
    </row>
    <row r="4" spans="2:7" x14ac:dyDescent="0.25">
      <c r="B4" s="2" t="s">
        <v>7</v>
      </c>
      <c r="C4" t="s">
        <v>10</v>
      </c>
      <c r="F4" s="73" t="s">
        <v>1</v>
      </c>
      <c r="G4" s="72" t="s">
        <v>10</v>
      </c>
    </row>
    <row r="5" spans="2:7" x14ac:dyDescent="0.25">
      <c r="B5" s="2" t="s">
        <v>108</v>
      </c>
      <c r="C5" t="s">
        <v>165</v>
      </c>
      <c r="F5" s="73" t="s">
        <v>5</v>
      </c>
      <c r="G5" s="72" t="s">
        <v>187</v>
      </c>
    </row>
    <row r="6" spans="2:7" s="94" customFormat="1" x14ac:dyDescent="0.25">
      <c r="C6" s="95"/>
      <c r="F6" s="72"/>
      <c r="G6" s="72"/>
    </row>
    <row r="7" spans="2:7" x14ac:dyDescent="0.25">
      <c r="B7" s="48" t="s">
        <v>92</v>
      </c>
      <c r="F7" s="73" t="s">
        <v>3</v>
      </c>
      <c r="G7" s="72" t="s">
        <v>105</v>
      </c>
    </row>
    <row r="8" spans="2:7" x14ac:dyDescent="0.25">
      <c r="B8" s="1">
        <v>10000</v>
      </c>
      <c r="C8" s="61">
        <f>IF(C5="REALIZADO",GETPIVOTDATA("VALOR",$B$7),0)</f>
        <v>10000</v>
      </c>
      <c r="F8" s="81">
        <v>43434</v>
      </c>
      <c r="G8" s="79">
        <v>5000</v>
      </c>
    </row>
    <row r="9" spans="2:7" x14ac:dyDescent="0.25">
      <c r="F9" s="81">
        <v>43465</v>
      </c>
      <c r="G9" s="79">
        <v>5000</v>
      </c>
    </row>
    <row r="10" spans="2:7" x14ac:dyDescent="0.25">
      <c r="F10" s="81">
        <v>43496</v>
      </c>
      <c r="G10" s="79">
        <v>5000</v>
      </c>
    </row>
    <row r="11" spans="2:7" x14ac:dyDescent="0.25">
      <c r="F11" s="81">
        <v>43524</v>
      </c>
      <c r="G11" s="79">
        <v>5000</v>
      </c>
    </row>
    <row r="12" spans="2:7" x14ac:dyDescent="0.25">
      <c r="F12" s="81">
        <v>43555</v>
      </c>
      <c r="G12" s="79">
        <v>5000</v>
      </c>
    </row>
    <row r="13" spans="2:7" x14ac:dyDescent="0.25">
      <c r="F13" s="81">
        <v>43585</v>
      </c>
      <c r="G13" s="79">
        <v>5000</v>
      </c>
    </row>
    <row r="14" spans="2:7" x14ac:dyDescent="0.25">
      <c r="F14" s="81">
        <v>43616</v>
      </c>
      <c r="G14" s="79">
        <v>5000</v>
      </c>
    </row>
    <row r="15" spans="2:7" x14ac:dyDescent="0.25">
      <c r="F15" s="81">
        <v>43646</v>
      </c>
      <c r="G15" s="79">
        <v>5000</v>
      </c>
    </row>
    <row r="16" spans="2:7" x14ac:dyDescent="0.25">
      <c r="F16" s="81">
        <v>43677</v>
      </c>
      <c r="G16" s="79">
        <v>5000</v>
      </c>
    </row>
    <row r="17" spans="6:7" x14ac:dyDescent="0.25">
      <c r="F17" s="81">
        <v>43708</v>
      </c>
      <c r="G17" s="79">
        <v>5000</v>
      </c>
    </row>
    <row r="18" spans="6:7" x14ac:dyDescent="0.25">
      <c r="F18" s="81">
        <v>43738</v>
      </c>
      <c r="G18" s="79">
        <v>5000</v>
      </c>
    </row>
    <row r="19" spans="6:7" x14ac:dyDescent="0.25">
      <c r="F19" s="81">
        <v>43769</v>
      </c>
      <c r="G19" s="79">
        <v>5000</v>
      </c>
    </row>
    <row r="20" spans="6:7" x14ac:dyDescent="0.25">
      <c r="F20" s="81" t="s">
        <v>2</v>
      </c>
      <c r="G20" s="79">
        <v>60000</v>
      </c>
    </row>
  </sheetData>
  <pageMargins left="0.511811024" right="0.511811024" top="0.78740157499999996" bottom="0.78740157499999996" header="0.31496062000000002" footer="0.31496062000000002"/>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08381-7960-4293-8719-D57F0E184873}">
  <sheetPr codeName="Sht_RelRealizado">
    <tabColor theme="8" tint="-0.249977111117893"/>
    <pageSetUpPr fitToPage="1"/>
  </sheetPr>
  <dimension ref="A1:K86"/>
  <sheetViews>
    <sheetView showGridLines="0" workbookViewId="0">
      <pane ySplit="11" topLeftCell="A12" activePane="bottomLeft" state="frozen"/>
      <selection pane="bottomLeft" activeCell="K12" sqref="K12"/>
    </sheetView>
  </sheetViews>
  <sheetFormatPr defaultRowHeight="15" x14ac:dyDescent="0.25"/>
  <cols>
    <col min="1" max="1" width="1" style="50" customWidth="1"/>
    <col min="2" max="2" width="13.5703125" style="50" customWidth="1"/>
    <col min="3" max="3" width="28" style="50" customWidth="1"/>
    <col min="4" max="4" width="28.140625" style="49" customWidth="1"/>
    <col min="5" max="5" width="23.85546875" style="50" customWidth="1"/>
    <col min="6" max="6" width="20.5703125" style="50" customWidth="1"/>
    <col min="7" max="7" width="11.28515625" style="50" customWidth="1"/>
    <col min="8" max="8" width="15" style="50" bestFit="1" customWidth="1"/>
    <col min="9" max="9" width="13.5703125" style="50" bestFit="1" customWidth="1"/>
    <col min="10" max="10" width="16" style="50" customWidth="1"/>
    <col min="11" max="11" width="13.140625" style="110" bestFit="1" customWidth="1"/>
    <col min="12" max="16384" width="9.140625" style="50"/>
  </cols>
  <sheetData>
    <row r="1" spans="1:11" ht="6" customHeight="1" x14ac:dyDescent="0.25">
      <c r="A1" s="109">
        <f>COUNTIF([0]!rng_DadosLanctosTD,"A REALIZAR")</f>
        <v>0</v>
      </c>
    </row>
    <row r="2" spans="1:11" ht="15" hidden="1" customHeight="1" x14ac:dyDescent="0.25">
      <c r="D2" s="111" t="str">
        <f>IFERROR(IF(B2="Total Geral","",IF(B2="","",D1+C2)),$D$11+$C$13)</f>
        <v/>
      </c>
    </row>
    <row r="3" spans="1:11" ht="15" hidden="1" customHeight="1" x14ac:dyDescent="0.25">
      <c r="D3" s="111"/>
    </row>
    <row r="4" spans="1:11" ht="15" hidden="1" customHeight="1" x14ac:dyDescent="0.25">
      <c r="D4" s="111"/>
    </row>
    <row r="5" spans="1:11" ht="15" customHeight="1" x14ac:dyDescent="0.25">
      <c r="B5" s="47" t="s">
        <v>130</v>
      </c>
      <c r="C5" s="50" t="s">
        <v>10</v>
      </c>
    </row>
    <row r="6" spans="1:11" ht="15" customHeight="1" x14ac:dyDescent="0.25">
      <c r="B6" s="47" t="s">
        <v>136</v>
      </c>
      <c r="C6" s="50" t="s">
        <v>10</v>
      </c>
      <c r="I6" s="49"/>
      <c r="J6" s="115" t="s">
        <v>140</v>
      </c>
      <c r="K6" s="114"/>
    </row>
    <row r="7" spans="1:11" ht="15.75" thickBot="1" x14ac:dyDescent="0.3">
      <c r="B7" s="47" t="s">
        <v>129</v>
      </c>
      <c r="C7" s="50" t="s">
        <v>127</v>
      </c>
      <c r="I7" s="169" t="s">
        <v>132</v>
      </c>
      <c r="J7" s="170">
        <v>43388</v>
      </c>
      <c r="K7" s="50"/>
    </row>
    <row r="8" spans="1:11" x14ac:dyDescent="0.25">
      <c r="B8" s="113" t="s">
        <v>138</v>
      </c>
      <c r="C8" s="50" t="s">
        <v>10</v>
      </c>
      <c r="I8" s="168" t="s">
        <v>133</v>
      </c>
      <c r="J8" s="167">
        <v>43393</v>
      </c>
      <c r="K8" s="50"/>
    </row>
    <row r="9" spans="1:11" x14ac:dyDescent="0.25">
      <c r="B9" s="113" t="s">
        <v>139</v>
      </c>
      <c r="C9" s="50" t="s">
        <v>10</v>
      </c>
    </row>
    <row r="10" spans="1:11" s="112" customFormat="1" ht="20.25" customHeight="1" x14ac:dyDescent="0.25">
      <c r="C10" s="95"/>
      <c r="D10" s="96"/>
      <c r="I10" s="174" t="s">
        <v>135</v>
      </c>
      <c r="J10" s="174"/>
      <c r="K10" s="116">
        <f>IF(C7="A REALIZAR",'Apoio TDs'!C8,0)</f>
        <v>10000</v>
      </c>
    </row>
    <row r="11" spans="1:11" s="48" customFormat="1" x14ac:dyDescent="0.25">
      <c r="B11" s="108" t="s">
        <v>166</v>
      </c>
      <c r="C11" s="108" t="s">
        <v>0</v>
      </c>
      <c r="D11" s="108" t="s">
        <v>40</v>
      </c>
      <c r="E11" s="108" t="s">
        <v>3</v>
      </c>
      <c r="F11" s="108" t="s">
        <v>7</v>
      </c>
      <c r="G11" s="108" t="s">
        <v>137</v>
      </c>
      <c r="H11" s="108" t="s">
        <v>49</v>
      </c>
      <c r="I11" s="108" t="s">
        <v>80</v>
      </c>
      <c r="J11" s="48" t="s">
        <v>92</v>
      </c>
      <c r="K11" s="148" t="s">
        <v>134</v>
      </c>
    </row>
    <row r="12" spans="1:11" x14ac:dyDescent="0.25">
      <c r="B12" s="50" t="s">
        <v>2</v>
      </c>
      <c r="D12" s="50"/>
      <c r="J12" s="110"/>
      <c r="K12" s="149">
        <f>IF(AND(ROW(B12)=12,B12="Total Geral"),$K$10,IF(J12="","",IF(B12="Total Geral",K11,IF(ROW(K11)=11,$K$9+J12,K11+J12))))</f>
        <v>10000</v>
      </c>
    </row>
    <row r="13" spans="1:11" x14ac:dyDescent="0.25">
      <c r="B13"/>
      <c r="C13"/>
      <c r="D13"/>
      <c r="E13"/>
      <c r="F13"/>
      <c r="G13"/>
      <c r="H13"/>
      <c r="I13"/>
      <c r="J13"/>
    </row>
    <row r="14" spans="1:11" x14ac:dyDescent="0.25">
      <c r="B14"/>
      <c r="C14"/>
      <c r="D14"/>
      <c r="E14"/>
      <c r="F14"/>
      <c r="G14"/>
      <c r="H14"/>
      <c r="I14"/>
      <c r="J14"/>
    </row>
    <row r="15" spans="1:11" x14ac:dyDescent="0.25">
      <c r="B15"/>
      <c r="C15"/>
      <c r="D15"/>
      <c r="E15"/>
      <c r="F15"/>
      <c r="G15"/>
      <c r="H15"/>
      <c r="I15"/>
      <c r="J15"/>
    </row>
    <row r="16" spans="1:11" x14ac:dyDescent="0.25">
      <c r="B16"/>
      <c r="C16"/>
      <c r="D16"/>
      <c r="E16"/>
      <c r="F16"/>
      <c r="G16"/>
      <c r="H16"/>
      <c r="I16"/>
      <c r="J16"/>
    </row>
    <row r="17" spans="2:10" x14ac:dyDescent="0.25">
      <c r="B17"/>
      <c r="C17"/>
      <c r="D17"/>
      <c r="E17"/>
      <c r="F17"/>
      <c r="G17"/>
      <c r="H17"/>
      <c r="I17"/>
      <c r="J17"/>
    </row>
    <row r="18" spans="2:10" x14ac:dyDescent="0.25">
      <c r="B18"/>
      <c r="C18"/>
      <c r="D18"/>
      <c r="E18"/>
      <c r="F18"/>
      <c r="G18"/>
      <c r="H18"/>
      <c r="I18"/>
      <c r="J18"/>
    </row>
    <row r="19" spans="2:10" x14ac:dyDescent="0.25">
      <c r="B19"/>
      <c r="C19"/>
      <c r="D19"/>
      <c r="E19"/>
      <c r="F19"/>
      <c r="G19"/>
      <c r="H19"/>
      <c r="I19"/>
      <c r="J19"/>
    </row>
    <row r="20" spans="2:10" x14ac:dyDescent="0.25">
      <c r="B20"/>
      <c r="C20"/>
      <c r="D20"/>
      <c r="E20"/>
      <c r="F20"/>
      <c r="G20"/>
      <c r="H20"/>
      <c r="I20"/>
      <c r="J20"/>
    </row>
    <row r="21" spans="2:10" x14ac:dyDescent="0.25">
      <c r="B21"/>
      <c r="C21"/>
      <c r="D21"/>
      <c r="E21"/>
      <c r="F21"/>
      <c r="G21"/>
      <c r="H21"/>
      <c r="I21"/>
      <c r="J21"/>
    </row>
    <row r="22" spans="2:10" x14ac:dyDescent="0.25">
      <c r="B22"/>
      <c r="C22"/>
      <c r="D22"/>
      <c r="E22"/>
      <c r="F22"/>
      <c r="G22"/>
      <c r="H22"/>
      <c r="I22"/>
      <c r="J22"/>
    </row>
    <row r="23" spans="2:10" x14ac:dyDescent="0.25">
      <c r="B23"/>
      <c r="C23"/>
      <c r="D23"/>
      <c r="E23"/>
      <c r="F23"/>
      <c r="G23"/>
      <c r="H23"/>
      <c r="I23"/>
      <c r="J23"/>
    </row>
    <row r="24" spans="2:10" x14ac:dyDescent="0.25">
      <c r="B24"/>
      <c r="C24"/>
      <c r="D24"/>
      <c r="E24"/>
      <c r="F24"/>
      <c r="G24"/>
      <c r="H24"/>
      <c r="I24"/>
      <c r="J24"/>
    </row>
    <row r="25" spans="2:10" x14ac:dyDescent="0.25">
      <c r="B25"/>
      <c r="C25"/>
      <c r="D25"/>
      <c r="E25"/>
      <c r="F25"/>
      <c r="G25"/>
      <c r="H25"/>
      <c r="I25"/>
      <c r="J25"/>
    </row>
    <row r="26" spans="2:10" x14ac:dyDescent="0.25">
      <c r="B26"/>
      <c r="C26"/>
      <c r="D26"/>
      <c r="E26"/>
      <c r="F26"/>
      <c r="G26"/>
      <c r="H26"/>
      <c r="I26"/>
      <c r="J26"/>
    </row>
    <row r="27" spans="2:10" x14ac:dyDescent="0.25">
      <c r="B27"/>
      <c r="C27"/>
      <c r="D27"/>
      <c r="E27"/>
      <c r="F27"/>
      <c r="G27"/>
      <c r="H27"/>
      <c r="I27"/>
      <c r="J27"/>
    </row>
    <row r="28" spans="2:10" x14ac:dyDescent="0.25">
      <c r="B28"/>
      <c r="C28"/>
      <c r="D28"/>
      <c r="E28"/>
      <c r="F28"/>
      <c r="G28"/>
      <c r="H28"/>
      <c r="I28"/>
      <c r="J28"/>
    </row>
    <row r="29" spans="2:10" x14ac:dyDescent="0.25">
      <c r="B29"/>
      <c r="C29"/>
      <c r="D29"/>
      <c r="E29"/>
      <c r="F29"/>
      <c r="G29"/>
      <c r="H29"/>
      <c r="I29"/>
      <c r="J29"/>
    </row>
    <row r="30" spans="2:10" x14ac:dyDescent="0.25">
      <c r="B30"/>
      <c r="C30"/>
      <c r="D30"/>
      <c r="E30"/>
      <c r="F30"/>
      <c r="G30"/>
      <c r="H30"/>
      <c r="I30"/>
      <c r="J30"/>
    </row>
    <row r="31" spans="2:10" x14ac:dyDescent="0.25">
      <c r="B31"/>
      <c r="C31"/>
      <c r="D31"/>
      <c r="E31"/>
      <c r="F31"/>
      <c r="G31"/>
      <c r="H31"/>
      <c r="I31"/>
      <c r="J31"/>
    </row>
    <row r="32" spans="2:10" x14ac:dyDescent="0.25">
      <c r="B32"/>
      <c r="C32"/>
      <c r="D32"/>
      <c r="E32"/>
      <c r="F32"/>
      <c r="G32"/>
      <c r="H32"/>
      <c r="I32"/>
      <c r="J32"/>
    </row>
    <row r="33" spans="2:10" x14ac:dyDescent="0.25">
      <c r="B33"/>
      <c r="C33"/>
      <c r="D33"/>
      <c r="E33"/>
      <c r="F33"/>
      <c r="G33"/>
      <c r="H33"/>
      <c r="I33"/>
      <c r="J33"/>
    </row>
    <row r="34" spans="2:10" x14ac:dyDescent="0.25">
      <c r="B34"/>
      <c r="C34"/>
      <c r="D34"/>
      <c r="E34"/>
      <c r="F34"/>
      <c r="G34"/>
      <c r="H34"/>
      <c r="I34"/>
      <c r="J34"/>
    </row>
    <row r="35" spans="2:10" x14ac:dyDescent="0.25">
      <c r="B35"/>
      <c r="C35"/>
      <c r="D35"/>
      <c r="E35"/>
      <c r="F35"/>
      <c r="G35"/>
      <c r="H35"/>
      <c r="I35"/>
      <c r="J35"/>
    </row>
    <row r="36" spans="2:10" x14ac:dyDescent="0.25">
      <c r="B36"/>
      <c r="C36"/>
      <c r="D36"/>
      <c r="E36"/>
      <c r="F36"/>
      <c r="G36"/>
      <c r="H36"/>
      <c r="I36"/>
      <c r="J36"/>
    </row>
    <row r="37" spans="2:10" x14ac:dyDescent="0.25">
      <c r="B37"/>
      <c r="C37"/>
      <c r="D37"/>
      <c r="E37"/>
      <c r="F37"/>
      <c r="G37"/>
      <c r="H37"/>
      <c r="I37"/>
      <c r="J37"/>
    </row>
    <row r="38" spans="2:10" x14ac:dyDescent="0.25">
      <c r="B38"/>
      <c r="C38"/>
      <c r="D38"/>
      <c r="E38"/>
      <c r="F38"/>
      <c r="G38"/>
      <c r="H38"/>
      <c r="I38"/>
      <c r="J38"/>
    </row>
    <row r="39" spans="2:10" x14ac:dyDescent="0.25">
      <c r="B39"/>
      <c r="C39"/>
      <c r="D39"/>
      <c r="E39"/>
      <c r="F39"/>
      <c r="G39"/>
      <c r="H39"/>
      <c r="I39"/>
      <c r="J39"/>
    </row>
    <row r="40" spans="2:10" x14ac:dyDescent="0.25">
      <c r="B40"/>
      <c r="C40"/>
      <c r="D40"/>
      <c r="E40"/>
      <c r="F40"/>
      <c r="G40"/>
      <c r="H40"/>
      <c r="I40"/>
      <c r="J40"/>
    </row>
    <row r="41" spans="2:10" x14ac:dyDescent="0.25">
      <c r="B41"/>
      <c r="C41"/>
      <c r="D41"/>
      <c r="E41"/>
      <c r="F41"/>
      <c r="G41"/>
      <c r="H41"/>
      <c r="I41"/>
      <c r="J41"/>
    </row>
    <row r="42" spans="2:10" x14ac:dyDescent="0.25">
      <c r="B42"/>
      <c r="C42"/>
      <c r="D42"/>
      <c r="E42"/>
      <c r="F42"/>
      <c r="G42"/>
      <c r="H42"/>
      <c r="I42"/>
      <c r="J42"/>
    </row>
    <row r="43" spans="2:10" x14ac:dyDescent="0.25">
      <c r="B43"/>
      <c r="C43"/>
      <c r="D43"/>
      <c r="E43"/>
      <c r="F43"/>
      <c r="G43"/>
      <c r="H43"/>
      <c r="I43"/>
      <c r="J43"/>
    </row>
    <row r="44" spans="2:10" x14ac:dyDescent="0.25">
      <c r="B44"/>
      <c r="C44"/>
      <c r="D44"/>
      <c r="E44"/>
      <c r="F44"/>
      <c r="G44"/>
      <c r="H44"/>
      <c r="I44"/>
      <c r="J44"/>
    </row>
    <row r="45" spans="2:10" x14ac:dyDescent="0.25">
      <c r="B45"/>
      <c r="C45"/>
      <c r="D45"/>
      <c r="E45"/>
      <c r="F45"/>
      <c r="G45"/>
      <c r="H45"/>
      <c r="I45"/>
      <c r="J45"/>
    </row>
    <row r="46" spans="2:10" x14ac:dyDescent="0.25">
      <c r="B46"/>
      <c r="C46"/>
      <c r="D46"/>
      <c r="E46"/>
      <c r="F46"/>
      <c r="G46"/>
      <c r="H46"/>
      <c r="I46"/>
      <c r="J46"/>
    </row>
    <row r="47" spans="2:10" x14ac:dyDescent="0.25">
      <c r="B47"/>
      <c r="C47"/>
      <c r="D47"/>
      <c r="E47"/>
      <c r="F47"/>
      <c r="G47"/>
      <c r="H47"/>
      <c r="I47"/>
      <c r="J47"/>
    </row>
    <row r="48" spans="2:10" x14ac:dyDescent="0.25">
      <c r="B48"/>
      <c r="C48"/>
      <c r="D48"/>
      <c r="E48"/>
      <c r="F48"/>
      <c r="G48"/>
      <c r="H48"/>
      <c r="I48"/>
      <c r="J48"/>
    </row>
    <row r="49" spans="2:10" x14ac:dyDescent="0.25">
      <c r="B49"/>
      <c r="C49"/>
      <c r="D49"/>
      <c r="E49"/>
      <c r="F49"/>
      <c r="G49"/>
      <c r="H49"/>
      <c r="I49"/>
      <c r="J49"/>
    </row>
    <row r="50" spans="2:10" x14ac:dyDescent="0.25">
      <c r="B50"/>
      <c r="C50"/>
      <c r="D50"/>
      <c r="E50"/>
      <c r="F50"/>
      <c r="G50"/>
      <c r="H50"/>
      <c r="I50"/>
      <c r="J50"/>
    </row>
    <row r="51" spans="2:10" x14ac:dyDescent="0.25">
      <c r="B51"/>
      <c r="C51"/>
      <c r="D51"/>
      <c r="E51"/>
      <c r="F51"/>
      <c r="G51"/>
      <c r="H51"/>
      <c r="I51"/>
      <c r="J51"/>
    </row>
    <row r="52" spans="2:10" x14ac:dyDescent="0.25">
      <c r="B52"/>
      <c r="C52"/>
      <c r="D52"/>
      <c r="E52"/>
      <c r="F52"/>
      <c r="G52"/>
      <c r="H52"/>
      <c r="I52"/>
      <c r="J52"/>
    </row>
    <row r="53" spans="2:10" x14ac:dyDescent="0.25">
      <c r="B53"/>
      <c r="C53"/>
      <c r="D53"/>
      <c r="E53"/>
      <c r="F53"/>
      <c r="G53"/>
      <c r="H53"/>
      <c r="I53"/>
      <c r="J53"/>
    </row>
    <row r="54" spans="2:10" x14ac:dyDescent="0.25">
      <c r="B54"/>
      <c r="C54"/>
      <c r="D54"/>
      <c r="E54"/>
      <c r="F54"/>
      <c r="G54"/>
      <c r="H54"/>
      <c r="I54"/>
      <c r="J54"/>
    </row>
    <row r="55" spans="2:10" x14ac:dyDescent="0.25">
      <c r="B55"/>
      <c r="C55"/>
      <c r="D55"/>
      <c r="E55"/>
      <c r="F55"/>
      <c r="G55"/>
      <c r="H55"/>
      <c r="I55"/>
      <c r="J55"/>
    </row>
    <row r="56" spans="2:10" x14ac:dyDescent="0.25">
      <c r="B56"/>
      <c r="C56"/>
      <c r="D56"/>
      <c r="E56"/>
      <c r="F56"/>
      <c r="G56"/>
      <c r="H56"/>
      <c r="I56"/>
      <c r="J56"/>
    </row>
    <row r="57" spans="2:10" x14ac:dyDescent="0.25">
      <c r="B57"/>
      <c r="C57"/>
      <c r="D57"/>
      <c r="E57"/>
      <c r="F57"/>
      <c r="G57"/>
      <c r="H57"/>
      <c r="I57"/>
      <c r="J57"/>
    </row>
    <row r="58" spans="2:10" x14ac:dyDescent="0.25">
      <c r="B58"/>
      <c r="C58"/>
      <c r="D58"/>
      <c r="E58"/>
      <c r="F58"/>
      <c r="G58"/>
      <c r="H58"/>
      <c r="I58"/>
      <c r="J58"/>
    </row>
    <row r="59" spans="2:10" x14ac:dyDescent="0.25">
      <c r="B59"/>
      <c r="C59"/>
      <c r="D59"/>
      <c r="E59"/>
      <c r="F59"/>
      <c r="G59"/>
      <c r="H59"/>
      <c r="I59"/>
      <c r="J59"/>
    </row>
    <row r="60" spans="2:10" x14ac:dyDescent="0.25">
      <c r="B60"/>
      <c r="C60"/>
      <c r="D60"/>
      <c r="E60"/>
      <c r="F60"/>
      <c r="G60"/>
      <c r="H60"/>
      <c r="I60"/>
      <c r="J60"/>
    </row>
    <row r="61" spans="2:10" x14ac:dyDescent="0.25">
      <c r="B61"/>
      <c r="C61"/>
      <c r="D61"/>
      <c r="E61"/>
      <c r="F61"/>
      <c r="G61"/>
      <c r="H61"/>
      <c r="I61"/>
      <c r="J61"/>
    </row>
    <row r="62" spans="2:10" x14ac:dyDescent="0.25">
      <c r="B62"/>
      <c r="C62"/>
      <c r="D62"/>
      <c r="E62"/>
      <c r="F62"/>
      <c r="G62"/>
      <c r="H62"/>
      <c r="I62"/>
      <c r="J62"/>
    </row>
    <row r="63" spans="2:10" x14ac:dyDescent="0.25">
      <c r="B63"/>
      <c r="C63"/>
      <c r="D63"/>
      <c r="E63"/>
      <c r="F63"/>
      <c r="G63"/>
      <c r="H63"/>
      <c r="I63"/>
      <c r="J63"/>
    </row>
    <row r="64" spans="2:10" x14ac:dyDescent="0.25">
      <c r="B64"/>
      <c r="C64"/>
      <c r="D64"/>
      <c r="E64"/>
      <c r="F64"/>
      <c r="G64"/>
      <c r="H64"/>
      <c r="I64"/>
      <c r="J64"/>
    </row>
    <row r="65" spans="2:10" x14ac:dyDescent="0.25">
      <c r="B65"/>
      <c r="C65"/>
      <c r="D65"/>
      <c r="E65"/>
      <c r="F65"/>
      <c r="G65"/>
      <c r="H65"/>
      <c r="I65"/>
      <c r="J65"/>
    </row>
    <row r="66" spans="2:10" x14ac:dyDescent="0.25">
      <c r="B66"/>
      <c r="C66"/>
      <c r="D66"/>
      <c r="E66"/>
      <c r="F66"/>
      <c r="G66"/>
      <c r="H66"/>
      <c r="I66"/>
      <c r="J66"/>
    </row>
    <row r="67" spans="2:10" x14ac:dyDescent="0.25">
      <c r="B67"/>
      <c r="C67"/>
      <c r="D67"/>
      <c r="E67"/>
      <c r="F67"/>
      <c r="G67"/>
      <c r="H67"/>
      <c r="I67"/>
      <c r="J67"/>
    </row>
    <row r="68" spans="2:10" x14ac:dyDescent="0.25">
      <c r="B68"/>
      <c r="C68"/>
      <c r="D68"/>
      <c r="E68"/>
      <c r="F68"/>
      <c r="G68"/>
      <c r="H68"/>
      <c r="I68"/>
      <c r="J68"/>
    </row>
    <row r="69" spans="2:10" x14ac:dyDescent="0.25">
      <c r="B69"/>
      <c r="C69"/>
      <c r="D69"/>
      <c r="E69"/>
      <c r="F69"/>
      <c r="G69"/>
      <c r="H69"/>
      <c r="I69"/>
      <c r="J69"/>
    </row>
    <row r="70" spans="2:10" x14ac:dyDescent="0.25">
      <c r="B70"/>
      <c r="C70"/>
      <c r="D70"/>
      <c r="E70"/>
      <c r="F70"/>
      <c r="G70"/>
      <c r="H70"/>
      <c r="I70"/>
      <c r="J70"/>
    </row>
    <row r="71" spans="2:10" x14ac:dyDescent="0.25">
      <c r="B71"/>
      <c r="C71"/>
      <c r="D71"/>
      <c r="E71"/>
      <c r="F71"/>
      <c r="G71"/>
      <c r="H71"/>
      <c r="I71"/>
      <c r="J71"/>
    </row>
    <row r="72" spans="2:10" x14ac:dyDescent="0.25">
      <c r="B72"/>
      <c r="C72"/>
      <c r="D72"/>
      <c r="E72"/>
      <c r="F72"/>
      <c r="G72"/>
      <c r="H72"/>
      <c r="I72"/>
      <c r="J72"/>
    </row>
    <row r="73" spans="2:10" x14ac:dyDescent="0.25">
      <c r="B73"/>
      <c r="C73"/>
      <c r="D73"/>
      <c r="E73"/>
      <c r="F73"/>
      <c r="G73"/>
      <c r="H73"/>
      <c r="I73"/>
      <c r="J73"/>
    </row>
    <row r="74" spans="2:10" x14ac:dyDescent="0.25">
      <c r="B74"/>
      <c r="C74"/>
      <c r="D74"/>
      <c r="E74"/>
      <c r="F74"/>
      <c r="G74"/>
      <c r="H74"/>
      <c r="I74"/>
      <c r="J74"/>
    </row>
    <row r="75" spans="2:10" x14ac:dyDescent="0.25">
      <c r="B75"/>
      <c r="C75"/>
      <c r="D75"/>
      <c r="E75"/>
      <c r="F75"/>
      <c r="G75"/>
      <c r="H75"/>
      <c r="I75"/>
      <c r="J75"/>
    </row>
    <row r="76" spans="2:10" x14ac:dyDescent="0.25">
      <c r="B76"/>
      <c r="C76"/>
      <c r="D76"/>
      <c r="E76"/>
      <c r="F76"/>
      <c r="G76"/>
      <c r="H76"/>
      <c r="I76"/>
      <c r="J76"/>
    </row>
    <row r="77" spans="2:10" x14ac:dyDescent="0.25">
      <c r="B77"/>
      <c r="C77"/>
      <c r="D77"/>
      <c r="E77"/>
      <c r="F77"/>
      <c r="G77"/>
      <c r="H77"/>
      <c r="I77"/>
      <c r="J77"/>
    </row>
    <row r="78" spans="2:10" x14ac:dyDescent="0.25">
      <c r="B78"/>
      <c r="C78"/>
      <c r="D78"/>
      <c r="E78"/>
      <c r="F78"/>
      <c r="G78"/>
      <c r="H78"/>
      <c r="I78"/>
      <c r="J78"/>
    </row>
    <row r="79" spans="2:10" x14ac:dyDescent="0.25">
      <c r="B79"/>
      <c r="C79"/>
      <c r="D79"/>
      <c r="E79"/>
      <c r="F79"/>
      <c r="G79"/>
      <c r="H79"/>
      <c r="I79"/>
      <c r="J79"/>
    </row>
    <row r="80" spans="2:10" x14ac:dyDescent="0.25">
      <c r="B80"/>
      <c r="C80"/>
      <c r="D80"/>
      <c r="E80"/>
      <c r="F80"/>
      <c r="G80"/>
      <c r="H80"/>
      <c r="I80"/>
      <c r="J80"/>
    </row>
    <row r="81" spans="2:10" x14ac:dyDescent="0.25">
      <c r="B81"/>
      <c r="C81"/>
      <c r="D81"/>
      <c r="E81"/>
      <c r="F81"/>
      <c r="G81"/>
      <c r="H81"/>
      <c r="I81"/>
      <c r="J81"/>
    </row>
    <row r="82" spans="2:10" x14ac:dyDescent="0.25">
      <c r="B82"/>
      <c r="C82"/>
      <c r="D82"/>
      <c r="E82"/>
      <c r="F82"/>
      <c r="G82"/>
      <c r="H82"/>
      <c r="I82"/>
      <c r="J82"/>
    </row>
    <row r="83" spans="2:10" x14ac:dyDescent="0.25">
      <c r="B83"/>
      <c r="C83"/>
      <c r="D83"/>
      <c r="E83"/>
      <c r="F83"/>
      <c r="G83"/>
      <c r="H83"/>
      <c r="I83"/>
      <c r="J83"/>
    </row>
    <row r="84" spans="2:10" x14ac:dyDescent="0.25">
      <c r="B84"/>
      <c r="C84"/>
      <c r="D84"/>
      <c r="E84"/>
      <c r="F84"/>
      <c r="G84"/>
      <c r="H84"/>
      <c r="I84"/>
      <c r="J84"/>
    </row>
    <row r="85" spans="2:10" x14ac:dyDescent="0.25">
      <c r="B85"/>
      <c r="C85"/>
      <c r="D85"/>
      <c r="E85"/>
      <c r="F85"/>
      <c r="G85"/>
      <c r="H85"/>
      <c r="I85"/>
      <c r="J85"/>
    </row>
    <row r="86" spans="2:10" x14ac:dyDescent="0.25">
      <c r="B86"/>
      <c r="C86"/>
      <c r="D86"/>
      <c r="E86"/>
      <c r="F86"/>
      <c r="G86"/>
      <c r="H86"/>
      <c r="I86"/>
      <c r="J86"/>
    </row>
  </sheetData>
  <sheetProtection algorithmName="SHA-512" hashValue="mgA74meWlmGzgqwTHmR/Ze6L2UxEVYJAN2NwIGT/Rra+vE3qtvO4V6XGh24J+Qs9f4kIb4RSHd23tNqZ+lBsaA==" saltValue="dkV0WvW5tsonJfP0t1O83A==" spinCount="100000" sheet="1" objects="1" scenarios="1" formatCells="0" formatColumns="0" sort="0" autoFilter="0" pivotTables="0"/>
  <mergeCells count="1">
    <mergeCell ref="I10:J10"/>
  </mergeCells>
  <conditionalFormatting sqref="K11:M11 L12:M28">
    <cfRule type="expression" dxfId="109" priority="666">
      <formula>$L10&lt;&gt;""</formula>
    </cfRule>
  </conditionalFormatting>
  <conditionalFormatting sqref="K11:M11">
    <cfRule type="expression" dxfId="108" priority="665">
      <formula>$L10&lt;&gt;""</formula>
    </cfRule>
  </conditionalFormatting>
  <conditionalFormatting sqref="K11:M11">
    <cfRule type="expression" dxfId="107" priority="664">
      <formula>$L10&lt;&gt;""</formula>
    </cfRule>
  </conditionalFormatting>
  <conditionalFormatting sqref="K11:M11">
    <cfRule type="expression" dxfId="106" priority="663">
      <formula>$L10&lt;&gt;""</formula>
    </cfRule>
  </conditionalFormatting>
  <conditionalFormatting sqref="K11:M11">
    <cfRule type="expression" dxfId="105" priority="662">
      <formula>$L10&lt;&gt;""</formula>
    </cfRule>
  </conditionalFormatting>
  <conditionalFormatting sqref="K11:M11 L12:M27">
    <cfRule type="expression" dxfId="104" priority="661">
      <formula>$L10&lt;&gt;""</formula>
    </cfRule>
  </conditionalFormatting>
  <conditionalFormatting sqref="K11:M11 L12:M27">
    <cfRule type="expression" dxfId="103" priority="660">
      <formula>$L10&lt;&gt;""</formula>
    </cfRule>
  </conditionalFormatting>
  <conditionalFormatting sqref="K11:M11 L12:M12">
    <cfRule type="expression" dxfId="102" priority="659">
      <formula>$L10&lt;&gt;""</formula>
    </cfRule>
  </conditionalFormatting>
  <conditionalFormatting sqref="K11:M11 L12:M12">
    <cfRule type="expression" dxfId="101" priority="658">
      <formula>$L10&lt;&gt;""</formula>
    </cfRule>
  </conditionalFormatting>
  <conditionalFormatting sqref="K12">
    <cfRule type="expression" dxfId="100" priority="1">
      <formula>$J12&lt;&gt;""</formula>
    </cfRule>
  </conditionalFormatting>
  <printOptions horizontalCentered="1"/>
  <pageMargins left="0.51181102362204722" right="0.51181102362204722" top="0.78740157480314965" bottom="0.78740157480314965" header="0.31496062992125984" footer="0.31496062992125984"/>
  <pageSetup paperSize="9" scale="73" fitToHeight="10" orientation="landscape" r:id="rId2"/>
  <headerFooter>
    <oddHeader>&amp;C&amp;"-,Negrito"&amp;14RELATÓRIO DOS TÍTULOS BAIXADOS / A BAIXAR&amp;R&amp;P /&amp;N</oddHeader>
    <oddFooter>&amp;L&amp;8&amp;Z&amp;F&amp;R&amp;D / &amp;T</oddFooter>
  </headerFooter>
  <drawing r:id="rId3"/>
  <legacyDrawing r:id="rId4"/>
  <extLst>
    <ext xmlns:x14="http://schemas.microsoft.com/office/spreadsheetml/2009/9/main" uri="{A8765BA9-456A-4dab-B4F3-ACF838C121DE}">
      <x14:slicerList>
        <x14:slicer r:id="rId5"/>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29C7E-E589-4D65-B30F-7A97B20ABEBF}">
  <sheetPr codeName="Sht_RelSaldos">
    <tabColor theme="8" tint="-0.249977111117893"/>
    <pageSetUpPr fitToPage="1"/>
  </sheetPr>
  <dimension ref="A1:C10"/>
  <sheetViews>
    <sheetView showGridLines="0" workbookViewId="0">
      <pane ySplit="7" topLeftCell="A8" activePane="bottomLeft" state="frozen"/>
      <selection pane="bottomLeft" activeCell="C5" sqref="C5"/>
    </sheetView>
  </sheetViews>
  <sheetFormatPr defaultRowHeight="15" x14ac:dyDescent="0.25"/>
  <cols>
    <col min="1" max="1" width="2.85546875" customWidth="1"/>
    <col min="2" max="2" width="18.5703125" bestFit="1" customWidth="1"/>
    <col min="3" max="3" width="13.140625" bestFit="1" customWidth="1"/>
  </cols>
  <sheetData>
    <row r="1" spans="1:3" x14ac:dyDescent="0.25">
      <c r="A1" s="8">
        <f>COUNTIF([0]!rng_DadosLanctosTD,"A REALIZAR")</f>
        <v>0</v>
      </c>
    </row>
    <row r="4" spans="1:3" hidden="1" x14ac:dyDescent="0.25"/>
    <row r="5" spans="1:3" x14ac:dyDescent="0.25">
      <c r="B5" s="122" t="s">
        <v>129</v>
      </c>
      <c r="C5" t="s">
        <v>165</v>
      </c>
    </row>
    <row r="6" spans="1:3" s="112" customFormat="1" ht="23.25" customHeight="1" x14ac:dyDescent="0.25">
      <c r="B6" s="123" t="s">
        <v>141</v>
      </c>
      <c r="C6" s="117">
        <v>43388</v>
      </c>
    </row>
    <row r="7" spans="1:3" s="50" customFormat="1" ht="19.5" customHeight="1" x14ac:dyDescent="0.25">
      <c r="B7" s="47" t="s">
        <v>128</v>
      </c>
      <c r="C7" s="48" t="s">
        <v>92</v>
      </c>
    </row>
    <row r="8" spans="1:3" x14ac:dyDescent="0.25">
      <c r="B8" s="3" t="s">
        <v>174</v>
      </c>
      <c r="C8" s="1">
        <v>10000</v>
      </c>
    </row>
    <row r="9" spans="1:3" x14ac:dyDescent="0.25">
      <c r="B9" s="104" t="s">
        <v>123</v>
      </c>
      <c r="C9" s="1">
        <v>10000</v>
      </c>
    </row>
    <row r="10" spans="1:3" x14ac:dyDescent="0.25">
      <c r="B10" s="3" t="s">
        <v>2</v>
      </c>
      <c r="C10" s="1">
        <v>10000</v>
      </c>
    </row>
  </sheetData>
  <sheetProtection algorithmName="SHA-512" hashValue="1Bw7NKUkGHpgKUWDhvvW1b6CuHVGy/dqGIHsjqSYyWVkS9crZ2DR4nPQRGZEOgSXcSZrEPd75lrSA7asAdzdlQ==" saltValue="d0IqkdeUAgbrGgbPrNw0bQ==" spinCount="100000" sheet="1" objects="1" scenarios="1" formatCells="0" formatColumns="0" sort="0" autoFilter="0" pivotTables="0"/>
  <printOptions horizontalCentered="1"/>
  <pageMargins left="0.51181102362204722" right="0.51181102362204722" top="0.78740157480314965" bottom="0.78740157480314965" header="0.31496062992125984" footer="0.31496062992125984"/>
  <pageSetup paperSize="9" scale="98" fitToHeight="2" orientation="portrait" r:id="rId2"/>
  <headerFooter>
    <oddHeader>&amp;R&amp;P / &amp;N</oddHeader>
    <oddFooter>&amp;L&amp;8&amp;Z&amp;F&amp;R&amp;D / &amp;T</oddFooter>
  </headerFooter>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C4103-E8F9-4D42-B3EA-8A42CE0ED903}">
  <sheetPr codeName="Sht_RelAnaliseResultados">
    <tabColor theme="9" tint="-0.499984740745262"/>
  </sheetPr>
  <dimension ref="A1:Q51"/>
  <sheetViews>
    <sheetView showGridLines="0" showRowColHeaders="0" zoomScaleNormal="100" workbookViewId="0">
      <selection activeCell="M6" sqref="M6:N6"/>
    </sheetView>
  </sheetViews>
  <sheetFormatPr defaultRowHeight="12" x14ac:dyDescent="0.2"/>
  <cols>
    <col min="1" max="1" width="2" style="72" customWidth="1"/>
    <col min="2" max="2" width="13" style="72" bestFit="1" customWidth="1"/>
    <col min="3" max="3" width="9.5703125" style="72" bestFit="1" customWidth="1"/>
    <col min="4" max="6" width="9.42578125" style="72" bestFit="1" customWidth="1"/>
    <col min="7" max="8" width="9.7109375" style="72" bestFit="1" customWidth="1"/>
    <col min="9" max="14" width="10.28515625" style="72" bestFit="1" customWidth="1"/>
    <col min="15" max="17" width="9.7109375" style="72" bestFit="1" customWidth="1"/>
    <col min="18" max="16384" width="9.140625" style="72"/>
  </cols>
  <sheetData>
    <row r="1" spans="1:17" s="153" customFormat="1" ht="2.25" customHeight="1" x14ac:dyDescent="0.2">
      <c r="A1" s="150">
        <f>COUNTA(B20:TY20)+1</f>
        <v>15</v>
      </c>
      <c r="B1" s="70"/>
      <c r="C1" s="151">
        <f>IF(OR(C20="",C20="Total Geral"),"",DATE(YEAR(C20),MONTH(C20),DAY(C20)))</f>
        <v>43434</v>
      </c>
      <c r="D1" s="151">
        <f t="shared" ref="D1:O1" si="0">IF(OR(D20="",D20="Total Geral"),"",DATE(YEAR(D20),MONTH(D20),DAY(D20)))</f>
        <v>43465</v>
      </c>
      <c r="E1" s="151">
        <f t="shared" si="0"/>
        <v>43496</v>
      </c>
      <c r="F1" s="151">
        <f t="shared" si="0"/>
        <v>43524</v>
      </c>
      <c r="G1" s="151">
        <f t="shared" si="0"/>
        <v>43555</v>
      </c>
      <c r="H1" s="151">
        <f t="shared" si="0"/>
        <v>43585</v>
      </c>
      <c r="I1" s="151">
        <f t="shared" si="0"/>
        <v>43616</v>
      </c>
      <c r="J1" s="151">
        <f t="shared" si="0"/>
        <v>43646</v>
      </c>
      <c r="K1" s="151">
        <f t="shared" si="0"/>
        <v>43677</v>
      </c>
      <c r="L1" s="151">
        <f t="shared" si="0"/>
        <v>43708</v>
      </c>
      <c r="M1" s="151">
        <f t="shared" si="0"/>
        <v>43738</v>
      </c>
      <c r="N1" s="151">
        <f t="shared" si="0"/>
        <v>43769</v>
      </c>
      <c r="O1" s="153" t="str">
        <f t="shared" si="0"/>
        <v/>
      </c>
    </row>
    <row r="2" spans="1:17" s="70" customFormat="1" ht="2.25" customHeight="1" x14ac:dyDescent="0.2">
      <c r="C2" s="71">
        <f>IF(OR(C20="",C20="Total Geral"),"",GETPIVOTDATA("Valor",'REL. ANÁLISE DE RESULTADOS '!$B$19,"MÊS",DATE(YEAR('REL. ANÁLISE DE RESULTADOS '!C20),MONTH('REL. ANÁLISE DE RESULTADOS '!C20),DAY('REL. ANÁLISE DE RESULTADOS '!C20))))</f>
        <v>5000</v>
      </c>
      <c r="D2" s="71">
        <f>IF(OR(D20="",D20="Total Geral"),"",GETPIVOTDATA("Valor",'REL. ANÁLISE DE RESULTADOS '!$B$19,"MÊS",DATE(YEAR('REL. ANÁLISE DE RESULTADOS '!D20),MONTH('REL. ANÁLISE DE RESULTADOS '!D20),DAY('REL. ANÁLISE DE RESULTADOS '!D20))))</f>
        <v>5000</v>
      </c>
      <c r="E2" s="71">
        <f>IF(OR(E20="",E20="Total Geral"),"",GETPIVOTDATA("Valor",'REL. ANÁLISE DE RESULTADOS '!$B$19,"MÊS",DATE(YEAR('REL. ANÁLISE DE RESULTADOS '!E20),MONTH('REL. ANÁLISE DE RESULTADOS '!E20),DAY('REL. ANÁLISE DE RESULTADOS '!E20))))</f>
        <v>5000</v>
      </c>
      <c r="F2" s="71">
        <f>IF(OR(F20="",F20="Total Geral"),"",GETPIVOTDATA("Valor",'REL. ANÁLISE DE RESULTADOS '!$B$19,"MÊS",DATE(YEAR('REL. ANÁLISE DE RESULTADOS '!F20),MONTH('REL. ANÁLISE DE RESULTADOS '!F20),DAY('REL. ANÁLISE DE RESULTADOS '!F20))))</f>
        <v>5000</v>
      </c>
      <c r="G2" s="71">
        <f>IF(OR(G20="",G20="Total Geral"),"",GETPIVOTDATA("Valor",'REL. ANÁLISE DE RESULTADOS '!$B$19,"MÊS",DATE(YEAR('REL. ANÁLISE DE RESULTADOS '!G20),MONTH('REL. ANÁLISE DE RESULTADOS '!G20),DAY('REL. ANÁLISE DE RESULTADOS '!G20))))</f>
        <v>5000</v>
      </c>
      <c r="H2" s="71">
        <f>IF(OR(H20="",H20="Total Geral"),"",GETPIVOTDATA("Valor",'REL. ANÁLISE DE RESULTADOS '!$B$19,"MÊS",DATE(YEAR('REL. ANÁLISE DE RESULTADOS '!H20),MONTH('REL. ANÁLISE DE RESULTADOS '!H20),DAY('REL. ANÁLISE DE RESULTADOS '!H20))))</f>
        <v>5000</v>
      </c>
      <c r="I2" s="71">
        <f>IF(OR(I20="",I20="Total Geral"),"",GETPIVOTDATA("Valor",'REL. ANÁLISE DE RESULTADOS '!$B$19,"MÊS",DATE(YEAR('REL. ANÁLISE DE RESULTADOS '!I20),MONTH('REL. ANÁLISE DE RESULTADOS '!I20),DAY('REL. ANÁLISE DE RESULTADOS '!I20))))</f>
        <v>5000</v>
      </c>
      <c r="J2" s="71">
        <f>IF(OR(J20="",J20="Total Geral"),"",GETPIVOTDATA("Valor",'REL. ANÁLISE DE RESULTADOS '!$B$19,"MÊS",DATE(YEAR('REL. ANÁLISE DE RESULTADOS '!J20),MONTH('REL. ANÁLISE DE RESULTADOS '!J20),DAY('REL. ANÁLISE DE RESULTADOS '!J20))))</f>
        <v>5000</v>
      </c>
      <c r="K2" s="71">
        <f>IF(OR(K20="",K20="Total Geral"),"",GETPIVOTDATA("Valor",'REL. ANÁLISE DE RESULTADOS '!$B$19,"MÊS",DATE(YEAR('REL. ANÁLISE DE RESULTADOS '!K20),MONTH('REL. ANÁLISE DE RESULTADOS '!K20),DAY('REL. ANÁLISE DE RESULTADOS '!K20))))</f>
        <v>5000</v>
      </c>
      <c r="L2" s="71">
        <f>IF(OR(L20="",L20="Total Geral"),"",GETPIVOTDATA("Valor",'REL. ANÁLISE DE RESULTADOS '!$B$19,"MÊS",DATE(YEAR('REL. ANÁLISE DE RESULTADOS '!L20),MONTH('REL. ANÁLISE DE RESULTADOS '!L20),DAY('REL. ANÁLISE DE RESULTADOS '!L20))))</f>
        <v>5000</v>
      </c>
      <c r="M2" s="71">
        <f>IF(OR(M20="",M20="Total Geral"),"",GETPIVOTDATA("Valor",'REL. ANÁLISE DE RESULTADOS '!$B$19,"MÊS",DATE(YEAR('REL. ANÁLISE DE RESULTADOS '!M20),MONTH('REL. ANÁLISE DE RESULTADOS '!M20),DAY('REL. ANÁLISE DE RESULTADOS '!M20))))</f>
        <v>5000</v>
      </c>
      <c r="N2" s="71">
        <f>IF(OR(N20="",N20="Total Geral"),"",GETPIVOTDATA("Valor",'REL. ANÁLISE DE RESULTADOS '!$B$19,"MÊS",DATE(YEAR('REL. ANÁLISE DE RESULTADOS '!N20),MONTH('REL. ANÁLISE DE RESULTADOS '!N20),DAY('REL. ANÁLISE DE RESULTADOS '!N20))))</f>
        <v>5000</v>
      </c>
      <c r="O2" s="71" t="str">
        <f>IF(OR(O20="",O20="Total Geral"),"",GETPIVOTDATA("Valor",'REL. ANÁLISE DE RESULTADOS '!$B$19,"MÊS",DATE(YEAR('REL. ANÁLISE DE RESULTADOS '!O20),MONTH('REL. ANÁLISE DE RESULTADOS '!O20),DAY('REL. ANÁLISE DE RESULTADOS '!O20))))</f>
        <v/>
      </c>
      <c r="P2" s="71"/>
      <c r="Q2" s="71"/>
    </row>
    <row r="3" spans="1:17" s="70" customFormat="1" ht="2.25" customHeight="1" x14ac:dyDescent="0.2">
      <c r="C3" s="152">
        <f>B3+C2</f>
        <v>5000</v>
      </c>
      <c r="D3" s="152">
        <f t="shared" ref="D3:O3" si="1">C3+D2</f>
        <v>10000</v>
      </c>
      <c r="E3" s="152">
        <f t="shared" si="1"/>
        <v>15000</v>
      </c>
      <c r="F3" s="152">
        <f t="shared" si="1"/>
        <v>20000</v>
      </c>
      <c r="G3" s="152">
        <f t="shared" si="1"/>
        <v>25000</v>
      </c>
      <c r="H3" s="152">
        <f t="shared" si="1"/>
        <v>30000</v>
      </c>
      <c r="I3" s="152">
        <f t="shared" si="1"/>
        <v>35000</v>
      </c>
      <c r="J3" s="152">
        <f t="shared" si="1"/>
        <v>40000</v>
      </c>
      <c r="K3" s="152">
        <f t="shared" si="1"/>
        <v>45000</v>
      </c>
      <c r="L3" s="152">
        <f t="shared" si="1"/>
        <v>50000</v>
      </c>
      <c r="M3" s="152">
        <f t="shared" si="1"/>
        <v>55000</v>
      </c>
      <c r="N3" s="152">
        <f t="shared" si="1"/>
        <v>60000</v>
      </c>
      <c r="O3" s="70" t="e">
        <f t="shared" si="1"/>
        <v>#VALUE!</v>
      </c>
    </row>
    <row r="4" spans="1:17" s="147" customFormat="1" ht="16.5" customHeight="1" thickBot="1" x14ac:dyDescent="0.25">
      <c r="I4" s="161" t="s">
        <v>167</v>
      </c>
      <c r="J4" s="155">
        <v>43405</v>
      </c>
      <c r="L4" s="177" t="s">
        <v>112</v>
      </c>
      <c r="M4" s="177"/>
      <c r="N4" s="177"/>
      <c r="O4" s="120" t="s">
        <v>116</v>
      </c>
    </row>
    <row r="5" spans="1:17" ht="16.5" customHeight="1" x14ac:dyDescent="0.2">
      <c r="I5" s="162" t="s">
        <v>168</v>
      </c>
      <c r="J5" s="154">
        <v>43800</v>
      </c>
      <c r="L5" s="119" t="s">
        <v>113</v>
      </c>
      <c r="M5" s="176">
        <v>0.01</v>
      </c>
      <c r="N5" s="176"/>
      <c r="O5" s="143" t="e">
        <f>IRR(C2:TZ2)</f>
        <v>#NUM!</v>
      </c>
    </row>
    <row r="6" spans="1:17" ht="16.5" customHeight="1" x14ac:dyDescent="0.2">
      <c r="I6" s="118"/>
      <c r="J6" s="118"/>
      <c r="L6" s="120" t="s">
        <v>114</v>
      </c>
      <c r="M6" s="175">
        <f>C2+NPV(M5,D2:TZ2)</f>
        <v>56838.141241097386</v>
      </c>
      <c r="N6" s="175"/>
      <c r="O6" s="144" t="e">
        <f>(1+O5)^12-1</f>
        <v>#NUM!</v>
      </c>
    </row>
    <row r="7" spans="1:17" ht="16.5" customHeight="1" x14ac:dyDescent="0.2"/>
    <row r="8" spans="1:17" ht="17.25" hidden="1" customHeight="1" x14ac:dyDescent="0.2">
      <c r="F8" s="70"/>
      <c r="G8" s="70"/>
    </row>
    <row r="9" spans="1:17" ht="17.25" hidden="1" customHeight="1" x14ac:dyDescent="0.2"/>
    <row r="10" spans="1:17" ht="17.25" hidden="1" customHeight="1" x14ac:dyDescent="0.2"/>
    <row r="11" spans="1:17" ht="17.25" customHeight="1" x14ac:dyDescent="0.2"/>
    <row r="12" spans="1:17" ht="22.5" customHeight="1" x14ac:dyDescent="0.2"/>
    <row r="13" spans="1:17" ht="22.5" customHeight="1" x14ac:dyDescent="0.2"/>
    <row r="14" spans="1:17" s="118" customFormat="1" ht="15" x14ac:dyDescent="0.25">
      <c r="B14" s="50"/>
      <c r="C14" s="50"/>
    </row>
    <row r="15" spans="1:17" s="118" customFormat="1" x14ac:dyDescent="0.2">
      <c r="A15" s="121">
        <f>DATE(YEAR(InicioRelAnResultado),MONTH(InicioRelAnResultado),1)</f>
        <v>43405</v>
      </c>
      <c r="B15" s="73" t="s">
        <v>17</v>
      </c>
      <c r="C15" s="72" t="s">
        <v>10</v>
      </c>
    </row>
    <row r="16" spans="1:17" s="118" customFormat="1" x14ac:dyDescent="0.2">
      <c r="A16" s="121">
        <f>EOMONTH(FimRelAnResultado,0)</f>
        <v>43830</v>
      </c>
      <c r="B16" s="73" t="s">
        <v>18</v>
      </c>
      <c r="C16" s="72" t="s">
        <v>10</v>
      </c>
    </row>
    <row r="17" spans="2:17" s="118" customFormat="1" x14ac:dyDescent="0.2">
      <c r="B17" s="73" t="s">
        <v>169</v>
      </c>
      <c r="C17" s="72" t="s">
        <v>10</v>
      </c>
    </row>
    <row r="18" spans="2:17" s="70" customFormat="1" ht="9.75" customHeight="1" x14ac:dyDescent="0.25">
      <c r="C18" s="71">
        <f>IF(OR(C20="",C20="Total Geral"),"",GETPIVOTDATA("Valor",$B$19,"MÊS",DATE(YEAR(C20),MONTH(C20),DAY(C20))))</f>
        <v>5000</v>
      </c>
      <c r="E18"/>
      <c r="F18"/>
    </row>
    <row r="19" spans="2:17" ht="15" x14ac:dyDescent="0.25">
      <c r="B19" s="74"/>
      <c r="C19" s="73" t="s">
        <v>115</v>
      </c>
      <c r="P19"/>
      <c r="Q19"/>
    </row>
    <row r="20" spans="2:17" s="77" customFormat="1" ht="15" x14ac:dyDescent="0.25">
      <c r="B20" s="75" t="s">
        <v>3</v>
      </c>
      <c r="C20" s="76">
        <v>43434</v>
      </c>
      <c r="D20" s="76">
        <v>43465</v>
      </c>
      <c r="E20" s="76">
        <v>43496</v>
      </c>
      <c r="F20" s="76">
        <v>43524</v>
      </c>
      <c r="G20" s="76">
        <v>43555</v>
      </c>
      <c r="H20" s="76">
        <v>43585</v>
      </c>
      <c r="I20" s="76">
        <v>43616</v>
      </c>
      <c r="J20" s="76">
        <v>43646</v>
      </c>
      <c r="K20" s="76">
        <v>43677</v>
      </c>
      <c r="L20" s="76">
        <v>43708</v>
      </c>
      <c r="M20" s="76">
        <v>43738</v>
      </c>
      <c r="N20" s="76">
        <v>43769</v>
      </c>
      <c r="O20" s="76" t="s">
        <v>2</v>
      </c>
      <c r="P20"/>
      <c r="Q20"/>
    </row>
    <row r="21" spans="2:17" ht="15" x14ac:dyDescent="0.25">
      <c r="B21" s="78" t="s">
        <v>142</v>
      </c>
      <c r="C21" s="79"/>
      <c r="D21" s="79"/>
      <c r="E21" s="79"/>
      <c r="F21" s="79"/>
      <c r="G21" s="79"/>
      <c r="H21" s="79"/>
      <c r="I21" s="79"/>
      <c r="J21" s="79"/>
      <c r="K21" s="79"/>
      <c r="L21" s="79"/>
      <c r="M21" s="79"/>
      <c r="N21" s="79"/>
      <c r="O21" s="79"/>
      <c r="P21"/>
      <c r="Q21"/>
    </row>
    <row r="22" spans="2:17" ht="15" x14ac:dyDescent="0.25">
      <c r="B22" s="92" t="s">
        <v>91</v>
      </c>
      <c r="C22" s="79">
        <v>20000</v>
      </c>
      <c r="D22" s="79">
        <v>20000</v>
      </c>
      <c r="E22" s="79">
        <v>20000</v>
      </c>
      <c r="F22" s="79">
        <v>20000</v>
      </c>
      <c r="G22" s="79">
        <v>20000</v>
      </c>
      <c r="H22" s="79">
        <v>20000</v>
      </c>
      <c r="I22" s="79">
        <v>20000</v>
      </c>
      <c r="J22" s="79">
        <v>20000</v>
      </c>
      <c r="K22" s="79">
        <v>20000</v>
      </c>
      <c r="L22" s="79">
        <v>20000</v>
      </c>
      <c r="M22" s="79">
        <v>20000</v>
      </c>
      <c r="N22" s="79">
        <v>20000</v>
      </c>
      <c r="O22" s="79">
        <v>240000</v>
      </c>
      <c r="P22"/>
      <c r="Q22"/>
    </row>
    <row r="23" spans="2:17" ht="15" x14ac:dyDescent="0.25">
      <c r="B23" s="93" t="s">
        <v>122</v>
      </c>
      <c r="C23" s="80">
        <v>20000</v>
      </c>
      <c r="D23" s="80">
        <v>40000</v>
      </c>
      <c r="E23" s="80">
        <v>60000</v>
      </c>
      <c r="F23" s="80">
        <v>80000</v>
      </c>
      <c r="G23" s="80">
        <v>100000</v>
      </c>
      <c r="H23" s="80">
        <v>120000</v>
      </c>
      <c r="I23" s="80">
        <v>140000</v>
      </c>
      <c r="J23" s="80">
        <v>160000</v>
      </c>
      <c r="K23" s="80">
        <v>180000</v>
      </c>
      <c r="L23" s="80">
        <v>200000</v>
      </c>
      <c r="M23" s="80">
        <v>220000</v>
      </c>
      <c r="N23" s="80">
        <v>240000</v>
      </c>
      <c r="O23" s="80"/>
      <c r="P23"/>
      <c r="Q23"/>
    </row>
    <row r="24" spans="2:17" ht="15" x14ac:dyDescent="0.25">
      <c r="B24" s="78"/>
      <c r="C24" s="79"/>
      <c r="D24" s="79"/>
      <c r="E24" s="79"/>
      <c r="F24" s="79"/>
      <c r="G24" s="79"/>
      <c r="H24" s="79"/>
      <c r="I24" s="79"/>
      <c r="J24" s="79"/>
      <c r="K24" s="79"/>
      <c r="L24" s="79"/>
      <c r="M24" s="79"/>
      <c r="N24" s="79"/>
      <c r="O24" s="79"/>
      <c r="P24"/>
      <c r="Q24"/>
    </row>
    <row r="25" spans="2:17" ht="15" x14ac:dyDescent="0.25">
      <c r="B25" s="78" t="s">
        <v>155</v>
      </c>
      <c r="C25" s="79"/>
      <c r="D25" s="79"/>
      <c r="E25" s="79"/>
      <c r="F25" s="79"/>
      <c r="G25" s="79"/>
      <c r="H25" s="79"/>
      <c r="I25" s="79"/>
      <c r="J25" s="79"/>
      <c r="K25" s="79"/>
      <c r="L25" s="79"/>
      <c r="M25" s="79"/>
      <c r="N25" s="79"/>
      <c r="O25" s="79"/>
      <c r="P25"/>
      <c r="Q25"/>
    </row>
    <row r="26" spans="2:17" ht="15" x14ac:dyDescent="0.25">
      <c r="B26" s="92" t="s">
        <v>91</v>
      </c>
      <c r="C26" s="79">
        <v>-15000</v>
      </c>
      <c r="D26" s="79">
        <v>-15000</v>
      </c>
      <c r="E26" s="79">
        <v>-15000</v>
      </c>
      <c r="F26" s="79">
        <v>-15000</v>
      </c>
      <c r="G26" s="79">
        <v>-15000</v>
      </c>
      <c r="H26" s="79">
        <v>-15000</v>
      </c>
      <c r="I26" s="79">
        <v>-15000</v>
      </c>
      <c r="J26" s="79">
        <v>-15000</v>
      </c>
      <c r="K26" s="79">
        <v>-15000</v>
      </c>
      <c r="L26" s="79">
        <v>-15000</v>
      </c>
      <c r="M26" s="79">
        <v>-15000</v>
      </c>
      <c r="N26" s="79">
        <v>-15000</v>
      </c>
      <c r="O26" s="79">
        <v>-180000</v>
      </c>
      <c r="P26"/>
      <c r="Q26"/>
    </row>
    <row r="27" spans="2:17" ht="15" x14ac:dyDescent="0.25">
      <c r="B27" s="93" t="s">
        <v>122</v>
      </c>
      <c r="C27" s="80">
        <v>-15000</v>
      </c>
      <c r="D27" s="80">
        <v>-30000</v>
      </c>
      <c r="E27" s="80">
        <v>-45000</v>
      </c>
      <c r="F27" s="80">
        <v>-60000</v>
      </c>
      <c r="G27" s="80">
        <v>-75000</v>
      </c>
      <c r="H27" s="80">
        <v>-90000</v>
      </c>
      <c r="I27" s="80">
        <v>-105000</v>
      </c>
      <c r="J27" s="80">
        <v>-120000</v>
      </c>
      <c r="K27" s="80">
        <v>-135000</v>
      </c>
      <c r="L27" s="80">
        <v>-150000</v>
      </c>
      <c r="M27" s="80">
        <v>-165000</v>
      </c>
      <c r="N27" s="80">
        <v>-180000</v>
      </c>
      <c r="O27" s="80"/>
      <c r="P27"/>
      <c r="Q27"/>
    </row>
    <row r="28" spans="2:17" ht="15" x14ac:dyDescent="0.25">
      <c r="B28" s="78"/>
      <c r="C28" s="79"/>
      <c r="D28" s="79"/>
      <c r="E28" s="79"/>
      <c r="F28" s="79"/>
      <c r="G28" s="79"/>
      <c r="H28" s="79"/>
      <c r="I28" s="79"/>
      <c r="J28" s="79"/>
      <c r="K28" s="79"/>
      <c r="L28" s="79"/>
      <c r="M28" s="79"/>
      <c r="N28" s="79"/>
      <c r="O28" s="79"/>
      <c r="P28"/>
      <c r="Q28"/>
    </row>
    <row r="29" spans="2:17" ht="15" x14ac:dyDescent="0.25">
      <c r="B29" s="78" t="s">
        <v>120</v>
      </c>
      <c r="C29" s="79">
        <v>5000</v>
      </c>
      <c r="D29" s="79">
        <v>5000</v>
      </c>
      <c r="E29" s="79">
        <v>5000</v>
      </c>
      <c r="F29" s="79">
        <v>5000</v>
      </c>
      <c r="G29" s="79">
        <v>5000</v>
      </c>
      <c r="H29" s="79">
        <v>5000</v>
      </c>
      <c r="I29" s="79">
        <v>5000</v>
      </c>
      <c r="J29" s="79">
        <v>5000</v>
      </c>
      <c r="K29" s="79">
        <v>5000</v>
      </c>
      <c r="L29" s="79">
        <v>5000</v>
      </c>
      <c r="M29" s="79">
        <v>5000</v>
      </c>
      <c r="N29" s="79">
        <v>5000</v>
      </c>
      <c r="O29" s="79">
        <v>60000</v>
      </c>
      <c r="P29"/>
      <c r="Q29"/>
    </row>
    <row r="30" spans="2:17" ht="15" x14ac:dyDescent="0.25">
      <c r="B30" s="78" t="s">
        <v>121</v>
      </c>
      <c r="C30" s="80">
        <v>5000</v>
      </c>
      <c r="D30" s="80">
        <v>10000</v>
      </c>
      <c r="E30" s="80">
        <v>15000</v>
      </c>
      <c r="F30" s="80">
        <v>20000</v>
      </c>
      <c r="G30" s="80">
        <v>25000</v>
      </c>
      <c r="H30" s="80">
        <v>30000</v>
      </c>
      <c r="I30" s="80">
        <v>35000</v>
      </c>
      <c r="J30" s="80">
        <v>40000</v>
      </c>
      <c r="K30" s="80">
        <v>45000</v>
      </c>
      <c r="L30" s="80">
        <v>50000</v>
      </c>
      <c r="M30" s="80">
        <v>55000</v>
      </c>
      <c r="N30" s="80">
        <v>60000</v>
      </c>
      <c r="O30" s="80"/>
      <c r="P30"/>
      <c r="Q30"/>
    </row>
    <row r="31" spans="2:17" ht="15" x14ac:dyDescent="0.25">
      <c r="B31"/>
      <c r="C31"/>
      <c r="D31"/>
      <c r="E31"/>
      <c r="F31"/>
      <c r="G31"/>
      <c r="H31"/>
      <c r="I31"/>
      <c r="J31"/>
      <c r="K31"/>
      <c r="L31"/>
      <c r="M31"/>
      <c r="N31"/>
      <c r="O31"/>
      <c r="P31"/>
    </row>
    <row r="32" spans="2:17" ht="15" x14ac:dyDescent="0.25">
      <c r="B32"/>
      <c r="C32"/>
      <c r="D32"/>
      <c r="E32"/>
      <c r="F32"/>
      <c r="G32"/>
      <c r="H32"/>
      <c r="I32"/>
      <c r="J32"/>
      <c r="K32"/>
      <c r="L32"/>
      <c r="M32"/>
      <c r="N32"/>
      <c r="O32"/>
      <c r="P32"/>
    </row>
    <row r="33" spans="2:16" ht="15" x14ac:dyDescent="0.25">
      <c r="B33"/>
      <c r="C33"/>
      <c r="D33"/>
      <c r="E33"/>
      <c r="F33"/>
      <c r="G33"/>
      <c r="H33"/>
      <c r="I33"/>
      <c r="J33"/>
      <c r="K33"/>
      <c r="L33"/>
      <c r="M33"/>
      <c r="N33"/>
      <c r="O33"/>
      <c r="P33"/>
    </row>
    <row r="34" spans="2:16" ht="15" x14ac:dyDescent="0.25">
      <c r="B34"/>
      <c r="C34"/>
      <c r="D34"/>
      <c r="E34"/>
      <c r="F34"/>
      <c r="G34"/>
      <c r="H34"/>
      <c r="I34"/>
      <c r="J34"/>
      <c r="K34"/>
      <c r="L34"/>
      <c r="M34"/>
      <c r="N34"/>
      <c r="O34"/>
      <c r="P34"/>
    </row>
    <row r="35" spans="2:16" ht="15" x14ac:dyDescent="0.25">
      <c r="B35"/>
      <c r="C35"/>
      <c r="D35"/>
      <c r="E35"/>
      <c r="F35"/>
      <c r="G35"/>
      <c r="H35"/>
      <c r="I35"/>
      <c r="J35"/>
      <c r="K35"/>
      <c r="L35"/>
      <c r="M35"/>
      <c r="N35"/>
      <c r="O35"/>
      <c r="P35"/>
    </row>
    <row r="36" spans="2:16" ht="15" x14ac:dyDescent="0.25">
      <c r="B36"/>
      <c r="C36"/>
      <c r="D36"/>
      <c r="E36"/>
      <c r="F36"/>
      <c r="G36"/>
      <c r="H36"/>
      <c r="I36"/>
      <c r="J36"/>
      <c r="K36"/>
      <c r="L36"/>
      <c r="M36"/>
      <c r="N36"/>
      <c r="O36"/>
      <c r="P36"/>
    </row>
    <row r="37" spans="2:16" ht="15" x14ac:dyDescent="0.25">
      <c r="B37"/>
      <c r="C37"/>
      <c r="D37"/>
      <c r="E37"/>
      <c r="F37"/>
      <c r="G37"/>
      <c r="H37"/>
      <c r="I37"/>
      <c r="J37"/>
      <c r="K37"/>
      <c r="L37"/>
      <c r="M37"/>
      <c r="N37"/>
      <c r="O37"/>
      <c r="P37"/>
    </row>
    <row r="38" spans="2:16" ht="15" x14ac:dyDescent="0.25">
      <c r="B38"/>
      <c r="C38"/>
      <c r="D38"/>
      <c r="E38"/>
      <c r="F38"/>
      <c r="G38"/>
      <c r="H38"/>
      <c r="I38"/>
      <c r="J38"/>
      <c r="K38"/>
      <c r="L38"/>
      <c r="M38"/>
      <c r="N38"/>
      <c r="O38"/>
      <c r="P38"/>
    </row>
    <row r="39" spans="2:16" ht="15" x14ac:dyDescent="0.25">
      <c r="B39"/>
      <c r="C39"/>
      <c r="D39"/>
      <c r="E39"/>
      <c r="F39"/>
      <c r="G39"/>
      <c r="H39"/>
      <c r="I39"/>
      <c r="J39"/>
      <c r="K39"/>
      <c r="L39"/>
      <c r="M39"/>
      <c r="N39"/>
      <c r="O39"/>
      <c r="P39"/>
    </row>
    <row r="40" spans="2:16" ht="15" x14ac:dyDescent="0.25">
      <c r="B40"/>
      <c r="C40"/>
      <c r="D40"/>
      <c r="E40"/>
      <c r="F40"/>
      <c r="G40"/>
      <c r="H40"/>
      <c r="I40"/>
      <c r="J40"/>
      <c r="K40"/>
      <c r="L40"/>
      <c r="M40"/>
      <c r="N40"/>
      <c r="O40"/>
      <c r="P40"/>
    </row>
    <row r="41" spans="2:16" ht="15" x14ac:dyDescent="0.25">
      <c r="B41"/>
      <c r="C41"/>
      <c r="D41"/>
      <c r="E41"/>
      <c r="F41"/>
      <c r="G41"/>
      <c r="H41"/>
      <c r="I41"/>
      <c r="J41"/>
      <c r="K41"/>
      <c r="L41"/>
      <c r="M41"/>
      <c r="N41"/>
      <c r="O41"/>
      <c r="P41"/>
    </row>
    <row r="42" spans="2:16" ht="15" x14ac:dyDescent="0.25">
      <c r="B42"/>
      <c r="C42"/>
      <c r="D42"/>
      <c r="E42"/>
      <c r="F42"/>
      <c r="G42"/>
      <c r="H42"/>
      <c r="I42"/>
      <c r="J42"/>
      <c r="K42"/>
      <c r="L42"/>
      <c r="M42"/>
      <c r="N42"/>
      <c r="O42"/>
      <c r="P42"/>
    </row>
    <row r="43" spans="2:16" ht="15" x14ac:dyDescent="0.25">
      <c r="B43"/>
      <c r="C43"/>
      <c r="D43"/>
      <c r="E43"/>
      <c r="F43"/>
      <c r="G43"/>
      <c r="H43"/>
      <c r="I43"/>
      <c r="J43"/>
      <c r="K43"/>
      <c r="L43"/>
      <c r="M43"/>
      <c r="N43"/>
      <c r="O43"/>
      <c r="P43"/>
    </row>
    <row r="44" spans="2:16" ht="15" x14ac:dyDescent="0.25">
      <c r="B44"/>
      <c r="C44"/>
      <c r="D44"/>
      <c r="E44"/>
      <c r="F44"/>
      <c r="G44"/>
      <c r="H44"/>
      <c r="I44"/>
      <c r="J44"/>
      <c r="K44"/>
      <c r="L44"/>
      <c r="M44"/>
      <c r="N44"/>
      <c r="O44"/>
      <c r="P44"/>
    </row>
    <row r="45" spans="2:16" ht="15" x14ac:dyDescent="0.25">
      <c r="B45"/>
      <c r="C45"/>
      <c r="D45"/>
      <c r="E45"/>
      <c r="F45"/>
      <c r="G45"/>
      <c r="H45"/>
      <c r="I45"/>
      <c r="J45"/>
      <c r="K45"/>
      <c r="L45"/>
      <c r="M45"/>
      <c r="N45"/>
      <c r="O45"/>
      <c r="P45"/>
    </row>
    <row r="46" spans="2:16" ht="15" x14ac:dyDescent="0.25">
      <c r="B46"/>
      <c r="C46"/>
      <c r="D46"/>
      <c r="E46"/>
      <c r="F46"/>
      <c r="G46"/>
      <c r="H46"/>
      <c r="I46"/>
      <c r="J46"/>
      <c r="K46"/>
      <c r="L46"/>
      <c r="M46"/>
      <c r="N46"/>
      <c r="O46"/>
      <c r="P46"/>
    </row>
    <row r="47" spans="2:16" ht="15" x14ac:dyDescent="0.25">
      <c r="B47"/>
      <c r="C47"/>
      <c r="D47"/>
      <c r="E47"/>
      <c r="F47"/>
      <c r="G47"/>
      <c r="H47"/>
      <c r="I47"/>
      <c r="J47"/>
      <c r="K47"/>
      <c r="L47"/>
      <c r="M47"/>
      <c r="N47"/>
      <c r="O47"/>
      <c r="P47"/>
    </row>
    <row r="48" spans="2:16" ht="15" x14ac:dyDescent="0.25">
      <c r="B48"/>
      <c r="C48"/>
      <c r="D48"/>
      <c r="E48"/>
      <c r="F48"/>
      <c r="G48"/>
      <c r="H48"/>
      <c r="I48"/>
      <c r="J48"/>
      <c r="K48"/>
      <c r="L48"/>
      <c r="M48"/>
      <c r="N48"/>
      <c r="O48"/>
      <c r="P48"/>
    </row>
    <row r="49" spans="2:15" ht="15" x14ac:dyDescent="0.25">
      <c r="B49"/>
      <c r="C49"/>
      <c r="D49"/>
      <c r="E49"/>
      <c r="F49"/>
      <c r="G49"/>
      <c r="H49"/>
      <c r="I49"/>
      <c r="J49"/>
      <c r="K49"/>
      <c r="L49"/>
      <c r="M49"/>
      <c r="N49"/>
      <c r="O49"/>
    </row>
    <row r="50" spans="2:15" ht="15" x14ac:dyDescent="0.25">
      <c r="B50"/>
      <c r="C50"/>
      <c r="D50"/>
      <c r="E50"/>
      <c r="F50"/>
      <c r="G50"/>
      <c r="H50"/>
      <c r="I50"/>
      <c r="J50"/>
      <c r="K50"/>
      <c r="L50"/>
      <c r="M50"/>
      <c r="N50"/>
      <c r="O50"/>
    </row>
    <row r="51" spans="2:15" ht="15" x14ac:dyDescent="0.25">
      <c r="B51"/>
      <c r="C51"/>
      <c r="D51"/>
      <c r="E51"/>
      <c r="F51"/>
      <c r="G51"/>
      <c r="H51"/>
      <c r="I51"/>
      <c r="J51"/>
      <c r="K51"/>
      <c r="L51"/>
      <c r="M51"/>
      <c r="N51"/>
      <c r="O51"/>
    </row>
  </sheetData>
  <sheetProtection algorithmName="SHA-512" hashValue="Cte1Im/oN/kid80Q/nvqSU6bS8OXdiFjyj3bzrwrW3obaBhQX6EVof63CQmYkodODWKhVn46/UJ32INreLDLIA==" saltValue="bjw/5IpvCsVJ7KCwPimfeQ==" spinCount="100000" sheet="1" objects="1" scenarios="1" formatCells="0" formatColumns="0" sort="0" autoFilter="0" pivotTables="0"/>
  <mergeCells count="3">
    <mergeCell ref="M6:N6"/>
    <mergeCell ref="M5:N5"/>
    <mergeCell ref="L4:N4"/>
  </mergeCells>
  <pageMargins left="0.511811024" right="0.511811024" top="0.78740157499999996" bottom="0.78740157499999996" header="0.31496062000000002" footer="0.31496062000000002"/>
  <pageSetup paperSize="9" orientation="portrait" r:id="rId2"/>
  <drawing r:id="rId3"/>
  <legacyDrawing r:id="rId4"/>
  <controls>
    <mc:AlternateContent xmlns:mc="http://schemas.openxmlformats.org/markup-compatibility/2006">
      <mc:Choice Requires="x14">
        <control shapeId="15361" r:id="rId5" name="ScrollBar1">
          <controlPr defaultSize="0" autoLine="0" r:id="rId6">
            <anchor moveWithCells="1">
              <from>
                <xdr:col>1</xdr:col>
                <xdr:colOff>28575</xdr:colOff>
                <xdr:row>18</xdr:row>
                <xdr:rowOff>19050</xdr:rowOff>
              </from>
              <to>
                <xdr:col>1</xdr:col>
                <xdr:colOff>685800</xdr:colOff>
                <xdr:row>18</xdr:row>
                <xdr:rowOff>161925</xdr:rowOff>
              </to>
            </anchor>
          </controlPr>
        </control>
      </mc:Choice>
      <mc:Fallback>
        <control shapeId="15361" r:id="rId5" name="ScrollBar1"/>
      </mc:Fallback>
    </mc:AlternateContent>
  </controls>
  <extLst>
    <ext xmlns:x14="http://schemas.microsoft.com/office/spreadsheetml/2009/9/main" uri="{A8765BA9-456A-4dab-B4F3-ACF838C121DE}">
      <x14:slicerList>
        <x14:slicer r:id="rId7"/>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_Gráficos">
    <tabColor rgb="FFC00000"/>
  </sheetPr>
  <dimension ref="B1:AP72"/>
  <sheetViews>
    <sheetView showGridLines="0" showRowColHeaders="0" zoomScale="85" zoomScaleNormal="85" workbookViewId="0">
      <selection activeCell="B27" sqref="B27"/>
    </sheetView>
  </sheetViews>
  <sheetFormatPr defaultColWidth="9.140625" defaultRowHeight="11.25" x14ac:dyDescent="0.2"/>
  <cols>
    <col min="1" max="1" width="1.42578125" style="9" customWidth="1"/>
    <col min="2" max="2" width="38.42578125" style="9" customWidth="1"/>
    <col min="3" max="3" width="2.7109375" style="9" customWidth="1"/>
    <col min="4" max="4" width="11.85546875" style="9" customWidth="1"/>
    <col min="5" max="5" width="15.7109375" style="9" bestFit="1" customWidth="1"/>
    <col min="6" max="6" width="11.7109375" style="9" bestFit="1" customWidth="1"/>
    <col min="7" max="7" width="0.42578125" style="9" customWidth="1"/>
    <col min="8" max="8" width="11.42578125" style="9" customWidth="1"/>
    <col min="9" max="9" width="7" style="9" customWidth="1"/>
    <col min="10" max="10" width="9.28515625" style="9" bestFit="1" customWidth="1"/>
    <col min="11" max="11" width="3.7109375" style="9" customWidth="1"/>
    <col min="12" max="12" width="3.28515625" style="9" customWidth="1"/>
    <col min="13" max="13" width="8.140625" style="9" customWidth="1"/>
    <col min="14" max="14" width="1" style="9" customWidth="1"/>
    <col min="15" max="15" width="11.5703125" style="9" bestFit="1" customWidth="1"/>
    <col min="16" max="16" width="8.140625" style="9" bestFit="1" customWidth="1"/>
    <col min="17" max="18" width="10.28515625" style="9" bestFit="1" customWidth="1"/>
    <col min="19" max="19" width="10.7109375" style="9" bestFit="1" customWidth="1"/>
    <col min="20" max="16384" width="9.140625" style="9"/>
  </cols>
  <sheetData>
    <row r="1" spans="2:42" ht="6" customHeight="1" x14ac:dyDescent="0.2"/>
    <row r="2" spans="2:42" ht="15" x14ac:dyDescent="0.25">
      <c r="N2"/>
    </row>
    <row r="4" spans="2:42" x14ac:dyDescent="0.2">
      <c r="M4" s="14"/>
      <c r="AF4" s="10" t="s">
        <v>1</v>
      </c>
      <c r="AG4" s="9" t="s">
        <v>10</v>
      </c>
    </row>
    <row r="5" spans="2:42" x14ac:dyDescent="0.2">
      <c r="M5" s="14"/>
      <c r="AF5" s="10" t="s">
        <v>19</v>
      </c>
      <c r="AG5" s="9" t="s">
        <v>10</v>
      </c>
    </row>
    <row r="6" spans="2:42" x14ac:dyDescent="0.2">
      <c r="M6" s="12"/>
      <c r="N6" s="12"/>
      <c r="AF6" s="10" t="s">
        <v>5</v>
      </c>
      <c r="AG6" s="9" t="s">
        <v>142</v>
      </c>
    </row>
    <row r="7" spans="2:42" x14ac:dyDescent="0.2">
      <c r="M7" s="12"/>
      <c r="N7" s="12"/>
    </row>
    <row r="8" spans="2:42" ht="15" x14ac:dyDescent="0.25">
      <c r="M8" s="12"/>
      <c r="N8" s="12"/>
      <c r="U8"/>
      <c r="V8"/>
      <c r="AF8" s="10" t="s">
        <v>3</v>
      </c>
      <c r="AG8" s="9" t="s">
        <v>63</v>
      </c>
    </row>
    <row r="9" spans="2:42" ht="15" x14ac:dyDescent="0.25">
      <c r="K9"/>
      <c r="L9"/>
      <c r="M9" s="12"/>
      <c r="N9" s="12"/>
      <c r="U9"/>
      <c r="V9"/>
      <c r="AF9" s="11" t="s">
        <v>178</v>
      </c>
      <c r="AG9" s="12">
        <v>240000</v>
      </c>
      <c r="AO9"/>
      <c r="AP9"/>
    </row>
    <row r="10" spans="2:42" ht="15" x14ac:dyDescent="0.25">
      <c r="I10" s="11"/>
      <c r="K10"/>
      <c r="L10"/>
      <c r="M10" s="12"/>
      <c r="N10" s="12"/>
      <c r="AF10" s="11" t="s">
        <v>2</v>
      </c>
      <c r="AG10" s="12">
        <v>240000</v>
      </c>
      <c r="AO10"/>
      <c r="AP10"/>
    </row>
    <row r="11" spans="2:42" ht="15" x14ac:dyDescent="0.25">
      <c r="H11"/>
      <c r="I11" s="11"/>
      <c r="K11"/>
      <c r="L11"/>
      <c r="M11" s="12"/>
      <c r="N11" s="12"/>
      <c r="AF11"/>
      <c r="AG11"/>
    </row>
    <row r="12" spans="2:42" ht="15" x14ac:dyDescent="0.25">
      <c r="H12"/>
      <c r="AF12"/>
      <c r="AG12"/>
    </row>
    <row r="13" spans="2:42" ht="15" x14ac:dyDescent="0.25">
      <c r="B13"/>
      <c r="C13"/>
      <c r="D13"/>
      <c r="H13"/>
      <c r="I13"/>
      <c r="L13"/>
      <c r="M13"/>
      <c r="AF13"/>
      <c r="AG13"/>
    </row>
    <row r="14" spans="2:42" ht="15" x14ac:dyDescent="0.25">
      <c r="B14"/>
      <c r="C14"/>
      <c r="D14"/>
      <c r="H14"/>
      <c r="I14"/>
      <c r="L14"/>
      <c r="M14"/>
      <c r="AF14"/>
      <c r="AG14"/>
    </row>
    <row r="15" spans="2:42" ht="15" x14ac:dyDescent="0.25">
      <c r="H15"/>
      <c r="L15"/>
      <c r="M15"/>
      <c r="AF15"/>
      <c r="AG15"/>
    </row>
    <row r="16" spans="2:42" ht="15" x14ac:dyDescent="0.25">
      <c r="H16"/>
      <c r="L16"/>
      <c r="M16"/>
      <c r="AF16"/>
      <c r="AG16"/>
    </row>
    <row r="17" spans="2:18" ht="15" x14ac:dyDescent="0.25">
      <c r="H17"/>
      <c r="L17"/>
      <c r="M17"/>
    </row>
    <row r="19" spans="2:18" x14ac:dyDescent="0.2">
      <c r="D19" s="10" t="s">
        <v>1</v>
      </c>
      <c r="E19" s="9" t="s">
        <v>10</v>
      </c>
      <c r="Q19" s="10" t="s">
        <v>1</v>
      </c>
      <c r="R19" s="9" t="s">
        <v>10</v>
      </c>
    </row>
    <row r="20" spans="2:18" ht="15" x14ac:dyDescent="0.25">
      <c r="B20"/>
      <c r="C20"/>
      <c r="D20" s="10" t="s">
        <v>19</v>
      </c>
      <c r="E20" s="9" t="s">
        <v>10</v>
      </c>
      <c r="Q20" s="10" t="s">
        <v>19</v>
      </c>
      <c r="R20" s="9" t="s">
        <v>10</v>
      </c>
    </row>
    <row r="21" spans="2:18" ht="15" x14ac:dyDescent="0.25">
      <c r="B21"/>
      <c r="C21"/>
      <c r="Q21" s="10" t="s">
        <v>5</v>
      </c>
      <c r="R21" s="9" t="s">
        <v>155</v>
      </c>
    </row>
    <row r="22" spans="2:18" ht="15" x14ac:dyDescent="0.25">
      <c r="B22"/>
      <c r="C22"/>
      <c r="D22" s="10" t="s">
        <v>3</v>
      </c>
      <c r="E22" s="9" t="s">
        <v>63</v>
      </c>
    </row>
    <row r="23" spans="2:18" x14ac:dyDescent="0.2">
      <c r="D23" s="11" t="s">
        <v>174</v>
      </c>
      <c r="E23" s="12">
        <v>70000</v>
      </c>
      <c r="Q23" s="10" t="s">
        <v>3</v>
      </c>
      <c r="R23" s="9" t="s">
        <v>63</v>
      </c>
    </row>
    <row r="24" spans="2:18" ht="15" x14ac:dyDescent="0.25">
      <c r="D24" s="11" t="s">
        <v>2</v>
      </c>
      <c r="E24" s="12">
        <v>70000</v>
      </c>
      <c r="K24"/>
      <c r="L24"/>
      <c r="Q24" s="11" t="s">
        <v>173</v>
      </c>
      <c r="R24" s="12">
        <v>-180000</v>
      </c>
    </row>
    <row r="25" spans="2:18" x14ac:dyDescent="0.2">
      <c r="Q25" s="11" t="s">
        <v>2</v>
      </c>
      <c r="R25" s="12">
        <v>-180000</v>
      </c>
    </row>
    <row r="26" spans="2:18" ht="15" x14ac:dyDescent="0.25">
      <c r="B26"/>
      <c r="C26"/>
      <c r="D26"/>
      <c r="Q26"/>
      <c r="R26"/>
    </row>
    <row r="27" spans="2:18" ht="15" x14ac:dyDescent="0.25">
      <c r="F27" s="37" t="s">
        <v>28</v>
      </c>
      <c r="G27" s="37"/>
      <c r="Q27"/>
      <c r="R27"/>
    </row>
    <row r="28" spans="2:18" ht="15" x14ac:dyDescent="0.25">
      <c r="N28"/>
      <c r="O28"/>
      <c r="Q28"/>
      <c r="R28"/>
    </row>
    <row r="29" spans="2:18" ht="15" x14ac:dyDescent="0.25">
      <c r="N29"/>
      <c r="O29"/>
      <c r="Q29"/>
      <c r="R29"/>
    </row>
    <row r="30" spans="2:18" ht="15" x14ac:dyDescent="0.25">
      <c r="Q30"/>
      <c r="R30"/>
    </row>
    <row r="31" spans="2:18" ht="15" x14ac:dyDescent="0.25">
      <c r="Q31"/>
      <c r="R31"/>
    </row>
    <row r="32" spans="2:18" ht="15" x14ac:dyDescent="0.25">
      <c r="K32"/>
      <c r="L32"/>
      <c r="N32"/>
      <c r="O32"/>
    </row>
    <row r="33" spans="11:15" ht="15" x14ac:dyDescent="0.25">
      <c r="K33"/>
      <c r="L33"/>
      <c r="N33"/>
      <c r="O33"/>
    </row>
    <row r="34" spans="11:15" ht="15" x14ac:dyDescent="0.25">
      <c r="K34"/>
      <c r="L34"/>
      <c r="N34"/>
      <c r="O34"/>
    </row>
    <row r="51" spans="4:15" ht="15" x14ac:dyDescent="0.25">
      <c r="K51"/>
      <c r="L51"/>
    </row>
    <row r="52" spans="4:15" ht="15" x14ac:dyDescent="0.25">
      <c r="K52"/>
      <c r="L52"/>
      <c r="N52"/>
      <c r="O52"/>
    </row>
    <row r="53" spans="4:15" ht="15" x14ac:dyDescent="0.25">
      <c r="K53"/>
      <c r="L53"/>
      <c r="N53"/>
      <c r="O53"/>
    </row>
    <row r="54" spans="4:15" ht="15" x14ac:dyDescent="0.25">
      <c r="K54"/>
      <c r="L54"/>
      <c r="N54"/>
      <c r="O54"/>
    </row>
    <row r="55" spans="4:15" ht="15" x14ac:dyDescent="0.25">
      <c r="D55" s="10" t="s">
        <v>1</v>
      </c>
      <c r="E55" s="9" t="s">
        <v>10</v>
      </c>
      <c r="H55" s="10" t="s">
        <v>1</v>
      </c>
      <c r="I55" s="9" t="s">
        <v>10</v>
      </c>
      <c r="K55"/>
      <c r="L55"/>
      <c r="N55"/>
      <c r="O55"/>
    </row>
    <row r="56" spans="4:15" ht="15" x14ac:dyDescent="0.25">
      <c r="D56" s="10" t="s">
        <v>5</v>
      </c>
      <c r="E56" s="9" t="s">
        <v>187</v>
      </c>
      <c r="H56" s="10" t="s">
        <v>19</v>
      </c>
      <c r="I56" s="9" t="s">
        <v>10</v>
      </c>
      <c r="K56"/>
      <c r="L56"/>
      <c r="N56"/>
      <c r="O56"/>
    </row>
    <row r="57" spans="4:15" ht="15" x14ac:dyDescent="0.25">
      <c r="H57" s="10" t="s">
        <v>5</v>
      </c>
      <c r="I57" s="9" t="s">
        <v>10</v>
      </c>
      <c r="K57"/>
      <c r="L57"/>
      <c r="N57"/>
      <c r="O57"/>
    </row>
    <row r="58" spans="4:15" ht="15" x14ac:dyDescent="0.25">
      <c r="D58" s="10" t="s">
        <v>3</v>
      </c>
      <c r="E58" s="9" t="s">
        <v>63</v>
      </c>
      <c r="F58"/>
      <c r="G58"/>
      <c r="J58" s="10"/>
      <c r="K58" s="2"/>
      <c r="L58" s="2"/>
      <c r="M58" s="10"/>
      <c r="N58" s="2"/>
      <c r="O58" s="2"/>
    </row>
    <row r="59" spans="4:15" ht="15" x14ac:dyDescent="0.25">
      <c r="D59" s="160">
        <v>43434</v>
      </c>
      <c r="E59" s="12">
        <v>5000</v>
      </c>
      <c r="F59"/>
      <c r="G59"/>
      <c r="H59" s="10" t="s">
        <v>3</v>
      </c>
      <c r="I59" s="9" t="s">
        <v>63</v>
      </c>
      <c r="K59"/>
      <c r="L59"/>
      <c r="N59"/>
      <c r="O59"/>
    </row>
    <row r="60" spans="4:15" ht="15" x14ac:dyDescent="0.25">
      <c r="D60" s="160">
        <v>43465</v>
      </c>
      <c r="E60" s="12">
        <v>5000</v>
      </c>
      <c r="F60"/>
      <c r="G60"/>
      <c r="H60" s="11" t="s">
        <v>175</v>
      </c>
      <c r="I60" s="12">
        <v>70000</v>
      </c>
      <c r="K60"/>
      <c r="L60"/>
      <c r="N60"/>
      <c r="O60"/>
    </row>
    <row r="61" spans="4:15" ht="15" x14ac:dyDescent="0.25">
      <c r="D61" s="160">
        <v>43496</v>
      </c>
      <c r="E61" s="12">
        <v>5000</v>
      </c>
      <c r="F61"/>
      <c r="G61"/>
      <c r="H61" s="11" t="s">
        <v>2</v>
      </c>
      <c r="I61" s="12">
        <v>70000</v>
      </c>
      <c r="K61"/>
      <c r="L61"/>
      <c r="N61"/>
      <c r="O61"/>
    </row>
    <row r="62" spans="4:15" ht="15" x14ac:dyDescent="0.25">
      <c r="D62" s="160">
        <v>43524</v>
      </c>
      <c r="E62" s="12">
        <v>5000</v>
      </c>
      <c r="F62"/>
      <c r="G62"/>
      <c r="H62"/>
      <c r="I62"/>
      <c r="K62"/>
      <c r="L62"/>
      <c r="N62"/>
      <c r="O62"/>
    </row>
    <row r="63" spans="4:15" ht="15" x14ac:dyDescent="0.25">
      <c r="D63" s="160">
        <v>43555</v>
      </c>
      <c r="E63" s="12">
        <v>5000</v>
      </c>
      <c r="F63"/>
      <c r="G63"/>
      <c r="H63"/>
      <c r="I63"/>
      <c r="K63"/>
      <c r="L63"/>
      <c r="N63"/>
      <c r="O63"/>
    </row>
    <row r="64" spans="4:15" ht="15" x14ac:dyDescent="0.25">
      <c r="D64" s="160">
        <v>43585</v>
      </c>
      <c r="E64" s="12">
        <v>5000</v>
      </c>
      <c r="F64"/>
      <c r="G64"/>
      <c r="H64"/>
      <c r="I64"/>
      <c r="K64"/>
      <c r="L64"/>
      <c r="N64"/>
      <c r="O64"/>
    </row>
    <row r="65" spans="4:15" ht="15" x14ac:dyDescent="0.25">
      <c r="D65" s="160">
        <v>43616</v>
      </c>
      <c r="E65" s="12">
        <v>5000</v>
      </c>
      <c r="F65"/>
      <c r="G65"/>
      <c r="H65"/>
      <c r="I65"/>
      <c r="K65"/>
      <c r="L65"/>
      <c r="N65"/>
      <c r="O65"/>
    </row>
    <row r="66" spans="4:15" ht="15" x14ac:dyDescent="0.25">
      <c r="D66" s="160">
        <v>43646</v>
      </c>
      <c r="E66" s="12">
        <v>5000</v>
      </c>
      <c r="F66"/>
      <c r="G66"/>
      <c r="H66"/>
      <c r="I66"/>
      <c r="K66"/>
      <c r="L66"/>
      <c r="N66"/>
      <c r="O66"/>
    </row>
    <row r="67" spans="4:15" ht="15" x14ac:dyDescent="0.25">
      <c r="D67" s="160">
        <v>43677</v>
      </c>
      <c r="E67" s="12">
        <v>5000</v>
      </c>
      <c r="F67"/>
      <c r="G67"/>
      <c r="H67"/>
      <c r="I67"/>
      <c r="K67"/>
      <c r="L67"/>
      <c r="N67"/>
      <c r="O67"/>
    </row>
    <row r="68" spans="4:15" ht="15" x14ac:dyDescent="0.25">
      <c r="D68" s="160">
        <v>43708</v>
      </c>
      <c r="E68" s="12">
        <v>5000</v>
      </c>
      <c r="F68"/>
      <c r="G68"/>
      <c r="H68"/>
      <c r="I68"/>
      <c r="K68"/>
      <c r="L68"/>
      <c r="N68"/>
      <c r="O68"/>
    </row>
    <row r="69" spans="4:15" ht="15" x14ac:dyDescent="0.25">
      <c r="D69" s="160">
        <v>43738</v>
      </c>
      <c r="E69" s="12">
        <v>5000</v>
      </c>
      <c r="F69"/>
      <c r="G69"/>
      <c r="H69"/>
      <c r="I69"/>
    </row>
    <row r="70" spans="4:15" ht="15" x14ac:dyDescent="0.25">
      <c r="D70" s="160">
        <v>43769</v>
      </c>
      <c r="E70" s="12">
        <v>5000</v>
      </c>
      <c r="F70"/>
      <c r="G70"/>
      <c r="H70"/>
    </row>
    <row r="71" spans="4:15" x14ac:dyDescent="0.2">
      <c r="D71" s="160" t="s">
        <v>2</v>
      </c>
      <c r="E71" s="12">
        <v>60000</v>
      </c>
    </row>
    <row r="72" spans="4:15" ht="15" x14ac:dyDescent="0.25">
      <c r="D72"/>
      <c r="E72"/>
    </row>
  </sheetData>
  <sheetProtection algorithmName="SHA-512" hashValue="RbLFESAw69lZMWB4wmk54ZFO7acHmtVsmh8SehU1nxlVkvni4+fslogtryWxq0dWNJNsEj6t+UK4q94+O/eDPw==" saltValue="UVXH+l8IEKMgSSi7d0vRM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horizontalDpi="300" verticalDpi="300" r:id="rId6"/>
  <drawing r:id="rId7"/>
  <extLst>
    <ext xmlns:x14="http://schemas.microsoft.com/office/spreadsheetml/2009/9/main" uri="{A8765BA9-456A-4dab-B4F3-ACF838C121DE}">
      <x14:slicerList>
        <x14:slicer r:id="rId8"/>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_RelControleEstoque">
    <tabColor theme="4" tint="0.39997558519241921"/>
  </sheetPr>
  <dimension ref="B1:M24"/>
  <sheetViews>
    <sheetView showGridLines="0" zoomScaleNormal="100" workbookViewId="0">
      <selection activeCell="I4" sqref="I4"/>
    </sheetView>
  </sheetViews>
  <sheetFormatPr defaultColWidth="9.140625" defaultRowHeight="15" x14ac:dyDescent="0.25"/>
  <cols>
    <col min="1" max="1" width="1.7109375" style="166" customWidth="1"/>
    <col min="2" max="2" width="10.7109375" style="166" bestFit="1" customWidth="1"/>
    <col min="3" max="3" width="11.85546875" style="166" bestFit="1" customWidth="1"/>
    <col min="4" max="4" width="7" style="166" bestFit="1" customWidth="1"/>
    <col min="5" max="5" width="6.42578125" style="166" bestFit="1" customWidth="1"/>
    <col min="6" max="6" width="7" style="166" bestFit="1" customWidth="1"/>
    <col min="7" max="7" width="28.140625" style="166" bestFit="1" customWidth="1"/>
    <col min="8" max="8" width="7" style="166" bestFit="1" customWidth="1"/>
    <col min="9" max="9" width="10.140625" style="166" bestFit="1" customWidth="1"/>
    <col min="10" max="10" width="11.85546875" style="166" bestFit="1" customWidth="1"/>
    <col min="11" max="12" width="9.28515625" style="166" customWidth="1"/>
    <col min="13" max="13" width="10.5703125" style="166" customWidth="1"/>
    <col min="14" max="16384" width="9.140625" style="166"/>
  </cols>
  <sheetData>
    <row r="1" spans="2:13" ht="3" customHeight="1" x14ac:dyDescent="0.25"/>
    <row r="2" spans="2:13" ht="17.25" customHeight="1" x14ac:dyDescent="0.25"/>
    <row r="3" spans="2:13" ht="17.25" customHeight="1" x14ac:dyDescent="0.25"/>
    <row r="4" spans="2:13" x14ac:dyDescent="0.25">
      <c r="B4" s="163"/>
      <c r="C4" s="163"/>
    </row>
    <row r="5" spans="2:13" x14ac:dyDescent="0.25">
      <c r="B5" s="24" t="s">
        <v>158</v>
      </c>
      <c r="C5" s="26" t="s">
        <v>10</v>
      </c>
    </row>
    <row r="7" spans="2:13" x14ac:dyDescent="0.25">
      <c r="B7" s="43"/>
      <c r="C7" s="24" t="s">
        <v>43</v>
      </c>
      <c r="D7" s="26"/>
      <c r="E7" s="26"/>
      <c r="F7" s="26"/>
      <c r="G7" s="26"/>
      <c r="H7" s="26"/>
      <c r="I7" s="26"/>
      <c r="J7" s="26"/>
      <c r="K7" s="163"/>
      <c r="L7" s="163"/>
      <c r="M7" s="163"/>
    </row>
    <row r="8" spans="2:13" x14ac:dyDescent="0.25">
      <c r="B8" s="43"/>
      <c r="C8" s="44" t="s">
        <v>170</v>
      </c>
      <c r="D8" s="44"/>
      <c r="E8" s="44" t="s">
        <v>157</v>
      </c>
      <c r="F8" s="44"/>
      <c r="G8" s="44" t="s">
        <v>176</v>
      </c>
      <c r="H8" s="44"/>
      <c r="I8" s="164" t="s">
        <v>85</v>
      </c>
      <c r="J8" s="164" t="s">
        <v>87</v>
      </c>
      <c r="K8" s="163"/>
      <c r="L8" s="163"/>
      <c r="M8" s="163"/>
    </row>
    <row r="9" spans="2:13" x14ac:dyDescent="0.25">
      <c r="B9" s="24" t="s">
        <v>89</v>
      </c>
      <c r="C9" s="26" t="s">
        <v>86</v>
      </c>
      <c r="D9" s="26" t="s">
        <v>88</v>
      </c>
      <c r="E9" s="44" t="s">
        <v>86</v>
      </c>
      <c r="F9" s="44" t="s">
        <v>88</v>
      </c>
      <c r="G9" s="26" t="s">
        <v>86</v>
      </c>
      <c r="H9" s="26" t="s">
        <v>88</v>
      </c>
      <c r="I9" s="164"/>
      <c r="J9" s="164"/>
      <c r="K9" s="163"/>
      <c r="L9" s="163"/>
      <c r="M9" s="163"/>
    </row>
    <row r="10" spans="2:13" x14ac:dyDescent="0.25">
      <c r="B10" s="53">
        <v>43388</v>
      </c>
      <c r="C10" s="30"/>
      <c r="D10" s="30">
        <v>0</v>
      </c>
      <c r="E10" s="30"/>
      <c r="F10" s="30">
        <v>0</v>
      </c>
      <c r="G10" s="30"/>
      <c r="H10" s="30">
        <v>0</v>
      </c>
      <c r="I10" s="165"/>
      <c r="J10" s="165">
        <v>0</v>
      </c>
      <c r="K10" s="163"/>
      <c r="L10" s="163"/>
      <c r="M10" s="163"/>
    </row>
    <row r="11" spans="2:13" x14ac:dyDescent="0.25">
      <c r="B11" s="53" t="s">
        <v>2</v>
      </c>
      <c r="C11" s="30"/>
      <c r="D11" s="30"/>
      <c r="E11" s="30"/>
      <c r="F11" s="30"/>
      <c r="G11" s="30"/>
      <c r="H11" s="30"/>
      <c r="I11" s="165"/>
      <c r="J11" s="165"/>
      <c r="K11" s="163"/>
      <c r="L11" s="163"/>
      <c r="M11" s="163"/>
    </row>
    <row r="12" spans="2:13" x14ac:dyDescent="0.25">
      <c r="B12"/>
      <c r="C12"/>
      <c r="D12"/>
      <c r="E12"/>
      <c r="F12"/>
      <c r="G12"/>
      <c r="H12"/>
      <c r="I12" s="163"/>
      <c r="J12" s="163"/>
      <c r="K12" s="163"/>
      <c r="L12" s="163"/>
      <c r="M12" s="163"/>
    </row>
    <row r="13" spans="2:13" x14ac:dyDescent="0.25">
      <c r="B13"/>
      <c r="C13"/>
      <c r="D13"/>
      <c r="E13"/>
      <c r="F13"/>
      <c r="G13"/>
      <c r="H13"/>
      <c r="I13" s="163"/>
      <c r="J13" s="163"/>
      <c r="K13" s="163"/>
      <c r="L13" s="163"/>
      <c r="M13" s="163"/>
    </row>
    <row r="14" spans="2:13" x14ac:dyDescent="0.25">
      <c r="B14" s="163"/>
      <c r="C14" s="163"/>
      <c r="D14" s="163"/>
      <c r="E14" s="163"/>
      <c r="F14" s="163"/>
      <c r="G14" s="163"/>
      <c r="H14" s="163"/>
      <c r="I14" s="163"/>
      <c r="J14" s="163"/>
    </row>
    <row r="15" spans="2:13" x14ac:dyDescent="0.25">
      <c r="B15" s="163"/>
      <c r="C15" s="163"/>
      <c r="D15" s="163"/>
      <c r="E15" s="163"/>
      <c r="F15" s="163"/>
      <c r="G15" s="163"/>
      <c r="H15" s="163"/>
      <c r="I15" s="163"/>
      <c r="J15" s="163"/>
    </row>
    <row r="16" spans="2:13" x14ac:dyDescent="0.25">
      <c r="B16" s="163"/>
      <c r="C16" s="163"/>
      <c r="D16" s="163"/>
      <c r="E16" s="163"/>
      <c r="F16" s="163"/>
      <c r="G16" s="163"/>
      <c r="H16" s="163"/>
      <c r="I16" s="163"/>
      <c r="J16" s="163"/>
    </row>
    <row r="17" spans="2:10" x14ac:dyDescent="0.25">
      <c r="B17" s="163"/>
      <c r="C17" s="163"/>
      <c r="D17" s="163"/>
      <c r="E17" s="163"/>
      <c r="F17" s="163"/>
      <c r="G17" s="163"/>
      <c r="H17" s="163"/>
      <c r="I17" s="163"/>
      <c r="J17" s="163"/>
    </row>
    <row r="18" spans="2:10" x14ac:dyDescent="0.25">
      <c r="B18" s="163"/>
      <c r="C18" s="163"/>
      <c r="D18" s="163"/>
      <c r="E18" s="163"/>
      <c r="F18" s="163"/>
      <c r="G18" s="163"/>
      <c r="H18" s="163"/>
    </row>
    <row r="19" spans="2:10" x14ac:dyDescent="0.25">
      <c r="B19" s="163"/>
      <c r="C19" s="163"/>
      <c r="D19" s="163"/>
      <c r="E19" s="163"/>
      <c r="F19" s="163"/>
      <c r="G19" s="163"/>
      <c r="H19" s="163"/>
    </row>
    <row r="20" spans="2:10" x14ac:dyDescent="0.25">
      <c r="B20" s="163"/>
      <c r="C20" s="163"/>
      <c r="D20" s="163"/>
      <c r="E20" s="163"/>
      <c r="F20" s="163"/>
      <c r="G20" s="163"/>
      <c r="H20" s="163"/>
    </row>
    <row r="21" spans="2:10" x14ac:dyDescent="0.25">
      <c r="B21" s="163"/>
      <c r="C21" s="163"/>
      <c r="D21" s="163"/>
      <c r="E21" s="163"/>
      <c r="F21" s="163"/>
      <c r="G21" s="163"/>
      <c r="H21" s="163"/>
    </row>
    <row r="22" spans="2:10" x14ac:dyDescent="0.25">
      <c r="B22" s="163"/>
      <c r="C22" s="163"/>
      <c r="D22" s="163"/>
      <c r="E22" s="163"/>
      <c r="F22" s="163"/>
      <c r="G22" s="163"/>
      <c r="H22" s="163"/>
    </row>
    <row r="23" spans="2:10" x14ac:dyDescent="0.25">
      <c r="B23" s="163"/>
      <c r="C23" s="163"/>
      <c r="D23" s="163"/>
      <c r="E23" s="163"/>
      <c r="F23" s="163"/>
      <c r="G23" s="163"/>
      <c r="H23" s="163"/>
    </row>
    <row r="24" spans="2:10" x14ac:dyDescent="0.25">
      <c r="B24" s="163"/>
      <c r="C24" s="163"/>
      <c r="D24" s="163"/>
      <c r="E24" s="163"/>
      <c r="F24" s="163"/>
      <c r="G24" s="163"/>
      <c r="H24" s="163"/>
    </row>
  </sheetData>
  <sheetProtection algorithmName="SHA-512" hashValue="xSksDVWZmlLb7B4MIH49Usjo/mrWY+y+kczSloaLikxRX0s2zvouYdkLgtptGyayUEMKYhYHGvKvE3gSuXjewg==" saltValue="+4YWaqhOs4IkZK7L5YVVtw=="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_Apoio"/>
  <dimension ref="B1:P103"/>
  <sheetViews>
    <sheetView topLeftCell="A7" workbookViewId="0">
      <selection activeCell="C26" sqref="C26"/>
    </sheetView>
  </sheetViews>
  <sheetFormatPr defaultRowHeight="15" x14ac:dyDescent="0.25"/>
  <cols>
    <col min="1" max="1" width="2.7109375" customWidth="1"/>
    <col min="2" max="2" width="43.28515625" customWidth="1"/>
    <col min="3" max="3" width="45" style="39" bestFit="1" customWidth="1"/>
    <col min="4" max="4" width="32.5703125" bestFit="1" customWidth="1"/>
    <col min="5" max="5" width="5.7109375" customWidth="1"/>
    <col min="6" max="6" width="23" bestFit="1" customWidth="1"/>
    <col min="7" max="7" width="15.140625" bestFit="1" customWidth="1"/>
    <col min="8" max="8" width="10.28515625" bestFit="1" customWidth="1"/>
    <col min="9" max="9" width="23" bestFit="1" customWidth="1"/>
    <col min="10" max="11" width="15.140625" bestFit="1" customWidth="1"/>
    <col min="12" max="12" width="23" bestFit="1" customWidth="1"/>
    <col min="13" max="13" width="19.28515625" customWidth="1"/>
    <col min="15" max="15" width="23" bestFit="1" customWidth="1"/>
    <col min="16" max="16" width="17" customWidth="1"/>
  </cols>
  <sheetData>
    <row r="1" spans="2:7" x14ac:dyDescent="0.25">
      <c r="B1" t="s">
        <v>160</v>
      </c>
      <c r="F1" s="179" t="s">
        <v>0</v>
      </c>
      <c r="G1" s="180"/>
    </row>
    <row r="2" spans="2:7" x14ac:dyDescent="0.25">
      <c r="B2" t="s">
        <v>4</v>
      </c>
      <c r="C2" s="39" t="s">
        <v>179</v>
      </c>
      <c r="F2" s="55" t="s">
        <v>4</v>
      </c>
      <c r="G2" s="56" t="s">
        <v>184</v>
      </c>
    </row>
    <row r="3" spans="2:7" x14ac:dyDescent="0.25">
      <c r="B3" t="s">
        <v>27</v>
      </c>
      <c r="C3" s="39" t="s">
        <v>180</v>
      </c>
      <c r="F3" s="55" t="s">
        <v>102</v>
      </c>
      <c r="G3" s="56" t="s">
        <v>185</v>
      </c>
    </row>
    <row r="4" spans="2:7" x14ac:dyDescent="0.25">
      <c r="B4" t="s">
        <v>46</v>
      </c>
      <c r="C4" s="39" t="s">
        <v>177</v>
      </c>
      <c r="F4" s="55" t="s">
        <v>101</v>
      </c>
      <c r="G4" s="56" t="s">
        <v>186</v>
      </c>
    </row>
    <row r="5" spans="2:7" x14ac:dyDescent="0.25">
      <c r="B5" t="s">
        <v>15</v>
      </c>
      <c r="C5" s="39" t="s">
        <v>181</v>
      </c>
      <c r="F5" s="59" t="s">
        <v>97</v>
      </c>
      <c r="G5" s="56" t="s">
        <v>190</v>
      </c>
    </row>
    <row r="6" spans="2:7" x14ac:dyDescent="0.25">
      <c r="B6" t="s">
        <v>47</v>
      </c>
      <c r="C6" s="39" t="s">
        <v>181</v>
      </c>
      <c r="F6" s="59" t="s">
        <v>104</v>
      </c>
      <c r="G6" s="56">
        <v>1</v>
      </c>
    </row>
    <row r="7" spans="2:7" ht="15.75" thickBot="1" x14ac:dyDescent="0.3">
      <c r="B7" t="s">
        <v>16</v>
      </c>
      <c r="C7" s="39" t="s">
        <v>28</v>
      </c>
      <c r="F7" s="57" t="s">
        <v>100</v>
      </c>
      <c r="G7" s="58" t="s">
        <v>103</v>
      </c>
    </row>
    <row r="8" spans="2:7" x14ac:dyDescent="0.25">
      <c r="B8" t="s">
        <v>52</v>
      </c>
      <c r="C8" s="39" t="s">
        <v>182</v>
      </c>
      <c r="F8" s="105" t="s">
        <v>125</v>
      </c>
      <c r="G8" s="106"/>
    </row>
    <row r="9" spans="2:7" ht="15.75" thickBot="1" x14ac:dyDescent="0.3">
      <c r="B9" t="s">
        <v>7</v>
      </c>
      <c r="C9" s="39" t="s">
        <v>123</v>
      </c>
      <c r="F9" s="107" t="s">
        <v>126</v>
      </c>
      <c r="G9" s="58"/>
    </row>
    <row r="10" spans="2:7" x14ac:dyDescent="0.25">
      <c r="B10" t="s">
        <v>17</v>
      </c>
      <c r="C10" s="39" t="s">
        <v>188</v>
      </c>
      <c r="F10" s="182" t="str">
        <f>IF(COUNTIF(LANÇAMENTOS!$U$4:$U$15080,"A REALIZAR")=0,"FLUXO DE CAIXA NÃO OPERANTE","FLUXO DE CAIXA OPERANTE")</f>
        <v>FLUXO DE CAIXA NÃO OPERANTE</v>
      </c>
      <c r="G10" s="182"/>
    </row>
    <row r="11" spans="2:7" x14ac:dyDescent="0.25">
      <c r="B11" t="s">
        <v>40</v>
      </c>
      <c r="C11" s="39" t="s">
        <v>188</v>
      </c>
    </row>
    <row r="12" spans="2:7" x14ac:dyDescent="0.25">
      <c r="B12" t="s">
        <v>0</v>
      </c>
      <c r="C12" s="39" t="s">
        <v>191</v>
      </c>
    </row>
    <row r="13" spans="2:7" x14ac:dyDescent="0.25">
      <c r="B13" t="s">
        <v>18</v>
      </c>
      <c r="C13" s="39" t="s">
        <v>189</v>
      </c>
    </row>
    <row r="14" spans="2:7" x14ac:dyDescent="0.25">
      <c r="B14" t="s">
        <v>5</v>
      </c>
      <c r="C14" s="39" t="s">
        <v>176</v>
      </c>
    </row>
    <row r="15" spans="2:7" x14ac:dyDescent="0.25">
      <c r="B15" t="s">
        <v>51</v>
      </c>
      <c r="C15" s="39" t="s">
        <v>60</v>
      </c>
    </row>
    <row r="16" spans="2:7" x14ac:dyDescent="0.25">
      <c r="B16" t="s">
        <v>49</v>
      </c>
      <c r="C16" s="39" t="s">
        <v>28</v>
      </c>
      <c r="F16" s="142"/>
      <c r="G16" s="64"/>
    </row>
    <row r="17" spans="2:7" x14ac:dyDescent="0.25">
      <c r="B17" t="s">
        <v>3</v>
      </c>
      <c r="C17" s="39" t="s">
        <v>131</v>
      </c>
      <c r="F17" s="142" t="s">
        <v>156</v>
      </c>
      <c r="G17" s="64">
        <f>COUNTIF(LANÇAMENTOS!$U$4:$U$19984,"REALIZADO")</f>
        <v>0</v>
      </c>
    </row>
    <row r="18" spans="2:7" x14ac:dyDescent="0.25">
      <c r="B18" t="s">
        <v>50</v>
      </c>
      <c r="C18" s="39" t="s">
        <v>28</v>
      </c>
      <c r="F18" s="142" t="s">
        <v>162</v>
      </c>
      <c r="G18" s="64">
        <f>COUNTIF(LANÇAMENTOS!$U$4:$U$19984,"A REALIZAR")</f>
        <v>0</v>
      </c>
    </row>
    <row r="19" spans="2:7" x14ac:dyDescent="0.25">
      <c r="B19" t="s">
        <v>48</v>
      </c>
      <c r="C19" s="39" t="s">
        <v>28</v>
      </c>
      <c r="F19" s="142" t="s">
        <v>163</v>
      </c>
      <c r="G19" s="64">
        <f>COUNTIF(LANÇAMENTOS!$L$4:$L$19984,"RECEITA")</f>
        <v>0</v>
      </c>
    </row>
    <row r="20" spans="2:7" x14ac:dyDescent="0.25">
      <c r="B20" t="s">
        <v>20</v>
      </c>
      <c r="C20" s="40" t="b">
        <v>0</v>
      </c>
      <c r="F20" s="142" t="s">
        <v>164</v>
      </c>
      <c r="G20" s="64">
        <f>COUNTIF(LANÇAMENTOS!$L$4:$L$19984,"DESPESA")</f>
        <v>0</v>
      </c>
    </row>
    <row r="21" spans="2:7" x14ac:dyDescent="0.25">
      <c r="B21" t="s">
        <v>21</v>
      </c>
      <c r="C21" s="40" t="b">
        <v>0</v>
      </c>
      <c r="F21" s="182" t="str">
        <f>IF(AND(TitulosReceita&gt;0,TitulosDespesa&gt;0),"OPERANTE","INOPERANTE")</f>
        <v>INOPERANTE</v>
      </c>
      <c r="G21" s="182"/>
    </row>
    <row r="22" spans="2:7" x14ac:dyDescent="0.25">
      <c r="B22" t="s">
        <v>22</v>
      </c>
      <c r="C22" s="39">
        <v>1</v>
      </c>
      <c r="F22" s="142"/>
      <c r="G22" s="64"/>
    </row>
    <row r="23" spans="2:7" x14ac:dyDescent="0.25">
      <c r="B23" t="s">
        <v>23</v>
      </c>
      <c r="C23" s="39">
        <v>1</v>
      </c>
      <c r="G23" s="64"/>
    </row>
    <row r="24" spans="2:7" x14ac:dyDescent="0.25">
      <c r="B24" t="s">
        <v>24</v>
      </c>
      <c r="C24" s="39">
        <v>1</v>
      </c>
      <c r="G24" s="64"/>
    </row>
    <row r="25" spans="2:7" x14ac:dyDescent="0.25">
      <c r="B25" t="s">
        <v>25</v>
      </c>
      <c r="C25" s="39">
        <v>1</v>
      </c>
    </row>
    <row r="26" spans="2:7" x14ac:dyDescent="0.25">
      <c r="B26" t="s">
        <v>42</v>
      </c>
      <c r="C26" s="39">
        <v>1</v>
      </c>
    </row>
    <row r="27" spans="2:7" x14ac:dyDescent="0.25">
      <c r="B27" t="s">
        <v>53</v>
      </c>
      <c r="C27" s="39" t="s">
        <v>177</v>
      </c>
    </row>
    <row r="28" spans="2:7" x14ac:dyDescent="0.25">
      <c r="B28" t="s">
        <v>55</v>
      </c>
      <c r="C28" s="39" t="s">
        <v>172</v>
      </c>
    </row>
    <row r="29" spans="2:7" x14ac:dyDescent="0.25">
      <c r="B29" t="s">
        <v>79</v>
      </c>
      <c r="C29" s="39" t="s">
        <v>183</v>
      </c>
    </row>
    <row r="30" spans="2:7" x14ac:dyDescent="0.25">
      <c r="B30" t="s">
        <v>83</v>
      </c>
      <c r="C30" s="39" t="s">
        <v>144</v>
      </c>
    </row>
    <row r="31" spans="2:7" x14ac:dyDescent="0.25">
      <c r="B31" t="s">
        <v>84</v>
      </c>
      <c r="C31" s="39" t="s">
        <v>171</v>
      </c>
    </row>
    <row r="32" spans="2:7" x14ac:dyDescent="0.25">
      <c r="B32" t="s">
        <v>94</v>
      </c>
      <c r="C32" s="39" t="s">
        <v>159</v>
      </c>
    </row>
    <row r="33" spans="2:5" x14ac:dyDescent="0.25">
      <c r="B33" t="s">
        <v>96</v>
      </c>
      <c r="C33" s="39" t="s">
        <v>190</v>
      </c>
    </row>
    <row r="34" spans="2:5" x14ac:dyDescent="0.25">
      <c r="B34" t="s">
        <v>117</v>
      </c>
      <c r="C34" s="39" t="s">
        <v>28</v>
      </c>
    </row>
    <row r="35" spans="2:5" x14ac:dyDescent="0.25">
      <c r="B35" t="s">
        <v>118</v>
      </c>
      <c r="C35" s="39">
        <v>1</v>
      </c>
    </row>
    <row r="44" spans="2:5" x14ac:dyDescent="0.25">
      <c r="B44" s="178" t="s">
        <v>56</v>
      </c>
      <c r="C44" s="178"/>
    </row>
    <row r="45" spans="2:5" x14ac:dyDescent="0.25">
      <c r="B45" s="5" t="s">
        <v>143</v>
      </c>
      <c r="C45" t="s">
        <v>61</v>
      </c>
      <c r="E45" s="39"/>
    </row>
    <row r="46" spans="2:5" x14ac:dyDescent="0.25">
      <c r="B46" s="5" t="s">
        <v>144</v>
      </c>
      <c r="C46" t="s">
        <v>60</v>
      </c>
      <c r="E46" s="39"/>
    </row>
    <row r="47" spans="2:5" x14ac:dyDescent="0.25">
      <c r="B47" s="5" t="s">
        <v>145</v>
      </c>
      <c r="C47" t="s">
        <v>82</v>
      </c>
      <c r="E47" s="39"/>
    </row>
    <row r="48" spans="2:5" x14ac:dyDescent="0.25">
      <c r="B48" s="5" t="s">
        <v>146</v>
      </c>
      <c r="C48" t="s">
        <v>57</v>
      </c>
      <c r="E48" s="39"/>
    </row>
    <row r="49" spans="2:5" x14ac:dyDescent="0.25">
      <c r="B49" s="5" t="s">
        <v>147</v>
      </c>
      <c r="C49" t="s">
        <v>62</v>
      </c>
      <c r="E49" s="39"/>
    </row>
    <row r="50" spans="2:5" x14ac:dyDescent="0.25">
      <c r="B50" s="5" t="s">
        <v>153</v>
      </c>
      <c r="C50" t="s">
        <v>154</v>
      </c>
      <c r="E50" s="39"/>
    </row>
    <row r="51" spans="2:5" x14ac:dyDescent="0.25">
      <c r="B51" s="5" t="s">
        <v>148</v>
      </c>
      <c r="C51" t="s">
        <v>81</v>
      </c>
      <c r="E51" s="39"/>
    </row>
    <row r="52" spans="2:5" x14ac:dyDescent="0.25">
      <c r="B52" s="5" t="s">
        <v>149</v>
      </c>
      <c r="C52" t="s">
        <v>54</v>
      </c>
      <c r="E52" s="39"/>
    </row>
    <row r="53" spans="2:5" x14ac:dyDescent="0.25">
      <c r="B53" s="5" t="s">
        <v>150</v>
      </c>
      <c r="C53" t="s">
        <v>77</v>
      </c>
      <c r="E53" s="39"/>
    </row>
    <row r="54" spans="2:5" x14ac:dyDescent="0.25">
      <c r="B54" s="5" t="s">
        <v>151</v>
      </c>
      <c r="C54" t="s">
        <v>58</v>
      </c>
    </row>
    <row r="55" spans="2:5" x14ac:dyDescent="0.25">
      <c r="B55" s="5" t="s">
        <v>152</v>
      </c>
      <c r="C55" t="s">
        <v>59</v>
      </c>
    </row>
    <row r="56" spans="2:5" x14ac:dyDescent="0.25">
      <c r="C56"/>
    </row>
    <row r="57" spans="2:5" x14ac:dyDescent="0.25">
      <c r="C57"/>
    </row>
    <row r="58" spans="2:5" x14ac:dyDescent="0.25">
      <c r="C58"/>
    </row>
    <row r="81" spans="6:16" x14ac:dyDescent="0.25">
      <c r="F81" s="1"/>
    </row>
    <row r="82" spans="6:16" x14ac:dyDescent="0.25">
      <c r="F82" s="181" t="s">
        <v>110</v>
      </c>
      <c r="G82" s="181"/>
      <c r="I82" s="181" t="s">
        <v>111</v>
      </c>
      <c r="J82" s="181"/>
      <c r="L82" s="181"/>
      <c r="M82" s="181"/>
      <c r="O82" s="181"/>
      <c r="P82" s="181"/>
    </row>
    <row r="83" spans="6:16" x14ac:dyDescent="0.25">
      <c r="F83" s="2" t="s">
        <v>17</v>
      </c>
      <c r="G83" t="s">
        <v>10</v>
      </c>
      <c r="I83" s="2" t="s">
        <v>17</v>
      </c>
      <c r="J83" t="s">
        <v>10</v>
      </c>
    </row>
    <row r="84" spans="6:16" x14ac:dyDescent="0.25">
      <c r="F84" s="2" t="s">
        <v>18</v>
      </c>
      <c r="G84" t="s">
        <v>10</v>
      </c>
      <c r="I84" s="2" t="s">
        <v>18</v>
      </c>
      <c r="J84" t="s">
        <v>10</v>
      </c>
    </row>
    <row r="85" spans="6:16" x14ac:dyDescent="0.25">
      <c r="F85" s="2" t="s">
        <v>7</v>
      </c>
      <c r="G85" t="s">
        <v>123</v>
      </c>
      <c r="I85" s="2" t="s">
        <v>7</v>
      </c>
      <c r="J85" t="s">
        <v>123</v>
      </c>
    </row>
    <row r="86" spans="6:16" x14ac:dyDescent="0.25">
      <c r="F86" s="2" t="s">
        <v>108</v>
      </c>
      <c r="G86" t="s">
        <v>10</v>
      </c>
      <c r="I86" s="2" t="s">
        <v>108</v>
      </c>
      <c r="J86" t="s">
        <v>10</v>
      </c>
    </row>
    <row r="87" spans="6:16" x14ac:dyDescent="0.25">
      <c r="F87" s="2" t="s">
        <v>1</v>
      </c>
      <c r="G87" t="s">
        <v>10</v>
      </c>
      <c r="I87" s="2" t="s">
        <v>1</v>
      </c>
      <c r="J87" t="s">
        <v>10</v>
      </c>
    </row>
    <row r="88" spans="6:16" x14ac:dyDescent="0.25">
      <c r="F88" s="2" t="s">
        <v>5</v>
      </c>
      <c r="G88" t="s">
        <v>187</v>
      </c>
      <c r="I88" s="2" t="s">
        <v>5</v>
      </c>
      <c r="J88" t="s">
        <v>187</v>
      </c>
    </row>
    <row r="90" spans="6:16" x14ac:dyDescent="0.25">
      <c r="F90" s="2" t="s">
        <v>106</v>
      </c>
      <c r="G90" t="s">
        <v>91</v>
      </c>
      <c r="I90" s="2" t="s">
        <v>106</v>
      </c>
      <c r="J90" t="s">
        <v>63</v>
      </c>
      <c r="N90" s="2"/>
    </row>
    <row r="91" spans="6:16" x14ac:dyDescent="0.25">
      <c r="F91" s="60">
        <v>43434</v>
      </c>
      <c r="G91" s="1">
        <v>5000</v>
      </c>
      <c r="I91" s="60">
        <v>43434</v>
      </c>
      <c r="J91" s="1">
        <v>5000</v>
      </c>
    </row>
    <row r="92" spans="6:16" x14ac:dyDescent="0.25">
      <c r="F92" s="60">
        <v>43465</v>
      </c>
      <c r="G92" s="1">
        <v>5000</v>
      </c>
      <c r="I92" s="60">
        <v>43465</v>
      </c>
      <c r="J92" s="1">
        <v>5000</v>
      </c>
    </row>
    <row r="93" spans="6:16" x14ac:dyDescent="0.25">
      <c r="F93" s="60">
        <v>43496</v>
      </c>
      <c r="G93" s="1">
        <v>5000</v>
      </c>
      <c r="I93" s="60">
        <v>43496</v>
      </c>
      <c r="J93" s="1">
        <v>5000</v>
      </c>
    </row>
    <row r="94" spans="6:16" x14ac:dyDescent="0.25">
      <c r="F94" s="60">
        <v>43524</v>
      </c>
      <c r="G94" s="1">
        <v>5000</v>
      </c>
      <c r="I94" s="60">
        <v>43524</v>
      </c>
      <c r="J94" s="1">
        <v>5000</v>
      </c>
    </row>
    <row r="95" spans="6:16" x14ac:dyDescent="0.25">
      <c r="F95" s="60">
        <v>43555</v>
      </c>
      <c r="G95" s="1">
        <v>5000</v>
      </c>
      <c r="I95" s="60">
        <v>43555</v>
      </c>
      <c r="J95" s="1">
        <v>5000</v>
      </c>
    </row>
    <row r="96" spans="6:16" x14ac:dyDescent="0.25">
      <c r="F96" s="60">
        <v>43585</v>
      </c>
      <c r="G96" s="1">
        <v>5000</v>
      </c>
      <c r="I96" s="60">
        <v>43585</v>
      </c>
      <c r="J96" s="1">
        <v>5000</v>
      </c>
    </row>
    <row r="97" spans="6:10" x14ac:dyDescent="0.25">
      <c r="F97" s="60">
        <v>43616</v>
      </c>
      <c r="G97" s="1">
        <v>5000</v>
      </c>
      <c r="I97" s="60">
        <v>43616</v>
      </c>
      <c r="J97" s="1">
        <v>5000</v>
      </c>
    </row>
    <row r="98" spans="6:10" x14ac:dyDescent="0.25">
      <c r="F98" s="60">
        <v>43646</v>
      </c>
      <c r="G98" s="1">
        <v>5000</v>
      </c>
      <c r="I98" s="60">
        <v>43646</v>
      </c>
      <c r="J98" s="1">
        <v>5000</v>
      </c>
    </row>
    <row r="99" spans="6:10" x14ac:dyDescent="0.25">
      <c r="F99" s="60">
        <v>43677</v>
      </c>
      <c r="G99" s="1">
        <v>5000</v>
      </c>
      <c r="I99" s="60">
        <v>43677</v>
      </c>
      <c r="J99" s="1">
        <v>5000</v>
      </c>
    </row>
    <row r="100" spans="6:10" x14ac:dyDescent="0.25">
      <c r="F100" s="60">
        <v>43708</v>
      </c>
      <c r="G100" s="1">
        <v>5000</v>
      </c>
      <c r="I100" s="60">
        <v>43708</v>
      </c>
      <c r="J100" s="1">
        <v>5000</v>
      </c>
    </row>
    <row r="101" spans="6:10" x14ac:dyDescent="0.25">
      <c r="F101" s="60">
        <v>43738</v>
      </c>
      <c r="G101" s="1">
        <v>5000</v>
      </c>
      <c r="I101" s="60">
        <v>43738</v>
      </c>
      <c r="J101" s="1">
        <v>5000</v>
      </c>
    </row>
    <row r="102" spans="6:10" x14ac:dyDescent="0.25">
      <c r="F102" s="60">
        <v>43769</v>
      </c>
      <c r="G102" s="1">
        <v>5000</v>
      </c>
      <c r="I102" s="60">
        <v>43769</v>
      </c>
      <c r="J102" s="1">
        <v>5000</v>
      </c>
    </row>
    <row r="103" spans="6:10" x14ac:dyDescent="0.25">
      <c r="F103" s="60" t="s">
        <v>2</v>
      </c>
      <c r="G103" s="1">
        <v>60000</v>
      </c>
      <c r="I103" s="60" t="s">
        <v>2</v>
      </c>
      <c r="J103" s="1">
        <v>60000</v>
      </c>
    </row>
  </sheetData>
  <sortState ref="B45:C55">
    <sortCondition ref="B47"/>
  </sortState>
  <mergeCells count="8">
    <mergeCell ref="B44:C44"/>
    <mergeCell ref="F1:G1"/>
    <mergeCell ref="F82:G82"/>
    <mergeCell ref="I82:J82"/>
    <mergeCell ref="O82:P82"/>
    <mergeCell ref="L82:M82"/>
    <mergeCell ref="F10:G10"/>
    <mergeCell ref="F21:G21"/>
  </mergeCells>
  <pageMargins left="0.511811024" right="0.511811024" top="0.78740157499999996" bottom="0.78740157499999996" header="0.31496062000000002" footer="0.31496062000000002"/>
  <pageSetup paperSize="9" orientation="portrait" r:id="rId3"/>
  <drawing r:id="rId4"/>
  <extLst>
    <ext xmlns:x14="http://schemas.microsoft.com/office/spreadsheetml/2009/9/main" uri="{A8765BA9-456A-4dab-B4F3-ACF838C121DE}">
      <x14:slicerList>
        <x14:slicer r:id="rId5"/>
      </x14:slicerList>
    </ext>
  </extLst>
</worksheet>
</file>

<file path=customUI/_rels/customUI14.xml.rels><?xml version="1.0" encoding="UTF-8" standalone="yes"?>
<Relationships xmlns="http://schemas.openxmlformats.org/package/2006/relationships"><Relationship Id="dinheiro" Type="http://schemas.openxmlformats.org/officeDocument/2006/relationships/image" Target="images/dinheiro.png"/></Relationships>
</file>

<file path=customUI/customUI14.xml><?xml version="1.0" encoding="utf-8"?>
<customUI xmlns="http://schemas.microsoft.com/office/2006/01/customui" onLoad="RibbonOnLoad">
  <ribbon startFromScratch="false">
    <tabs>
      <tab id="FinanDescompl" label="PROGRAMA FINANCEIRO">
        <group id="PLANILHAS" label="MENU">
          <button id="rbnMenu" label="Início" imageMso="ChartResetToMatchStyle" size="large" onAction="rbnContábil"/>
        </group>
        <group id="CADASTRAMENTO" label="CADASTRAMENTOS">
          <button id="rbnTitulares" label="Titulares" imageMso="ImportTextFile" onAction="rbnContábil"/>
          <button id="rbnCCusto" label="Centros de Custos" imageMso="ImportTextFile" onAction="rbnContábil"/>
          <button id="rbnGrupoContas" label="Grupos de Contas" imageMso="ImportTextFile" onAction="rbnContábil"/>
          <button id="rbnPlanoContas" label="Plano de Contas" imageMso="ImportTextFile" onAction="rbnContábil"/>
          <button id="rbnCliFor" label="Clientes e Fornecedores" imageMso="ImportTextFile" onAction="rbnContábil"/>
          <button id="rbnCCorrentes" label="Contas Correntes" imageMso="ImportTextFile" onAction="rbnContábil"/>
        </group>
        <group id="LANÇAMENTOS" label="LANÇAMENTOS">
          <button id="rbnLancTit" label="Área de Registros" imageMso="MergeCells" size="large" onAction="rbnContábil"/>
          <button id="rbnNovoRegistro" label="Novo Título" imageMso="QueryAppend" size="large" onAction="rbnContábil"/>
          <button id="rbnLimparFiltro" label="Limpar Filtros" imageMso="FilterClearAllFilters" onAction="rbnContábil"/>
          <button id="rbnUltimoLancto" label="Último Lançamento" imageMso="T" onAction="rbnContábil"/>
          <button id="rbnExcluirTitulo" label="Excluir Título" imageMso="CellsDelete" onAction="rbnContábil"/>
        </group>
        <group id="ESTOQUE" label="ESTOQUE">
          <button id="rbnInsumos" label="Itens de Estoque" imageMso="ImportTextFile" onAction="rbnContábil"/>
          <button id="rbnEstoque" label="Controle de Estoque" imageMso="QueryUpdate" onAction="rbnContábil"/>
        </group>
        <group id="RELATÓRIOS" label="RELATÓRIOS">
          <button id="rbnRealizado" label="Tít. Baixados/A Baixar" imageMso="AcceptInvitation" onAction="rbnContábil"/>
          <button id="rbnSaldo" label="Saldos" imageMso="InternationalCurrency" onAction="rbnContábil"/>
          <button id="rbnFluxoCaixa" label="Fluxos de Caixa" image="dinheiro" onAction="rbnContábil"/>
          <button id="rbnAnaliseResultado" label="Análise de Resultado" imageMso="OutlookTaskCreate" onAction="rbnContábil"/>
          <button id="rbnOutrosRelatorios" label="Outros Relatórios" imageMso="ExchangeFolder" onAction="rbnContábil"/>
          <button id="rbnCriarRel" label="Criar seu Relatório" imageMso="ChartShowData" onAction="rbnContábil"/>
        </group>
        <group id="GRÁFICOS" label="GRÁFICOS">
          <button id="rbnGraficos" label="Diversos Gráficos" imageMso="SlideMasterChartPlaceholderInsert" onAction="rbnContábi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21</vt:i4>
      </vt:variant>
      <vt:variant>
        <vt:lpstr>Intervalos Nomeados</vt:lpstr>
      </vt:variant>
      <vt:variant>
        <vt:i4>41</vt:i4>
      </vt:variant>
    </vt:vector>
  </HeadingPairs>
  <TitlesOfParts>
    <vt:vector size="62" baseType="lpstr">
      <vt:lpstr>MENU</vt:lpstr>
      <vt:lpstr>TITULAR</vt:lpstr>
      <vt:lpstr>CLIENTES E FORNECEDORES</vt:lpstr>
      <vt:lpstr>CENTRO DE CUSTOS</vt:lpstr>
      <vt:lpstr>GRUPO DE CONTAS</vt:lpstr>
      <vt:lpstr>PLANO DE CONTAS</vt:lpstr>
      <vt:lpstr>CONTA CORRENTE</vt:lpstr>
      <vt:lpstr>ITENS DE ESTOQUE</vt:lpstr>
      <vt:lpstr>LANÇAMENTOS</vt:lpstr>
      <vt:lpstr>FLUXO DE CAIXA VERTICAL</vt:lpstr>
      <vt:lpstr>RELATÓRIO POR TITULARES</vt:lpstr>
      <vt:lpstr>RELATÓRIO FIXO x ESPORÁDICO</vt:lpstr>
      <vt:lpstr>CRIAR SEU RELATÓRIO</vt:lpstr>
      <vt:lpstr>FLUXO DE CAIXA HORIZONTAL</vt:lpstr>
      <vt:lpstr>Apoio TDs</vt:lpstr>
      <vt:lpstr>TÍTULOS BAIXADOS E A BAIXAR</vt:lpstr>
      <vt:lpstr>SALDO CONTAS CORRENTES</vt:lpstr>
      <vt:lpstr>REL. ANÁLISE DE RESULTADOS </vt:lpstr>
      <vt:lpstr>GRÁFICOS</vt:lpstr>
      <vt:lpstr>REL. CONTROLE DE ESTOQUE</vt:lpstr>
      <vt:lpstr>Apoio</vt:lpstr>
      <vt:lpstr>ApoioFLuxoCaixa</vt:lpstr>
      <vt:lpstr>MENU!Area_de_impressao</vt:lpstr>
      <vt:lpstr>CabecalhoTBFCH</vt:lpstr>
      <vt:lpstr>FimRelAnaliseResultado</vt:lpstr>
      <vt:lpstr>FimRelAnResultado</vt:lpstr>
      <vt:lpstr>FimRelFCH</vt:lpstr>
      <vt:lpstr>FimRelRealizadoARealizar</vt:lpstr>
      <vt:lpstr>FormulaTDCPCR</vt:lpstr>
      <vt:lpstr>FormulaTDFCV</vt:lpstr>
      <vt:lpstr>InicioFormSFFCH</vt:lpstr>
      <vt:lpstr>InicioFormSIFCH</vt:lpstr>
      <vt:lpstr>InicioFormulaFCV</vt:lpstr>
      <vt:lpstr>InicioRelAnaliseResultado</vt:lpstr>
      <vt:lpstr>InicioRelAnResultado</vt:lpstr>
      <vt:lpstr>InicioRelFCH</vt:lpstr>
      <vt:lpstr>InicioRelRealizadoARealizar</vt:lpstr>
      <vt:lpstr>InicioTDFCV</vt:lpstr>
      <vt:lpstr>Operante</vt:lpstr>
      <vt:lpstr>Realizado_ARealizarFCH</vt:lpstr>
      <vt:lpstr>Realizado_ARealizarFCV</vt:lpstr>
      <vt:lpstr>ResultadoAcumuladoGrafico</vt:lpstr>
      <vt:lpstr>ResultadoPeriodoGrafico</vt:lpstr>
      <vt:lpstr>ResultadoValorGrafico</vt:lpstr>
      <vt:lpstr>rng_DadosCliFor</vt:lpstr>
      <vt:lpstr>rng_DadosInsumos</vt:lpstr>
      <vt:lpstr>rng_DadosLanctosTD</vt:lpstr>
      <vt:lpstr>rng_DadosTitular</vt:lpstr>
      <vt:lpstr>rng_NomeCliFor</vt:lpstr>
      <vt:lpstr>rng_NomeInsumos</vt:lpstr>
      <vt:lpstr>rng_NomeTitular</vt:lpstr>
      <vt:lpstr>rng_NroCliFor</vt:lpstr>
      <vt:lpstr>rng_NroInsumos</vt:lpstr>
      <vt:lpstr>rng_NroLancto</vt:lpstr>
      <vt:lpstr>rng_NroTitular</vt:lpstr>
      <vt:lpstr>rng_TiposDoctos</vt:lpstr>
      <vt:lpstr>SaldoInicialFCH</vt:lpstr>
      <vt:lpstr>SaldoInicialFCV</vt:lpstr>
      <vt:lpstr>TitulosABaixar</vt:lpstr>
      <vt:lpstr>TitulosDespesa</vt:lpstr>
      <vt:lpstr>TitulosRealizados</vt:lpstr>
      <vt:lpstr>TitulosReceita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ArthurCiappina</dc:creator>
  <cp:lastModifiedBy>Regis Marinho</cp:lastModifiedBy>
  <cp:lastPrinted>2018-10-10T10:57:39Z</cp:lastPrinted>
  <dcterms:created xsi:type="dcterms:W3CDTF">2016-04-03T18:06:12Z</dcterms:created>
  <dcterms:modified xsi:type="dcterms:W3CDTF">2018-11-20T12:14:48Z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695cb269-f3d4-41bf-a144-858e94cd0a97</vt:lpwstr>
  </property>
</Properties>
</file>