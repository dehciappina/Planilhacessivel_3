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drawings/drawing10.xml" ContentType="application/vnd.openxmlformats-officedocument.drawing+xml"/>
  <Override PartName="/xl/activeX/activeX2.xml" ContentType="application/vnd.ms-office.activeX+xml"/>
  <Override PartName="/xl/activeX/activeX2.bin" ContentType="application/vnd.ms-office.activeX"/>
  <Override PartName="/xl/slicers/slicer1.xml" ContentType="application/vnd.ms-excel.slicer+xml"/>
  <Override PartName="/xl/comments3.xml" ContentType="application/vnd.openxmlformats-officedocument.spreadsheetml.comments+xml"/>
  <Override PartName="/xl/pivotTables/pivotTable2.xml" ContentType="application/vnd.openxmlformats-officedocument.spreadsheetml.pivotTable+xml"/>
  <Override PartName="/xl/drawings/drawing11.xml" ContentType="application/vnd.openxmlformats-officedocument.drawing+xml"/>
  <Override PartName="/xl/pivotTables/pivotTable3.xml" ContentType="application/vnd.openxmlformats-officedocument.spreadsheetml.pivotTable+xml"/>
  <Override PartName="/xl/drawings/drawing12.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3.xml" ContentType="application/vnd.openxmlformats-officedocument.drawing+xml"/>
  <Override PartName="/xl/activeX/activeX3.xml" ContentType="application/vnd.ms-office.activeX+xml"/>
  <Override PartName="/xl/activeX/activeX3.bin" ContentType="application/vnd.ms-office.activeX"/>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4.xml" ContentType="application/vnd.openxmlformats-officedocument.drawing+xml"/>
  <Override PartName="/xl/slicers/slicer3.xml" ContentType="application/vnd.ms-excel.slicer+xml"/>
  <Override PartName="/xl/pivotTables/pivotTable8.xml" ContentType="application/vnd.openxmlformats-officedocument.spreadsheetml.pivotTable+xml"/>
  <Override PartName="/xl/drawings/drawing15.xml" ContentType="application/vnd.openxmlformats-officedocument.drawing+xml"/>
  <Override PartName="/xl/slicers/slicer4.xml" ContentType="application/vnd.ms-excel.slicer+xml"/>
  <Override PartName="/xl/comments4.xml" ContentType="application/vnd.openxmlformats-officedocument.spreadsheetml.comments+xml"/>
  <Override PartName="/xl/pivotTables/pivotTable9.xml" ContentType="application/vnd.openxmlformats-officedocument.spreadsheetml.pivotTable+xml"/>
  <Override PartName="/xl/drawings/drawing16.xml" ContentType="application/vnd.openxmlformats-officedocument.drawing+xml"/>
  <Override PartName="/xl/pivotTables/pivotTable10.xml" ContentType="application/vnd.openxmlformats-officedocument.spreadsheetml.pivotTable+xml"/>
  <Override PartName="/xl/drawings/drawing17.xml" ContentType="application/vnd.openxmlformats-officedocument.drawing+xml"/>
  <Override PartName="/xl/activeX/activeX4.xml" ContentType="application/vnd.ms-office.activeX+xml"/>
  <Override PartName="/xl/activeX/activeX4.bin" ContentType="application/vnd.ms-office.activeX"/>
  <Override PartName="/xl/slicers/slicer5.xml" ContentType="application/vnd.ms-excel.slicer+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8.xml" ContentType="application/vnd.openxmlformats-officedocument.drawing+xml"/>
  <Override PartName="/xl/slicers/slicer6.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6.xml" ContentType="application/vnd.openxmlformats-officedocument.spreadsheetml.pivotTable+xml"/>
  <Override PartName="/xl/drawings/drawing19.xml" ContentType="application/vnd.openxmlformats-officedocument.drawing+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0.xml" ContentType="application/vnd.openxmlformats-officedocument.drawing+xml"/>
  <Override PartName="/xl/slicers/slicer7.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dinheiro.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33840b204f04d48"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showInkAnnotation="0" codeName="EstaPasta_de_trabalho" hidePivotFieldList="1"/>
  <mc:AlternateContent xmlns:mc="http://schemas.openxmlformats.org/markup-compatibility/2006">
    <mc:Choice Requires="x15">
      <x15ac:absPath xmlns:x15ac="http://schemas.microsoft.com/office/spreadsheetml/2010/11/ac" url="C:\Users\ciapp\OneDrive\Backup Pastas Principais\PASTAS PRINCIPAIS\Planejamentos\Trabalhos\Planilhacessível\MAIS UM PLANILHACESSIVEL\downloads\"/>
    </mc:Choice>
  </mc:AlternateContent>
  <xr:revisionPtr revIDLastSave="8" documentId="13_ncr:1_{3998A9C7-D5E7-49CE-A5F7-888FF1BCA7F3}" xr6:coauthVersionLast="38" xr6:coauthVersionMax="38" xr10:uidLastSave="{AB99C29F-03FA-49AC-BCC2-EA47D5707FAC}"/>
  <bookViews>
    <workbookView xWindow="0" yWindow="0" windowWidth="20490" windowHeight="7550" tabRatio="747" xr2:uid="{00000000-000D-0000-FFFF-FFFF00000000}"/>
  </bookViews>
  <sheets>
    <sheet name="MENU" sheetId="6" r:id="rId1"/>
    <sheet name="TITULAR" sheetId="10" state="hidden" r:id="rId2"/>
    <sheet name="CLIENTES E FORNECEDORES" sheetId="19" state="hidden" r:id="rId3"/>
    <sheet name="CENTRO DE CUSTOS" sheetId="5" state="hidden" r:id="rId4"/>
    <sheet name="GRUPO DE CONTAS" sheetId="24" state="hidden" r:id="rId5"/>
    <sheet name="PLANO DE CONTAS" sheetId="2" state="hidden" r:id="rId6"/>
    <sheet name="CONTA CORRENTE" sheetId="7" state="hidden" r:id="rId7"/>
    <sheet name="ITENS DE ESTOQUE" sheetId="20" state="hidden" r:id="rId8"/>
    <sheet name="LANÇAMENTOS" sheetId="1" state="hidden" r:id="rId9"/>
    <sheet name="FLUXO DE CAIXA VERTICAL" sheetId="23" state="hidden" r:id="rId10"/>
    <sheet name="RELATÓRIO POR TITULARES" sheetId="17" state="hidden" r:id="rId11"/>
    <sheet name="RELATÓRIO FIXO x ESPORÁDICO" sheetId="11" state="hidden" r:id="rId12"/>
    <sheet name="CRIAR SEU RELATÓRIO" sheetId="18" state="hidden" r:id="rId13"/>
    <sheet name="FLUXO DE CAIXA HORIZONTAL" sheetId="3" state="hidden" r:id="rId14"/>
    <sheet name="Apoio TDs" sheetId="31" state="hidden" r:id="rId15"/>
    <sheet name="TÍTULOS BAIXADOS E A BAIXAR" sheetId="28" state="hidden" r:id="rId16"/>
    <sheet name="SALDO CONTAS CORRENTES" sheetId="29" state="hidden" r:id="rId17"/>
    <sheet name="REL. ANÁLISE DE RESULTADOS " sheetId="26" state="hidden" r:id="rId18"/>
    <sheet name="GRÁFICOS" sheetId="8" state="hidden" r:id="rId19"/>
    <sheet name="REL. CONTROLE DE ESTOQUE" sheetId="21" state="hidden" r:id="rId20"/>
    <sheet name="Apoio" sheetId="12" state="hidden" r:id="rId21"/>
  </sheets>
  <functionGroups builtInGroupCount="19"/>
  <definedNames>
    <definedName name="_xlnm._FilterDatabase" localSheetId="3" hidden="1">'CENTRO DE CUSTOS'!$B$2:$C$3</definedName>
    <definedName name="_xlnm._FilterDatabase" localSheetId="2" hidden="1">'CLIENTES E FORNECEDORES'!$B$2:$M$3</definedName>
    <definedName name="_xlnm._FilterDatabase" localSheetId="4" hidden="1">'GRUPO DE CONTAS'!$B$2:$C$3</definedName>
    <definedName name="_xlnm._FilterDatabase" localSheetId="7" hidden="1">'ITENS DE ESTOQUE'!$B$2:$G$3</definedName>
    <definedName name="_xlnm._FilterDatabase" localSheetId="8" hidden="1">LANÇAMENTOS!$A$3:$AJ$73</definedName>
    <definedName name="_xlnm._FilterDatabase" localSheetId="5" hidden="1">'PLANO DE CONTAS'!$B$2:$F$3</definedName>
    <definedName name="_xlnm._FilterDatabase" localSheetId="1" hidden="1">TITULAR!$B$2:$C$3</definedName>
    <definedName name="ApoioFLuxoCaixa">Apoio!$F$10</definedName>
    <definedName name="_xlnm.Print_Area" localSheetId="0">MENU!$B$1:$V$33</definedName>
    <definedName name="AreaCCor" localSheetId="4">OFFSET('CONTA CORRENTE'!#REF!,0,2,COUNTA('CONTA CORRENTE'!#REF!),1)</definedName>
    <definedName name="AreaCCor" localSheetId="16">OFFSET('CONTA CORRENTE'!#REF!,0,2,COUNTA('CONTA CORRENTE'!#REF!),1)</definedName>
    <definedName name="AreaCCor">OFFSET('CONTA CORRENTE'!#REF!,0,2,COUNTA('CONTA CORRENTE'!#REF!),1)</definedName>
    <definedName name="AreaLanctosDesloc">OFFSET(LANÇAMENTOS!$A$3,1,0,COUNTA(LANÇAMENTOS!$B$4:$B$59410),35)</definedName>
    <definedName name="CabecalhoTBFCH">'FLUXO DE CAIXA HORIZONTAL'!$B$11</definedName>
    <definedName name="FimRelAnaliseResultado">'REL. ANÁLISE DE RESULTADOS '!$A$16</definedName>
    <definedName name="FimRelAnResultado">'REL. ANÁLISE DE RESULTADOS '!$J$5</definedName>
    <definedName name="FimRelFCH">'FLUXO DE CAIXA HORIZONTAL'!$E$6</definedName>
    <definedName name="FimRelRealizadoARealizar">'TÍTULOS BAIXADOS E A BAIXAR'!$J$8</definedName>
    <definedName name="FormulaTDCPCR" localSheetId="16">'SALDO CONTAS CORRENTES'!#REF!</definedName>
    <definedName name="FormulaTDCPCR">'TÍTULOS BAIXADOS E A BAIXAR'!$K$12</definedName>
    <definedName name="FormulaTDFCV">'FLUXO DE CAIXA VERTICAL'!$D$2</definedName>
    <definedName name="InicioFormSFFCH">'FLUXO DE CAIXA HORIZONTAL'!$E$3000</definedName>
    <definedName name="InicioFormSIFCH">'FLUXO DE CAIXA HORIZONTAL'!$E$9</definedName>
    <definedName name="InicioFormulaFCV">'FLUXO DE CAIXA VERTICAL'!$D$11</definedName>
    <definedName name="InicioRelAnaliseResultado">'REL. ANÁLISE DE RESULTADOS '!$A$15</definedName>
    <definedName name="InicioRelAnResultado">'REL. ANÁLISE DE RESULTADOS '!$J$4</definedName>
    <definedName name="InicioRelFCH">'FLUXO DE CAIXA HORIZONTAL'!$E$5</definedName>
    <definedName name="InicioRelRealizadoARealizar">'TÍTULOS BAIXADOS E A BAIXAR'!$J$7</definedName>
    <definedName name="InicioTDFCV">'FLUXO DE CAIXA VERTICAL'!$B$6</definedName>
    <definedName name="Operante">Apoio!$F$21</definedName>
    <definedName name="Realizado_ARealizarFCH">'FLUXO DE CAIXA HORIZONTAL'!$B$8</definedName>
    <definedName name="Realizado_ARealizarFCV">'FLUXO DE CAIXA VERTICAL'!$B$8</definedName>
    <definedName name="ResultadoAcumuladoGrafico">'REL. ANÁLISE DE RESULTADOS '!$C$3:$N$3</definedName>
    <definedName name="ResultadoPeriodoGrafico">'REL. ANÁLISE DE RESULTADOS '!$C$1:$N$1</definedName>
    <definedName name="ResultadoValorGrafico">'REL. ANÁLISE DE RESULTADOS '!$C$2:$N$2</definedName>
    <definedName name="rng_DadosCCorrente">'CONTA CORRENTE'!#REF!</definedName>
    <definedName name="rng_DadosCentroCustos" localSheetId="4">'CENTRO DE CUSTOS'!#REF!</definedName>
    <definedName name="rng_DadosCentroCustos">'CENTRO DE CUSTOS'!#REF!</definedName>
    <definedName name="rng_DadosCliFor">'CLIENTES E FORNECEDORES'!$B$4:$M$4</definedName>
    <definedName name="rng_DadosGrupoContas">'GRUPO DE CONTAS'!#REF!</definedName>
    <definedName name="rng_DadosInsumos">'ITENS DE ESTOQUE'!$B$4:$G$4</definedName>
    <definedName name="rng_DadosLanctosTD">LANÇAMENTOS!$A$3:$AL$3</definedName>
    <definedName name="rng_DadosPlanoContas">'PLANO DE CONTAS'!#REF!</definedName>
    <definedName name="rng_DadosTitular">TITULAR!$B$4:$C$4</definedName>
    <definedName name="rng_NomeCCorrente">'CONTA CORRENTE'!#REF!</definedName>
    <definedName name="rng_NomeCentroCustos" localSheetId="4">'CENTRO DE CUSTOS'!#REF!</definedName>
    <definedName name="rng_NomeCentroCustos">'CENTRO DE CUSTOS'!#REF!</definedName>
    <definedName name="rng_NomeCliFor">'CLIENTES E FORNECEDORES'!$C$4</definedName>
    <definedName name="rng_NomeGrupoContas">'GRUPO DE CONTAS'!#REF!</definedName>
    <definedName name="rng_NomeInsumos">'ITENS DE ESTOQUE'!$C$4:$C$1048576</definedName>
    <definedName name="rng_NomePlanoContas">'PLANO DE CONTAS'!#REF!</definedName>
    <definedName name="rng_NomeTitular">TITULAR!$C$4</definedName>
    <definedName name="rng_NroCCorrente">'CONTA CORRENTE'!#REF!</definedName>
    <definedName name="rng_NroCentroCustos" localSheetId="4">'CENTRO DE CUSTOS'!#REF!</definedName>
    <definedName name="rng_NroCentroCustos">'CENTRO DE CUSTOS'!#REF!</definedName>
    <definedName name="rng_NroCliFor">'CLIENTES E FORNECEDORES'!$B$4</definedName>
    <definedName name="rng_NroGrupoContas">'GRUPO DE CONTAS'!#REF!</definedName>
    <definedName name="rng_NroInsumos">'ITENS DE ESTOQUE'!$B$4</definedName>
    <definedName name="rng_NroLancto">LANÇAMENTOS!$A$4:$A$4</definedName>
    <definedName name="rng_NroPlanoContas">'PLANO DE CONTAS'!#REF!</definedName>
    <definedName name="rng_NroTitular">TITULAR!$B$4</definedName>
    <definedName name="rng_SaldoCCorrente">'CONTA CORRENTE'!#REF!</definedName>
    <definedName name="rng_TiposDoctos">Apoio!$B$1:$C$35</definedName>
    <definedName name="SaldoInicialFCH">'FLUXO DE CAIXA HORIZONTAL'!$D$9</definedName>
    <definedName name="SaldoInicialFCV">'FLUXO DE CAIXA VERTICAL'!$D$9</definedName>
    <definedName name="SegmentaçãodeDados_ANO">#N/A</definedName>
    <definedName name="SegmentaçãodeDados_ANO1">#N/A</definedName>
    <definedName name="SegmentaçãodeDados_CENTRO_CUSTO">#N/A</definedName>
    <definedName name="SegmentaçãodeDados_CENTRO_CUSTO1">#N/A</definedName>
    <definedName name="SegmentaçãodeDados_CONTA_CORRENTE1">#N/A</definedName>
    <definedName name="SegmentaçãodeDados_MÊS">#N/A</definedName>
    <definedName name="SegmentaçãodeDados_MÊS4">#N/A</definedName>
    <definedName name="SegmentaçãodeDados_REALIZADO___A_REALIZAR">#N/A</definedName>
    <definedName name="SegmentaçãodeDados_REC._DESP.">#N/A</definedName>
    <definedName name="SegmentaçãodeDados_TITULAR">#N/A</definedName>
    <definedName name="SegmentaçãodeDados_TITULAR1">#N/A</definedName>
    <definedName name="TitulosABaixar">Apoio!$G$18</definedName>
    <definedName name="TitulosDespesa">Apoio!$G$20</definedName>
    <definedName name="TitulosRealizados">Apoio!$G$17</definedName>
    <definedName name="TitulosReceita">Apoio!$G$19</definedName>
  </definedNames>
  <calcPr calcId="191029"/>
  <pivotCaches>
    <pivotCache cacheId="0"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0" i="12" l="1"/>
  <c r="G19" i="12"/>
  <c r="G18" i="12"/>
  <c r="G17" i="12"/>
  <c r="O2" i="26" l="1"/>
  <c r="O1" i="26"/>
  <c r="N1" i="26"/>
  <c r="M1" i="26"/>
  <c r="L1" i="26"/>
  <c r="K1" i="26"/>
  <c r="J1" i="26"/>
  <c r="I1" i="26"/>
  <c r="H1" i="26"/>
  <c r="G1" i="26"/>
  <c r="F1" i="26"/>
  <c r="E1" i="26"/>
  <c r="D1" i="26"/>
  <c r="C1" i="26"/>
  <c r="A1" i="26"/>
  <c r="D2" i="23"/>
  <c r="J2" i="26"/>
  <c r="N2" i="26"/>
  <c r="L2" i="26"/>
  <c r="D2" i="26"/>
  <c r="H2" i="26"/>
  <c r="M2" i="26"/>
  <c r="I2" i="26"/>
  <c r="F2" i="26"/>
  <c r="C2" i="26"/>
  <c r="K2" i="26"/>
  <c r="G2" i="26"/>
  <c r="E2" i="26"/>
  <c r="C3" i="26" l="1"/>
  <c r="D3" i="26" s="1"/>
  <c r="E3" i="26" s="1"/>
  <c r="F3" i="26" s="1"/>
  <c r="G3" i="26" s="1"/>
  <c r="H3" i="26" s="1"/>
  <c r="I3" i="26" s="1"/>
  <c r="J3" i="26" s="1"/>
  <c r="K3" i="26" s="1"/>
  <c r="L3" i="26" s="1"/>
  <c r="M3" i="26" s="1"/>
  <c r="N3" i="26" s="1"/>
  <c r="O3" i="26" s="1"/>
  <c r="M6" i="26" l="1"/>
  <c r="F21" i="12" l="1"/>
  <c r="X1" i="1"/>
  <c r="W1" i="1"/>
  <c r="D2" i="28" l="1"/>
  <c r="C8" i="31"/>
  <c r="D9" i="3" l="1"/>
  <c r="D9" i="23"/>
  <c r="D10" i="23" s="1"/>
  <c r="D11" i="23" s="1"/>
  <c r="D12" i="23" s="1"/>
  <c r="K10" i="28"/>
  <c r="K12" i="28" s="1"/>
  <c r="D3000" i="3"/>
  <c r="C18" i="26"/>
  <c r="E9" i="3" l="1"/>
  <c r="A1" i="29"/>
  <c r="E3000" i="3"/>
  <c r="F9" i="3" l="1"/>
  <c r="F10" i="12"/>
  <c r="F3000" i="3"/>
  <c r="G9" i="3" l="1"/>
  <c r="A15" i="26"/>
  <c r="A16" i="26"/>
  <c r="G3000" i="3"/>
  <c r="H9" i="3" l="1"/>
  <c r="O5" i="26"/>
  <c r="O6" i="26" s="1"/>
  <c r="H3000" i="3"/>
  <c r="I9" i="3" l="1"/>
  <c r="AD1" i="1"/>
  <c r="L1" i="1"/>
  <c r="K1" i="1"/>
  <c r="J1" i="1"/>
  <c r="I1" i="1"/>
  <c r="H1" i="1"/>
  <c r="I3000" i="3"/>
  <c r="J9" i="3" l="1"/>
  <c r="G1" i="1"/>
  <c r="A1" i="23"/>
  <c r="A1" i="3"/>
  <c r="A1" i="28"/>
  <c r="J3000" i="3"/>
  <c r="K9" i="3" l="1"/>
  <c r="K3000" i="3"/>
  <c r="L9" i="3" l="1"/>
  <c r="L3000" i="3"/>
  <c r="M9" i="3" l="1"/>
  <c r="M3000" i="3"/>
  <c r="N9" i="3" l="1"/>
  <c r="N3000" i="3"/>
  <c r="O9" i="3" l="1"/>
  <c r="O3000" i="3"/>
  <c r="P9" i="3" l="1"/>
  <c r="P3000"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D7" authorId="0" shapeId="0" xr:uid="{00000000-0006-0000-0000-000001000000}">
      <text>
        <r>
          <rPr>
            <b/>
            <sz val="11"/>
            <color indexed="81"/>
            <rFont val="Calibri"/>
            <family val="2"/>
            <scheme val="minor"/>
          </rPr>
          <t xml:space="preserve">TITULAR(ES) DOS LANÇAMENTOS:
</t>
        </r>
        <r>
          <rPr>
            <sz val="11"/>
            <color indexed="81"/>
            <rFont val="Calibri"/>
            <family val="2"/>
            <scheme val="minor"/>
          </rPr>
          <t xml:space="preserve">
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empresas. 
Em suma, registra o titular ou titulares dos recebimentos e pagamentos realizados ou a realizar.</t>
        </r>
      </text>
    </comment>
    <comment ref="G7" authorId="0" shapeId="0" xr:uid="{00000000-0006-0000-0000-000007000000}">
      <text>
        <r>
          <rPr>
            <b/>
            <sz val="14"/>
            <color indexed="81"/>
            <rFont val="Calibri"/>
            <family val="2"/>
            <scheme val="minor"/>
          </rPr>
          <t>TÍTULOS DE LANÇAMENTOS:</t>
        </r>
        <r>
          <rPr>
            <b/>
            <sz val="11"/>
            <color indexed="81"/>
            <rFont val="Calibri"/>
            <family val="2"/>
            <scheme val="minor"/>
          </rPr>
          <t xml:space="preserve">
</t>
        </r>
        <r>
          <rPr>
            <sz val="11"/>
            <color indexed="81"/>
            <rFont val="Calibri"/>
            <family val="2"/>
            <scheme val="minor"/>
          </rPr>
          <t xml:space="preserve">
Principal aba deste aplicativo, em que são registrados os recebimentos e pagamentos realizados ou a realizar, além das movimentações financeiras (aplicação financeira, etc).
Mantendo o mouse sobre os campos no formulário de lançamentos surgirão informações resumidas sobre os mesmos.</t>
        </r>
      </text>
    </comment>
    <comment ref="D9" authorId="0" shapeId="0" xr:uid="{00000000-0006-0000-0000-000003000000}">
      <text>
        <r>
          <rPr>
            <b/>
            <sz val="11"/>
            <color indexed="81"/>
            <rFont val="Calibri"/>
            <family val="2"/>
            <scheme val="minor"/>
          </rPr>
          <t>CENTROS DE CUSTOS:</t>
        </r>
        <r>
          <rPr>
            <sz val="11"/>
            <color indexed="81"/>
            <rFont val="Calibri"/>
            <family val="2"/>
            <scheme val="minor"/>
          </rPr>
          <t xml:space="preserve">
Centro de Custos serve para concentrar os registros de recebimentos e pagamentos dentro de uma mesma unidade de controle. Você pode criar centros de custos para controle de seus gastos pessoais, como: "Moradia",  "Alimentação", "Educação", "Lazer" etc. 
Por exemplo: o centro de custos "Moradia" concentra as despesas com prestações da casa própria ou aluguel, contas de água, luz, telefone, mercado etc, as quais, por sua vez, são definidas através do Plano de Contas.  Assim, ao observar os relatórios, você verá que o valor informado para "Moradia" corresponderá à soma das despesas que você associou a esse Centro de Custos.</t>
        </r>
      </text>
    </comment>
    <comment ref="G9" authorId="0" shapeId="0" xr:uid="{DBA1C587-3A22-4DFB-A6FA-2EC0FD82447F}">
      <text>
        <r>
          <rPr>
            <b/>
            <sz val="11"/>
            <color indexed="81"/>
            <rFont val="Calibri"/>
            <family val="2"/>
            <scheme val="minor"/>
          </rPr>
          <t>TÍTULOS BAIXADOS / A BAIXAR:</t>
        </r>
        <r>
          <rPr>
            <sz val="11"/>
            <color indexed="81"/>
            <rFont val="Calibri"/>
            <family val="2"/>
            <scheme val="minor"/>
          </rPr>
          <t xml:space="preserve">
Gera um relatório contendo todos títulos registrados.
Através da opção "STATUS" você escolhe entre os títulos já baixados (REALIZADOS) ou a baixar (A REALIZAR).
Utilize a opção A REALIZAR para gerenciar os recebimentos e pagamentos futuros.</t>
        </r>
      </text>
    </comment>
    <comment ref="D11" authorId="0" shapeId="0" xr:uid="{E3A598CC-0AA3-407F-B800-BFFE3F015928}">
      <text>
        <r>
          <rPr>
            <b/>
            <sz val="11"/>
            <color indexed="81"/>
            <rFont val="Calibri"/>
            <family val="2"/>
            <scheme val="minor"/>
          </rPr>
          <t>GRUPO DE CONTAS:</t>
        </r>
        <r>
          <rPr>
            <sz val="11"/>
            <color indexed="81"/>
            <rFont val="Calibri"/>
            <family val="2"/>
            <scheme val="minor"/>
          </rPr>
          <t xml:space="preserve">
Grupo de Contas serve para aglutinar as contas do Plano de Contas, segundo a sua natureza.
</t>
        </r>
        <r>
          <rPr>
            <u/>
            <sz val="11"/>
            <color indexed="81"/>
            <rFont val="Calibri"/>
            <family val="2"/>
            <scheme val="minor"/>
          </rPr>
          <t>Exemplos</t>
        </r>
        <r>
          <rPr>
            <sz val="11"/>
            <color indexed="81"/>
            <rFont val="Calibri"/>
            <family val="2"/>
            <scheme val="minor"/>
          </rPr>
          <t>:
Ao cadastrar "Vendas"  e "Serviços Prestados" pelo Plano de Contas, você pode associá-los ao Grupo de Contas "Receitas Operacionais";
Assim como pode associar as contas "Compra de Insumos", "Custos com Pessoal", "Aluguel da Fábrrica" etc, com o Grupo de Contas "Custos Operacionais";
Da mesma forma pode, por exemplo, associar "Saldo Inicial", "Aporte de Sócio", "Transferência entre Contas", "Aplicação Financeira" com o Grupo de Contas "Recursos Financeiros".</t>
        </r>
      </text>
    </comment>
    <comment ref="G11" authorId="0" shapeId="0" xr:uid="{CFC1B0F4-E099-4DAF-A3A3-85ACAB0DC399}">
      <text>
        <r>
          <rPr>
            <b/>
            <sz val="11"/>
            <color indexed="81"/>
            <rFont val="Calibri"/>
            <family val="2"/>
            <scheme val="minor"/>
          </rPr>
          <t>SALDOS:</t>
        </r>
        <r>
          <rPr>
            <sz val="11"/>
            <color indexed="81"/>
            <rFont val="Calibri"/>
            <family val="2"/>
            <scheme val="minor"/>
          </rPr>
          <t xml:space="preserve">
Gera relatório demonstrando o saldo de todas as contas correntes utilizadas em títulos baixados.</t>
        </r>
      </text>
    </comment>
    <comment ref="D13" authorId="0" shapeId="0" xr:uid="{00000000-0006-0000-0000-000004000000}">
      <text>
        <r>
          <rPr>
            <b/>
            <sz val="11"/>
            <color indexed="81"/>
            <rFont val="Calibri"/>
            <family val="2"/>
            <scheme val="minor"/>
          </rPr>
          <t>PLANO DE CONTAS:</t>
        </r>
        <r>
          <rPr>
            <sz val="11"/>
            <color indexed="81"/>
            <rFont val="Calibri"/>
            <family val="2"/>
            <scheme val="minor"/>
          </rPr>
          <t xml:space="preserve">
Plano de Contas reune as contas de receitas, despesas e de movimentação financeira a serem utilizadas no controle financeiro, para identificação dos tipos de recebimentos e pagamentos efetuados ou a efetuar.
</t>
        </r>
        <r>
          <rPr>
            <u/>
            <sz val="11"/>
            <color indexed="81"/>
            <rFont val="Calibri"/>
            <family val="2"/>
            <scheme val="minor"/>
          </rPr>
          <t>Exemplos de contas de receita</t>
        </r>
        <r>
          <rPr>
            <sz val="11"/>
            <color indexed="81"/>
            <rFont val="Calibri"/>
            <family val="2"/>
            <scheme val="minor"/>
          </rPr>
          <t xml:space="preserve">:
"Venda", "Receita de Prestação de Serviços", "Receita Financeira", "Outras Receitas".
</t>
        </r>
        <r>
          <rPr>
            <u/>
            <sz val="11"/>
            <color indexed="81"/>
            <rFont val="Calibri"/>
            <family val="2"/>
            <scheme val="minor"/>
          </rPr>
          <t>Exemplos de contas de despesa:</t>
        </r>
        <r>
          <rPr>
            <sz val="11"/>
            <color indexed="81"/>
            <rFont val="Calibri"/>
            <family val="2"/>
            <scheme val="minor"/>
          </rPr>
          <t xml:space="preserve">
"Aluguéis", "Conta de Energia", "Tarifas Bancárias", "Impostos", "Outras Despesas".
</t>
        </r>
        <r>
          <rPr>
            <u/>
            <sz val="11"/>
            <color indexed="81"/>
            <rFont val="Calibri"/>
            <family val="2"/>
            <scheme val="minor"/>
          </rPr>
          <t>Exemplo de contas de movimentação financeira:</t>
        </r>
        <r>
          <rPr>
            <sz val="11"/>
            <color indexed="81"/>
            <rFont val="Calibri"/>
            <family val="2"/>
            <scheme val="minor"/>
          </rPr>
          <t xml:space="preserve">
"Transferência entre Contas", "Aplicação Financeira", "Aporte de Inverstidores'.</t>
        </r>
      </text>
    </comment>
    <comment ref="G13" authorId="0" shapeId="0" xr:uid="{A92A8692-227E-4BD1-B4D0-C5B54F99F40A}">
      <text>
        <r>
          <rPr>
            <b/>
            <sz val="11"/>
            <color indexed="81"/>
            <rFont val="Calibri"/>
            <family val="2"/>
            <scheme val="minor"/>
          </rPr>
          <t>FLUXOS DE CAIXA:</t>
        </r>
        <r>
          <rPr>
            <sz val="11"/>
            <color indexed="81"/>
            <rFont val="Calibri"/>
            <family val="2"/>
            <scheme val="minor"/>
          </rPr>
          <t xml:space="preserve">
Abre dois relatórios de fluxo de caixa:
1) Fluxo de Caixa Vertical, que é mais detalhado e com dados diários, indicado para uma visão de curto prazo e;
2) Fluxo de Caixa Horizontal, que é organizado pelo Grupo de Contas e Plano de Contas, com exposição mensal em colunas.</t>
        </r>
      </text>
    </comment>
    <comment ref="D15" authorId="0" shapeId="0" xr:uid="{00000000-0006-0000-0000-000002000000}">
      <text>
        <r>
          <rPr>
            <b/>
            <sz val="11"/>
            <color indexed="81"/>
            <rFont val="Calibri"/>
            <family val="2"/>
            <scheme val="minor"/>
          </rPr>
          <t>CLIENTES E FORNECEDORES:</t>
        </r>
        <r>
          <rPr>
            <sz val="11"/>
            <color indexed="81"/>
            <rFont val="Calibri"/>
            <family val="2"/>
            <scheme val="minor"/>
          </rPr>
          <t xml:space="preserve">
Serve para cadastrar as pessoas físicas e jurídicas com as quais o titular ou titulares mantêm operações de recebimentos, pagamentos e movimentações financeiras.</t>
        </r>
      </text>
    </comment>
    <comment ref="G15" authorId="0" shapeId="0" xr:uid="{99487BFE-24BC-4C4A-A006-5CDE94DBFBFE}">
      <text>
        <r>
          <rPr>
            <b/>
            <sz val="11"/>
            <color indexed="81"/>
            <rFont val="Calibri"/>
            <family val="2"/>
            <scheme val="minor"/>
          </rPr>
          <t>ANÁLISE DE RESULTADO</t>
        </r>
        <r>
          <rPr>
            <sz val="11"/>
            <color indexed="81"/>
            <rFont val="Calibri"/>
            <family val="2"/>
            <scheme val="minor"/>
          </rPr>
          <t xml:space="preserve">
Difere do fluxo de caixa por desconsiderar as movimentações financeiras decorrentes de aportes dos sócios, saldos anteriores etc, ficando restrita às contas de receitas e despesas (operacionais).</t>
        </r>
      </text>
    </comment>
    <comment ref="D17" authorId="0" shapeId="0" xr:uid="{00000000-0006-0000-0000-000005000000}">
      <text>
        <r>
          <rPr>
            <b/>
            <sz val="11"/>
            <color indexed="81"/>
            <rFont val="Calibri"/>
            <family val="2"/>
            <scheme val="minor"/>
          </rPr>
          <t>CONTAS CORRENTES:</t>
        </r>
        <r>
          <rPr>
            <sz val="11"/>
            <color indexed="81"/>
            <rFont val="Calibri"/>
            <family val="2"/>
            <scheme val="minor"/>
          </rPr>
          <t xml:space="preserve">
Em "Conta Corrente" você pode cadastrar uma ou mais contas bancárias, além da conta Caixa, podendo gerar relatórios individualizados ou pelo somatório das mesmas.
</t>
        </r>
        <r>
          <rPr>
            <u/>
            <sz val="11"/>
            <color indexed="81"/>
            <rFont val="Calibri"/>
            <family val="2"/>
            <scheme val="minor"/>
          </rPr>
          <t>Exemplos de cadastramento de contas correntes</t>
        </r>
        <r>
          <rPr>
            <sz val="11"/>
            <color indexed="81"/>
            <rFont val="Calibri"/>
            <family val="2"/>
            <scheme val="minor"/>
          </rPr>
          <t>:
. Caixa
. Banco X / Ag. 001 - C/C 11.222-4
. Banco Y / Ag. 444 - C/C 65432</t>
        </r>
      </text>
    </comment>
    <comment ref="G17" authorId="0" shapeId="0" xr:uid="{A95E5C01-172D-4D0B-835F-2EDF10F92710}">
      <text>
        <r>
          <rPr>
            <b/>
            <sz val="11"/>
            <color indexed="81"/>
            <rFont val="Calibri"/>
            <family val="2"/>
            <scheme val="minor"/>
          </rPr>
          <t>OUTROS RELATÓRIOS</t>
        </r>
        <r>
          <rPr>
            <sz val="11"/>
            <color indexed="81"/>
            <rFont val="Calibri"/>
            <family val="2"/>
            <scheme val="minor"/>
          </rPr>
          <t xml:space="preserve">
Apresenta relatório dos registros financeiros por titular e por tipo de receita e despesa (Fixo ou Esporádico).</t>
        </r>
      </text>
    </comment>
    <comment ref="D19" authorId="0" shapeId="0" xr:uid="{00000000-0006-0000-0000-000006000000}">
      <text>
        <r>
          <rPr>
            <b/>
            <sz val="11"/>
            <color indexed="81"/>
            <rFont val="Calibri"/>
            <family val="2"/>
            <scheme val="minor"/>
          </rPr>
          <t>ITENS DE ESTOQUE:</t>
        </r>
        <r>
          <rPr>
            <sz val="11"/>
            <color indexed="81"/>
            <rFont val="Calibri"/>
            <family val="2"/>
            <scheme val="minor"/>
          </rPr>
          <t xml:space="preserve">
Em 'Itens de Estoque' você pode cadastrar os materiais, produtos e mercadorias que compõem seu estoque, para controle de entrada e saída e de saldo dos mesmos.
Quando você registrar um título com plano de contas definido para controle de estoque, obrigatoriamente os campos de registro de movimentação de estoque deverão ser preenchidos no formulário de lançamenttos. Você pode acompanhar os efeitos de tais registros através do Relatório "CONTROLE DE ESTOQUE".</t>
        </r>
      </text>
    </comment>
    <comment ref="G19" authorId="0" shapeId="0" xr:uid="{EFB0CBAB-53C6-40C2-8A47-231BD1C2D884}">
      <text>
        <r>
          <rPr>
            <b/>
            <sz val="11"/>
            <color indexed="81"/>
            <rFont val="Calibri"/>
            <family val="2"/>
            <scheme val="minor"/>
          </rPr>
          <t xml:space="preserve">CRIAR SEU RELATÓRIO
</t>
        </r>
        <r>
          <rPr>
            <sz val="11"/>
            <color indexed="81"/>
            <rFont val="Calibri"/>
            <family val="2"/>
            <scheme val="minor"/>
          </rPr>
          <t>Espaço para que você possa criar o seu relatório, através de tabela dinâmica.</t>
        </r>
      </text>
    </comment>
    <comment ref="D21" authorId="0" shapeId="0" xr:uid="{A4C54CD6-1FD4-400B-B832-2088A377BEC2}">
      <text>
        <r>
          <rPr>
            <b/>
            <sz val="11"/>
            <color indexed="81"/>
            <rFont val="Calibri"/>
            <family val="2"/>
            <scheme val="minor"/>
          </rPr>
          <t>CONTROLE DE ESTOQUE</t>
        </r>
        <r>
          <rPr>
            <sz val="11"/>
            <color indexed="81"/>
            <rFont val="Calibri"/>
            <family val="2"/>
            <scheme val="minor"/>
          </rPr>
          <t xml:space="preserve">
Abre um relatório demonstrando as movimentações de compras e vendas de itens de estoque.</t>
        </r>
      </text>
    </comment>
    <comment ref="G21" authorId="0" shapeId="0" xr:uid="{49073D19-77DE-4FE1-A31D-7757C9E69B1C}">
      <text>
        <r>
          <rPr>
            <b/>
            <sz val="11"/>
            <color indexed="81"/>
            <rFont val="Calibri"/>
            <family val="2"/>
            <scheme val="minor"/>
          </rPr>
          <t>GRÁFICOS</t>
        </r>
        <r>
          <rPr>
            <sz val="11"/>
            <color indexed="81"/>
            <rFont val="Calibri"/>
            <family val="2"/>
            <scheme val="minor"/>
          </rPr>
          <t xml:space="preserve">
Apresenta diversos gráficos sobre os registros financeiros.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E2" authorId="0" shapeId="0" xr:uid="{6597BDBC-8256-4F5A-A473-01CBA0BD092F}">
      <text>
        <r>
          <rPr>
            <sz val="9"/>
            <color indexed="81"/>
            <rFont val="Segoe UI"/>
            <family val="2"/>
          </rPr>
          <t>Considera o somatório dos lançamentos baixados (realizados).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C9" authorId="0" shapeId="0" xr:uid="{0EE7BD88-05A4-4BC4-906C-8C7C091997FA}">
      <text>
        <r>
          <rPr>
            <sz val="9"/>
            <color indexed="81"/>
            <rFont val="Segoe UI"/>
            <family val="2"/>
          </rPr>
          <t>Considera somente os títulos baixados; ou seja, com o campo 'Data de Realização' preenchido.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J7" authorId="0" shapeId="0" xr:uid="{80C23634-04DA-4770-B72A-4BEF274723AB}">
      <text>
        <r>
          <rPr>
            <sz val="9"/>
            <color indexed="81"/>
            <rFont val="Segoe UI"/>
            <family val="2"/>
          </rPr>
          <t>Informar a data de início do relatório no formato "dd/mm/aaaa".
A data informada deve estar contida no período considerado nos campos "ANO" e "MÊS" escolhidos na tabela dinâmica ao lado.</t>
        </r>
      </text>
    </comment>
    <comment ref="J8" authorId="0" shapeId="0" xr:uid="{5A4EDAE1-0C67-4B6C-AF97-A630C1F3ABB8}">
      <text>
        <r>
          <rPr>
            <sz val="9"/>
            <color indexed="81"/>
            <rFont val="Segoe UI"/>
            <family val="2"/>
          </rPr>
          <t>Informar a data de início do relatório no formato "dd/mm/aaaa".
A data informada deve estar contida no período considerado nos campos "ANO" e "MÊS" escolhidos na tabela dinâmica ao lado.
Clique no botão de filtro a direita para ajustar as datas do relatório ao período aqui definido.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O4" authorId="0" shapeId="0" xr:uid="{FBEE789F-B9F3-48CD-8439-4ADACA86D8AF}">
      <text>
        <r>
          <rPr>
            <sz val="9"/>
            <color indexed="81"/>
            <rFont val="Segoe UI"/>
            <family val="2"/>
          </rPr>
          <t>TIR = Taxa Interna de Retonro</t>
        </r>
      </text>
    </comment>
    <comment ref="L5" authorId="0" shapeId="0" xr:uid="{7894D461-B338-4129-BAF8-AD0977BC2298}">
      <text>
        <r>
          <rPr>
            <sz val="9"/>
            <color indexed="81"/>
            <rFont val="Segoe UI"/>
            <family val="2"/>
          </rPr>
          <t>Taxa Mínima de Atratividade</t>
        </r>
      </text>
    </comment>
    <comment ref="M5" authorId="0" shapeId="0" xr:uid="{747CA3A2-01DC-468A-9731-4820F2BFD24C}">
      <text>
        <r>
          <rPr>
            <sz val="9"/>
            <color indexed="81"/>
            <rFont val="Segoe UI"/>
            <family val="2"/>
          </rPr>
          <t>T.M.A. = Taxa Mínima de Atratividade
Representa a taxa mensal de desconto aplicada para o cálculo do Valor Presente Líquido - VPL.
VPL positivo significa que o ganho com negócio é maior que aquele obtido com o reajuste dos valores pela taxa de referência (T.M.A.).</t>
        </r>
      </text>
    </comment>
    <comment ref="O5" authorId="0" shapeId="0" xr:uid="{795BD060-97B3-431B-A6E9-A4472CAC8BCB}">
      <text>
        <r>
          <rPr>
            <sz val="9"/>
            <color indexed="81"/>
            <rFont val="Segoe UI"/>
            <family val="2"/>
          </rPr>
          <t>TIR Mensal
A função TIR só trás resultado confiável quando tratar-se de fluxo de caixa regular, ou seja, que evolua de saldo negativo para o positivo.
Fluxo de caixa irregular é aquele em que ocorre oscilação no resultado de cada período analisado, entre positivo e negativo.
Na situação em que o saldo começa e permanece positivo a TIR apresenta erro, já que não consegue comparar investimento e retorno.</t>
        </r>
      </text>
    </comment>
    <comment ref="L6" authorId="0" shapeId="0" xr:uid="{D938DA01-A2CD-4AF0-8FEE-C4D305A8CED1}">
      <text>
        <r>
          <rPr>
            <sz val="9"/>
            <color indexed="81"/>
            <rFont val="Segoe UI"/>
            <family val="2"/>
          </rPr>
          <t>Foi utilizada a função VPL do Excel para trazer todo o período de resultado ao valor presente, através da T.M.A.</t>
        </r>
      </text>
    </comment>
    <comment ref="M6" authorId="0" shapeId="0" xr:uid="{91134935-EA25-45C1-80E7-F33E6FB32895}">
      <text>
        <r>
          <rPr>
            <sz val="9"/>
            <color indexed="81"/>
            <rFont val="Segoe UI"/>
            <family val="2"/>
          </rPr>
          <t>Valor positivo indica que o negócio é melhor que aquele cujo ganho se baseia no T.M.A.</t>
        </r>
      </text>
    </comment>
    <comment ref="O6" authorId="0" shapeId="0" xr:uid="{882F0949-4FB3-4FF6-B15A-4C32CB9B3E52}">
      <text>
        <r>
          <rPr>
            <sz val="9"/>
            <color indexed="81"/>
            <rFont val="Segoe UI"/>
            <family val="2"/>
          </rPr>
          <t>TIR anual.</t>
        </r>
      </text>
    </comment>
  </commentList>
</comments>
</file>

<file path=xl/sharedStrings.xml><?xml version="1.0" encoding="utf-8"?>
<sst xmlns="http://schemas.openxmlformats.org/spreadsheetml/2006/main" count="429" uniqueCount="192">
  <si>
    <t>PLANO DE CONTAS</t>
  </si>
  <si>
    <t>ANO</t>
  </si>
  <si>
    <t>Total Geral</t>
  </si>
  <si>
    <t>DESCRIÇÃO</t>
  </si>
  <si>
    <t>Nº</t>
  </si>
  <si>
    <t>REC./DESP.</t>
  </si>
  <si>
    <t>CENTRO DE CUSTOS</t>
  </si>
  <si>
    <t>CONTA CORRENTE</t>
  </si>
  <si>
    <t>?</t>
  </si>
  <si>
    <t>Não Avisar</t>
  </si>
  <si>
    <t>(Tudo)</t>
  </si>
  <si>
    <t>PERÍODO</t>
  </si>
  <si>
    <t xml:space="preserve">MÊS </t>
  </si>
  <si>
    <t xml:space="preserve">ANO: </t>
  </si>
  <si>
    <t>TITULAR DO LANÇAMENTO</t>
  </si>
  <si>
    <t>DATA VENCTO.</t>
  </si>
  <si>
    <t>DATA REALIZ.</t>
  </si>
  <si>
    <t>TITULAR</t>
  </si>
  <si>
    <t>CENTRO CUSTO</t>
  </si>
  <si>
    <t>MÊS</t>
  </si>
  <si>
    <t>TIPO REGISTRO</t>
  </si>
  <si>
    <t>TIPO REC./DESP.</t>
  </si>
  <si>
    <t>FK_TIT</t>
  </si>
  <si>
    <t>FK_CC</t>
  </si>
  <si>
    <t>FK_PC</t>
  </si>
  <si>
    <t>FK_CCor</t>
  </si>
  <si>
    <t>M</t>
  </si>
  <si>
    <t>Nº Cópias</t>
  </si>
  <si>
    <t/>
  </si>
  <si>
    <t>Ano:</t>
  </si>
  <si>
    <t>CLIENTE e/ou FORNECEDOR</t>
  </si>
  <si>
    <t>CPF/CNPJ</t>
  </si>
  <si>
    <t>ENDEREÇO</t>
  </si>
  <si>
    <t>TELEFONE</t>
  </si>
  <si>
    <t>CELULAR</t>
  </si>
  <si>
    <t>CONTATO</t>
  </si>
  <si>
    <t>E-MAIL</t>
  </si>
  <si>
    <t>OUTROS DADOS</t>
  </si>
  <si>
    <t>OBSERVAÇÕES</t>
  </si>
  <si>
    <t>PF/PJ</t>
  </si>
  <si>
    <t>CLIENTE OU FORNECEDOR</t>
  </si>
  <si>
    <t>RG/INSCR. EST.</t>
  </si>
  <si>
    <t>FK_CF</t>
  </si>
  <si>
    <t>PERÍODO:</t>
  </si>
  <si>
    <t xml:space="preserve">PERÍODO: </t>
  </si>
  <si>
    <t>TIPO</t>
  </si>
  <si>
    <t>DATA EMISSÃO</t>
  </si>
  <si>
    <t>DATA VENCTO. AJUSTADO</t>
  </si>
  <si>
    <t>DATA CONCILIAÇÃO</t>
  </si>
  <si>
    <t>DOCUMENTO</t>
  </si>
  <si>
    <t>OBS. INTERNA</t>
  </si>
  <si>
    <t>TIPO DE DOCTO.</t>
  </si>
  <si>
    <t>VALOR</t>
  </si>
  <si>
    <t>DATA LANÇ.</t>
  </si>
  <si>
    <t>NF</t>
  </si>
  <si>
    <t>NOVO/EDITAR</t>
  </si>
  <si>
    <t>TIPOS DE DOCUMENTOS</t>
  </si>
  <si>
    <t>DANFE</t>
  </si>
  <si>
    <t>REC</t>
  </si>
  <si>
    <t>TRAN</t>
  </si>
  <si>
    <t>AV</t>
  </si>
  <si>
    <t>AJ</t>
  </si>
  <si>
    <t>FAT</t>
  </si>
  <si>
    <t>Soma de VALOR</t>
  </si>
  <si>
    <t>CONTA DE ESTOQUE</t>
  </si>
  <si>
    <t>UNIDADE</t>
  </si>
  <si>
    <t>OBSERVAÇÃO</t>
  </si>
  <si>
    <t>MARCA</t>
  </si>
  <si>
    <t>FABRICANTE</t>
  </si>
  <si>
    <t>NOME DO INSUMO</t>
  </si>
  <si>
    <t>UNID.</t>
  </si>
  <si>
    <t>FK_INSUMO</t>
  </si>
  <si>
    <t>FK_CliFor</t>
  </si>
  <si>
    <t>VALOR INSUMO</t>
  </si>
  <si>
    <t>VENCTO. ORIGINAL</t>
  </si>
  <si>
    <t>VENCTO. AJUSTADO</t>
  </si>
  <si>
    <t>QUANT. INSUMO</t>
  </si>
  <si>
    <t>PRV</t>
  </si>
  <si>
    <t>MÊS COMPET.</t>
  </si>
  <si>
    <t>COMPETÊNCIA</t>
  </si>
  <si>
    <t>Nº LANÇ.</t>
  </si>
  <si>
    <t>ND</t>
  </si>
  <si>
    <t>CT</t>
  </si>
  <si>
    <t>NOME DO TIPO DE DOCTO.</t>
  </si>
  <si>
    <t>PLANO DE CONTAS DE ESTOQUE</t>
  </si>
  <si>
    <t>Total QDE.</t>
  </si>
  <si>
    <t>QDE.</t>
  </si>
  <si>
    <t>Total ACUM.</t>
  </si>
  <si>
    <t>ACUM.</t>
  </si>
  <si>
    <t>DATA</t>
  </si>
  <si>
    <t>DESCRIÇÃO DO MATERIAL/PRODUTO</t>
  </si>
  <si>
    <t xml:space="preserve">Valor </t>
  </si>
  <si>
    <t xml:space="preserve">VALOR </t>
  </si>
  <si>
    <t xml:space="preserve">Mês </t>
  </si>
  <si>
    <t>OPTCRÉDITO/OPTDÉBITO</t>
  </si>
  <si>
    <t>DATA REFERÊNCIA</t>
  </si>
  <si>
    <t>GRUPO DE CONTAS</t>
  </si>
  <si>
    <t>GRUPO</t>
  </si>
  <si>
    <t>FK_GC</t>
  </si>
  <si>
    <t>FKGC</t>
  </si>
  <si>
    <t>CONTROLE ESTOQUE</t>
  </si>
  <si>
    <t>NOME</t>
  </si>
  <si>
    <t>TIPO DE CONTA</t>
  </si>
  <si>
    <t>Não</t>
  </si>
  <si>
    <t>PKGC</t>
  </si>
  <si>
    <t>Resultado</t>
  </si>
  <si>
    <t>REC/DESP/MOV. FIN.</t>
  </si>
  <si>
    <t>SALDO INICIAL =&gt;&gt;</t>
  </si>
  <si>
    <t>REALIZADO / A REALIZAR</t>
  </si>
  <si>
    <t>SALDO FINAL =&gt;&gt;</t>
  </si>
  <si>
    <t>ANÁLISE DE RESULTADO - REG. CX - MÊS</t>
  </si>
  <si>
    <t>ANÁLISE DE RESULTADO - REG. CX - ACUM.</t>
  </si>
  <si>
    <t>VALOR PRESENTE LÍQUIDO</t>
  </si>
  <si>
    <t xml:space="preserve">T.M.A. </t>
  </si>
  <si>
    <t xml:space="preserve">VPL </t>
  </si>
  <si>
    <t>Período:</t>
  </si>
  <si>
    <t>TIR</t>
  </si>
  <si>
    <t>FK_ESTOQUE</t>
  </si>
  <si>
    <t>FK_GRUPO CONTAS</t>
  </si>
  <si>
    <t>FIXA</t>
  </si>
  <si>
    <t xml:space="preserve">Total Valor </t>
  </si>
  <si>
    <t>Total Saldo</t>
  </si>
  <si>
    <t>Saldo</t>
  </si>
  <si>
    <t>CAIXA</t>
  </si>
  <si>
    <t>SALDO
(Realizado)</t>
  </si>
  <si>
    <t>TITULAR ORIGINAL</t>
  </si>
  <si>
    <t>C/C ORIGINAL</t>
  </si>
  <si>
    <t>A REALIZAR</t>
  </si>
  <si>
    <t>TITULAR / CONTA</t>
  </si>
  <si>
    <t>STATUS:</t>
  </si>
  <si>
    <t>TITULAR:</t>
  </si>
  <si>
    <t>-</t>
  </si>
  <si>
    <t>DE:</t>
  </si>
  <si>
    <t>ATÉ:</t>
  </si>
  <si>
    <t>ACUMULADO</t>
  </si>
  <si>
    <t>SALDO INICIAL =</t>
  </si>
  <si>
    <t>C. CUSTOS:</t>
  </si>
  <si>
    <t>TIPO DOC.</t>
  </si>
  <si>
    <t>ANO:</t>
  </si>
  <si>
    <t>MÊS:</t>
  </si>
  <si>
    <t>PERÍODO EM DIAS:</t>
  </si>
  <si>
    <t>DATA:</t>
  </si>
  <si>
    <t>RECEITA</t>
  </si>
  <si>
    <t>Ajuste de Lançamento</t>
  </si>
  <si>
    <t>Aviso de Lançamento</t>
  </si>
  <si>
    <t>Contrato</t>
  </si>
  <si>
    <t>Documento Fiscal de Venda</t>
  </si>
  <si>
    <t>Fatura</t>
  </si>
  <si>
    <t>Nota de Débito</t>
  </si>
  <si>
    <t>Nota Fiscal</t>
  </si>
  <si>
    <t>Previsão de Recebimento ou Pagamento</t>
  </si>
  <si>
    <t>Recibo</t>
  </si>
  <si>
    <t>Transferência Financeira</t>
  </si>
  <si>
    <t>Gerencial</t>
  </si>
  <si>
    <t>RPG</t>
  </si>
  <si>
    <t>DESPESA</t>
  </si>
  <si>
    <t>TÍTULOS BAIXADOS =&gt;</t>
  </si>
  <si>
    <t>SAÍDA</t>
  </si>
  <si>
    <t>INSUMO:</t>
  </si>
  <si>
    <t>C</t>
  </si>
  <si>
    <t>Preenchendo cadastros pelo Título</t>
  </si>
  <si>
    <t>C O N T R O L E   F I N A N C E I R O</t>
  </si>
  <si>
    <t>TÍTULOS A BAIXAR =&gt;</t>
  </si>
  <si>
    <t>TÍTULOS RECEITA =&gt;</t>
  </si>
  <si>
    <t>TÍTULOS DESPESA =&gt;</t>
  </si>
  <si>
    <t>REALIZADO</t>
  </si>
  <si>
    <t>VENCTO.</t>
  </si>
  <si>
    <t>de:</t>
  </si>
  <si>
    <t>até:</t>
  </si>
  <si>
    <t>STATUS</t>
  </si>
  <si>
    <t>ENTRADA</t>
  </si>
  <si>
    <t>NÃO</t>
  </si>
  <si>
    <t>EDITAR LANÇAMENTO</t>
  </si>
  <si>
    <t>COMPRAS</t>
  </si>
  <si>
    <t>R. MARINHO</t>
  </si>
  <si>
    <t>ADMINISTRATIVO</t>
  </si>
  <si>
    <t>MOVIMENTAÇÃO FINANCEIRA</t>
  </si>
  <si>
    <t>15/10/2018</t>
  </si>
  <si>
    <t>VENDAS</t>
  </si>
  <si>
    <t>002</t>
  </si>
  <si>
    <t>12</t>
  </si>
  <si>
    <t>15/11/2018</t>
  </si>
  <si>
    <t>20.000,00</t>
  </si>
  <si>
    <t>11/2018</t>
  </si>
  <si>
    <t>3</t>
  </si>
  <si>
    <t>Despesa</t>
  </si>
  <si>
    <t>compras</t>
  </si>
  <si>
    <t>(Vários itens)</t>
  </si>
  <si>
    <t>RÉGIS</t>
  </si>
  <si>
    <t>ADM.</t>
  </si>
  <si>
    <t>FINANCEIRO</t>
  </si>
  <si>
    <t>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</si>
</sst>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 #,##0.00_-;_-* &quot;-&quot;??_-;_-@_-"/>
    <numFmt numFmtId="164" formatCode="&quot;R$&quot;#,##0.00;[Red]\-&quot;R$&quot;#,##0.00"/>
    <numFmt numFmtId="165" formatCode="_-&quot;R$&quot;* #,##0.00_-;\-&quot;R$&quot;* #,##0.00_-;_-&quot;R$&quot;* &quot;-&quot;??_-;_-@_-"/>
    <numFmt numFmtId="166" formatCode="_(* #,##0.00_);_(* \(#,##0.00\);_(* &quot;-&quot;??_);_(@_)"/>
    <numFmt numFmtId="167" formatCode="dd/mm/yy;@"/>
    <numFmt numFmtId="168" formatCode="#,##0.00_ ;[Red]\-#,##0.00\ "/>
    <numFmt numFmtId="169" formatCode="[$-416]mmm\-yy;@"/>
    <numFmt numFmtId="170" formatCode="000"/>
    <numFmt numFmtId="171" formatCode="0.0%"/>
    <numFmt numFmtId="172" formatCode="0.0%&quot; ao mês&quot;"/>
  </numFmts>
  <fonts count="29"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sz val="11"/>
      <color theme="0"/>
      <name val="Calibri"/>
      <family val="2"/>
      <scheme val="minor"/>
    </font>
    <font>
      <sz val="9"/>
      <color indexed="81"/>
      <name val="Segoe UI"/>
      <family val="2"/>
    </font>
    <font>
      <i/>
      <u/>
      <sz val="8"/>
      <color theme="0"/>
      <name val="Tahoma"/>
      <family val="2"/>
    </font>
    <font>
      <sz val="8"/>
      <color theme="1"/>
      <name val="Calibri"/>
      <family val="2"/>
      <scheme val="minor"/>
    </font>
    <font>
      <u/>
      <sz val="11"/>
      <color theme="1"/>
      <name val="Calibri"/>
      <family val="2"/>
      <scheme val="minor"/>
    </font>
    <font>
      <b/>
      <sz val="11"/>
      <color theme="0"/>
      <name val="Calibri"/>
      <family val="2"/>
      <scheme val="minor"/>
    </font>
    <font>
      <sz val="11"/>
      <color theme="8" tint="-0.249977111117893"/>
      <name val="Calibri"/>
      <family val="2"/>
      <scheme val="minor"/>
    </font>
    <font>
      <b/>
      <sz val="14"/>
      <color theme="8" tint="-0.249977111117893"/>
      <name val="Calibri"/>
      <family val="2"/>
      <scheme val="minor"/>
    </font>
    <font>
      <sz val="11"/>
      <color rgb="FF0070C0"/>
      <name val="Calibri"/>
      <family val="2"/>
      <scheme val="minor"/>
    </font>
    <font>
      <u/>
      <sz val="8"/>
      <color theme="1"/>
      <name val="Calibri"/>
      <family val="2"/>
      <scheme val="minor"/>
    </font>
    <font>
      <sz val="9"/>
      <color theme="0"/>
      <name val="Calibri"/>
      <family val="2"/>
      <scheme val="minor"/>
    </font>
    <font>
      <sz val="9"/>
      <color theme="1"/>
      <name val="Calibri"/>
      <family val="2"/>
      <scheme val="minor"/>
    </font>
    <font>
      <b/>
      <sz val="9"/>
      <color theme="1"/>
      <name val="Calibri"/>
      <family val="2"/>
      <scheme val="minor"/>
    </font>
    <font>
      <u/>
      <sz val="9"/>
      <color theme="1"/>
      <name val="Calibri"/>
      <family val="2"/>
      <scheme val="minor"/>
    </font>
    <font>
      <i/>
      <sz val="9"/>
      <color theme="0" tint="-0.499984740745262"/>
      <name val="Calibri"/>
      <family val="2"/>
      <scheme val="minor"/>
    </font>
    <font>
      <b/>
      <sz val="11"/>
      <color rgb="FFC00000"/>
      <name val="Calibri"/>
      <family val="2"/>
      <scheme val="minor"/>
    </font>
    <font>
      <b/>
      <sz val="11"/>
      <color indexed="81"/>
      <name val="Calibri"/>
      <family val="2"/>
      <scheme val="minor"/>
    </font>
    <font>
      <sz val="11"/>
      <color indexed="81"/>
      <name val="Calibri"/>
      <family val="2"/>
      <scheme val="minor"/>
    </font>
    <font>
      <u/>
      <sz val="11"/>
      <color indexed="81"/>
      <name val="Calibri"/>
      <family val="2"/>
      <scheme val="minor"/>
    </font>
    <font>
      <b/>
      <sz val="14"/>
      <color indexed="81"/>
      <name val="Calibri"/>
      <family val="2"/>
      <scheme val="minor"/>
    </font>
    <font>
      <sz val="11"/>
      <color rgb="FFFF0000"/>
      <name val="Calibri"/>
      <family val="2"/>
      <scheme val="minor"/>
    </font>
    <font>
      <sz val="9"/>
      <name val="Calibri"/>
      <family val="2"/>
      <scheme val="minor"/>
    </font>
    <font>
      <sz val="10"/>
      <color theme="1"/>
      <name val="Calibri"/>
      <family val="2"/>
      <scheme val="minor"/>
    </font>
    <font>
      <b/>
      <sz val="20"/>
      <color theme="0"/>
      <name val="Calibri"/>
      <family val="2"/>
      <scheme val="minor"/>
    </font>
  </fonts>
  <fills count="20">
    <fill>
      <patternFill patternType="none"/>
    </fill>
    <fill>
      <patternFill patternType="gray125"/>
    </fill>
    <fill>
      <gradientFill degree="270">
        <stop position="0">
          <color theme="0"/>
        </stop>
        <stop position="1">
          <color theme="9" tint="-0.25098422193060094"/>
        </stop>
      </gradientFill>
    </fill>
    <fill>
      <gradientFill degree="270">
        <stop position="0">
          <color theme="0"/>
        </stop>
        <stop position="1">
          <color theme="7" tint="-0.25098422193060094"/>
        </stop>
      </gradientFill>
    </fill>
    <fill>
      <gradientFill degree="270">
        <stop position="0">
          <color theme="0"/>
        </stop>
        <stop position="1">
          <color rgb="FF66FF33"/>
        </stop>
      </gradientFill>
    </fill>
    <fill>
      <gradientFill degree="270">
        <stop position="0">
          <color theme="0"/>
        </stop>
        <stop position="1">
          <color theme="1" tint="0.49803155613879818"/>
        </stop>
      </gradientFill>
    </fill>
    <fill>
      <gradientFill degree="270">
        <stop position="0">
          <color theme="0"/>
        </stop>
        <stop position="1">
          <color rgb="FFFFFF66"/>
        </stop>
      </gradientFill>
    </fill>
    <fill>
      <gradientFill degree="270">
        <stop position="0">
          <color theme="0"/>
        </stop>
        <stop position="1">
          <color theme="2" tint="-0.74901577806939912"/>
        </stop>
      </gradientFill>
    </fill>
    <fill>
      <gradientFill degree="270">
        <stop position="0">
          <color theme="0"/>
        </stop>
        <stop position="1">
          <color theme="4" tint="0.40000610370189521"/>
        </stop>
      </gradientFill>
    </fill>
    <fill>
      <gradientFill degree="270">
        <stop position="0">
          <color theme="0"/>
        </stop>
        <stop position="1">
          <color theme="9" tint="-0.49803155613879818"/>
        </stop>
      </gradientFill>
    </fill>
    <fill>
      <patternFill patternType="solid">
        <fgColor theme="0" tint="-0.14999847407452621"/>
        <bgColor indexed="64"/>
      </patternFill>
    </fill>
    <fill>
      <gradientFill degree="90">
        <stop position="0">
          <color theme="0"/>
        </stop>
        <stop position="1">
          <color theme="5" tint="0.40000610370189521"/>
        </stop>
      </gradientFill>
    </fill>
    <fill>
      <gradientFill degree="90">
        <stop position="0">
          <color theme="0"/>
        </stop>
        <stop position="0.5">
          <color theme="2" tint="-0.25098422193060094"/>
        </stop>
        <stop position="1">
          <color theme="0"/>
        </stop>
      </gradientFill>
    </fill>
    <fill>
      <gradientFill type="path" left="0.5" right="0.5" top="0.5" bottom="0.5">
        <stop position="0">
          <color theme="0"/>
        </stop>
        <stop position="1">
          <color theme="7" tint="-0.25098422193060094"/>
        </stop>
      </gradientFill>
    </fill>
    <fill>
      <patternFill patternType="solid">
        <fgColor theme="4" tint="-0.249977111117893"/>
        <bgColor theme="4" tint="-0.249977111117893"/>
      </patternFill>
    </fill>
    <fill>
      <gradientFill degree="90">
        <stop position="0">
          <color theme="0"/>
        </stop>
        <stop position="0.5">
          <color theme="4" tint="0.40000610370189521"/>
        </stop>
        <stop position="1">
          <color theme="0"/>
        </stop>
      </gradientFill>
    </fill>
    <fill>
      <gradientFill degree="90">
        <stop position="0">
          <color theme="0"/>
        </stop>
        <stop position="0.5">
          <color theme="8" tint="0.40000610370189521"/>
        </stop>
        <stop position="1">
          <color theme="0"/>
        </stop>
      </gradientFill>
    </fill>
    <fill>
      <gradientFill degree="90">
        <stop position="0">
          <color theme="4" tint="0.40000610370189521"/>
        </stop>
        <stop position="0.5">
          <color theme="0"/>
        </stop>
        <stop position="1">
          <color theme="4" tint="0.40000610370189521"/>
        </stop>
      </gradientFill>
    </fill>
    <fill>
      <gradientFill degree="180">
        <stop position="0">
          <color theme="4" tint="0.40000610370189521"/>
        </stop>
        <stop position="1">
          <color theme="0"/>
        </stop>
      </gradientFill>
    </fill>
    <fill>
      <gradientFill>
        <stop position="0">
          <color theme="0"/>
        </stop>
        <stop position="1">
          <color theme="4" tint="0.40000610370189521"/>
        </stop>
      </gradientFill>
    </fill>
  </fills>
  <borders count="13">
    <border>
      <left/>
      <right/>
      <top/>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medium">
        <color theme="0"/>
      </bottom>
      <diagonal/>
    </border>
  </borders>
  <cellStyleXfs count="3">
    <xf numFmtId="0" fontId="0" fillId="0" borderId="0"/>
    <xf numFmtId="166" fontId="1" fillId="0" borderId="0" applyFont="0" applyFill="0" applyBorder="0" applyAlignment="0" applyProtection="0"/>
    <xf numFmtId="165" fontId="1" fillId="0" borderId="0" applyFont="0" applyFill="0" applyBorder="0" applyAlignment="0" applyProtection="0"/>
  </cellStyleXfs>
  <cellXfs count="183">
    <xf numFmtId="0" fontId="0" fillId="0" borderId="0" xfId="0"/>
    <xf numFmtId="168" fontId="0" fillId="0" borderId="0" xfId="0" applyNumberFormat="1"/>
    <xf numFmtId="0" fontId="0" fillId="0" borderId="0" xfId="0" pivotButton="1"/>
    <xf numFmtId="0" fontId="0" fillId="0" borderId="0" xfId="0" applyAlignment="1">
      <alignment horizontal="left"/>
    </xf>
    <xf numFmtId="0" fontId="4" fillId="0" borderId="0" xfId="0" applyFont="1" applyAlignment="1">
      <alignment vertical="center"/>
    </xf>
    <xf numFmtId="0" fontId="4" fillId="0" borderId="0" xfId="0" applyFont="1"/>
    <xf numFmtId="0" fontId="4" fillId="0" borderId="0" xfId="0" applyFont="1" applyAlignment="1">
      <alignment horizontal="center"/>
    </xf>
    <xf numFmtId="166" fontId="2" fillId="0" borderId="0" xfId="1" applyFont="1" applyBorder="1" applyAlignment="1">
      <alignment vertical="top" wrapText="1"/>
    </xf>
    <xf numFmtId="0" fontId="5" fillId="0" borderId="0" xfId="0" applyFont="1"/>
    <xf numFmtId="0" fontId="8" fillId="0" borderId="0" xfId="0" applyFont="1"/>
    <xf numFmtId="0" fontId="8" fillId="0" borderId="0" xfId="0" pivotButton="1" applyFont="1"/>
    <xf numFmtId="0" fontId="8" fillId="0" borderId="0" xfId="0" applyFont="1" applyAlignment="1">
      <alignment horizontal="left"/>
    </xf>
    <xf numFmtId="168" fontId="8" fillId="0" borderId="0" xfId="0" applyNumberFormat="1" applyFont="1"/>
    <xf numFmtId="0" fontId="3" fillId="3" borderId="1" xfId="0" applyFont="1" applyFill="1" applyBorder="1" applyAlignment="1">
      <alignment horizontal="center" vertical="top"/>
    </xf>
    <xf numFmtId="0" fontId="8" fillId="0" borderId="0" xfId="0" applyFont="1" applyAlignment="1">
      <alignment horizontal="center"/>
    </xf>
    <xf numFmtId="0" fontId="3" fillId="5" borderId="1" xfId="0" applyFont="1" applyFill="1" applyBorder="1" applyAlignment="1">
      <alignment horizontal="center" vertical="center"/>
    </xf>
    <xf numFmtId="0" fontId="9" fillId="0" borderId="0" xfId="0" pivotButton="1" applyFont="1"/>
    <xf numFmtId="0" fontId="8" fillId="0" borderId="0" xfId="0" pivotButton="1" applyFont="1" applyAlignment="1">
      <alignment horizontal="center"/>
    </xf>
    <xf numFmtId="0" fontId="4" fillId="0" borderId="0" xfId="0" applyFont="1" applyFill="1"/>
    <xf numFmtId="0" fontId="11" fillId="0" borderId="0" xfId="0" applyFont="1" applyFill="1"/>
    <xf numFmtId="166" fontId="7" fillId="0" borderId="0" xfId="1" applyFont="1" applyFill="1" applyAlignment="1">
      <alignment horizontal="right"/>
    </xf>
    <xf numFmtId="0" fontId="12" fillId="0" borderId="0" xfId="0" applyFont="1" applyFill="1" applyAlignment="1">
      <alignment horizontal="center"/>
    </xf>
    <xf numFmtId="0" fontId="3" fillId="6" borderId="1" xfId="0" applyNumberFormat="1" applyFont="1" applyFill="1" applyBorder="1" applyAlignment="1">
      <alignment horizontal="center" vertical="top"/>
    </xf>
    <xf numFmtId="0" fontId="1" fillId="0" borderId="0" xfId="1" applyNumberFormat="1" applyFont="1" applyAlignment="1">
      <alignment horizontal="left" vertical="center"/>
    </xf>
    <xf numFmtId="0" fontId="0" fillId="0" borderId="0" xfId="0" pivotButton="1" applyFont="1"/>
    <xf numFmtId="0" fontId="2" fillId="0" borderId="0" xfId="0" applyFont="1" applyAlignment="1">
      <alignment horizontal="left" indent="1"/>
    </xf>
    <xf numFmtId="0" fontId="0" fillId="0" borderId="0" xfId="0" applyFont="1"/>
    <xf numFmtId="0" fontId="0" fillId="0" borderId="0" xfId="0" pivotButton="1" applyFont="1" applyAlignment="1">
      <alignment horizontal="right"/>
    </xf>
    <xf numFmtId="169" fontId="0" fillId="0" borderId="0" xfId="0" applyNumberFormat="1" applyFont="1" applyAlignment="1">
      <alignment horizontal="center"/>
    </xf>
    <xf numFmtId="0" fontId="2" fillId="0" borderId="0" xfId="0" applyFont="1" applyAlignment="1">
      <alignment horizontal="left"/>
    </xf>
    <xf numFmtId="168" fontId="0" fillId="0" borderId="0" xfId="0" applyNumberFormat="1" applyFont="1"/>
    <xf numFmtId="0" fontId="2" fillId="0" borderId="0" xfId="0" applyFont="1" applyAlignment="1">
      <alignment horizontal="left" indent="2"/>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10" fillId="7" borderId="1" xfId="0" applyFont="1" applyFill="1" applyBorder="1" applyAlignment="1">
      <alignment horizontal="center" vertical="top"/>
    </xf>
    <xf numFmtId="0" fontId="3" fillId="8" borderId="1" xfId="0" applyFont="1" applyFill="1" applyBorder="1" applyAlignment="1">
      <alignment horizontal="center" vertical="center"/>
    </xf>
    <xf numFmtId="0" fontId="8" fillId="0" borderId="0" xfId="0" quotePrefix="1" applyFont="1"/>
    <xf numFmtId="0" fontId="4" fillId="0" borderId="0" xfId="1" applyNumberFormat="1" applyFont="1" applyAlignment="1">
      <alignment horizontal="left" vertical="center"/>
    </xf>
    <xf numFmtId="0" fontId="13" fillId="0" borderId="0" xfId="0" applyFont="1"/>
    <xf numFmtId="0" fontId="13" fillId="0" borderId="0" xfId="0" applyFont="1" applyAlignment="1">
      <alignment horizontal="left"/>
    </xf>
    <xf numFmtId="0" fontId="10" fillId="2" borderId="1" xfId="0" applyFont="1" applyFill="1" applyBorder="1" applyAlignment="1">
      <alignment horizontal="center" vertical="top"/>
    </xf>
    <xf numFmtId="0" fontId="4" fillId="0" borderId="0" xfId="0" applyFont="1" applyAlignment="1">
      <alignment horizontal="left"/>
    </xf>
    <xf numFmtId="0" fontId="9" fillId="0" borderId="0" xfId="0" applyFont="1"/>
    <xf numFmtId="0" fontId="0" fillId="0" borderId="0" xfId="0" applyFont="1" applyAlignment="1">
      <alignment horizontal="center"/>
    </xf>
    <xf numFmtId="168" fontId="0" fillId="0" borderId="0" xfId="1" applyNumberFormat="1" applyFont="1"/>
    <xf numFmtId="169" fontId="0" fillId="0" borderId="0" xfId="0" applyNumberFormat="1" applyFont="1"/>
    <xf numFmtId="0" fontId="0" fillId="0" borderId="0" xfId="0" pivotButton="1" applyAlignment="1">
      <alignment vertical="center"/>
    </xf>
    <xf numFmtId="0" fontId="0" fillId="0" borderId="0" xfId="0" applyAlignment="1">
      <alignment horizontal="center" vertical="center"/>
    </xf>
    <xf numFmtId="168" fontId="0" fillId="0" borderId="0" xfId="1" applyNumberFormat="1" applyFont="1" applyAlignment="1">
      <alignment vertical="center"/>
    </xf>
    <xf numFmtId="0" fontId="0" fillId="0" borderId="0" xfId="0" applyAlignment="1">
      <alignment vertical="center"/>
    </xf>
    <xf numFmtId="0" fontId="3" fillId="4" borderId="2" xfId="0" applyFont="1" applyFill="1" applyBorder="1" applyAlignment="1">
      <alignment horizontal="center" vertical="center"/>
    </xf>
    <xf numFmtId="166" fontId="4" fillId="0" borderId="0" xfId="1" applyFont="1"/>
    <xf numFmtId="167" fontId="0" fillId="0" borderId="0" xfId="0" applyNumberFormat="1" applyFont="1" applyAlignment="1">
      <alignment horizontal="left"/>
    </xf>
    <xf numFmtId="0" fontId="3" fillId="11" borderId="1" xfId="0" applyFont="1" applyFill="1" applyBorder="1" applyAlignment="1">
      <alignment horizontal="center" vertical="top"/>
    </xf>
    <xf numFmtId="0" fontId="0" fillId="0" borderId="5" xfId="0" applyBorder="1"/>
    <xf numFmtId="0" fontId="0" fillId="0" borderId="6" xfId="0" applyBorder="1"/>
    <xf numFmtId="0" fontId="0" fillId="0" borderId="7" xfId="0" applyBorder="1"/>
    <xf numFmtId="0" fontId="0" fillId="0" borderId="8" xfId="0" applyBorder="1"/>
    <xf numFmtId="0" fontId="0" fillId="0" borderId="5" xfId="0" applyFill="1" applyBorder="1"/>
    <xf numFmtId="169" fontId="0" fillId="0" borderId="0" xfId="0" applyNumberFormat="1" applyAlignment="1">
      <alignment horizontal="left"/>
    </xf>
    <xf numFmtId="166" fontId="0" fillId="0" borderId="0" xfId="1" applyFont="1"/>
    <xf numFmtId="0" fontId="2" fillId="12" borderId="0" xfId="0" applyFont="1" applyFill="1" applyAlignment="1">
      <alignment horizontal="right" vertical="center"/>
    </xf>
    <xf numFmtId="168" fontId="2" fillId="12" borderId="0" xfId="1" applyNumberFormat="1" applyFont="1" applyFill="1" applyAlignment="1">
      <alignment vertical="center"/>
    </xf>
    <xf numFmtId="0" fontId="0" fillId="0" borderId="0" xfId="0" applyAlignment="1">
      <alignment horizontal="center"/>
    </xf>
    <xf numFmtId="169" fontId="0" fillId="0" borderId="0" xfId="0" applyNumberFormat="1" applyAlignment="1">
      <alignment horizontal="center"/>
    </xf>
    <xf numFmtId="166" fontId="3" fillId="0" borderId="0" xfId="1" applyFont="1" applyAlignment="1">
      <alignment horizontal="right" vertical="center"/>
    </xf>
    <xf numFmtId="166" fontId="3" fillId="0" borderId="0" xfId="1" applyFont="1" applyAlignment="1">
      <alignment vertical="center"/>
    </xf>
    <xf numFmtId="166" fontId="3" fillId="0" borderId="0" xfId="1" applyFont="1" applyFill="1" applyAlignment="1">
      <alignment horizontal="right" vertical="center"/>
    </xf>
    <xf numFmtId="166" fontId="3" fillId="0" borderId="0" xfId="1" applyFont="1" applyFill="1" applyAlignment="1">
      <alignment vertical="center"/>
    </xf>
    <xf numFmtId="0" fontId="15" fillId="0" borderId="0" xfId="0" applyFont="1"/>
    <xf numFmtId="166" fontId="15" fillId="0" borderId="0" xfId="1" applyFont="1"/>
    <xf numFmtId="0" fontId="16" fillId="0" borderId="0" xfId="0" applyFont="1"/>
    <xf numFmtId="0" fontId="16" fillId="0" borderId="0" xfId="0" pivotButton="1" applyFont="1"/>
    <xf numFmtId="0" fontId="18" fillId="0" borderId="0" xfId="0" applyFont="1"/>
    <xf numFmtId="0" fontId="16" fillId="0" borderId="0" xfId="0" pivotButton="1" applyFont="1" applyAlignment="1">
      <alignment horizontal="left"/>
    </xf>
    <xf numFmtId="169" fontId="16" fillId="0" borderId="0" xfId="0" applyNumberFormat="1" applyFont="1" applyAlignment="1">
      <alignment horizontal="center"/>
    </xf>
    <xf numFmtId="0" fontId="16" fillId="0" borderId="0" xfId="0" applyFont="1" applyAlignment="1">
      <alignment horizontal="center"/>
    </xf>
    <xf numFmtId="0" fontId="16" fillId="0" borderId="0" xfId="0" applyFont="1" applyAlignment="1">
      <alignment horizontal="left"/>
    </xf>
    <xf numFmtId="168" fontId="16" fillId="0" borderId="0" xfId="0" applyNumberFormat="1" applyFont="1"/>
    <xf numFmtId="168" fontId="19" fillId="0" borderId="0" xfId="0" applyNumberFormat="1" applyFont="1"/>
    <xf numFmtId="169" fontId="16" fillId="0" borderId="0" xfId="0" applyNumberFormat="1" applyFont="1" applyAlignment="1">
      <alignment horizontal="left"/>
    </xf>
    <xf numFmtId="170" fontId="1" fillId="0" borderId="0" xfId="1" applyNumberFormat="1" applyFont="1" applyAlignment="1">
      <alignment horizontal="center" vertical="center"/>
    </xf>
    <xf numFmtId="167" fontId="1" fillId="0" borderId="0" xfId="1" applyNumberFormat="1" applyFont="1" applyAlignment="1">
      <alignment horizontal="center" vertical="center"/>
    </xf>
    <xf numFmtId="168" fontId="1" fillId="0" borderId="0" xfId="2" applyNumberFormat="1" applyFont="1" applyAlignment="1">
      <alignment vertical="center"/>
    </xf>
    <xf numFmtId="0" fontId="4" fillId="0" borderId="0" xfId="1" applyNumberFormat="1" applyFont="1" applyAlignment="1">
      <alignment vertical="center"/>
    </xf>
    <xf numFmtId="0" fontId="1" fillId="0" borderId="0" xfId="1" applyNumberFormat="1" applyFont="1" applyAlignment="1">
      <alignment horizontal="center" vertical="center"/>
    </xf>
    <xf numFmtId="169" fontId="1" fillId="0" borderId="0" xfId="1" applyNumberFormat="1" applyFont="1" applyAlignment="1">
      <alignment horizontal="center" vertical="center"/>
    </xf>
    <xf numFmtId="166" fontId="1" fillId="0" borderId="0" xfId="1" applyFont="1" applyAlignment="1">
      <alignment horizontal="center" vertical="center"/>
    </xf>
    <xf numFmtId="169" fontId="1" fillId="0" borderId="0" xfId="1" applyNumberFormat="1" applyFont="1" applyAlignment="1">
      <alignment horizontal="left" vertical="center"/>
    </xf>
    <xf numFmtId="166" fontId="1" fillId="0" borderId="0" xfId="1" applyFont="1" applyAlignment="1">
      <alignment vertical="center"/>
    </xf>
    <xf numFmtId="0" fontId="1" fillId="0" borderId="0" xfId="1" applyNumberFormat="1" applyFont="1" applyAlignment="1">
      <alignment vertical="center"/>
    </xf>
    <xf numFmtId="0" fontId="16" fillId="0" borderId="0" xfId="0" applyFont="1" applyAlignment="1">
      <alignment horizontal="left" indent="3"/>
    </xf>
    <xf numFmtId="0" fontId="19" fillId="0" borderId="0" xfId="0" applyFont="1" applyAlignment="1">
      <alignment horizontal="left" indent="3"/>
    </xf>
    <xf numFmtId="0" fontId="0" fillId="0" borderId="0" xfId="0" applyFill="1"/>
    <xf numFmtId="0" fontId="2" fillId="0" borderId="0" xfId="0" applyFont="1" applyFill="1" applyAlignment="1">
      <alignment horizontal="right" vertical="center"/>
    </xf>
    <xf numFmtId="168" fontId="2" fillId="0" borderId="0" xfId="1" applyNumberFormat="1" applyFont="1" applyFill="1" applyAlignment="1">
      <alignment vertical="center"/>
    </xf>
    <xf numFmtId="0" fontId="3" fillId="4" borderId="2" xfId="0" applyFont="1" applyFill="1" applyBorder="1" applyAlignment="1">
      <alignment horizontal="center" vertical="center" wrapText="1"/>
    </xf>
    <xf numFmtId="170" fontId="10" fillId="9" borderId="2" xfId="1" applyNumberFormat="1" applyFont="1" applyFill="1" applyBorder="1" applyAlignment="1">
      <alignment horizontal="center" vertical="top" wrapText="1"/>
    </xf>
    <xf numFmtId="167" fontId="10" fillId="9" borderId="2" xfId="1" applyNumberFormat="1" applyFont="1" applyFill="1" applyBorder="1" applyAlignment="1">
      <alignment horizontal="center" vertical="top" wrapText="1"/>
    </xf>
    <xf numFmtId="168" fontId="10" fillId="9" borderId="2" xfId="2" applyNumberFormat="1" applyFont="1" applyFill="1" applyBorder="1" applyAlignment="1">
      <alignment horizontal="center" vertical="top" wrapText="1"/>
    </xf>
    <xf numFmtId="0" fontId="10" fillId="9" borderId="2" xfId="1" applyNumberFormat="1" applyFont="1" applyFill="1" applyBorder="1" applyAlignment="1">
      <alignment horizontal="center" vertical="top" wrapText="1"/>
    </xf>
    <xf numFmtId="169" fontId="10" fillId="9" borderId="2" xfId="1" applyNumberFormat="1" applyFont="1" applyFill="1" applyBorder="1" applyAlignment="1">
      <alignment horizontal="center" vertical="top" wrapText="1"/>
    </xf>
    <xf numFmtId="166" fontId="10" fillId="9" borderId="2" xfId="1" applyFont="1" applyFill="1" applyBorder="1" applyAlignment="1">
      <alignment horizontal="center" vertical="top" wrapText="1"/>
    </xf>
    <xf numFmtId="0" fontId="0" fillId="0" borderId="0" xfId="0" applyAlignment="1">
      <alignment horizontal="left" indent="1"/>
    </xf>
    <xf numFmtId="0" fontId="0" fillId="0" borderId="3" xfId="0" applyFill="1" applyBorder="1"/>
    <xf numFmtId="0" fontId="0" fillId="0" borderId="4" xfId="0" applyBorder="1"/>
    <xf numFmtId="0" fontId="0" fillId="0" borderId="7" xfId="0" applyFill="1" applyBorder="1"/>
    <xf numFmtId="0" fontId="0" fillId="0" borderId="0" xfId="0" pivotButton="1" applyAlignment="1">
      <alignment horizontal="center" vertical="center"/>
    </xf>
    <xf numFmtId="0" fontId="5" fillId="0" borderId="0" xfId="0" applyFont="1" applyAlignment="1">
      <alignment vertical="center"/>
    </xf>
    <xf numFmtId="168" fontId="0" fillId="0" borderId="0" xfId="0" applyNumberFormat="1" applyAlignment="1">
      <alignment vertical="center"/>
    </xf>
    <xf numFmtId="166" fontId="0" fillId="0" borderId="0" xfId="1" applyFont="1" applyAlignment="1">
      <alignment vertical="center"/>
    </xf>
    <xf numFmtId="0" fontId="0" fillId="0" borderId="0" xfId="0" applyFill="1" applyAlignment="1">
      <alignment vertical="center"/>
    </xf>
    <xf numFmtId="0" fontId="0" fillId="0" borderId="0" xfId="0" pivotButton="1" applyAlignment="1">
      <alignment horizontal="left" vertical="center"/>
    </xf>
    <xf numFmtId="0" fontId="1" fillId="0" borderId="0" xfId="0" applyFont="1" applyAlignment="1">
      <alignment horizontal="left" vertical="center"/>
    </xf>
    <xf numFmtId="0" fontId="2" fillId="0" borderId="0" xfId="1" applyNumberFormat="1" applyFont="1" applyAlignment="1">
      <alignment horizontal="left" vertical="center"/>
    </xf>
    <xf numFmtId="168" fontId="0" fillId="15" borderId="0" xfId="1" applyNumberFormat="1" applyFont="1" applyFill="1" applyAlignment="1">
      <alignment vertical="center"/>
    </xf>
    <xf numFmtId="14" fontId="2" fillId="15" borderId="0" xfId="0" applyNumberFormat="1" applyFont="1" applyFill="1" applyAlignment="1">
      <alignment horizontal="center" vertical="center"/>
    </xf>
    <xf numFmtId="0" fontId="16" fillId="0" borderId="0" xfId="0" applyFont="1" applyAlignment="1">
      <alignment vertical="center"/>
    </xf>
    <xf numFmtId="0" fontId="16" fillId="0" borderId="2" xfId="0" applyFont="1" applyBorder="1" applyAlignment="1">
      <alignment horizontal="center" vertical="center"/>
    </xf>
    <xf numFmtId="0" fontId="17" fillId="0" borderId="2" xfId="0" applyFont="1" applyBorder="1" applyAlignment="1">
      <alignment horizontal="center" vertical="center"/>
    </xf>
    <xf numFmtId="14" fontId="15" fillId="0" borderId="0" xfId="0" applyNumberFormat="1" applyFont="1" applyFill="1" applyBorder="1" applyAlignment="1">
      <alignment horizontal="left" vertical="center"/>
    </xf>
    <xf numFmtId="166" fontId="0" fillId="0" borderId="0" xfId="0" pivotButton="1" applyNumberFormat="1" applyAlignment="1">
      <alignment horizontal="right"/>
    </xf>
    <xf numFmtId="166" fontId="0" fillId="0" borderId="0" xfId="0" applyNumberFormat="1" applyFill="1" applyAlignment="1">
      <alignment horizontal="right" vertical="center"/>
    </xf>
    <xf numFmtId="170" fontId="25" fillId="0" borderId="0" xfId="1" applyNumberFormat="1" applyFont="1" applyAlignment="1">
      <alignment horizontal="center" vertical="center"/>
    </xf>
    <xf numFmtId="167" fontId="25" fillId="0" borderId="0" xfId="1" applyNumberFormat="1" applyFont="1" applyAlignment="1">
      <alignment horizontal="center" vertical="center"/>
    </xf>
    <xf numFmtId="168" fontId="25" fillId="0" borderId="0" xfId="2" applyNumberFormat="1" applyFont="1" applyAlignment="1">
      <alignment vertical="center"/>
    </xf>
    <xf numFmtId="0" fontId="25" fillId="0" borderId="0" xfId="1" applyNumberFormat="1" applyFont="1" applyFill="1" applyAlignment="1">
      <alignment horizontal="left" vertical="center"/>
    </xf>
    <xf numFmtId="0" fontId="25" fillId="0" borderId="0" xfId="1" applyNumberFormat="1" applyFont="1" applyFill="1" applyAlignment="1">
      <alignment vertical="center"/>
    </xf>
    <xf numFmtId="0" fontId="25" fillId="0" borderId="0" xfId="2" applyNumberFormat="1" applyFont="1" applyFill="1" applyAlignment="1">
      <alignment vertical="center"/>
    </xf>
    <xf numFmtId="0" fontId="25" fillId="0" borderId="0" xfId="1" applyNumberFormat="1" applyFont="1" applyFill="1" applyAlignment="1">
      <alignment horizontal="center" vertical="center"/>
    </xf>
    <xf numFmtId="0" fontId="25" fillId="0" borderId="0" xfId="1" applyNumberFormat="1" applyFont="1" applyAlignment="1">
      <alignment vertical="center"/>
    </xf>
    <xf numFmtId="0" fontId="25" fillId="0" borderId="0" xfId="1" applyNumberFormat="1" applyFont="1" applyAlignment="1">
      <alignment horizontal="left" vertical="center"/>
    </xf>
    <xf numFmtId="0" fontId="25" fillId="0" borderId="0" xfId="1" applyNumberFormat="1" applyFont="1" applyAlignment="1">
      <alignment horizontal="center" vertical="center"/>
    </xf>
    <xf numFmtId="169" fontId="25" fillId="0" borderId="0" xfId="1" applyNumberFormat="1" applyFont="1" applyAlignment="1">
      <alignment horizontal="center" vertical="center"/>
    </xf>
    <xf numFmtId="166" fontId="25" fillId="0" borderId="0" xfId="1" applyFont="1" applyAlignment="1">
      <alignment horizontal="center" vertical="center"/>
    </xf>
    <xf numFmtId="169" fontId="25" fillId="0" borderId="0" xfId="1" applyNumberFormat="1" applyFont="1" applyAlignment="1">
      <alignment horizontal="left" vertical="center"/>
    </xf>
    <xf numFmtId="166" fontId="25" fillId="0" borderId="0" xfId="1" applyFont="1" applyAlignment="1">
      <alignment vertical="center"/>
    </xf>
    <xf numFmtId="168" fontId="10" fillId="9" borderId="2" xfId="1" applyNumberFormat="1" applyFont="1" applyFill="1" applyBorder="1" applyAlignment="1">
      <alignment horizontal="center" vertical="top" wrapText="1"/>
    </xf>
    <xf numFmtId="168" fontId="25" fillId="0" borderId="0" xfId="1" applyNumberFormat="1" applyFont="1" applyAlignment="1">
      <alignment horizontal="right" vertical="center"/>
    </xf>
    <xf numFmtId="168" fontId="1" fillId="0" borderId="0" xfId="1" applyNumberFormat="1" applyFont="1" applyAlignment="1">
      <alignment horizontal="right" vertical="center"/>
    </xf>
    <xf numFmtId="166" fontId="0" fillId="0" borderId="0" xfId="0" pivotButton="1" applyNumberFormat="1" applyFont="1" applyAlignment="1">
      <alignment horizontal="right"/>
    </xf>
    <xf numFmtId="0" fontId="0" fillId="0" borderId="0" xfId="0" applyAlignment="1">
      <alignment horizontal="right"/>
    </xf>
    <xf numFmtId="171" fontId="17" fillId="13" borderId="9" xfId="0" applyNumberFormat="1" applyFont="1" applyFill="1" applyBorder="1" applyAlignment="1">
      <alignment horizontal="center" vertical="center"/>
    </xf>
    <xf numFmtId="171" fontId="17" fillId="13" borderId="10" xfId="0" applyNumberFormat="1" applyFont="1" applyFill="1" applyBorder="1" applyAlignment="1">
      <alignment horizontal="center" vertical="center"/>
    </xf>
    <xf numFmtId="0" fontId="8" fillId="0" borderId="0" xfId="0" pivotButton="1" applyFont="1" applyAlignment="1">
      <alignment horizontal="left"/>
    </xf>
    <xf numFmtId="0" fontId="14" fillId="0" borderId="0" xfId="0" pivotButton="1" applyFont="1" applyAlignment="1">
      <alignment horizontal="left"/>
    </xf>
    <xf numFmtId="0" fontId="26" fillId="0" borderId="0" xfId="0" applyFont="1"/>
    <xf numFmtId="168" fontId="5" fillId="14" borderId="0" xfId="0" applyNumberFormat="1" applyFont="1" applyFill="1" applyBorder="1" applyAlignment="1">
      <alignment horizontal="center" vertical="center"/>
    </xf>
    <xf numFmtId="168" fontId="0" fillId="0" borderId="11" xfId="0" applyNumberFormat="1" applyBorder="1" applyAlignment="1">
      <alignment vertical="center"/>
    </xf>
    <xf numFmtId="0" fontId="15" fillId="0" borderId="0" xfId="0" applyNumberFormat="1" applyFont="1" applyAlignment="1">
      <alignment horizontal="right"/>
    </xf>
    <xf numFmtId="169" fontId="15" fillId="0" borderId="0" xfId="0" applyNumberFormat="1" applyFont="1" applyAlignment="1">
      <alignment horizontal="center"/>
    </xf>
    <xf numFmtId="43" fontId="15" fillId="0" borderId="0" xfId="0" applyNumberFormat="1" applyFont="1"/>
    <xf numFmtId="169" fontId="15" fillId="0" borderId="0" xfId="0" applyNumberFormat="1" applyFont="1"/>
    <xf numFmtId="169" fontId="17" fillId="17" borderId="0" xfId="0" applyNumberFormat="1" applyFont="1" applyFill="1" applyBorder="1" applyAlignment="1" applyProtection="1">
      <alignment horizontal="center" vertical="center"/>
      <protection locked="0"/>
    </xf>
    <xf numFmtId="169" fontId="17" fillId="17" borderId="12" xfId="0" applyNumberFormat="1" applyFont="1" applyFill="1" applyBorder="1" applyAlignment="1" applyProtection="1">
      <alignment horizontal="center" vertical="center"/>
      <protection locked="0"/>
    </xf>
    <xf numFmtId="169" fontId="2" fillId="17" borderId="12" xfId="0" applyNumberFormat="1" applyFont="1" applyFill="1" applyBorder="1" applyAlignment="1" applyProtection="1">
      <alignment horizontal="center" vertical="center"/>
      <protection locked="0"/>
    </xf>
    <xf numFmtId="169" fontId="2" fillId="17" borderId="0" xfId="0" applyNumberFormat="1" applyFont="1" applyFill="1" applyBorder="1" applyAlignment="1" applyProtection="1">
      <alignment horizontal="center" vertical="center"/>
      <protection locked="0"/>
    </xf>
    <xf numFmtId="166" fontId="27" fillId="18" borderId="12" xfId="1" applyFont="1" applyFill="1" applyBorder="1" applyAlignment="1">
      <alignment horizontal="right" vertical="center"/>
    </xf>
    <xf numFmtId="166" fontId="27" fillId="18" borderId="0" xfId="1" applyFont="1" applyFill="1" applyBorder="1" applyAlignment="1">
      <alignment horizontal="right" vertical="center"/>
    </xf>
    <xf numFmtId="169" fontId="8" fillId="0" borderId="0" xfId="0" applyNumberFormat="1" applyFont="1" applyAlignment="1">
      <alignment horizontal="left"/>
    </xf>
    <xf numFmtId="166" fontId="16" fillId="19" borderId="12" xfId="1" applyFont="1" applyFill="1" applyBorder="1" applyAlignment="1">
      <alignment horizontal="right" vertical="center"/>
    </xf>
    <xf numFmtId="166" fontId="16" fillId="19" borderId="0" xfId="1" applyFont="1" applyFill="1" applyBorder="1" applyAlignment="1">
      <alignment horizontal="right" vertical="center"/>
    </xf>
    <xf numFmtId="0" fontId="0" fillId="0" borderId="0" xfId="0" applyBorder="1"/>
    <xf numFmtId="0" fontId="0" fillId="0" borderId="0" xfId="0" applyFont="1" applyBorder="1" applyAlignment="1">
      <alignment horizontal="center"/>
    </xf>
    <xf numFmtId="168" fontId="0" fillId="0" borderId="0" xfId="0" applyNumberFormat="1" applyFont="1" applyBorder="1"/>
    <xf numFmtId="0" fontId="0" fillId="0" borderId="0" xfId="0" applyFont="1" applyBorder="1"/>
    <xf numFmtId="14" fontId="0" fillId="17" borderId="0" xfId="0" applyNumberFormat="1" applyFill="1" applyAlignment="1" applyProtection="1">
      <alignment horizontal="center" vertical="center"/>
      <protection locked="0"/>
    </xf>
    <xf numFmtId="168" fontId="0" fillId="19" borderId="0" xfId="1" applyNumberFormat="1" applyFont="1" applyFill="1" applyAlignment="1">
      <alignment horizontal="right" vertical="center"/>
    </xf>
    <xf numFmtId="168" fontId="0" fillId="19" borderId="12" xfId="1" applyNumberFormat="1" applyFont="1" applyFill="1" applyBorder="1" applyAlignment="1">
      <alignment horizontal="right" vertical="center"/>
    </xf>
    <xf numFmtId="14" fontId="0" fillId="17" borderId="12" xfId="0" applyNumberFormat="1" applyFill="1" applyBorder="1" applyAlignment="1" applyProtection="1">
      <alignment horizontal="center" vertical="center"/>
      <protection locked="0"/>
    </xf>
    <xf numFmtId="0" fontId="4" fillId="0" borderId="2" xfId="0" applyFont="1" applyBorder="1" applyAlignment="1">
      <alignment horizontal="center"/>
    </xf>
    <xf numFmtId="0" fontId="4" fillId="0" borderId="2" xfId="0" applyFont="1" applyBorder="1"/>
    <xf numFmtId="0" fontId="28" fillId="16" borderId="0" xfId="0" applyFont="1" applyFill="1" applyAlignment="1">
      <alignment horizontal="center" vertical="center"/>
    </xf>
    <xf numFmtId="166" fontId="2" fillId="0" borderId="0" xfId="1" applyFont="1" applyAlignment="1">
      <alignment horizontal="right" vertical="center"/>
    </xf>
    <xf numFmtId="164" fontId="17" fillId="13" borderId="2" xfId="2" applyNumberFormat="1" applyFont="1" applyFill="1" applyBorder="1" applyAlignment="1">
      <alignment horizontal="center" vertical="center"/>
    </xf>
    <xf numFmtId="172" fontId="17" fillId="17" borderId="2" xfId="0" applyNumberFormat="1" applyFont="1" applyFill="1" applyBorder="1" applyAlignment="1" applyProtection="1">
      <alignment horizontal="center" vertical="center"/>
      <protection locked="0"/>
    </xf>
    <xf numFmtId="0" fontId="17" fillId="0" borderId="2" xfId="0" applyFont="1" applyBorder="1" applyAlignment="1">
      <alignment horizontal="center" vertical="center"/>
    </xf>
    <xf numFmtId="0" fontId="2" fillId="10" borderId="0" xfId="0" applyFont="1" applyFill="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168" fontId="2" fillId="0" borderId="0" xfId="0" applyNumberFormat="1" applyFont="1" applyAlignment="1">
      <alignment horizontal="center"/>
    </xf>
    <xf numFmtId="0" fontId="20" fillId="0" borderId="0" xfId="0" applyFont="1" applyAlignment="1">
      <alignment horizontal="center"/>
    </xf>
  </cellXfs>
  <cellStyles count="3">
    <cellStyle name="Moeda" xfId="2" builtinId="4"/>
    <cellStyle name="Normal" xfId="0" builtinId="0"/>
    <cellStyle name="Vírgula" xfId="1" builtinId="3"/>
  </cellStyles>
  <dxfs count="187">
    <dxf>
      <numFmt numFmtId="168" formatCode="#,##0.00_ ;[Red]\-#,##0.00\ "/>
    </dxf>
    <dxf>
      <font>
        <u/>
      </font>
    </dxf>
    <dxf>
      <numFmt numFmtId="168" formatCode="#,##0.00_ ;[Red]\-#,##0.00\ "/>
    </dxf>
    <dxf>
      <font>
        <u/>
      </font>
    </dxf>
    <dxf>
      <border>
        <left/>
        <right/>
      </border>
    </dxf>
    <dxf>
      <border>
        <left/>
        <right/>
      </border>
    </dxf>
    <dxf>
      <border>
        <left/>
        <right/>
      </border>
    </dxf>
    <dxf>
      <alignment horizontal="center"/>
    </dxf>
    <dxf>
      <alignment horizontal="center"/>
    </dxf>
    <dxf>
      <alignment horizontal="center"/>
    </dxf>
    <dxf>
      <numFmt numFmtId="168" formatCode="#,##0.00_ ;[Red]\-#,##0.00\ "/>
    </dxf>
    <dxf>
      <alignment horizontal="center"/>
    </dxf>
    <dxf>
      <numFmt numFmtId="168" formatCode="#,##0.00_ ;[Red]\-#,##0.00\ "/>
    </dxf>
    <dxf>
      <font>
        <sz val="11"/>
      </font>
    </dxf>
    <dxf>
      <alignment horizontal="right" readingOrder="0"/>
    </dxf>
    <dxf>
      <font>
        <sz val="8"/>
      </font>
    </dxf>
    <dxf>
      <font>
        <u/>
      </font>
    </dxf>
    <dxf>
      <font>
        <sz val="8"/>
      </font>
    </dxf>
    <dxf>
      <font>
        <sz val="8"/>
      </font>
    </dxf>
    <dxf>
      <font>
        <sz val="8"/>
      </font>
    </dxf>
    <dxf>
      <font>
        <sz val="8"/>
      </font>
    </dxf>
    <dxf>
      <font>
        <sz val="8"/>
      </font>
    </dxf>
    <dxf>
      <font>
        <sz val="8"/>
      </font>
    </dxf>
    <dxf>
      <font>
        <sz val="8"/>
      </font>
    </dxf>
    <dxf>
      <numFmt numFmtId="168" formatCode="#,##0.00_ ;[Red]\-#,##0.00\ "/>
    </dxf>
    <dxf>
      <font>
        <sz val="8"/>
      </font>
    </dxf>
    <dxf>
      <numFmt numFmtId="168" formatCode="#,##0.00_ ;[Red]\-#,##0.00\ "/>
    </dxf>
    <dxf>
      <font>
        <sz val="8"/>
      </font>
    </dxf>
    <dxf>
      <font>
        <sz val="8"/>
      </font>
    </dxf>
    <dxf>
      <font>
        <sz val="8"/>
      </font>
    </dxf>
    <dxf>
      <font>
        <sz val="8"/>
      </font>
    </dxf>
    <dxf>
      <font>
        <sz val="8"/>
      </font>
    </dxf>
    <dxf>
      <font>
        <sz val="8"/>
      </font>
    </dxf>
    <dxf>
      <font>
        <sz val="8"/>
      </font>
    </dxf>
    <dxf>
      <numFmt numFmtId="168" formatCode="#,##0.00_ ;[Red]\-#,##0.00\ "/>
    </dxf>
    <dxf>
      <font>
        <sz val="8"/>
      </font>
    </dxf>
    <dxf>
      <numFmt numFmtId="168" formatCode="#,##0.00_ ;[Red]\-#,##0.00\ "/>
    </dxf>
    <dxf>
      <font>
        <sz val="8"/>
      </font>
    </dxf>
    <dxf>
      <numFmt numFmtId="168" formatCode="#,##0.00_ ;[Red]\-#,##0.00\ "/>
    </dxf>
    <dxf>
      <font>
        <sz val="8"/>
      </font>
    </dxf>
    <dxf>
      <font>
        <sz val="8"/>
      </font>
    </dxf>
    <dxf>
      <font>
        <sz val="8"/>
      </font>
    </dxf>
    <dxf>
      <font>
        <sz val="8"/>
      </font>
    </dxf>
    <dxf>
      <font>
        <sz val="8"/>
      </font>
    </dxf>
    <dxf>
      <font>
        <sz val="8"/>
      </font>
    </dxf>
    <dxf>
      <font>
        <sz val="8"/>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alignment horizontal="left"/>
    </dxf>
    <dxf>
      <font>
        <sz val="8"/>
      </font>
    </dxf>
    <dxf>
      <font>
        <sz val="8"/>
      </font>
    </dxf>
    <dxf>
      <alignment horizontal="center"/>
    </dxf>
    <dxf>
      <alignment horizontal="center"/>
    </dxf>
    <dxf>
      <alignment horizontal="center"/>
    </dxf>
    <dxf>
      <font>
        <color theme="0" tint="-0.499984740745262"/>
      </font>
    </dxf>
    <dxf>
      <font>
        <i/>
      </font>
    </dxf>
    <dxf>
      <numFmt numFmtId="168" formatCode="#,##0.00_ ;[Red]\-#,##0.00\ "/>
    </dxf>
    <dxf>
      <numFmt numFmtId="168" formatCode="#,##0.00_ ;[Red]\-#,##0.00\ "/>
    </dxf>
    <dxf>
      <font>
        <u/>
      </font>
    </dxf>
    <dxf>
      <numFmt numFmtId="166" formatCode="_(* #,##0.00_);_(* \(#,##0.00\);_(* &quot;-&quot;??_);_(@_)"/>
    </dxf>
    <dxf>
      <alignment horizontal="right"/>
    </dxf>
    <dxf>
      <alignment vertical="center"/>
    </dxf>
    <dxf>
      <alignment vertical="center"/>
    </dxf>
    <dxf>
      <alignment vertical="center"/>
    </dxf>
    <dxf>
      <alignment horizontal="center"/>
    </dxf>
    <dxf>
      <font>
        <b/>
      </font>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alignment vertical="center"/>
    </dxf>
    <dxf>
      <alignment vertical="center"/>
    </dxf>
    <dxf>
      <alignment horizontal="center"/>
    </dxf>
    <dxf>
      <font>
        <sz val="9"/>
      </font>
    </dxf>
    <dxf>
      <font>
        <sz val="9"/>
      </font>
    </dxf>
    <dxf>
      <font>
        <sz val="9"/>
      </font>
    </dxf>
    <dxf>
      <font>
        <sz val="9"/>
      </font>
    </dxf>
    <dxf>
      <font>
        <sz val="9"/>
      </font>
    </dxf>
    <dxf>
      <font>
        <sz val="9"/>
      </font>
    </dxf>
    <dxf>
      <numFmt numFmtId="168" formatCode="#,##0.00_ ;[Red]\-#,##0.00\ "/>
    </dxf>
    <dxf>
      <font>
        <u/>
      </font>
    </dxf>
    <dxf>
      <alignment horizontal="center"/>
    </dxf>
    <dxf>
      <alignment horizontal="center"/>
    </dxf>
    <dxf>
      <numFmt numFmtId="168" formatCode="#,##0.00_ ;[Red]\-#,##0.00\ "/>
    </dxf>
    <dxf>
      <font>
        <u/>
      </font>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alignment horizontal="left"/>
    </dxf>
    <dxf>
      <alignment horizontal="left"/>
    </dxf>
    <dxf>
      <alignment horizontal="left"/>
    </dxf>
    <dxf>
      <numFmt numFmtId="168" formatCode="#,##0.00_ ;[Red]\-#,##0.00\ "/>
    </dxf>
    <dxf>
      <alignment horizontal="center"/>
    </dxf>
    <dxf>
      <alignment horizontal="right"/>
    </dxf>
    <dxf>
      <alignment horizontal="center"/>
    </dxf>
    <dxf>
      <alignment horizontal="center"/>
    </dxf>
    <dxf>
      <alignment horizontal="center"/>
    </dxf>
    <dxf>
      <font>
        <u/>
      </font>
    </dxf>
    <dxf>
      <font>
        <sz val="8"/>
      </font>
    </dxf>
    <dxf>
      <font>
        <sz val="8"/>
      </font>
    </dxf>
    <dxf>
      <font>
        <sz val="8"/>
      </font>
    </dxf>
    <dxf>
      <font>
        <sz val="8"/>
      </font>
    </dxf>
    <dxf>
      <font>
        <sz val="8"/>
      </font>
    </dxf>
    <dxf>
      <font>
        <sz val="8"/>
      </font>
    </dxf>
    <dxf>
      <font>
        <sz val="8"/>
      </font>
    </dxf>
    <dxf>
      <numFmt numFmtId="168" formatCode="#,##0.00_ ;[Red]\-#,##0.00\ "/>
    </dxf>
    <dxf>
      <font>
        <sz val="11"/>
      </font>
    </dxf>
    <dxf>
      <alignment horizontal="right" readingOrder="0"/>
    </dxf>
    <dxf>
      <font>
        <sz val="8"/>
      </font>
    </dxf>
    <dxf>
      <alignment horizontal="center" readingOrder="0"/>
    </dxf>
    <dxf>
      <font>
        <u/>
      </font>
    </dxf>
    <dxf>
      <alignment horizontal="center"/>
    </dxf>
    <dxf>
      <font>
        <b/>
      </font>
    </dxf>
    <dxf>
      <font>
        <sz val="8"/>
      </font>
    </dxf>
    <dxf>
      <numFmt numFmtId="166" formatCode="_(* #,##0.00_);_(* \(#,##0.00\);_(* &quot;-&quot;??_);_(@_)"/>
    </dxf>
    <dxf>
      <alignment horizontal="right"/>
    </dxf>
    <dxf>
      <alignment horizontal="right"/>
    </dxf>
    <dxf>
      <numFmt numFmtId="168" formatCode="#,##0.00_ ;[Red]\-#,##0.00\ "/>
    </dxf>
    <dxf>
      <font>
        <sz val="11"/>
      </font>
    </dxf>
    <dxf>
      <alignment horizontal="right" readingOrder="0"/>
    </dxf>
    <dxf>
      <font>
        <sz val="8"/>
      </font>
    </dxf>
    <dxf>
      <alignment horizontal="center" readingOrder="0"/>
    </dxf>
    <dxf>
      <font>
        <u/>
      </font>
    </dxf>
    <dxf>
      <font>
        <sz val="8"/>
      </font>
    </dxf>
    <dxf>
      <font>
        <sz val="8"/>
      </font>
    </dxf>
    <dxf>
      <font>
        <sz val="8"/>
      </font>
    </dxf>
    <dxf>
      <font>
        <sz val="8"/>
      </font>
    </dxf>
    <dxf>
      <font>
        <sz val="8"/>
      </font>
    </dxf>
    <dxf>
      <font>
        <sz val="8"/>
      </font>
    </dxf>
    <dxf>
      <font>
        <sz val="8"/>
      </font>
    </dxf>
    <dxf>
      <alignment vertical="center"/>
    </dxf>
    <dxf>
      <alignment vertical="center"/>
    </dxf>
    <dxf>
      <alignment horizontal="cent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MySqlDefault" pivot="0" table="0" count="0" xr9:uid="{00000000-0011-0000-FFFF-FFFF00000000}"/>
  </tableStyles>
  <colors>
    <mruColors>
      <color rgb="FF3260F2"/>
      <color rgb="FF48AFB2"/>
      <color rgb="FF388A8C"/>
      <color rgb="FFCC3300"/>
      <color rgb="FFFFFF66"/>
      <color rgb="FF990033"/>
      <color rgb="FFC1D02E"/>
      <color rgb="FF759F79"/>
      <color rgb="FFCFD24A"/>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07/relationships/slicerCache" Target="slicerCaches/slicerCache1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pt-BR" sz="900" b="1"/>
              <a:t>RESULTADO</a:t>
            </a:r>
            <a:r>
              <a:rPr lang="pt-BR" sz="900" b="1" baseline="0"/>
              <a:t> ACUMULADO - REGIME DE CAIXA</a:t>
            </a:r>
            <a:endParaRPr lang="pt-BR"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[0]!ResultadoPeriodoGrafico</c:f>
              <c:numCache>
                <c:formatCode>[$-416]mmm\-yy;@</c:formatCode>
                <c:ptCount val="12"/>
                <c:pt idx="0">
                  <c:v>43434</c:v>
                </c:pt>
                <c:pt idx="1">
                  <c:v>43465</c:v>
                </c:pt>
                <c:pt idx="2">
                  <c:v>43496</c:v>
                </c:pt>
                <c:pt idx="3">
                  <c:v>43524</c:v>
                </c:pt>
                <c:pt idx="4">
                  <c:v>43555</c:v>
                </c:pt>
                <c:pt idx="5">
                  <c:v>43585</c:v>
                </c:pt>
                <c:pt idx="6">
                  <c:v>43616</c:v>
                </c:pt>
                <c:pt idx="7">
                  <c:v>43646</c:v>
                </c:pt>
                <c:pt idx="8">
                  <c:v>43677</c:v>
                </c:pt>
                <c:pt idx="9">
                  <c:v>43708</c:v>
                </c:pt>
                <c:pt idx="10">
                  <c:v>43738</c:v>
                </c:pt>
                <c:pt idx="11">
                  <c:v>43769</c:v>
                </c:pt>
              </c:numCache>
            </c:numRef>
          </c:cat>
          <c:val>
            <c:numRef>
              <c:f>[0]!ResultadoAcumuladoGrafico</c:f>
              <c:numCache>
                <c:formatCode>_(* #,##0.00_);_(* \(#,##0.00\);_(* "-"??_);_(@_)</c:formatCode>
                <c:ptCount val="12"/>
                <c:pt idx="0">
                  <c:v>5000</c:v>
                </c:pt>
                <c:pt idx="1">
                  <c:v>10000</c:v>
                </c:pt>
                <c:pt idx="2">
                  <c:v>15000</c:v>
                </c:pt>
                <c:pt idx="3">
                  <c:v>20000</c:v>
                </c:pt>
                <c:pt idx="4">
                  <c:v>25000</c:v>
                </c:pt>
                <c:pt idx="5">
                  <c:v>30000</c:v>
                </c:pt>
                <c:pt idx="6">
                  <c:v>35000</c:v>
                </c:pt>
                <c:pt idx="7">
                  <c:v>40000</c:v>
                </c:pt>
                <c:pt idx="8">
                  <c:v>45000</c:v>
                </c:pt>
                <c:pt idx="9">
                  <c:v>50000</c:v>
                </c:pt>
                <c:pt idx="10">
                  <c:v>55000</c:v>
                </c:pt>
                <c:pt idx="11">
                  <c:v>60000</c:v>
                </c:pt>
              </c:numCache>
            </c:numRef>
          </c:val>
          <c:smooth val="0"/>
          <c:extLst>
            <c:ext xmlns:c16="http://schemas.microsoft.com/office/drawing/2014/chart" uri="{C3380CC4-5D6E-409C-BE32-E72D297353CC}">
              <c16:uniqueId val="{00000000-86DC-4D24-A95C-57EBE24EA1D2}"/>
            </c:ext>
          </c:extLst>
        </c:ser>
        <c:dLbls>
          <c:showLegendKey val="0"/>
          <c:showVal val="0"/>
          <c:showCatName val="0"/>
          <c:showSerName val="0"/>
          <c:showPercent val="0"/>
          <c:showBubbleSize val="0"/>
        </c:dLbls>
        <c:smooth val="0"/>
        <c:axId val="564839000"/>
        <c:axId val="564838672"/>
      </c:lineChart>
      <c:dateAx>
        <c:axId val="564839000"/>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64838672"/>
        <c:crosses val="autoZero"/>
        <c:auto val="1"/>
        <c:lblOffset val="100"/>
        <c:baseTimeUnit val="months"/>
      </c:dateAx>
      <c:valAx>
        <c:axId val="564838672"/>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64839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Gratuita.xlsm]GRÁFICOS!Relatorio</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RESULTADO</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pt-BR"/>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dLbl>
          <c:idx val="0"/>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15"/>
      </c:pivotFmt>
      <c:pivotFmt>
        <c:idx val="16"/>
      </c:pivotFmt>
      <c:pivotFmt>
        <c:idx val="17"/>
      </c:pivotFmt>
      <c:pivotFmt>
        <c:idx val="18"/>
      </c:pivotFmt>
      <c:pivotFmt>
        <c:idx val="19"/>
      </c:pivotFmt>
      <c:pivotFmt>
        <c:idx val="20"/>
        <c:marker>
          <c:symbol val="circle"/>
          <c:size val="5"/>
          <c:spPr>
            <a:solidFill>
              <a:schemeClr val="accent1"/>
            </a:solidFill>
            <a:ln w="22225">
              <a:solidFill>
                <a:schemeClr val="lt1"/>
              </a:solidFill>
              <a:round/>
            </a:ln>
            <a:effectLst/>
          </c:spPr>
        </c:marker>
      </c:pivotFmt>
      <c:pivotFmt>
        <c:idx val="21"/>
        <c:marker>
          <c:symbol val="circle"/>
          <c:size val="5"/>
          <c:spPr>
            <a:solidFill>
              <a:schemeClr val="accent1"/>
            </a:solidFill>
            <a:ln w="22225">
              <a:solidFill>
                <a:schemeClr val="lt1"/>
              </a:solidFill>
              <a:round/>
            </a:ln>
            <a:effectLst/>
          </c:spPr>
        </c:marker>
      </c:pivotFmt>
      <c:pivotFmt>
        <c:idx val="2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2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24"/>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s>
    <c:plotArea>
      <c:layout>
        <c:manualLayout>
          <c:layoutTarget val="inner"/>
          <c:xMode val="edge"/>
          <c:yMode val="edge"/>
          <c:x val="0"/>
          <c:y val="0.1481262705280075"/>
          <c:w val="1"/>
          <c:h val="0.75726498455512781"/>
        </c:manualLayout>
      </c:layout>
      <c:lineChart>
        <c:grouping val="standard"/>
        <c:varyColors val="0"/>
        <c:ser>
          <c:idx val="0"/>
          <c:order val="0"/>
          <c:tx>
            <c:strRef>
              <c:f>GRÁFICOS!$E$58</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Pt>
            <c:idx val="0"/>
            <c:marker>
              <c:symbol val="circle"/>
              <c:size val="5"/>
              <c:spPr>
                <a:solidFill>
                  <a:schemeClr val="accent1"/>
                </a:solidFill>
                <a:ln w="22225">
                  <a:solidFill>
                    <a:schemeClr val="lt1"/>
                  </a:solidFill>
                  <a:round/>
                </a:ln>
                <a:effectLst/>
              </c:spPr>
            </c:marker>
            <c:bubble3D val="0"/>
            <c:extLst>
              <c:ext xmlns:c16="http://schemas.microsoft.com/office/drawing/2014/chart" uri="{C3380CC4-5D6E-409C-BE32-E72D297353CC}">
                <c16:uniqueId val="{00000001-87CB-4617-B707-52613C51392E}"/>
              </c:ext>
            </c:extLst>
          </c:dPt>
          <c:dPt>
            <c:idx val="1"/>
            <c:marker>
              <c:symbol val="circle"/>
              <c:size val="5"/>
              <c:spPr>
                <a:solidFill>
                  <a:schemeClr val="accent1"/>
                </a:solidFill>
                <a:ln w="22225">
                  <a:solidFill>
                    <a:schemeClr val="lt1"/>
                  </a:solidFill>
                  <a:round/>
                </a:ln>
                <a:effectLst/>
              </c:spPr>
            </c:marker>
            <c:bubble3D val="0"/>
            <c:extLst>
              <c:ext xmlns:c16="http://schemas.microsoft.com/office/drawing/2014/chart" uri="{C3380CC4-5D6E-409C-BE32-E72D297353CC}">
                <c16:uniqueId val="{00000000-4BA8-4210-A8CD-C93CDC3BE6AA}"/>
              </c:ext>
            </c:extLst>
          </c:dPt>
          <c:cat>
            <c:strRef>
              <c:f>GRÁFICOS!$D$59:$D$71</c:f>
              <c:strCache>
                <c:ptCount val="12"/>
                <c:pt idx="0">
                  <c:v>nov-18</c:v>
                </c:pt>
                <c:pt idx="1">
                  <c:v>dez-18</c:v>
                </c:pt>
                <c:pt idx="2">
                  <c:v>jan-19</c:v>
                </c:pt>
                <c:pt idx="3">
                  <c:v>fev-19</c:v>
                </c:pt>
                <c:pt idx="4">
                  <c:v>mar-19</c:v>
                </c:pt>
                <c:pt idx="5">
                  <c:v>abr-19</c:v>
                </c:pt>
                <c:pt idx="6">
                  <c:v>mai-19</c:v>
                </c:pt>
                <c:pt idx="7">
                  <c:v>jun-19</c:v>
                </c:pt>
                <c:pt idx="8">
                  <c:v>jul-19</c:v>
                </c:pt>
                <c:pt idx="9">
                  <c:v>ago-19</c:v>
                </c:pt>
                <c:pt idx="10">
                  <c:v>set-19</c:v>
                </c:pt>
                <c:pt idx="11">
                  <c:v>out-19</c:v>
                </c:pt>
              </c:strCache>
            </c:strRef>
          </c:cat>
          <c:val>
            <c:numRef>
              <c:f>GRÁFICOS!$E$59:$E$71</c:f>
              <c:numCache>
                <c:formatCode>#,##0.00_ ;[Red]\-#,##0.00\ </c:formatCode>
                <c:ptCount val="12"/>
                <c:pt idx="0">
                  <c:v>5000</c:v>
                </c:pt>
                <c:pt idx="1">
                  <c:v>5000</c:v>
                </c:pt>
                <c:pt idx="2">
                  <c:v>5000</c:v>
                </c:pt>
                <c:pt idx="3">
                  <c:v>5000</c:v>
                </c:pt>
                <c:pt idx="4">
                  <c:v>5000</c:v>
                </c:pt>
                <c:pt idx="5">
                  <c:v>5000</c:v>
                </c:pt>
                <c:pt idx="6">
                  <c:v>5000</c:v>
                </c:pt>
                <c:pt idx="7">
                  <c:v>5000</c:v>
                </c:pt>
                <c:pt idx="8">
                  <c:v>5000</c:v>
                </c:pt>
                <c:pt idx="9">
                  <c:v>5000</c:v>
                </c:pt>
                <c:pt idx="10">
                  <c:v>5000</c:v>
                </c:pt>
                <c:pt idx="11">
                  <c:v>5000</c:v>
                </c:pt>
              </c:numCache>
            </c:numRef>
          </c:val>
          <c:smooth val="0"/>
          <c:extLst>
            <c:ext xmlns:c16="http://schemas.microsoft.com/office/drawing/2014/chart" uri="{C3380CC4-5D6E-409C-BE32-E72D297353CC}">
              <c16:uniqueId val="{00000002-AC4F-4500-BF2E-630FD9BF7BCA}"/>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67039144"/>
        <c:axId val="367042096"/>
      </c:lineChart>
      <c:catAx>
        <c:axId val="36703914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27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pt-BR"/>
          </a:p>
        </c:txPr>
        <c:crossAx val="367042096"/>
        <c:crosses val="autoZero"/>
        <c:auto val="1"/>
        <c:lblAlgn val="ctr"/>
        <c:lblOffset val="100"/>
        <c:noMultiLvlLbl val="0"/>
      </c:catAx>
      <c:valAx>
        <c:axId val="367042096"/>
        <c:scaling>
          <c:orientation val="minMax"/>
        </c:scaling>
        <c:delete val="0"/>
        <c:axPos val="l"/>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pt-BR"/>
          </a:p>
        </c:txPr>
        <c:crossAx val="367039144"/>
        <c:crosses val="autoZero"/>
        <c:crossBetween val="between"/>
      </c:valAx>
      <c:spPr>
        <a:noFill/>
        <a:ln>
          <a:noFill/>
        </a:ln>
        <a:effectLst/>
      </c:spPr>
    </c:plotArea>
    <c:plotVisOnly val="1"/>
    <c:dispBlanksAs val="zero"/>
    <c:showDLblsOverMax val="0"/>
  </c:chart>
  <c:spPr>
    <a:solidFill>
      <a:schemeClr val="accent1"/>
    </a:solidFill>
    <a:ln w="9525" cap="flat" cmpd="sng" algn="ctr">
      <a:solidFill>
        <a:schemeClr val="accent1"/>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Gratuita.xlsm]GRÁFICOS!Tabela dinâmica2</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chemeClr val="accent1">
                    <a:lumMod val="75000"/>
                  </a:schemeClr>
                </a:solidFill>
              </a:rPr>
              <a:t>RECEITAS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GRÁFICOS!$AG$8</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GRÁFICOS!$AF$9:$AF$10</c:f>
              <c:strCache>
                <c:ptCount val="1"/>
                <c:pt idx="0">
                  <c:v>VENDAS</c:v>
                </c:pt>
              </c:strCache>
            </c:strRef>
          </c:cat>
          <c:val>
            <c:numRef>
              <c:f>GRÁFICOS!$AG$9:$AG$10</c:f>
              <c:numCache>
                <c:formatCode>#,##0.00_ ;[Red]\-#,##0.00\ </c:formatCode>
                <c:ptCount val="1"/>
                <c:pt idx="0">
                  <c:v>240000</c:v>
                </c:pt>
              </c:numCache>
            </c:numRef>
          </c:val>
          <c:extLst>
            <c:ext xmlns:c16="http://schemas.microsoft.com/office/drawing/2014/chart" uri="{C3380CC4-5D6E-409C-BE32-E72D297353CC}">
              <c16:uniqueId val="{00000007-96C3-4415-A070-8AA5829B4A2E}"/>
            </c:ext>
          </c:extLst>
        </c:ser>
        <c:dLbls>
          <c:dLblPos val="inEnd"/>
          <c:showLegendKey val="0"/>
          <c:showVal val="1"/>
          <c:showCatName val="0"/>
          <c:showSerName val="0"/>
          <c:showPercent val="0"/>
          <c:showBubbleSize val="0"/>
        </c:dLbls>
        <c:gapWidth val="65"/>
        <c:axId val="200000640"/>
        <c:axId val="200002176"/>
      </c:barChart>
      <c:catAx>
        <c:axId val="2000006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200002176"/>
        <c:crosses val="autoZero"/>
        <c:auto val="1"/>
        <c:lblAlgn val="ctr"/>
        <c:lblOffset val="100"/>
        <c:noMultiLvlLbl val="0"/>
      </c:catAx>
      <c:valAx>
        <c:axId val="20000217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none"/>
        <c:minorTickMark val="none"/>
        <c:tickLblPos val="nextTo"/>
        <c:crossAx val="20000064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Gratuita.xlsm]GRÁFICOS!Tabela dinâmica4</c:name>
    <c:fmtId val="4"/>
  </c:pivotSource>
  <c:chart>
    <c:title>
      <c:tx>
        <c:rich>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900"/>
              <a:t>TITULARES</a:t>
            </a:r>
          </a:p>
        </c:rich>
      </c:tx>
      <c:overlay val="0"/>
      <c:spPr>
        <a:noFill/>
        <a:ln>
          <a:noFill/>
        </a:ln>
        <a:effectLst/>
      </c:spPr>
      <c:txPr>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GRÁFICOS!$E$22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F25F-490F-8223-4B29A1251355}"/>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GRÁFICOS!$D$23:$D$24</c:f>
              <c:strCache>
                <c:ptCount val="1"/>
                <c:pt idx="0">
                  <c:v>R. MARINHO</c:v>
                </c:pt>
              </c:strCache>
            </c:strRef>
          </c:cat>
          <c:val>
            <c:numRef>
              <c:f>GRÁFICOS!$E$23:$E$24</c:f>
              <c:numCache>
                <c:formatCode>#,##0.00_ ;[Red]\-#,##0.00\ </c:formatCode>
                <c:ptCount val="1"/>
                <c:pt idx="0">
                  <c:v>70000</c:v>
                </c:pt>
              </c:numCache>
            </c:numRef>
          </c:val>
          <c:extLst>
            <c:ext xmlns:c16="http://schemas.microsoft.com/office/drawing/2014/chart" uri="{C3380CC4-5D6E-409C-BE32-E72D297353CC}">
              <c16:uniqueId val="{00000000-9FDF-44B9-AAB8-0F996808C040}"/>
            </c:ext>
          </c:extLst>
        </c:ser>
        <c:dLbls>
          <c:showLegendKey val="0"/>
          <c:showVal val="0"/>
          <c:showCatName val="1"/>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pivotSource>
    <c:name>[Programa de Controle Financeiro - Versão Gratuita.xlsm]GRÁFICOS!Tabela dinâmica3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DESPESAS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GRÁFICOS!$R$23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GRÁFICOS!$Q$24:$Q$25</c:f>
              <c:strCache>
                <c:ptCount val="1"/>
                <c:pt idx="0">
                  <c:v>COMPRAS</c:v>
                </c:pt>
              </c:strCache>
            </c:strRef>
          </c:cat>
          <c:val>
            <c:numRef>
              <c:f>GRÁFICOS!$R$24:$R$25</c:f>
              <c:numCache>
                <c:formatCode>#,##0.00_ ;[Red]\-#,##0.00\ </c:formatCode>
                <c:ptCount val="1"/>
                <c:pt idx="0">
                  <c:v>-180000</c:v>
                </c:pt>
              </c:numCache>
            </c:numRef>
          </c:val>
          <c:extLst>
            <c:ext xmlns:c16="http://schemas.microsoft.com/office/drawing/2014/chart" uri="{C3380CC4-5D6E-409C-BE32-E72D297353CC}">
              <c16:uniqueId val="{00000000-C99F-4F1D-A31B-7C6A3C6384F6}"/>
            </c:ext>
          </c:extLst>
        </c:ser>
        <c:dLbls>
          <c:showLegendKey val="0"/>
          <c:showVal val="0"/>
          <c:showCatName val="0"/>
          <c:showSerName val="0"/>
          <c:showPercent val="0"/>
          <c:showBubbleSize val="0"/>
        </c:dLbls>
        <c:gapWidth val="100"/>
        <c:overlap val="-24"/>
        <c:axId val="201423872"/>
        <c:axId val="201429760"/>
      </c:barChart>
      <c:catAx>
        <c:axId val="201423872"/>
        <c:scaling>
          <c:orientation val="minMax"/>
        </c:scaling>
        <c:delete val="0"/>
        <c:axPos val="t"/>
        <c:numFmt formatCode="General" sourceLinked="0"/>
        <c:majorTickMark val="none"/>
        <c:minorTickMark val="none"/>
        <c:tickLblPos val="high"/>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1429760"/>
        <c:crosses val="autoZero"/>
        <c:auto val="1"/>
        <c:lblAlgn val="ctr"/>
        <c:lblOffset val="100"/>
        <c:noMultiLvlLbl val="0"/>
      </c:catAx>
      <c:valAx>
        <c:axId val="201429760"/>
        <c:scaling>
          <c:orientation val="maxMin"/>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1423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Gratuita.xlsm]GRÁFICOS!TDCCustos</c:name>
    <c:fmtId val="2"/>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pt-BR" sz="900" b="1"/>
              <a:t>RESULTADO</a:t>
            </a:r>
            <a:r>
              <a:rPr lang="pt-BR" sz="900" b="1" baseline="0"/>
              <a:t> POR CENTRO DE CUSTOS</a:t>
            </a:r>
            <a:endParaRPr lang="pt-BR"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GRÁFICOS!$I$59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044-49AB-BB04-E0C9E7457BF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044-49AB-BB04-E0C9E7457BF2}"/>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GRÁFICOS!$H$60:$H$61</c:f>
              <c:strCache>
                <c:ptCount val="1"/>
                <c:pt idx="0">
                  <c:v>ADMINISTRATIVO</c:v>
                </c:pt>
              </c:strCache>
            </c:strRef>
          </c:cat>
          <c:val>
            <c:numRef>
              <c:f>GRÁFICOS!$I$60:$I$61</c:f>
              <c:numCache>
                <c:formatCode>#,##0.00_ ;[Red]\-#,##0.00\ </c:formatCode>
                <c:ptCount val="1"/>
                <c:pt idx="0">
                  <c:v>70000</c:v>
                </c:pt>
              </c:numCache>
            </c:numRef>
          </c:val>
          <c:extLst>
            <c:ext xmlns:c16="http://schemas.microsoft.com/office/drawing/2014/chart" uri="{C3380CC4-5D6E-409C-BE32-E72D297353CC}">
              <c16:uniqueId val="{00000000-E255-4B8F-861A-1E481F30F9C2}"/>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5</xdr:col>
      <xdr:colOff>0</xdr:colOff>
      <xdr:row>6</xdr:row>
      <xdr:rowOff>0</xdr:rowOff>
    </xdr:from>
    <xdr:to>
      <xdr:col>6</xdr:col>
      <xdr:colOff>0</xdr:colOff>
      <xdr:row>7</xdr:row>
      <xdr:rowOff>0</xdr:rowOff>
    </xdr:to>
    <xdr:sp macro="[0]!Ir_Registros" textlink="">
      <xdr:nvSpPr>
        <xdr:cNvPr id="2" name="CaixaDeTexto 1">
          <a:extLst>
            <a:ext uri="{FF2B5EF4-FFF2-40B4-BE49-F238E27FC236}">
              <a16:creationId xmlns:a16="http://schemas.microsoft.com/office/drawing/2014/main" id="{00000000-0008-0000-0000-000002000000}"/>
            </a:ext>
          </a:extLst>
        </xdr:cNvPr>
        <xdr:cNvSpPr txBox="1"/>
      </xdr:nvSpPr>
      <xdr:spPr>
        <a:xfrm>
          <a:off x="3473824" y="1008529"/>
          <a:ext cx="2711823" cy="224118"/>
        </a:xfrm>
        <a:prstGeom prst="rect">
          <a:avLst/>
        </a:prstGeom>
        <a:solidFill>
          <a:schemeClr val="accent1">
            <a:lumMod val="7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ÁREA</a:t>
          </a:r>
          <a:r>
            <a:rPr lang="pt-BR" sz="1100" b="1" baseline="0">
              <a:solidFill>
                <a:schemeClr val="bg1"/>
              </a:solidFill>
            </a:rPr>
            <a:t> DE REGISTROS -</a:t>
          </a:r>
          <a:r>
            <a:rPr lang="pt-BR" sz="1100" b="1">
              <a:solidFill>
                <a:schemeClr val="bg1"/>
              </a:solidFill>
            </a:rPr>
            <a:t> LANÇAMENTOS</a:t>
          </a:r>
        </a:p>
      </xdr:txBody>
    </xdr:sp>
    <xdr:clientData/>
  </xdr:twoCellAnchor>
  <xdr:twoCellAnchor editAs="absolute">
    <xdr:from>
      <xdr:col>7</xdr:col>
      <xdr:colOff>336175</xdr:colOff>
      <xdr:row>0</xdr:row>
      <xdr:rowOff>104776</xdr:rowOff>
    </xdr:from>
    <xdr:to>
      <xdr:col>21</xdr:col>
      <xdr:colOff>89647</xdr:colOff>
      <xdr:row>32</xdr:row>
      <xdr:rowOff>78440</xdr:rowOff>
    </xdr:to>
    <xdr:sp macro="" textlink="">
      <xdr:nvSpPr>
        <xdr:cNvPr id="18" name="ShpDicas">
          <a:extLst>
            <a:ext uri="{FF2B5EF4-FFF2-40B4-BE49-F238E27FC236}">
              <a16:creationId xmlns:a16="http://schemas.microsoft.com/office/drawing/2014/main" id="{00000000-0008-0000-0000-000012000000}"/>
            </a:ext>
          </a:extLst>
        </xdr:cNvPr>
        <xdr:cNvSpPr/>
      </xdr:nvSpPr>
      <xdr:spPr>
        <a:xfrm>
          <a:off x="6734734" y="104776"/>
          <a:ext cx="8225119" cy="5632635"/>
        </a:xfrm>
        <a:prstGeom prst="round2DiagRect">
          <a:avLst/>
        </a:prstGeom>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200" b="1" u="none" baseline="0">
              <a:solidFill>
                <a:schemeClr val="accent5">
                  <a:lumMod val="50000"/>
                </a:schemeClr>
              </a:solidFill>
              <a:effectLst/>
              <a:latin typeface="+mn-lt"/>
              <a:ea typeface="+mn-ea"/>
              <a:cs typeface="+mn-cs"/>
            </a:rPr>
            <a:t>D I C A S   G E R A I S</a:t>
          </a: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50" b="1" u="sng" baseline="0">
            <a:solidFill>
              <a:schemeClr val="accent5">
                <a:lumMod val="50000"/>
              </a:schemeClr>
            </a:solidFill>
            <a:effectLst/>
            <a:latin typeface="+mn-lt"/>
            <a:ea typeface="+mn-ea"/>
            <a:cs typeface="+mn-cs"/>
          </a:endParaRPr>
        </a:p>
        <a:p>
          <a:pPr algn="ctr" eaLnBrk="1" fontAlgn="auto" latinLnBrk="0" hangingPunct="1"/>
          <a:r>
            <a:rPr lang="pt-BR" sz="11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Utilize  a guia  "PROGRAMA FINANCEIRO", localizada na Faixa de Opções, acima, para navegar por este programa. Você pode navegar também através do menu ao lado;</a:t>
          </a:r>
          <a:endParaRPr lang="pt-BR" sz="1000">
            <a:solidFill>
              <a:schemeClr val="accent5">
                <a:lumMod val="50000"/>
              </a:schemeClr>
            </a:solidFill>
            <a:effectLst/>
            <a:latin typeface="+mn-l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5">
                <a:lumMod val="50000"/>
              </a:schemeClr>
            </a:solidFill>
            <a:effectLst/>
            <a:latin typeface="+mn-lt"/>
            <a:ea typeface="+mn-ea"/>
            <a:cs typeface="+mn-cs"/>
          </a:endParaRPr>
        </a:p>
        <a:p>
          <a:pPr algn="ctr" eaLnBrk="1" fontAlgn="auto" latinLnBrk="0" hangingPunct="1"/>
          <a:r>
            <a:rPr lang="pt-BR" sz="10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Ao pousar o mouse sobre as interrogações  do menu ao lado </a:t>
          </a:r>
          <a:r>
            <a:rPr lang="pt-BR" sz="1000" baseline="0">
              <a:ln w="0">
                <a:noFill/>
              </a:ln>
              <a:solidFill>
                <a:schemeClr val="accent5">
                  <a:lumMod val="50000"/>
                </a:schemeClr>
              </a:solidFill>
              <a:latin typeface="+mn-lt"/>
              <a:ea typeface="+mn-ea"/>
              <a:cs typeface="+mn-cs"/>
            </a:rPr>
            <a:t>você</a:t>
          </a:r>
          <a:r>
            <a:rPr lang="pt-BR" sz="1000" baseline="0">
              <a:solidFill>
                <a:schemeClr val="accent5">
                  <a:lumMod val="50000"/>
                </a:schemeClr>
              </a:solidFill>
              <a:effectLst/>
              <a:latin typeface="+mn-lt"/>
              <a:ea typeface="+mn-ea"/>
              <a:cs typeface="+mn-cs"/>
            </a:rPr>
            <a:t> obterá informações sobre a utilidade e/ou forma de uso de cada um dos itens de cadastramentos e relatórios. Por meio do link colocado na parte inferior esquerda deste menu, você abre um vídeo contendo exemplo prático da forma de utilização dos itens de cadastramentos. O correto entendimento da utilização desses itens, em particular do CENTRO DE CUSTOS e do PLANO DE CONTAS FINANCEIRO, por serem muito confundidos um com o outro, é imprescindível para se obter relatórios claros e precisos; </a:t>
          </a:r>
          <a:endParaRPr lang="pt-BR" sz="1000" u="sng" baseline="0">
            <a:solidFill>
              <a:schemeClr val="accent5">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5">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Todos os cadastramentos são feitos através de formulário e em todas as áreas de cadastro há um botão 'NOVO' para abri-lo. </a:t>
          </a:r>
          <a:r>
            <a:rPr lang="pt-BR" sz="1000" b="0" u="none" baseline="0">
              <a:ln>
                <a:noFill/>
              </a:ln>
              <a:solidFill>
                <a:schemeClr val="accent5">
                  <a:lumMod val="50000"/>
                </a:schemeClr>
              </a:solidFill>
              <a:effectLst/>
              <a:latin typeface="+mn-lt"/>
              <a:ea typeface="+mn-ea"/>
              <a:cs typeface="+mn-cs"/>
            </a:rPr>
            <a:t>C</a:t>
          </a:r>
          <a:r>
            <a:rPr lang="pt-BR" sz="1000" b="0">
              <a:ln w="0">
                <a:noFill/>
              </a:ln>
              <a:solidFill>
                <a:schemeClr val="accent5">
                  <a:lumMod val="50000"/>
                </a:schemeClr>
              </a:solidFill>
              <a:latin typeface="+mn-lt"/>
            </a:rPr>
            <a:t>om </a:t>
          </a:r>
          <a:r>
            <a:rPr lang="pt-BR" sz="1000">
              <a:ln w="0">
                <a:noFill/>
              </a:ln>
              <a:solidFill>
                <a:schemeClr val="accent5">
                  <a:lumMod val="50000"/>
                </a:schemeClr>
              </a:solidFill>
              <a:latin typeface="+mn-lt"/>
            </a:rPr>
            <a:t>um </a:t>
          </a:r>
          <a:r>
            <a:rPr lang="pt-BR" sz="1000" b="1">
              <a:ln w="0">
                <a:noFill/>
              </a:ln>
              <a:solidFill>
                <a:schemeClr val="accent5">
                  <a:lumMod val="50000"/>
                </a:schemeClr>
              </a:solidFill>
              <a:latin typeface="+mn-lt"/>
            </a:rPr>
            <a:t>duplo clique </a:t>
          </a:r>
          <a:r>
            <a:rPr lang="pt-BR" sz="1000">
              <a:ln w="0">
                <a:noFill/>
              </a:ln>
              <a:solidFill>
                <a:schemeClr val="accent5">
                  <a:lumMod val="50000"/>
                </a:schemeClr>
              </a:solidFill>
              <a:latin typeface="+mn-lt"/>
            </a:rPr>
            <a:t>na linha de um registro você abre o formulário com os respectivos dados daquela</a:t>
          </a:r>
          <a:r>
            <a:rPr lang="pt-BR" sz="1000" baseline="0">
              <a:ln w="0">
                <a:noFill/>
              </a:ln>
              <a:solidFill>
                <a:schemeClr val="accent5">
                  <a:lumMod val="50000"/>
                </a:schemeClr>
              </a:solidFill>
              <a:latin typeface="+mn-lt"/>
            </a:rPr>
            <a:t> linha</a:t>
          </a:r>
          <a:r>
            <a:rPr lang="pt-BR" sz="1000">
              <a:ln w="0">
                <a:noFill/>
              </a:ln>
              <a:solidFill>
                <a:schemeClr val="accent5">
                  <a:lumMod val="50000"/>
                </a:schemeClr>
              </a:solidFill>
              <a:latin typeface="+mn-lt"/>
            </a:rPr>
            <a:t> e pode alterá-los ou excluir</a:t>
          </a:r>
          <a:r>
            <a:rPr lang="pt-BR" sz="1000" baseline="0">
              <a:ln w="0">
                <a:noFill/>
              </a:ln>
              <a:solidFill>
                <a:schemeClr val="accent5">
                  <a:lumMod val="50000"/>
                </a:schemeClr>
              </a:solidFill>
              <a:latin typeface="+mn-lt"/>
            </a:rPr>
            <a:t> todo o registro</a:t>
          </a:r>
          <a:r>
            <a:rPr lang="pt-BR" sz="1000">
              <a:ln w="0">
                <a:noFill/>
              </a:ln>
              <a:solidFill>
                <a:schemeClr val="accent5">
                  <a:lumMod val="50000"/>
                </a:schemeClr>
              </a:solidFill>
              <a:latin typeface="+mn-lt"/>
            </a:rPr>
            <a:t>;</a:t>
          </a:r>
        </a:p>
        <a:p>
          <a:pPr algn="ctr"/>
          <a:endParaRPr lang="pt-BR" sz="1000">
            <a:ln w="0">
              <a:noFill/>
            </a:ln>
            <a:solidFill>
              <a:schemeClr val="accent5">
                <a:lumMod val="50000"/>
              </a:schemeClr>
            </a:solidFill>
            <a:latin typeface="+mn-lt"/>
          </a:endParaRPr>
        </a:p>
        <a:p>
          <a:pPr algn="ct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Na área de LANÇAMENTOS, </a:t>
          </a:r>
          <a:r>
            <a:rPr lang="pt-BR" sz="1000" b="0" baseline="0">
              <a:ln w="0">
                <a:noFill/>
              </a:ln>
              <a:solidFill>
                <a:schemeClr val="accent5">
                  <a:lumMod val="50000"/>
                </a:schemeClr>
              </a:solidFill>
              <a:effectLst/>
              <a:latin typeface="+mn-lt"/>
              <a:ea typeface="+mn-ea"/>
              <a:cs typeface="+mn-cs"/>
            </a:rPr>
            <a:t>p</a:t>
          </a:r>
          <a:r>
            <a:rPr lang="pt-BR" sz="1000" b="0">
              <a:ln w="0">
                <a:noFill/>
              </a:ln>
              <a:solidFill>
                <a:schemeClr val="accent5">
                  <a:lumMod val="50000"/>
                </a:schemeClr>
              </a:solidFill>
              <a:latin typeface="+mn-lt"/>
            </a:rPr>
            <a:t>ousando </a:t>
          </a:r>
          <a:r>
            <a:rPr lang="pt-BR" sz="1000">
              <a:ln w="0">
                <a:noFill/>
              </a:ln>
              <a:solidFill>
                <a:schemeClr val="accent5">
                  <a:lumMod val="50000"/>
                </a:schemeClr>
              </a:solidFill>
              <a:latin typeface="+mn-lt"/>
            </a:rPr>
            <a:t>o mouse sobre alguns campos </a:t>
          </a:r>
          <a:r>
            <a:rPr lang="pt-BR" sz="1000" baseline="0">
              <a:ln w="0">
                <a:noFill/>
              </a:ln>
              <a:solidFill>
                <a:schemeClr val="accent5">
                  <a:lumMod val="50000"/>
                </a:schemeClr>
              </a:solidFill>
              <a:latin typeface="+mn-lt"/>
            </a:rPr>
            <a:t>do formulário você terá informações sobre a finalidade deles;</a:t>
          </a:r>
        </a:p>
        <a:p>
          <a:pPr algn="ctr"/>
          <a:endParaRPr lang="pt-BR" sz="1000">
            <a:solidFill>
              <a:schemeClr val="accent5">
                <a:lumMod val="50000"/>
              </a:schemeClr>
            </a:solidFill>
            <a:effectLst/>
            <a:latin typeface="+mn-lt"/>
          </a:endParaRPr>
        </a:p>
        <a:p>
          <a:pPr algn="ct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Também na área de LANÇAMENTOS, c</a:t>
          </a:r>
          <a:r>
            <a:rPr lang="pt-BR" sz="1000">
              <a:solidFill>
                <a:schemeClr val="accent5">
                  <a:lumMod val="50000"/>
                </a:schemeClr>
              </a:solidFill>
              <a:effectLst/>
              <a:latin typeface="+mn-lt"/>
              <a:ea typeface="+mn-ea"/>
              <a:cs typeface="+mn-cs"/>
            </a:rPr>
            <a:t>licando nos botões com</a:t>
          </a:r>
          <a:r>
            <a:rPr lang="pt-BR" sz="1000" baseline="0">
              <a:solidFill>
                <a:schemeClr val="accent5">
                  <a:lumMod val="50000"/>
                </a:schemeClr>
              </a:solidFill>
              <a:effectLst/>
              <a:latin typeface="+mn-lt"/>
              <a:ea typeface="+mn-ea"/>
              <a:cs typeface="+mn-cs"/>
            </a:rPr>
            <a:t> sinal de mais (+) no Formulário de Título, que ficam a esquerda dos campos 'Nome do Titular', 'Centro de Custos', 'Grupo de Contas', 'Plano de Contas', 'Cliente ou Fornecedor' e 'Conta Corrente', você é direcionado para a respectiva planilha de cadastro e, após o novo cadastramento, retorna automaticamente para o formulário de lançamentos;</a:t>
          </a:r>
        </a:p>
        <a:p>
          <a:pPr algn="ctr"/>
          <a:endParaRPr lang="pt-BR" sz="1000" baseline="0">
            <a:ln w="0">
              <a:noFill/>
            </a:ln>
            <a:solidFill>
              <a:schemeClr val="accent5">
                <a:lumMod val="50000"/>
              </a:schemeClr>
            </a:solidFill>
            <a:effectLst/>
            <a:latin typeface="+mn-lt"/>
            <a:ea typeface="+mn-ea"/>
            <a:cs typeface="+mn-cs"/>
          </a:endParaRPr>
        </a:p>
        <a:p>
          <a:pPr algn="ctr"/>
          <a:r>
            <a:rPr lang="pt-BR" sz="1000" b="1" baseline="0">
              <a:solidFill>
                <a:schemeClr val="accent5">
                  <a:lumMod val="50000"/>
                </a:schemeClr>
              </a:solidFill>
              <a:effectLst/>
              <a:latin typeface="+mn-lt"/>
              <a:ea typeface="+mn-ea"/>
              <a:cs typeface="+mn-cs"/>
            </a:rPr>
            <a:t>✧  P</a:t>
          </a:r>
          <a:r>
            <a:rPr lang="pt-BR" sz="1000" b="0" baseline="0">
              <a:ln w="0">
                <a:noFill/>
              </a:ln>
              <a:solidFill>
                <a:schemeClr val="accent5">
                  <a:lumMod val="50000"/>
                </a:schemeClr>
              </a:solidFill>
              <a:effectLst/>
              <a:latin typeface="+mn-lt"/>
              <a:ea typeface="+mn-ea"/>
              <a:cs typeface="+mn-cs"/>
            </a:rPr>
            <a:t>ara excluir</a:t>
          </a:r>
          <a:r>
            <a:rPr lang="pt-BR" sz="1000" baseline="0">
              <a:ln w="0">
                <a:noFill/>
              </a:ln>
              <a:solidFill>
                <a:schemeClr val="accent5">
                  <a:lumMod val="50000"/>
                </a:schemeClr>
              </a:solidFill>
              <a:effectLst/>
              <a:latin typeface="+mn-lt"/>
              <a:ea typeface="+mn-ea"/>
              <a:cs typeface="+mn-cs"/>
            </a:rPr>
            <a:t> o registro de títulos basta selecionar a linha do registro e clicar em 'Excluir Título' na seção 'LANÇAMENTOS' do Menu 'PROGRAMA FINANCEIRO';</a:t>
          </a:r>
        </a:p>
        <a:p>
          <a:pPr algn="ctr"/>
          <a:endParaRPr lang="pt-BR" sz="1000" baseline="0">
            <a:ln w="0">
              <a:noFill/>
            </a:ln>
            <a:solidFill>
              <a:schemeClr val="accent5">
                <a:lumMod val="50000"/>
              </a:schemeClr>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pt-BR" sz="10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Este programa oferece também uma forma simplificada de controle de estoque de materiais e produtos. Para utilizá-lo basta cadastrar os materiais/produtos a serem controlados e associar contas do PLANO DE CONTAS ao controle estoque;</a:t>
          </a:r>
          <a:endParaRPr lang="pt-BR" sz="1000" baseline="0">
            <a:ln w="0">
              <a:noFill/>
            </a:ln>
            <a:solidFill>
              <a:schemeClr val="accent5">
                <a:lumMod val="50000"/>
              </a:schemeClr>
            </a:solidFill>
            <a:latin typeface="+mn-lt"/>
          </a:endParaRPr>
        </a:p>
        <a:p>
          <a:pPr algn="ctr"/>
          <a:endParaRPr lang="pt-BR" sz="1000" baseline="0">
            <a:ln w="0">
              <a:noFill/>
            </a:ln>
            <a:solidFill>
              <a:schemeClr val="accent5">
                <a:lumMod val="50000"/>
              </a:schemeClr>
            </a:solidFill>
            <a:latin typeface="+mn-lt"/>
          </a:endParaRPr>
        </a:p>
        <a:p>
          <a:pPr algn="ctr"/>
          <a:r>
            <a:rPr lang="pt-BR" sz="1000" b="1" baseline="0">
              <a:solidFill>
                <a:schemeClr val="accent5">
                  <a:lumMod val="50000"/>
                </a:schemeClr>
              </a:solidFill>
              <a:effectLst/>
              <a:latin typeface="+mn-lt"/>
              <a:ea typeface="+mn-ea"/>
              <a:cs typeface="+mn-cs"/>
            </a:rPr>
            <a:t>✧ </a:t>
          </a:r>
          <a:r>
            <a:rPr lang="pt-BR" sz="1000" baseline="0">
              <a:ln w="0">
                <a:noFill/>
              </a:ln>
              <a:solidFill>
                <a:schemeClr val="accent5">
                  <a:lumMod val="50000"/>
                </a:schemeClr>
              </a:solidFill>
              <a:latin typeface="+mn-lt"/>
            </a:rPr>
            <a:t>Se você já estiver craque com o uso deste programa, pode ocultar este e os demais quadros de dicas com um simples clique na caixinha 'Dicas e observações', localizada na parte superior da aba MENU.</a:t>
          </a:r>
          <a:endParaRPr lang="pt-BR" sz="1000">
            <a:ln w="0">
              <a:noFill/>
            </a:ln>
            <a:solidFill>
              <a:schemeClr val="accent5">
                <a:lumMod val="50000"/>
              </a:schemeClr>
            </a:solidFill>
            <a:latin typeface="+mn-lt"/>
          </a:endParaRPr>
        </a:p>
      </xdr:txBody>
    </xdr:sp>
    <xdr:clientData/>
  </xdr:twoCellAnchor>
  <xdr:twoCellAnchor>
    <xdr:from>
      <xdr:col>2</xdr:col>
      <xdr:colOff>0</xdr:colOff>
      <xdr:row>6</xdr:row>
      <xdr:rowOff>0</xdr:rowOff>
    </xdr:from>
    <xdr:to>
      <xdr:col>3</xdr:col>
      <xdr:colOff>0</xdr:colOff>
      <xdr:row>7</xdr:row>
      <xdr:rowOff>1</xdr:rowOff>
    </xdr:to>
    <xdr:sp macro="[0]!Ir_Titular" textlink="">
      <xdr:nvSpPr>
        <xdr:cNvPr id="16" name="CaixaDeTexto 15">
          <a:extLst>
            <a:ext uri="{FF2B5EF4-FFF2-40B4-BE49-F238E27FC236}">
              <a16:creationId xmlns:a16="http://schemas.microsoft.com/office/drawing/2014/main" id="{00000000-0008-0000-0000-000010000000}"/>
            </a:ext>
          </a:extLst>
        </xdr:cNvPr>
        <xdr:cNvSpPr txBox="1"/>
      </xdr:nvSpPr>
      <xdr:spPr>
        <a:xfrm>
          <a:off x="324971" y="1008529"/>
          <a:ext cx="2711823" cy="224119"/>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TITULARES DOS</a:t>
          </a:r>
          <a:r>
            <a:rPr lang="pt-BR" sz="1100" b="1" baseline="0"/>
            <a:t> LANÇAMENTOS</a:t>
          </a:r>
          <a:endParaRPr lang="pt-BR" sz="1100" b="1"/>
        </a:p>
      </xdr:txBody>
    </xdr:sp>
    <xdr:clientData/>
  </xdr:twoCellAnchor>
  <xdr:twoCellAnchor>
    <xdr:from>
      <xdr:col>2</xdr:col>
      <xdr:colOff>0</xdr:colOff>
      <xdr:row>8</xdr:row>
      <xdr:rowOff>0</xdr:rowOff>
    </xdr:from>
    <xdr:to>
      <xdr:col>3</xdr:col>
      <xdr:colOff>0</xdr:colOff>
      <xdr:row>9</xdr:row>
      <xdr:rowOff>0</xdr:rowOff>
    </xdr:to>
    <xdr:sp macro="[0]!Ir_CCustos" textlink="">
      <xdr:nvSpPr>
        <xdr:cNvPr id="17" name="CaixaDeTexto 16">
          <a:extLst>
            <a:ext uri="{FF2B5EF4-FFF2-40B4-BE49-F238E27FC236}">
              <a16:creationId xmlns:a16="http://schemas.microsoft.com/office/drawing/2014/main" id="{00000000-0008-0000-0000-000011000000}"/>
            </a:ext>
          </a:extLst>
        </xdr:cNvPr>
        <xdr:cNvSpPr txBox="1"/>
      </xdr:nvSpPr>
      <xdr:spPr>
        <a:xfrm>
          <a:off x="324971" y="1355912"/>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CENTROS DE CUSTOS</a:t>
          </a:r>
        </a:p>
      </xdr:txBody>
    </xdr:sp>
    <xdr:clientData/>
  </xdr:twoCellAnchor>
  <xdr:twoCellAnchor>
    <xdr:from>
      <xdr:col>2</xdr:col>
      <xdr:colOff>-1</xdr:colOff>
      <xdr:row>12</xdr:row>
      <xdr:rowOff>0</xdr:rowOff>
    </xdr:from>
    <xdr:to>
      <xdr:col>2</xdr:col>
      <xdr:colOff>2711822</xdr:colOff>
      <xdr:row>13</xdr:row>
      <xdr:rowOff>0</xdr:rowOff>
    </xdr:to>
    <xdr:sp macro="[0]!Ir_PlanoContas" textlink="">
      <xdr:nvSpPr>
        <xdr:cNvPr id="19" name="CaixaDeTexto 18">
          <a:extLst>
            <a:ext uri="{FF2B5EF4-FFF2-40B4-BE49-F238E27FC236}">
              <a16:creationId xmlns:a16="http://schemas.microsoft.com/office/drawing/2014/main" id="{00000000-0008-0000-0000-000013000000}"/>
            </a:ext>
          </a:extLst>
        </xdr:cNvPr>
        <xdr:cNvSpPr txBox="1"/>
      </xdr:nvSpPr>
      <xdr:spPr>
        <a:xfrm>
          <a:off x="324970" y="2050676"/>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PLANO</a:t>
          </a:r>
          <a:r>
            <a:rPr lang="pt-BR" sz="1100" b="1" baseline="0"/>
            <a:t> DE CONTAS FINANCEIRO</a:t>
          </a:r>
          <a:endParaRPr lang="pt-BR" sz="1100" b="1"/>
        </a:p>
      </xdr:txBody>
    </xdr:sp>
    <xdr:clientData/>
  </xdr:twoCellAnchor>
  <xdr:twoCellAnchor>
    <xdr:from>
      <xdr:col>2</xdr:col>
      <xdr:colOff>0</xdr:colOff>
      <xdr:row>16</xdr:row>
      <xdr:rowOff>563</xdr:rowOff>
    </xdr:from>
    <xdr:to>
      <xdr:col>3</xdr:col>
      <xdr:colOff>0</xdr:colOff>
      <xdr:row>17</xdr:row>
      <xdr:rowOff>4486</xdr:rowOff>
    </xdr:to>
    <xdr:sp macro="[0]!Ir_ContaCorrente" textlink="">
      <xdr:nvSpPr>
        <xdr:cNvPr id="20" name="CaixaDeTexto 19">
          <a:extLst>
            <a:ext uri="{FF2B5EF4-FFF2-40B4-BE49-F238E27FC236}">
              <a16:creationId xmlns:a16="http://schemas.microsoft.com/office/drawing/2014/main" id="{00000000-0008-0000-0000-000014000000}"/>
            </a:ext>
          </a:extLst>
        </xdr:cNvPr>
        <xdr:cNvSpPr txBox="1"/>
      </xdr:nvSpPr>
      <xdr:spPr>
        <a:xfrm>
          <a:off x="212912" y="2398622"/>
          <a:ext cx="2711823" cy="228040"/>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CONTAS CORRENTES</a:t>
          </a:r>
        </a:p>
      </xdr:txBody>
    </xdr:sp>
    <xdr:clientData/>
  </xdr:twoCellAnchor>
  <xdr:twoCellAnchor>
    <xdr:from>
      <xdr:col>5</xdr:col>
      <xdr:colOff>0</xdr:colOff>
      <xdr:row>12</xdr:row>
      <xdr:rowOff>1</xdr:rowOff>
    </xdr:from>
    <xdr:to>
      <xdr:col>6</xdr:col>
      <xdr:colOff>0</xdr:colOff>
      <xdr:row>13</xdr:row>
      <xdr:rowOff>1</xdr:rowOff>
    </xdr:to>
    <xdr:sp macro="[0]!Ir_FluxoDeCaixa" textlink="">
      <xdr:nvSpPr>
        <xdr:cNvPr id="21" name="CaixaDeTexto 20">
          <a:extLst>
            <a:ext uri="{FF2B5EF4-FFF2-40B4-BE49-F238E27FC236}">
              <a16:creationId xmlns:a16="http://schemas.microsoft.com/office/drawing/2014/main" id="{00000000-0008-0000-0000-000015000000}"/>
            </a:ext>
          </a:extLst>
        </xdr:cNvPr>
        <xdr:cNvSpPr txBox="1"/>
      </xdr:nvSpPr>
      <xdr:spPr>
        <a:xfrm>
          <a:off x="3473824" y="2050677"/>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FLUXOS DE CAIXA</a:t>
          </a:r>
        </a:p>
      </xdr:txBody>
    </xdr:sp>
    <xdr:clientData/>
  </xdr:twoCellAnchor>
  <xdr:twoCellAnchor>
    <xdr:from>
      <xdr:col>5</xdr:col>
      <xdr:colOff>0</xdr:colOff>
      <xdr:row>14</xdr:row>
      <xdr:rowOff>0</xdr:rowOff>
    </xdr:from>
    <xdr:to>
      <xdr:col>6</xdr:col>
      <xdr:colOff>0</xdr:colOff>
      <xdr:row>15</xdr:row>
      <xdr:rowOff>0</xdr:rowOff>
    </xdr:to>
    <xdr:sp macro="[0]!Ir_RelatorioAnaliseResultado" textlink="">
      <xdr:nvSpPr>
        <xdr:cNvPr id="22" name="CaixaDeTexto 21">
          <a:extLst>
            <a:ext uri="{FF2B5EF4-FFF2-40B4-BE49-F238E27FC236}">
              <a16:creationId xmlns:a16="http://schemas.microsoft.com/office/drawing/2014/main" id="{00000000-0008-0000-0000-000016000000}"/>
            </a:ext>
          </a:extLst>
        </xdr:cNvPr>
        <xdr:cNvSpPr txBox="1"/>
      </xdr:nvSpPr>
      <xdr:spPr>
        <a:xfrm>
          <a:off x="3473824" y="2398059"/>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ANÁLISE DE RESULTADO</a:t>
          </a:r>
          <a:endParaRPr lang="pt-BR" sz="1100" b="1"/>
        </a:p>
      </xdr:txBody>
    </xdr:sp>
    <xdr:clientData/>
  </xdr:twoCellAnchor>
  <xdr:twoCellAnchor>
    <xdr:from>
      <xdr:col>5</xdr:col>
      <xdr:colOff>0</xdr:colOff>
      <xdr:row>16</xdr:row>
      <xdr:rowOff>0</xdr:rowOff>
    </xdr:from>
    <xdr:to>
      <xdr:col>6</xdr:col>
      <xdr:colOff>0</xdr:colOff>
      <xdr:row>16</xdr:row>
      <xdr:rowOff>235323</xdr:rowOff>
    </xdr:to>
    <xdr:sp macro="[0]!Ir_RelatorioOutros" textlink="">
      <xdr:nvSpPr>
        <xdr:cNvPr id="23" name="CaixaDeTexto 22">
          <a:extLst>
            <a:ext uri="{FF2B5EF4-FFF2-40B4-BE49-F238E27FC236}">
              <a16:creationId xmlns:a16="http://schemas.microsoft.com/office/drawing/2014/main" id="{00000000-0008-0000-0000-000017000000}"/>
            </a:ext>
          </a:extLst>
        </xdr:cNvPr>
        <xdr:cNvSpPr txBox="1"/>
      </xdr:nvSpPr>
      <xdr:spPr>
        <a:xfrm>
          <a:off x="3473824" y="3104029"/>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OUTROS</a:t>
          </a:r>
          <a:r>
            <a:rPr lang="pt-BR" sz="1100" b="1" baseline="0"/>
            <a:t> RELATÓRIOS</a:t>
          </a:r>
          <a:endParaRPr lang="pt-BR" sz="1100" b="1"/>
        </a:p>
      </xdr:txBody>
    </xdr:sp>
    <xdr:clientData/>
  </xdr:twoCellAnchor>
  <xdr:twoCellAnchor>
    <xdr:from>
      <xdr:col>5</xdr:col>
      <xdr:colOff>0</xdr:colOff>
      <xdr:row>20</xdr:row>
      <xdr:rowOff>0</xdr:rowOff>
    </xdr:from>
    <xdr:to>
      <xdr:col>6</xdr:col>
      <xdr:colOff>0</xdr:colOff>
      <xdr:row>21</xdr:row>
      <xdr:rowOff>0</xdr:rowOff>
    </xdr:to>
    <xdr:sp macro="[0]!Ir_Gráficos" textlink="">
      <xdr:nvSpPr>
        <xdr:cNvPr id="24" name="CaixaDeTexto 23">
          <a:extLst>
            <a:ext uri="{FF2B5EF4-FFF2-40B4-BE49-F238E27FC236}">
              <a16:creationId xmlns:a16="http://schemas.microsoft.com/office/drawing/2014/main" id="{00000000-0008-0000-0000-000018000000}"/>
            </a:ext>
          </a:extLst>
        </xdr:cNvPr>
        <xdr:cNvSpPr txBox="1"/>
      </xdr:nvSpPr>
      <xdr:spPr>
        <a:xfrm>
          <a:off x="3473824" y="3462618"/>
          <a:ext cx="2711823" cy="235323"/>
        </a:xfrm>
        <a:prstGeom prst="rect">
          <a:avLst/>
        </a:prstGeom>
        <a:solidFill>
          <a:schemeClr val="accent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GRÁFICOS</a:t>
          </a:r>
        </a:p>
      </xdr:txBody>
    </xdr:sp>
    <xdr:clientData/>
  </xdr:twoCellAnchor>
  <xdr:twoCellAnchor>
    <xdr:from>
      <xdr:col>5</xdr:col>
      <xdr:colOff>0</xdr:colOff>
      <xdr:row>18</xdr:row>
      <xdr:rowOff>0</xdr:rowOff>
    </xdr:from>
    <xdr:to>
      <xdr:col>6</xdr:col>
      <xdr:colOff>0</xdr:colOff>
      <xdr:row>19</xdr:row>
      <xdr:rowOff>0</xdr:rowOff>
    </xdr:to>
    <xdr:sp macro="[0]!Ir_CriarRelatorio" textlink="">
      <xdr:nvSpPr>
        <xdr:cNvPr id="25" name="CaixaDeTexto 24">
          <a:extLst>
            <a:ext uri="{FF2B5EF4-FFF2-40B4-BE49-F238E27FC236}">
              <a16:creationId xmlns:a16="http://schemas.microsoft.com/office/drawing/2014/main" id="{00000000-0008-0000-0000-000019000000}"/>
            </a:ext>
          </a:extLst>
        </xdr:cNvPr>
        <xdr:cNvSpPr txBox="1"/>
      </xdr:nvSpPr>
      <xdr:spPr>
        <a:xfrm>
          <a:off x="3473824"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CRIAR SEU RELATÓRIO</a:t>
          </a:r>
        </a:p>
      </xdr:txBody>
    </xdr:sp>
    <xdr:clientData/>
  </xdr:twoCellAnchor>
  <xdr:twoCellAnchor>
    <xdr:from>
      <xdr:col>2</xdr:col>
      <xdr:colOff>0</xdr:colOff>
      <xdr:row>14</xdr:row>
      <xdr:rowOff>0</xdr:rowOff>
    </xdr:from>
    <xdr:to>
      <xdr:col>3</xdr:col>
      <xdr:colOff>0</xdr:colOff>
      <xdr:row>15</xdr:row>
      <xdr:rowOff>0</xdr:rowOff>
    </xdr:to>
    <xdr:sp macro="[0]!Ir_CliFor" textlink="">
      <xdr:nvSpPr>
        <xdr:cNvPr id="15" name="CaixaDeTexto 14">
          <a:extLst>
            <a:ext uri="{FF2B5EF4-FFF2-40B4-BE49-F238E27FC236}">
              <a16:creationId xmlns:a16="http://schemas.microsoft.com/office/drawing/2014/main" id="{00000000-0008-0000-0000-00000F000000}"/>
            </a:ext>
          </a:extLst>
        </xdr:cNvPr>
        <xdr:cNvSpPr txBox="1"/>
      </xdr:nvSpPr>
      <xdr:spPr>
        <a:xfrm>
          <a:off x="324971" y="2398059"/>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CLIENTES E FORNECEDORES</a:t>
          </a:r>
        </a:p>
      </xdr:txBody>
    </xdr:sp>
    <xdr:clientData/>
  </xdr:twoCellAnchor>
  <mc:AlternateContent xmlns:mc="http://schemas.openxmlformats.org/markup-compatibility/2006">
    <mc:Choice xmlns:a14="http://schemas.microsoft.com/office/drawing/2010/main" Requires="a14">
      <xdr:twoCellAnchor editAs="absolute">
        <xdr:from>
          <xdr:col>5</xdr:col>
          <xdr:colOff>1466850</xdr:colOff>
          <xdr:row>3</xdr:row>
          <xdr:rowOff>31750</xdr:rowOff>
        </xdr:from>
        <xdr:to>
          <xdr:col>6</xdr:col>
          <xdr:colOff>133350</xdr:colOff>
          <xdr:row>4</xdr:row>
          <xdr:rowOff>107950</xdr:rowOff>
        </xdr:to>
        <xdr:sp macro="" textlink="">
          <xdr:nvSpPr>
            <xdr:cNvPr id="1030" name="ChBoxDicas"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18</xdr:row>
      <xdr:rowOff>0</xdr:rowOff>
    </xdr:from>
    <xdr:to>
      <xdr:col>3</xdr:col>
      <xdr:colOff>0</xdr:colOff>
      <xdr:row>19</xdr:row>
      <xdr:rowOff>0</xdr:rowOff>
    </xdr:to>
    <xdr:sp macro="[0]!Ir_Insumos" textlink="">
      <xdr:nvSpPr>
        <xdr:cNvPr id="26" name="CaixaDeTexto 25">
          <a:extLst>
            <a:ext uri="{FF2B5EF4-FFF2-40B4-BE49-F238E27FC236}">
              <a16:creationId xmlns:a16="http://schemas.microsoft.com/office/drawing/2014/main" id="{00000000-0008-0000-0000-00001A000000}"/>
            </a:ext>
          </a:extLst>
        </xdr:cNvPr>
        <xdr:cNvSpPr txBox="1"/>
      </xdr:nvSpPr>
      <xdr:spPr>
        <a:xfrm>
          <a:off x="324971" y="3104029"/>
          <a:ext cx="2711823" cy="235324"/>
        </a:xfrm>
        <a:prstGeom prst="rect">
          <a:avLst/>
        </a:prstGeom>
        <a:solidFill>
          <a:schemeClr val="accent3">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ITENS DE ESTOQUE</a:t>
          </a:r>
          <a:endParaRPr lang="pt-BR" sz="1100" b="1"/>
        </a:p>
      </xdr:txBody>
    </xdr:sp>
    <xdr:clientData/>
  </xdr:twoCellAnchor>
  <xdr:twoCellAnchor>
    <xdr:from>
      <xdr:col>2</xdr:col>
      <xdr:colOff>0</xdr:colOff>
      <xdr:row>20</xdr:row>
      <xdr:rowOff>0</xdr:rowOff>
    </xdr:from>
    <xdr:to>
      <xdr:col>3</xdr:col>
      <xdr:colOff>0</xdr:colOff>
      <xdr:row>21</xdr:row>
      <xdr:rowOff>0</xdr:rowOff>
    </xdr:to>
    <xdr:sp macro="[0]!Ir_ControleEstoque" textlink="">
      <xdr:nvSpPr>
        <xdr:cNvPr id="27" name="CaixaDeTexto 26">
          <a:extLst>
            <a:ext uri="{FF2B5EF4-FFF2-40B4-BE49-F238E27FC236}">
              <a16:creationId xmlns:a16="http://schemas.microsoft.com/office/drawing/2014/main" id="{00000000-0008-0000-0000-00001B000000}"/>
            </a:ext>
          </a:extLst>
        </xdr:cNvPr>
        <xdr:cNvSpPr txBox="1"/>
      </xdr:nvSpPr>
      <xdr:spPr>
        <a:xfrm>
          <a:off x="324971"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CONTROLE</a:t>
          </a:r>
          <a:r>
            <a:rPr lang="pt-BR" sz="1100" b="1" baseline="0"/>
            <a:t> DE ESTOQUE</a:t>
          </a:r>
          <a:endParaRPr lang="pt-BR" sz="1100" b="1"/>
        </a:p>
      </xdr:txBody>
    </xdr:sp>
    <xdr:clientData/>
  </xdr:twoCellAnchor>
  <xdr:twoCellAnchor>
    <xdr:from>
      <xdr:col>2</xdr:col>
      <xdr:colOff>-1</xdr:colOff>
      <xdr:row>10</xdr:row>
      <xdr:rowOff>0</xdr:rowOff>
    </xdr:from>
    <xdr:to>
      <xdr:col>2</xdr:col>
      <xdr:colOff>2711822</xdr:colOff>
      <xdr:row>11</xdr:row>
      <xdr:rowOff>0</xdr:rowOff>
    </xdr:to>
    <xdr:sp macro="[0]!Ir_GrupoContas" textlink="">
      <xdr:nvSpPr>
        <xdr:cNvPr id="29" name="CaixaDeTexto 28">
          <a:extLst>
            <a:ext uri="{FF2B5EF4-FFF2-40B4-BE49-F238E27FC236}">
              <a16:creationId xmlns:a16="http://schemas.microsoft.com/office/drawing/2014/main" id="{00000000-0008-0000-0000-00001D000000}"/>
            </a:ext>
          </a:extLst>
        </xdr:cNvPr>
        <xdr:cNvSpPr txBox="1"/>
      </xdr:nvSpPr>
      <xdr:spPr>
        <a:xfrm>
          <a:off x="324970" y="1703294"/>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GRUPOS</a:t>
          </a:r>
          <a:r>
            <a:rPr lang="pt-BR" sz="1100" b="1" baseline="0"/>
            <a:t> DE CONTAS</a:t>
          </a:r>
          <a:endParaRPr lang="pt-BR" sz="1100" b="1"/>
        </a:p>
      </xdr:txBody>
    </xdr:sp>
    <xdr:clientData/>
  </xdr:twoCellAnchor>
  <xdr:twoCellAnchor>
    <xdr:from>
      <xdr:col>5</xdr:col>
      <xdr:colOff>0</xdr:colOff>
      <xdr:row>8</xdr:row>
      <xdr:rowOff>0</xdr:rowOff>
    </xdr:from>
    <xdr:to>
      <xdr:col>6</xdr:col>
      <xdr:colOff>0</xdr:colOff>
      <xdr:row>9</xdr:row>
      <xdr:rowOff>0</xdr:rowOff>
    </xdr:to>
    <xdr:sp macro="[0]!Ir_RelatorioRealizado" textlink="">
      <xdr:nvSpPr>
        <xdr:cNvPr id="28" name="CaixaDeTexto 27">
          <a:extLst>
            <a:ext uri="{FF2B5EF4-FFF2-40B4-BE49-F238E27FC236}">
              <a16:creationId xmlns:a16="http://schemas.microsoft.com/office/drawing/2014/main" id="{00000000-0008-0000-0000-00001C000000}"/>
            </a:ext>
          </a:extLst>
        </xdr:cNvPr>
        <xdr:cNvSpPr txBox="1"/>
      </xdr:nvSpPr>
      <xdr:spPr>
        <a:xfrm>
          <a:off x="3473824" y="1355912"/>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TÍTULOS</a:t>
          </a:r>
          <a:r>
            <a:rPr lang="pt-BR" sz="1100" b="1" baseline="0"/>
            <a:t> BAIXADOS / A BAIXAR</a:t>
          </a:r>
          <a:endParaRPr lang="pt-BR" sz="1100" b="1"/>
        </a:p>
      </xdr:txBody>
    </xdr:sp>
    <xdr:clientData/>
  </xdr:twoCellAnchor>
  <xdr:twoCellAnchor>
    <xdr:from>
      <xdr:col>5</xdr:col>
      <xdr:colOff>0</xdr:colOff>
      <xdr:row>10</xdr:row>
      <xdr:rowOff>0</xdr:rowOff>
    </xdr:from>
    <xdr:to>
      <xdr:col>6</xdr:col>
      <xdr:colOff>0</xdr:colOff>
      <xdr:row>11</xdr:row>
      <xdr:rowOff>0</xdr:rowOff>
    </xdr:to>
    <xdr:sp macro="[0]!Ir_RelatorioSaldos" textlink="">
      <xdr:nvSpPr>
        <xdr:cNvPr id="30" name="CaixaDeTexto 29">
          <a:extLst>
            <a:ext uri="{FF2B5EF4-FFF2-40B4-BE49-F238E27FC236}">
              <a16:creationId xmlns:a16="http://schemas.microsoft.com/office/drawing/2014/main" id="{00000000-0008-0000-0000-00001E000000}"/>
            </a:ext>
          </a:extLst>
        </xdr:cNvPr>
        <xdr:cNvSpPr txBox="1"/>
      </xdr:nvSpPr>
      <xdr:spPr>
        <a:xfrm>
          <a:off x="3473824" y="1703294"/>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SALDOS DAS CONTAS CORRENTES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12</xdr:col>
      <xdr:colOff>438149</xdr:colOff>
      <xdr:row>3</xdr:row>
      <xdr:rowOff>133349</xdr:rowOff>
    </xdr:from>
    <xdr:to>
      <xdr:col>19</xdr:col>
      <xdr:colOff>142874</xdr:colOff>
      <xdr:row>25</xdr:row>
      <xdr:rowOff>85724</xdr:rowOff>
    </xdr:to>
    <xdr:sp macro="" textlink="">
      <xdr:nvSpPr>
        <xdr:cNvPr id="6" name="ShpDicas">
          <a:extLst>
            <a:ext uri="{FF2B5EF4-FFF2-40B4-BE49-F238E27FC236}">
              <a16:creationId xmlns:a16="http://schemas.microsoft.com/office/drawing/2014/main" id="{00000000-0008-0000-0100-000006000000}"/>
            </a:ext>
          </a:extLst>
        </xdr:cNvPr>
        <xdr:cNvSpPr/>
      </xdr:nvSpPr>
      <xdr:spPr>
        <a:xfrm>
          <a:off x="8715374" y="571499"/>
          <a:ext cx="3971925" cy="4143375"/>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chemeClr val="accent5">
                  <a:lumMod val="50000"/>
                </a:schemeClr>
              </a:solidFill>
              <a:effectLst/>
              <a:latin typeface="+mn-lt"/>
              <a:ea typeface="+mn-ea"/>
              <a:cs typeface="+mn-cs"/>
            </a:rPr>
            <a:t>Registra o titular ou titulares dos recebimentos e pagamentos realizados ou a realizar.</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empresas. </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O resultado dos lançamentos por titular são observados no Relatório "Resultado por Titular".</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Caso</a:t>
          </a:r>
          <a:r>
            <a:rPr lang="pt-BR" sz="1100" baseline="0">
              <a:solidFill>
                <a:schemeClr val="accent5">
                  <a:lumMod val="50000"/>
                </a:schemeClr>
              </a:solidFill>
              <a:effectLst/>
              <a:latin typeface="+mn-lt"/>
              <a:ea typeface="+mn-ea"/>
              <a:cs typeface="+mn-cs"/>
            </a:rPr>
            <a:t> você não precise controlar suas finanças através de mais de um Titular, cadastre apenas um nome e o mesmo aparecerá automaticamente no campo respectivo do formulário de lançamentos, simplificando o processo de lançamento dos recebimentos, pagamentos e movimentações financeiras.</a:t>
          </a:r>
          <a:endParaRPr lang="pt-BR">
            <a:solidFill>
              <a:schemeClr val="accent5">
                <a:lumMod val="50000"/>
              </a:schemeClr>
            </a:solidFill>
            <a:effectLst/>
          </a:endParaRPr>
        </a:p>
      </xdr:txBody>
    </xdr:sp>
    <xdr:clientData/>
  </xdr:twoCellAnchor>
  <xdr:twoCellAnchor>
    <xdr:from>
      <xdr:col>3</xdr:col>
      <xdr:colOff>76200</xdr:colOff>
      <xdr:row>1</xdr:row>
      <xdr:rowOff>28575</xdr:rowOff>
    </xdr:from>
    <xdr:to>
      <xdr:col>4</xdr:col>
      <xdr:colOff>47625</xdr:colOff>
      <xdr:row>1</xdr:row>
      <xdr:rowOff>285750</xdr:rowOff>
    </xdr:to>
    <xdr:sp macro="[0]!ChamarFormCadTitular" textlink="">
      <xdr:nvSpPr>
        <xdr:cNvPr id="2" name="CaixaDeTexto 1">
          <a:extLst>
            <a:ext uri="{FF2B5EF4-FFF2-40B4-BE49-F238E27FC236}">
              <a16:creationId xmlns:a16="http://schemas.microsoft.com/office/drawing/2014/main" id="{00000000-0008-0000-0100-000002000000}"/>
            </a:ext>
          </a:extLst>
        </xdr:cNvPr>
        <xdr:cNvSpPr txBox="1"/>
      </xdr:nvSpPr>
      <xdr:spPr>
        <a:xfrm>
          <a:off x="2867025" y="76200"/>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1097056</xdr:colOff>
      <xdr:row>1</xdr:row>
      <xdr:rowOff>187139</xdr:rowOff>
    </xdr:from>
    <xdr:to>
      <xdr:col>2</xdr:col>
      <xdr:colOff>1592356</xdr:colOff>
      <xdr:row>1</xdr:row>
      <xdr:rowOff>368114</xdr:rowOff>
    </xdr:to>
    <xdr:sp macro="[0]!ChamarFormCadCliFor" textlink="">
      <xdr:nvSpPr>
        <xdr:cNvPr id="3" name="CaixaDeTexto 2">
          <a:extLst>
            <a:ext uri="{FF2B5EF4-FFF2-40B4-BE49-F238E27FC236}">
              <a16:creationId xmlns:a16="http://schemas.microsoft.com/office/drawing/2014/main" id="{00000000-0008-0000-0200-000003000000}"/>
            </a:ext>
          </a:extLst>
        </xdr:cNvPr>
        <xdr:cNvSpPr txBox="1"/>
      </xdr:nvSpPr>
      <xdr:spPr>
        <a:xfrm>
          <a:off x="1601321" y="220757"/>
          <a:ext cx="495300" cy="1809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t>NOVO</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13</xdr:col>
      <xdr:colOff>352425</xdr:colOff>
      <xdr:row>3</xdr:row>
      <xdr:rowOff>142872</xdr:rowOff>
    </xdr:from>
    <xdr:to>
      <xdr:col>18</xdr:col>
      <xdr:colOff>335861</xdr:colOff>
      <xdr:row>24</xdr:row>
      <xdr:rowOff>47625</xdr:rowOff>
    </xdr:to>
    <xdr:sp macro="" textlink="">
      <xdr:nvSpPr>
        <xdr:cNvPr id="9" name="ShpDicas">
          <a:extLst>
            <a:ext uri="{FF2B5EF4-FFF2-40B4-BE49-F238E27FC236}">
              <a16:creationId xmlns:a16="http://schemas.microsoft.com/office/drawing/2014/main" id="{00000000-0008-0000-0300-000009000000}"/>
            </a:ext>
          </a:extLst>
        </xdr:cNvPr>
        <xdr:cNvSpPr/>
      </xdr:nvSpPr>
      <xdr:spPr>
        <a:xfrm>
          <a:off x="9344025" y="552447"/>
          <a:ext cx="3031436" cy="3905253"/>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5">
                  <a:lumMod val="50000"/>
                </a:schemeClr>
              </a:solidFill>
              <a:effectLst/>
              <a:latin typeface="+mn-lt"/>
              <a:ea typeface="+mn-ea"/>
              <a:cs typeface="+mn-cs"/>
            </a:rPr>
            <a:t>'Centro de Custos' serve para concentrar os registros de recebimentos e pagamentos dentro de uma mesma unidade de controle.</a:t>
          </a:r>
        </a:p>
        <a:p>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Você pode criar centros de custos para controle de seus gastos pessoais, como: "Moradia",  "Alimentação", "Educação", "Lazer" etc.</a:t>
          </a:r>
        </a:p>
        <a:p>
          <a:r>
            <a:rPr lang="pt-BR" sz="1100">
              <a:solidFill>
                <a:schemeClr val="accent5">
                  <a:lumMod val="50000"/>
                </a:schemeClr>
              </a:solidFill>
              <a:effectLst/>
              <a:latin typeface="+mn-lt"/>
              <a:ea typeface="+mn-ea"/>
              <a:cs typeface="+mn-cs"/>
            </a:rPr>
            <a:t> </a:t>
          </a:r>
          <a:endParaRPr lang="pt-BR" sz="900">
            <a:solidFill>
              <a:schemeClr val="accent5">
                <a:lumMod val="50000"/>
              </a:schemeClr>
            </a:solidFill>
            <a:effectLst/>
          </a:endParaRPr>
        </a:p>
        <a:p>
          <a:r>
            <a:rPr lang="pt-BR" sz="1100">
              <a:solidFill>
                <a:schemeClr val="accent5">
                  <a:lumMod val="50000"/>
                </a:schemeClr>
              </a:solidFill>
              <a:effectLst/>
              <a:latin typeface="+mn-lt"/>
              <a:ea typeface="+mn-ea"/>
              <a:cs typeface="+mn-cs"/>
            </a:rPr>
            <a:t>Por exemplo,</a:t>
          </a:r>
          <a:r>
            <a:rPr lang="pt-BR" sz="1100" baseline="0">
              <a:solidFill>
                <a:schemeClr val="accent5">
                  <a:lumMod val="50000"/>
                </a:schemeClr>
              </a:solidFill>
              <a:effectLst/>
              <a:latin typeface="+mn-lt"/>
              <a:ea typeface="+mn-ea"/>
              <a:cs typeface="+mn-cs"/>
            </a:rPr>
            <a:t> </a:t>
          </a:r>
          <a:r>
            <a:rPr lang="pt-BR" sz="1100">
              <a:solidFill>
                <a:schemeClr val="accent5">
                  <a:lumMod val="50000"/>
                </a:schemeClr>
              </a:solidFill>
              <a:effectLst/>
              <a:latin typeface="+mn-lt"/>
              <a:ea typeface="+mn-ea"/>
              <a:cs typeface="+mn-cs"/>
            </a:rPr>
            <a:t>o centro de custos "Moradia" concentra as despesas com prestações da casa própria ou aluguel, contas de água, luz, telefone, mercado etc, as quais, por sua vez, são definidas através do 'Plano de Contas'. </a:t>
          </a:r>
        </a:p>
        <a:p>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Assim, ao selecionar o Relatório por Centros de Custos você verá que o valor informado para "Moradia" corresponderá à soma das despesas que você associou a esse centro de custos.</a:t>
          </a:r>
          <a:endParaRPr lang="pt-BR" sz="900">
            <a:solidFill>
              <a:schemeClr val="accent5">
                <a:lumMod val="50000"/>
              </a:schemeClr>
            </a:solidFill>
            <a:effectLst/>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CadCCustos" textlink="">
      <xdr:nvSpPr>
        <xdr:cNvPr id="3" name="CaixaDeTexto 2">
          <a:extLst>
            <a:ext uri="{FF2B5EF4-FFF2-40B4-BE49-F238E27FC236}">
              <a16:creationId xmlns:a16="http://schemas.microsoft.com/office/drawing/2014/main" id="{00000000-0008-0000-03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13</xdr:col>
      <xdr:colOff>304800</xdr:colOff>
      <xdr:row>3</xdr:row>
      <xdr:rowOff>104775</xdr:rowOff>
    </xdr:from>
    <xdr:to>
      <xdr:col>19</xdr:col>
      <xdr:colOff>0</xdr:colOff>
      <xdr:row>26</xdr:row>
      <xdr:rowOff>9525</xdr:rowOff>
    </xdr:to>
    <xdr:sp macro="" textlink="">
      <xdr:nvSpPr>
        <xdr:cNvPr id="2" name="ShpDicas">
          <a:extLst>
            <a:ext uri="{FF2B5EF4-FFF2-40B4-BE49-F238E27FC236}">
              <a16:creationId xmlns:a16="http://schemas.microsoft.com/office/drawing/2014/main" id="{00000000-0008-0000-0400-000002000000}"/>
            </a:ext>
          </a:extLst>
        </xdr:cNvPr>
        <xdr:cNvSpPr/>
      </xdr:nvSpPr>
      <xdr:spPr>
        <a:xfrm>
          <a:off x="9296400" y="514350"/>
          <a:ext cx="3352800" cy="4286250"/>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5">
                  <a:lumMod val="50000"/>
                </a:schemeClr>
              </a:solidFill>
              <a:effectLst/>
              <a:latin typeface="+mn-lt"/>
              <a:ea typeface="+mn-ea"/>
              <a:cs typeface="+mn-cs"/>
            </a:rPr>
            <a:t>Grupo de Contas' serve para aglutinar as contas do plano de contas dentro de uma mesma unidade de controle,</a:t>
          </a:r>
          <a:r>
            <a:rPr lang="pt-BR" sz="1100" baseline="0">
              <a:solidFill>
                <a:schemeClr val="accent5">
                  <a:lumMod val="50000"/>
                </a:schemeClr>
              </a:solidFill>
              <a:effectLst/>
              <a:latin typeface="+mn-lt"/>
              <a:ea typeface="+mn-ea"/>
              <a:cs typeface="+mn-cs"/>
            </a:rPr>
            <a:t> segundo a sua natureza.</a:t>
          </a:r>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 </a:t>
          </a:r>
          <a:endParaRPr lang="pt-BR" sz="900">
            <a:solidFill>
              <a:schemeClr val="accent5">
                <a:lumMod val="50000"/>
              </a:schemeClr>
            </a:solidFill>
            <a:effectLst/>
          </a:endParaRPr>
        </a:p>
        <a:p>
          <a:r>
            <a:rPr lang="pt-BR" sz="1100">
              <a:solidFill>
                <a:schemeClr val="accent5">
                  <a:lumMod val="50000"/>
                </a:schemeClr>
              </a:solidFill>
              <a:effectLst/>
              <a:latin typeface="+mn-lt"/>
              <a:ea typeface="+mn-ea"/>
              <a:cs typeface="+mn-cs"/>
            </a:rPr>
            <a:t>Você pode,</a:t>
          </a:r>
          <a:r>
            <a:rPr lang="pt-BR" sz="1100" baseline="0">
              <a:solidFill>
                <a:schemeClr val="accent5">
                  <a:lumMod val="50000"/>
                </a:schemeClr>
              </a:solidFill>
              <a:effectLst/>
              <a:latin typeface="+mn-lt"/>
              <a:ea typeface="+mn-ea"/>
              <a:cs typeface="+mn-cs"/>
            </a:rPr>
            <a:t> por exemplo, criar um Grupo de Contas chamado "DESPESAS COM PESSOAL" para concentrar as contas</a:t>
          </a:r>
          <a:r>
            <a:rPr lang="pt-BR" sz="1100">
              <a:solidFill>
                <a:schemeClr val="accent5">
                  <a:lumMod val="50000"/>
                </a:schemeClr>
              </a:solidFill>
              <a:effectLst/>
              <a:latin typeface="+mn-lt"/>
              <a:ea typeface="+mn-ea"/>
              <a:cs typeface="+mn-cs"/>
            </a:rPr>
            <a:t> de 'SALÁRIOS', 'FÉRIAS', '13º</a:t>
          </a:r>
          <a:r>
            <a:rPr lang="pt-BR" sz="1100" baseline="0">
              <a:solidFill>
                <a:schemeClr val="accent5">
                  <a:lumMod val="50000"/>
                </a:schemeClr>
              </a:solidFill>
              <a:effectLst/>
              <a:latin typeface="+mn-lt"/>
              <a:ea typeface="+mn-ea"/>
              <a:cs typeface="+mn-cs"/>
            </a:rPr>
            <a:t> SALÁRIO', 'GRATIFICAÇÕES' etc, que, por sua vez, são criadas pelo Plano de Contas.</a:t>
          </a:r>
        </a:p>
        <a:p>
          <a:endParaRPr lang="pt-BR" sz="1100" baseline="0">
            <a:solidFill>
              <a:schemeClr val="accent5">
                <a:lumMod val="50000"/>
              </a:schemeClr>
            </a:solidFill>
            <a:effectLst/>
            <a:latin typeface="+mn-lt"/>
            <a:ea typeface="+mn-ea"/>
            <a:cs typeface="+mn-cs"/>
          </a:endParaRPr>
        </a:p>
        <a:p>
          <a:r>
            <a:rPr lang="pt-BR" sz="1100" baseline="0">
              <a:solidFill>
                <a:schemeClr val="accent5">
                  <a:lumMod val="50000"/>
                </a:schemeClr>
              </a:solidFill>
              <a:effectLst/>
              <a:latin typeface="+mn-lt"/>
              <a:ea typeface="+mn-ea"/>
              <a:cs typeface="+mn-cs"/>
            </a:rPr>
            <a:t>Outro exemplo é o Grupo de Contas "RECEITAS OPERACIONAIS", que pode concentrar as contas de VENDA DE PRODUTOS', PRESTAÇÃO DE SERVIÇOS' etc.</a:t>
          </a:r>
        </a:p>
        <a:p>
          <a:endParaRPr lang="pt-BR" sz="1100" baseline="0">
            <a:solidFill>
              <a:schemeClr val="accent5">
                <a:lumMod val="50000"/>
              </a:schemeClr>
            </a:solidFill>
            <a:effectLst/>
            <a:latin typeface="+mn-lt"/>
            <a:ea typeface="+mn-ea"/>
            <a:cs typeface="+mn-cs"/>
          </a:endParaRPr>
        </a:p>
        <a:p>
          <a:r>
            <a:rPr lang="pt-BR" sz="1100" baseline="0">
              <a:solidFill>
                <a:schemeClr val="accent5">
                  <a:lumMod val="50000"/>
                </a:schemeClr>
              </a:solidFill>
              <a:effectLst/>
              <a:latin typeface="+mn-lt"/>
              <a:ea typeface="+mn-ea"/>
              <a:cs typeface="+mn-cs"/>
            </a:rPr>
            <a:t>Assim como o Grupo de Contas "DESPESAS OPERACIONAIS" pode aglutinar as contas COMPRA DE PRODUTOS PARA REVENDA', 'COMPRA DE INSUMOS', CUSTOS COM PESSOAL', 'ALUGUEL DA FÁBRICA' etc.</a:t>
          </a:r>
          <a:endParaRPr lang="pt-BR" sz="1100">
            <a:solidFill>
              <a:schemeClr val="accent5">
                <a:lumMod val="50000"/>
              </a:schemeClr>
            </a:solidFill>
            <a:effectLst/>
            <a:latin typeface="+mn-lt"/>
            <a:ea typeface="+mn-ea"/>
            <a:cs typeface="+mn-cs"/>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GrupoContas" textlink="">
      <xdr:nvSpPr>
        <xdr:cNvPr id="3" name="CaixaDeTexto 2">
          <a:extLst>
            <a:ext uri="{FF2B5EF4-FFF2-40B4-BE49-F238E27FC236}">
              <a16:creationId xmlns:a16="http://schemas.microsoft.com/office/drawing/2014/main" id="{00000000-0008-0000-04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266699</xdr:colOff>
      <xdr:row>3</xdr:row>
      <xdr:rowOff>133350</xdr:rowOff>
    </xdr:from>
    <xdr:to>
      <xdr:col>14</xdr:col>
      <xdr:colOff>561974</xdr:colOff>
      <xdr:row>22</xdr:row>
      <xdr:rowOff>95249</xdr:rowOff>
    </xdr:to>
    <xdr:sp macro="" textlink="">
      <xdr:nvSpPr>
        <xdr:cNvPr id="8" name="ShpDicas">
          <a:extLst>
            <a:ext uri="{FF2B5EF4-FFF2-40B4-BE49-F238E27FC236}">
              <a16:creationId xmlns:a16="http://schemas.microsoft.com/office/drawing/2014/main" id="{00000000-0008-0000-0500-000008000000}"/>
            </a:ext>
          </a:extLst>
        </xdr:cNvPr>
        <xdr:cNvSpPr/>
      </xdr:nvSpPr>
      <xdr:spPr>
        <a:xfrm>
          <a:off x="8772524" y="514350"/>
          <a:ext cx="3952875" cy="3581399"/>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5">
                  <a:lumMod val="50000"/>
                </a:schemeClr>
              </a:solidFill>
              <a:effectLst/>
              <a:latin typeface="+mn-lt"/>
              <a:ea typeface="+mn-ea"/>
              <a:cs typeface="+mn-cs"/>
            </a:rPr>
            <a:t>O</a:t>
          </a:r>
          <a:r>
            <a:rPr lang="pt-BR" sz="1100" baseline="0">
              <a:solidFill>
                <a:schemeClr val="accent5">
                  <a:lumMod val="50000"/>
                </a:schemeClr>
              </a:solidFill>
              <a:effectLst/>
              <a:latin typeface="+mn-lt"/>
              <a:ea typeface="+mn-ea"/>
              <a:cs typeface="+mn-cs"/>
            </a:rPr>
            <a:t> '</a:t>
          </a:r>
          <a:r>
            <a:rPr lang="pt-BR" sz="1100">
              <a:solidFill>
                <a:schemeClr val="accent5">
                  <a:lumMod val="50000"/>
                </a:schemeClr>
              </a:solidFill>
              <a:effectLst/>
              <a:latin typeface="+mn-lt"/>
              <a:ea typeface="+mn-ea"/>
              <a:cs typeface="+mn-cs"/>
            </a:rPr>
            <a:t>Plano de Contas' reune as contas de receitas,</a:t>
          </a:r>
          <a:r>
            <a:rPr lang="pt-BR" sz="1100" baseline="0">
              <a:solidFill>
                <a:schemeClr val="accent5">
                  <a:lumMod val="50000"/>
                </a:schemeClr>
              </a:solidFill>
              <a:effectLst/>
              <a:latin typeface="+mn-lt"/>
              <a:ea typeface="+mn-ea"/>
              <a:cs typeface="+mn-cs"/>
            </a:rPr>
            <a:t> de</a:t>
          </a:r>
          <a:r>
            <a:rPr lang="pt-BR" sz="1100">
              <a:solidFill>
                <a:schemeClr val="accent5">
                  <a:lumMod val="50000"/>
                </a:schemeClr>
              </a:solidFill>
              <a:effectLst/>
              <a:latin typeface="+mn-lt"/>
              <a:ea typeface="+mn-ea"/>
              <a:cs typeface="+mn-cs"/>
            </a:rPr>
            <a:t> despesas  e as</a:t>
          </a:r>
          <a:r>
            <a:rPr lang="pt-BR" sz="1100" baseline="0">
              <a:solidFill>
                <a:schemeClr val="accent5">
                  <a:lumMod val="50000"/>
                </a:schemeClr>
              </a:solidFill>
              <a:effectLst/>
              <a:latin typeface="+mn-lt"/>
              <a:ea typeface="+mn-ea"/>
              <a:cs typeface="+mn-cs"/>
            </a:rPr>
            <a:t> de movimentação financeira (saldo inicial, transferências entre contas correntes etc), </a:t>
          </a:r>
          <a:r>
            <a:rPr lang="pt-BR" sz="1100">
              <a:solidFill>
                <a:schemeClr val="accent5">
                  <a:lumMod val="50000"/>
                </a:schemeClr>
              </a:solidFill>
              <a:effectLst/>
              <a:latin typeface="+mn-lt"/>
              <a:ea typeface="+mn-ea"/>
              <a:cs typeface="+mn-cs"/>
            </a:rPr>
            <a:t>a serem utilizadas no controle financeiro, para identificação dos tipos de recebimentos e pagamentos efetuados ou a efetuar, e nos</a:t>
          </a:r>
          <a:r>
            <a:rPr lang="pt-BR" sz="1100" baseline="0">
              <a:solidFill>
                <a:schemeClr val="accent5">
                  <a:lumMod val="50000"/>
                </a:schemeClr>
              </a:solidFill>
              <a:effectLst/>
              <a:latin typeface="+mn-lt"/>
              <a:ea typeface="+mn-ea"/>
              <a:cs typeface="+mn-cs"/>
            </a:rPr>
            <a:t> fluxos de caixa</a:t>
          </a:r>
          <a:r>
            <a:rPr lang="pt-BR" sz="1100">
              <a:solidFill>
                <a:schemeClr val="accent5">
                  <a:lumMod val="50000"/>
                </a:schemeClr>
              </a:solidFill>
              <a:effectLst/>
              <a:latin typeface="+mn-lt"/>
              <a:ea typeface="+mn-ea"/>
              <a:cs typeface="+mn-cs"/>
            </a:rPr>
            <a:t>.</a:t>
          </a:r>
        </a:p>
        <a:p>
          <a:endParaRPr lang="pt-BR">
            <a:solidFill>
              <a:schemeClr val="accent5">
                <a:lumMod val="50000"/>
              </a:schemeClr>
            </a:solidFill>
            <a:effectLst/>
          </a:endParaRPr>
        </a:p>
        <a:p>
          <a:r>
            <a:rPr lang="pt-BR" sz="1100" u="sng">
              <a:solidFill>
                <a:schemeClr val="accent5">
                  <a:lumMod val="50000"/>
                </a:schemeClr>
              </a:solidFill>
              <a:effectLst/>
              <a:latin typeface="+mn-lt"/>
              <a:ea typeface="+mn-ea"/>
              <a:cs typeface="+mn-cs"/>
            </a:rPr>
            <a:t>Exemplo de contas de receita: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"Receita de Prestação de Serviços", "Receita Financeira", "Outras Receitas"</a:t>
          </a:r>
        </a:p>
        <a:p>
          <a:endParaRPr lang="pt-BR">
            <a:solidFill>
              <a:schemeClr val="accent5">
                <a:lumMod val="50000"/>
              </a:schemeClr>
            </a:solidFill>
            <a:effectLst/>
          </a:endParaRPr>
        </a:p>
        <a:p>
          <a:r>
            <a:rPr lang="pt-BR" sz="1100" u="sng">
              <a:solidFill>
                <a:schemeClr val="accent5">
                  <a:lumMod val="50000"/>
                </a:schemeClr>
              </a:solidFill>
              <a:effectLst/>
              <a:latin typeface="+mn-lt"/>
              <a:ea typeface="+mn-ea"/>
              <a:cs typeface="+mn-cs"/>
            </a:rPr>
            <a:t>Exemplo de contas de despesa: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"Aluguéis", "Conta de Energia", "Tarifas Bancárias", "Impostos", "Outras Despesas"</a:t>
          </a:r>
        </a:p>
        <a:p>
          <a:endParaRPr lang="pt-BR" sz="1100">
            <a:solidFill>
              <a:schemeClr val="accent5">
                <a:lumMod val="50000"/>
              </a:schemeClr>
            </a:solidFill>
            <a:effectLst/>
            <a:latin typeface="+mn-lt"/>
            <a:ea typeface="+mn-ea"/>
            <a:cs typeface="+mn-cs"/>
          </a:endParaRPr>
        </a:p>
        <a:p>
          <a:r>
            <a:rPr lang="pt-BR" sz="1100" u="sng">
              <a:solidFill>
                <a:schemeClr val="accent5">
                  <a:lumMod val="50000"/>
                </a:schemeClr>
              </a:solidFill>
              <a:effectLst/>
              <a:latin typeface="+mn-lt"/>
              <a:ea typeface="+mn-ea"/>
              <a:cs typeface="+mn-cs"/>
            </a:rPr>
            <a:t>Exemplo de contas de movimentação financeira: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"Transferência entre Contas", "Aplicação Financeira", "Resgate de Aplicação</a:t>
          </a:r>
          <a:r>
            <a:rPr lang="pt-BR" sz="1100" baseline="0">
              <a:solidFill>
                <a:schemeClr val="accent5">
                  <a:lumMod val="50000"/>
                </a:schemeClr>
              </a:solidFill>
              <a:effectLst/>
              <a:latin typeface="+mn-lt"/>
              <a:ea typeface="+mn-ea"/>
              <a:cs typeface="+mn-cs"/>
            </a:rPr>
            <a:t> Financeira</a:t>
          </a:r>
          <a:r>
            <a:rPr lang="pt-BR" sz="1100">
              <a:solidFill>
                <a:schemeClr val="accent5">
                  <a:lumMod val="50000"/>
                </a:schemeClr>
              </a:solidFill>
              <a:effectLst/>
              <a:latin typeface="+mn-lt"/>
              <a:ea typeface="+mn-ea"/>
              <a:cs typeface="+mn-cs"/>
            </a:rPr>
            <a:t>"</a:t>
          </a:r>
          <a:endParaRPr lang="pt-BR">
            <a:solidFill>
              <a:schemeClr val="accent5">
                <a:lumMod val="50000"/>
              </a:schemeClr>
            </a:solidFill>
            <a:effectLst/>
          </a:endParaRPr>
        </a:p>
        <a:p>
          <a:endParaRPr lang="pt-BR">
            <a:solidFill>
              <a:schemeClr val="accent5">
                <a:lumMod val="50000"/>
              </a:schemeClr>
            </a:solidFill>
            <a:effectLst/>
          </a:endParaRPr>
        </a:p>
      </xdr:txBody>
    </xdr:sp>
    <xdr:clientData/>
  </xdr:twoCellAnchor>
  <xdr:twoCellAnchor>
    <xdr:from>
      <xdr:col>7</xdr:col>
      <xdr:colOff>47625</xdr:colOff>
      <xdr:row>1</xdr:row>
      <xdr:rowOff>66675</xdr:rowOff>
    </xdr:from>
    <xdr:to>
      <xdr:col>8</xdr:col>
      <xdr:colOff>0</xdr:colOff>
      <xdr:row>1</xdr:row>
      <xdr:rowOff>276225</xdr:rowOff>
    </xdr:to>
    <xdr:sp macro="[0]!ChamarFormCadPlanoContas" textlink="">
      <xdr:nvSpPr>
        <xdr:cNvPr id="3" name="CaixaDeTexto 2">
          <a:extLst>
            <a:ext uri="{FF2B5EF4-FFF2-40B4-BE49-F238E27FC236}">
              <a16:creationId xmlns:a16="http://schemas.microsoft.com/office/drawing/2014/main" id="{00000000-0008-0000-0500-000003000000}"/>
            </a:ext>
          </a:extLst>
        </xdr:cNvPr>
        <xdr:cNvSpPr txBox="1"/>
      </xdr:nvSpPr>
      <xdr:spPr>
        <a:xfrm>
          <a:off x="8410575" y="114300"/>
          <a:ext cx="561975" cy="209550"/>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10</xdr:col>
      <xdr:colOff>571499</xdr:colOff>
      <xdr:row>3</xdr:row>
      <xdr:rowOff>123825</xdr:rowOff>
    </xdr:from>
    <xdr:to>
      <xdr:col>16</xdr:col>
      <xdr:colOff>104774</xdr:colOff>
      <xdr:row>18</xdr:row>
      <xdr:rowOff>47625</xdr:rowOff>
    </xdr:to>
    <xdr:sp macro="" textlink="">
      <xdr:nvSpPr>
        <xdr:cNvPr id="6" name="ShpDicas">
          <a:extLst>
            <a:ext uri="{FF2B5EF4-FFF2-40B4-BE49-F238E27FC236}">
              <a16:creationId xmlns:a16="http://schemas.microsoft.com/office/drawing/2014/main" id="{00000000-0008-0000-0600-000006000000}"/>
            </a:ext>
          </a:extLst>
        </xdr:cNvPr>
        <xdr:cNvSpPr/>
      </xdr:nvSpPr>
      <xdr:spPr>
        <a:xfrm>
          <a:off x="9324974" y="552450"/>
          <a:ext cx="3190875" cy="2781300"/>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chemeClr val="accent5">
                  <a:lumMod val="50000"/>
                </a:schemeClr>
              </a:solidFill>
              <a:effectLst/>
              <a:latin typeface="+mn-lt"/>
              <a:ea typeface="+mn-ea"/>
              <a:cs typeface="+mn-cs"/>
            </a:rPr>
            <a:t>Cadastre a conta </a:t>
          </a:r>
          <a:r>
            <a:rPr lang="pt-BR" sz="1100" baseline="0">
              <a:solidFill>
                <a:schemeClr val="accent5">
                  <a:lumMod val="50000"/>
                </a:schemeClr>
              </a:solidFill>
              <a:effectLst/>
              <a:latin typeface="+mn-lt"/>
              <a:ea typeface="+mn-ea"/>
              <a:cs typeface="+mn-cs"/>
            </a:rPr>
            <a:t>'CAIXA' e depois as contas bancárias dos respectivos titulares.</a:t>
          </a:r>
        </a:p>
        <a:p>
          <a:pPr algn="l"/>
          <a:endParaRPr lang="pt-BR" sz="1100" baseline="0">
            <a:solidFill>
              <a:schemeClr val="accent5">
                <a:lumMod val="50000"/>
              </a:schemeClr>
            </a:solidFill>
            <a:effectLst/>
            <a:latin typeface="+mn-lt"/>
            <a:ea typeface="+mn-ea"/>
            <a:cs typeface="+mn-cs"/>
          </a:endParaRPr>
        </a:p>
        <a:p>
          <a:pPr algn="l"/>
          <a:r>
            <a:rPr lang="pt-BR" sz="1100" baseline="0">
              <a:solidFill>
                <a:schemeClr val="accent5">
                  <a:lumMod val="50000"/>
                </a:schemeClr>
              </a:solidFill>
              <a:effectLst/>
              <a:latin typeface="+mn-lt"/>
              <a:ea typeface="+mn-ea"/>
              <a:cs typeface="+mn-cs"/>
            </a:rPr>
            <a:t>Os relatórios poderãos ser gerados individualmente por Conta Corrente ou pelo somatório das mesmas. Caso você escolha um Titular na hora de gerar um relatório, somente as contas corrrentes atribuídas a ele e é que farão parte do somatório.</a:t>
          </a:r>
        </a:p>
        <a:p>
          <a:pPr algn="l"/>
          <a:endParaRPr lang="pt-BR" sz="1100" baseline="0">
            <a:solidFill>
              <a:schemeClr val="accent5">
                <a:lumMod val="50000"/>
              </a:schemeClr>
            </a:solidFill>
            <a:effectLst/>
            <a:latin typeface="+mn-lt"/>
            <a:ea typeface="+mn-ea"/>
            <a:cs typeface="+mn-cs"/>
          </a:endParaRPr>
        </a:p>
        <a:p>
          <a:pPr algn="l"/>
          <a:r>
            <a:rPr lang="pt-BR" sz="1100" baseline="0">
              <a:solidFill>
                <a:schemeClr val="accent5">
                  <a:lumMod val="50000"/>
                </a:schemeClr>
              </a:solidFill>
              <a:effectLst/>
              <a:latin typeface="+mn-lt"/>
              <a:ea typeface="+mn-ea"/>
              <a:cs typeface="+mn-cs"/>
            </a:rPr>
            <a:t>Sendo uma única conta corrente cadastrada,  ela aparecerá automaticamente no campo próprio do formulário de lançamentos.</a:t>
          </a:r>
          <a:endParaRPr lang="pt-BR">
            <a:solidFill>
              <a:schemeClr val="accent5">
                <a:lumMod val="50000"/>
              </a:schemeClr>
            </a:solidFill>
            <a:effectLst/>
          </a:endParaRPr>
        </a:p>
      </xdr:txBody>
    </xdr:sp>
    <xdr:clientData/>
  </xdr:twoCellAnchor>
  <xdr:twoCellAnchor>
    <xdr:from>
      <xdr:col>5</xdr:col>
      <xdr:colOff>133350</xdr:colOff>
      <xdr:row>1</xdr:row>
      <xdr:rowOff>66675</xdr:rowOff>
    </xdr:from>
    <xdr:to>
      <xdr:col>6</xdr:col>
      <xdr:colOff>104775</xdr:colOff>
      <xdr:row>1</xdr:row>
      <xdr:rowOff>323850</xdr:rowOff>
    </xdr:to>
    <xdr:sp macro="[0]!ChamarFormCadContaCorrente" textlink="">
      <xdr:nvSpPr>
        <xdr:cNvPr id="4" name="CaixaDeTexto 3">
          <a:extLst>
            <a:ext uri="{FF2B5EF4-FFF2-40B4-BE49-F238E27FC236}">
              <a16:creationId xmlns:a16="http://schemas.microsoft.com/office/drawing/2014/main" id="{00000000-0008-0000-0600-000004000000}"/>
            </a:ext>
          </a:extLst>
        </xdr:cNvPr>
        <xdr:cNvSpPr txBox="1"/>
      </xdr:nvSpPr>
      <xdr:spPr>
        <a:xfrm>
          <a:off x="5838825"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333375</xdr:colOff>
      <xdr:row>3</xdr:row>
      <xdr:rowOff>57151</xdr:rowOff>
    </xdr:from>
    <xdr:to>
      <xdr:col>13</xdr:col>
      <xdr:colOff>200025</xdr:colOff>
      <xdr:row>17</xdr:row>
      <xdr:rowOff>57151</xdr:rowOff>
    </xdr:to>
    <xdr:sp macro="" textlink="">
      <xdr:nvSpPr>
        <xdr:cNvPr id="2" name="ShpDicas">
          <a:extLst>
            <a:ext uri="{FF2B5EF4-FFF2-40B4-BE49-F238E27FC236}">
              <a16:creationId xmlns:a16="http://schemas.microsoft.com/office/drawing/2014/main" id="{00000000-0008-0000-0700-000002000000}"/>
            </a:ext>
          </a:extLst>
        </xdr:cNvPr>
        <xdr:cNvSpPr/>
      </xdr:nvSpPr>
      <xdr:spPr>
        <a:xfrm>
          <a:off x="9134475" y="457201"/>
          <a:ext cx="3524250" cy="2667000"/>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Cadastro</a:t>
          </a:r>
          <a:r>
            <a:rPr lang="pt-BR" sz="1100" baseline="0">
              <a:solidFill>
                <a:schemeClr val="accent2">
                  <a:lumMod val="50000"/>
                </a:schemeClr>
              </a:solidFill>
              <a:effectLst/>
              <a:latin typeface="+mn-lt"/>
              <a:ea typeface="+mn-ea"/>
              <a:cs typeface="+mn-cs"/>
            </a:rPr>
            <a:t> dos produtos adquiridos ou produzidos, para controle de saldo em estoque através do registros das compras e vendas (títulos de  lançamento)</a:t>
          </a:r>
          <a:r>
            <a:rPr lang="pt-BR" sz="1100">
              <a:solidFill>
                <a:schemeClr val="accent2">
                  <a:lumMod val="50000"/>
                </a:schemeClr>
              </a:solidFill>
              <a:effectLst/>
              <a:latin typeface="+mn-lt"/>
              <a:ea typeface="+mn-ea"/>
              <a:cs typeface="+mn-cs"/>
            </a:rPr>
            <a:t>.</a:t>
          </a:r>
        </a:p>
        <a:p>
          <a:endParaRPr lang="pt-BR" baseline="0">
            <a:solidFill>
              <a:schemeClr val="accent2">
                <a:lumMod val="50000"/>
              </a:schemeClr>
            </a:solidFill>
            <a:effectLst/>
          </a:endParaRPr>
        </a:p>
        <a:p>
          <a:r>
            <a:rPr lang="pt-BR" baseline="0">
              <a:solidFill>
                <a:schemeClr val="accent2">
                  <a:lumMod val="50000"/>
                </a:schemeClr>
              </a:solidFill>
              <a:effectLst/>
            </a:rPr>
            <a:t>Os campos "Unidade', 'Marca', 'Fabricante' e 'Observação' não são de preenchimento obrigatório.</a:t>
          </a:r>
        </a:p>
        <a:p>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Mediante ativação do botão</a:t>
          </a:r>
          <a:r>
            <a:rPr lang="pt-BR" sz="1100" baseline="0">
              <a:solidFill>
                <a:schemeClr val="accent2">
                  <a:lumMod val="50000"/>
                </a:schemeClr>
              </a:solidFill>
              <a:effectLst/>
              <a:latin typeface="+mn-lt"/>
              <a:ea typeface="+mn-ea"/>
              <a:cs typeface="+mn-cs"/>
            </a:rPr>
            <a:t> 'Conta Associada ao Controle de Estoque', do formulário de Plano de Contas, você estará definindo as contas que terão controle de entrada e saída de materiais ou produtos, para a formação do saldo em estoque.</a:t>
          </a:r>
          <a:endParaRPr lang="pt-BR">
            <a:solidFill>
              <a:schemeClr val="accent2">
                <a:lumMod val="50000"/>
              </a:schemeClr>
            </a:solidFill>
            <a:effectLst/>
          </a:endParaRPr>
        </a:p>
        <a:p>
          <a:endParaRPr lang="pt-BR" baseline="0">
            <a:solidFill>
              <a:schemeClr val="accent2">
                <a:lumMod val="50000"/>
              </a:schemeClr>
            </a:solidFill>
            <a:effectLst/>
          </a:endParaRPr>
        </a:p>
      </xdr:txBody>
    </xdr:sp>
    <xdr:clientData/>
  </xdr:twoCellAnchor>
  <xdr:twoCellAnchor>
    <xdr:from>
      <xdr:col>7</xdr:col>
      <xdr:colOff>95251</xdr:colOff>
      <xdr:row>1</xdr:row>
      <xdr:rowOff>66675</xdr:rowOff>
    </xdr:from>
    <xdr:to>
      <xdr:col>8</xdr:col>
      <xdr:colOff>1</xdr:colOff>
      <xdr:row>1</xdr:row>
      <xdr:rowOff>266700</xdr:rowOff>
    </xdr:to>
    <xdr:sp macro="[0]!ChamarFormCadInsumos" textlink="">
      <xdr:nvSpPr>
        <xdr:cNvPr id="3" name="CaixaDeTexto 2">
          <a:extLst>
            <a:ext uri="{FF2B5EF4-FFF2-40B4-BE49-F238E27FC236}">
              <a16:creationId xmlns:a16="http://schemas.microsoft.com/office/drawing/2014/main" id="{00000000-0008-0000-0700-000003000000}"/>
            </a:ext>
          </a:extLst>
        </xdr:cNvPr>
        <xdr:cNvSpPr txBox="1"/>
      </xdr:nvSpPr>
      <xdr:spPr>
        <a:xfrm>
          <a:off x="8896351" y="114300"/>
          <a:ext cx="514350" cy="20002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NOVO</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xdr:colOff>
      <xdr:row>2</xdr:row>
      <xdr:rowOff>39741</xdr:rowOff>
    </xdr:from>
    <xdr:to>
      <xdr:col>0</xdr:col>
      <xdr:colOff>510737</xdr:colOff>
      <xdr:row>2</xdr:row>
      <xdr:rowOff>383303</xdr:rowOff>
    </xdr:to>
    <xdr:grpSp>
      <xdr:nvGrpSpPr>
        <xdr:cNvPr id="9" name="Agrupar 8">
          <a:extLst>
            <a:ext uri="{FF2B5EF4-FFF2-40B4-BE49-F238E27FC236}">
              <a16:creationId xmlns:a16="http://schemas.microsoft.com/office/drawing/2014/main" id="{00000000-0008-0000-0800-000009000000}"/>
            </a:ext>
          </a:extLst>
        </xdr:cNvPr>
        <xdr:cNvGrpSpPr/>
      </xdr:nvGrpSpPr>
      <xdr:grpSpPr>
        <a:xfrm>
          <a:off x="28575" y="87366"/>
          <a:ext cx="482162" cy="343562"/>
          <a:chOff x="3019425" y="1658991"/>
          <a:chExt cx="482162" cy="343562"/>
        </a:xfrm>
      </xdr:grpSpPr>
      <xdr:sp macro="[0]!ChamarFormCadRegistros" textlink="">
        <xdr:nvSpPr>
          <xdr:cNvPr id="7" name="CaixaDeTexto 6">
            <a:extLst>
              <a:ext uri="{FF2B5EF4-FFF2-40B4-BE49-F238E27FC236}">
                <a16:creationId xmlns:a16="http://schemas.microsoft.com/office/drawing/2014/main" id="{00000000-0008-0000-0800-000007000000}"/>
              </a:ext>
            </a:extLst>
          </xdr:cNvPr>
          <xdr:cNvSpPr txBox="1"/>
        </xdr:nvSpPr>
        <xdr:spPr>
          <a:xfrm>
            <a:off x="3076575" y="1676400"/>
            <a:ext cx="361950" cy="314325"/>
          </a:xfrm>
          <a:prstGeom prst="rect">
            <a:avLst/>
          </a:prstGeom>
          <a:solidFill>
            <a:srgbClr val="FFFF66"/>
          </a:solidFill>
          <a:ln w="9525" cmpd="sng">
            <a:solidFill>
              <a:schemeClr val="bg1">
                <a:lumMod val="7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sp macro="[0]!ChamarFormCadRegistros" textlink="">
        <xdr:nvSpPr>
          <xdr:cNvPr id="2" name="CaixaDeTexto 1">
            <a:extLst>
              <a:ext uri="{FF2B5EF4-FFF2-40B4-BE49-F238E27FC236}">
                <a16:creationId xmlns:a16="http://schemas.microsoft.com/office/drawing/2014/main" id="{00000000-0008-0000-0800-000002000000}"/>
              </a:ext>
            </a:extLst>
          </xdr:cNvPr>
          <xdr:cNvSpPr txBox="1"/>
        </xdr:nvSpPr>
        <xdr:spPr>
          <a:xfrm>
            <a:off x="3019425" y="1800225"/>
            <a:ext cx="482162" cy="202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t>NOVO</a:t>
            </a:r>
          </a:p>
        </xdr:txBody>
      </xdr:sp>
      <xdr:sp macro="[0]!ChamarFormCadRegistros" textlink="">
        <xdr:nvSpPr>
          <xdr:cNvPr id="3" name="CaixaDeTexto 2">
            <a:extLst>
              <a:ext uri="{FF2B5EF4-FFF2-40B4-BE49-F238E27FC236}">
                <a16:creationId xmlns:a16="http://schemas.microsoft.com/office/drawing/2014/main" id="{00000000-0008-0000-0800-000003000000}"/>
              </a:ext>
            </a:extLst>
          </xdr:cNvPr>
          <xdr:cNvSpPr txBox="1"/>
        </xdr:nvSpPr>
        <xdr:spPr>
          <a:xfrm>
            <a:off x="3144892" y="1658991"/>
            <a:ext cx="139882" cy="20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rgbClr val="388A8C"/>
                </a:solidFill>
                <a:latin typeface="Arial Black" panose="020B0A04020102020204" pitchFamily="34" charset="0"/>
              </a:rPr>
              <a:t>+</a:t>
            </a:r>
          </a:p>
        </xdr:txBody>
      </xdr:sp>
      <xdr:sp macro="[0]!ChamarFormCadRegistros" textlink="">
        <xdr:nvSpPr>
          <xdr:cNvPr id="4" name="CaixaDeTexto 3">
            <a:extLst>
              <a:ext uri="{FF2B5EF4-FFF2-40B4-BE49-F238E27FC236}">
                <a16:creationId xmlns:a16="http://schemas.microsoft.com/office/drawing/2014/main" id="{00000000-0008-0000-0800-000004000000}"/>
              </a:ext>
            </a:extLst>
          </xdr:cNvPr>
          <xdr:cNvSpPr txBox="1"/>
        </xdr:nvSpPr>
        <xdr:spPr>
          <a:xfrm>
            <a:off x="3235215" y="1660292"/>
            <a:ext cx="133312" cy="19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tx1">
                    <a:lumMod val="50000"/>
                    <a:lumOff val="50000"/>
                  </a:schemeClr>
                </a:solidFill>
                <a:latin typeface="Arial Black" panose="020B0A04020102020204" pitchFamily="34" charset="0"/>
              </a:rPr>
              <a:t>!</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0</xdr:colOff>
      <xdr:row>9</xdr:row>
      <xdr:rowOff>0</xdr:rowOff>
    </xdr:from>
    <xdr:to>
      <xdr:col>4</xdr:col>
      <xdr:colOff>9525</xdr:colOff>
      <xdr:row>10</xdr:row>
      <xdr:rowOff>0</xdr:rowOff>
    </xdr:to>
    <xdr:sp macro="" textlink="">
      <xdr:nvSpPr>
        <xdr:cNvPr id="2" name="CaixaDeTexto 1">
          <a:extLst>
            <a:ext uri="{FF2B5EF4-FFF2-40B4-BE49-F238E27FC236}">
              <a16:creationId xmlns:a16="http://schemas.microsoft.com/office/drawing/2014/main" id="{00000000-0008-0000-0900-000002000000}"/>
            </a:ext>
          </a:extLst>
        </xdr:cNvPr>
        <xdr:cNvSpPr txBox="1"/>
      </xdr:nvSpPr>
      <xdr:spPr>
        <a:xfrm>
          <a:off x="3933825" y="1143000"/>
          <a:ext cx="647700" cy="19050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a:t>
          </a:r>
        </a:p>
      </xdr:txBody>
    </xdr:sp>
    <xdr:clientData/>
  </xdr:twoCellAnchor>
  <mc:AlternateContent xmlns:mc="http://schemas.openxmlformats.org/markup-compatibility/2006">
    <mc:Choice xmlns:a14="http://schemas.microsoft.com/office/drawing/2010/main" Requires="a14">
      <xdr:twoCellAnchor editAs="oneCell">
        <xdr:from>
          <xdr:col>1</xdr:col>
          <xdr:colOff>31750</xdr:colOff>
          <xdr:row>9</xdr:row>
          <xdr:rowOff>50800</xdr:rowOff>
        </xdr:from>
        <xdr:to>
          <xdr:col>1</xdr:col>
          <xdr:colOff>762000</xdr:colOff>
          <xdr:row>9</xdr:row>
          <xdr:rowOff>209550</xdr:rowOff>
        </xdr:to>
        <xdr:sp macro="" textlink="">
          <xdr:nvSpPr>
            <xdr:cNvPr id="10242" name="ScrollBar1"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38100</xdr:colOff>
      <xdr:row>0</xdr:row>
      <xdr:rowOff>38100</xdr:rowOff>
    </xdr:from>
    <xdr:to>
      <xdr:col>4</xdr:col>
      <xdr:colOff>133350</xdr:colOff>
      <xdr:row>2</xdr:row>
      <xdr:rowOff>31241</xdr:rowOff>
    </xdr:to>
    <xdr:sp macro="" textlink="">
      <xdr:nvSpPr>
        <xdr:cNvPr id="5" name="Retângulo 4">
          <a:extLst>
            <a:ext uri="{FF2B5EF4-FFF2-40B4-BE49-F238E27FC236}">
              <a16:creationId xmlns:a16="http://schemas.microsoft.com/office/drawing/2014/main" id="{00000000-0008-0000-0900-000005000000}"/>
            </a:ext>
          </a:extLst>
        </xdr:cNvPr>
        <xdr:cNvSpPr/>
      </xdr:nvSpPr>
      <xdr:spPr>
        <a:xfrm>
          <a:off x="38100" y="38100"/>
          <a:ext cx="3857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 VERTICAL</a:t>
          </a:r>
        </a:p>
      </xdr:txBody>
    </xdr:sp>
    <xdr:clientData/>
  </xdr:twoCellAnchor>
  <xdr:twoCellAnchor editAs="oneCell">
    <xdr:from>
      <xdr:col>10</xdr:col>
      <xdr:colOff>352425</xdr:colOff>
      <xdr:row>1</xdr:row>
      <xdr:rowOff>1</xdr:rowOff>
    </xdr:from>
    <xdr:to>
      <xdr:col>13</xdr:col>
      <xdr:colOff>352425</xdr:colOff>
      <xdr:row>9</xdr:row>
      <xdr:rowOff>1</xdr:rowOff>
    </xdr:to>
    <mc:AlternateContent xmlns:mc="http://schemas.openxmlformats.org/markup-compatibility/2006" xmlns:a14="http://schemas.microsoft.com/office/drawing/2010/main">
      <mc:Choice Requires="a14">
        <xdr:graphicFrame macro="">
          <xdr:nvGraphicFramePr>
            <xdr:cNvPr id="3" name="CONTA CORRENT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ONTA CORRENTE"/>
            </a:graphicData>
          </a:graphic>
        </xdr:graphicFrame>
      </mc:Choice>
      <mc:Fallback xmlns="">
        <xdr:sp macro="" textlink="">
          <xdr:nvSpPr>
            <xdr:cNvPr id="0" name=""/>
            <xdr:cNvSpPr>
              <a:spLocks noTextEdit="1"/>
            </xdr:cNvSpPr>
          </xdr:nvSpPr>
          <xdr:spPr>
            <a:xfrm>
              <a:off x="7772400"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twoCellAnchor editAs="oneCell">
    <xdr:from>
      <xdr:col>4</xdr:col>
      <xdr:colOff>285750</xdr:colOff>
      <xdr:row>1</xdr:row>
      <xdr:rowOff>1</xdr:rowOff>
    </xdr:from>
    <xdr:to>
      <xdr:col>7</xdr:col>
      <xdr:colOff>285750</xdr:colOff>
      <xdr:row>9</xdr:row>
      <xdr:rowOff>1</xdr:rowOff>
    </xdr:to>
    <mc:AlternateContent xmlns:mc="http://schemas.openxmlformats.org/markup-compatibility/2006" xmlns:a14="http://schemas.microsoft.com/office/drawing/2010/main">
      <mc:Choice Requires="a14">
        <xdr:graphicFrame macro="">
          <xdr:nvGraphicFramePr>
            <xdr:cNvPr id="4" name="TITULAR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TITULAR 2"/>
            </a:graphicData>
          </a:graphic>
        </xdr:graphicFrame>
      </mc:Choice>
      <mc:Fallback xmlns="">
        <xdr:sp macro="" textlink="">
          <xdr:nvSpPr>
            <xdr:cNvPr id="0" name=""/>
            <xdr:cNvSpPr>
              <a:spLocks noTextEdit="1"/>
            </xdr:cNvSpPr>
          </xdr:nvSpPr>
          <xdr:spPr>
            <a:xfrm>
              <a:off x="4048125"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twoCellAnchor editAs="oneCell">
    <xdr:from>
      <xdr:col>7</xdr:col>
      <xdr:colOff>323850</xdr:colOff>
      <xdr:row>1</xdr:row>
      <xdr:rowOff>1</xdr:rowOff>
    </xdr:from>
    <xdr:to>
      <xdr:col>10</xdr:col>
      <xdr:colOff>323850</xdr:colOff>
      <xdr:row>9</xdr:row>
      <xdr:rowOff>1</xdr:rowOff>
    </xdr:to>
    <mc:AlternateContent xmlns:mc="http://schemas.openxmlformats.org/markup-compatibility/2006" xmlns:a14="http://schemas.microsoft.com/office/drawing/2010/main">
      <mc:Choice Requires="a14">
        <xdr:graphicFrame macro="">
          <xdr:nvGraphicFramePr>
            <xdr:cNvPr id="6" name="CENTRO CUSTO 2">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CENTRO CUSTO 2"/>
            </a:graphicData>
          </a:graphic>
        </xdr:graphicFrame>
      </mc:Choice>
      <mc:Fallback xmlns="">
        <xdr:sp macro="" textlink="">
          <xdr:nvSpPr>
            <xdr:cNvPr id="0" name=""/>
            <xdr:cNvSpPr>
              <a:spLocks noTextEdit="1"/>
            </xdr:cNvSpPr>
          </xdr:nvSpPr>
          <xdr:spPr>
            <a:xfrm>
              <a:off x="5915025"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600074</xdr:colOff>
      <xdr:row>2</xdr:row>
      <xdr:rowOff>85611</xdr:rowOff>
    </xdr:to>
    <xdr:sp macro="" textlink="">
      <xdr:nvSpPr>
        <xdr:cNvPr id="2" name="Retângulo 1">
          <a:extLst>
            <a:ext uri="{FF2B5EF4-FFF2-40B4-BE49-F238E27FC236}">
              <a16:creationId xmlns:a16="http://schemas.microsoft.com/office/drawing/2014/main" id="{00000000-0008-0000-0A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RELATÓRIO POR</a:t>
          </a:r>
          <a:r>
            <a:rPr lang="pt-BR" sz="1600" b="1" cap="none" spc="0" baseline="0">
              <a:ln w="50800">
                <a:solidFill>
                  <a:schemeClr val="accent1">
                    <a:lumMod val="75000"/>
                  </a:schemeClr>
                </a:solidFill>
              </a:ln>
              <a:solidFill>
                <a:schemeClr val="bg1">
                  <a:shade val="50000"/>
                </a:schemeClr>
              </a:solidFill>
              <a:effectLst/>
            </a:rPr>
            <a:t> TITULAR</a:t>
          </a:r>
          <a:endParaRPr lang="pt-BR" sz="1600" b="1" cap="none" spc="0">
            <a:ln w="50800">
              <a:solidFill>
                <a:schemeClr val="accent1">
                  <a:lumMod val="75000"/>
                </a:schemeClr>
              </a:solidFill>
            </a:ln>
            <a:solidFill>
              <a:schemeClr val="bg1">
                <a:shade val="50000"/>
              </a:schemeClr>
            </a:solidFill>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12027</xdr:colOff>
      <xdr:row>0</xdr:row>
      <xdr:rowOff>0</xdr:rowOff>
    </xdr:from>
    <xdr:to>
      <xdr:col>7</xdr:col>
      <xdr:colOff>528841</xdr:colOff>
      <xdr:row>2</xdr:row>
      <xdr:rowOff>54321</xdr:rowOff>
    </xdr:to>
    <xdr:sp macro="" textlink="">
      <xdr:nvSpPr>
        <xdr:cNvPr id="2" name="Retângulo 1">
          <a:extLst>
            <a:ext uri="{FF2B5EF4-FFF2-40B4-BE49-F238E27FC236}">
              <a16:creationId xmlns:a16="http://schemas.microsoft.com/office/drawing/2014/main" id="{00000000-0008-0000-0B00-000002000000}"/>
            </a:ext>
          </a:extLst>
        </xdr:cNvPr>
        <xdr:cNvSpPr/>
      </xdr:nvSpPr>
      <xdr:spPr>
        <a:xfrm>
          <a:off x="12027" y="0"/>
          <a:ext cx="5231689" cy="311496"/>
        </a:xfrm>
        <a:prstGeom prst="rect">
          <a:avLst/>
        </a:prstGeom>
        <a:noFill/>
      </xdr:spPr>
      <xdr:txBody>
        <a:bodyPr wrap="non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400" b="1" cap="none" spc="0">
              <a:ln w="50800">
                <a:solidFill>
                  <a:schemeClr val="accent2">
                    <a:lumMod val="60000"/>
                    <a:lumOff val="40000"/>
                  </a:schemeClr>
                </a:solidFill>
              </a:ln>
              <a:solidFill>
                <a:schemeClr val="bg1">
                  <a:shade val="50000"/>
                </a:schemeClr>
              </a:solidFill>
              <a:effectLst/>
            </a:rPr>
            <a:t>RELATÓRIO POR TIPO DE </a:t>
          </a:r>
          <a:r>
            <a:rPr lang="pt-BR" sz="1400" b="1" cap="none" spc="0" baseline="0">
              <a:ln w="50800">
                <a:solidFill>
                  <a:schemeClr val="accent2">
                    <a:lumMod val="60000"/>
                    <a:lumOff val="40000"/>
                  </a:schemeClr>
                </a:solidFill>
              </a:ln>
              <a:solidFill>
                <a:schemeClr val="bg1">
                  <a:shade val="50000"/>
                </a:schemeClr>
              </a:solidFill>
              <a:effectLst/>
            </a:rPr>
            <a:t> LANÇAMENTOS </a:t>
          </a:r>
          <a:r>
            <a:rPr lang="pt-BR" sz="1400" b="1" cap="none" spc="0">
              <a:ln w="50800">
                <a:solidFill>
                  <a:schemeClr val="accent2">
                    <a:lumMod val="60000"/>
                    <a:lumOff val="40000"/>
                  </a:schemeClr>
                </a:solidFill>
              </a:ln>
              <a:solidFill>
                <a:schemeClr val="bg1">
                  <a:shade val="50000"/>
                </a:schemeClr>
              </a:solidFill>
              <a:effectLst/>
            </a:rPr>
            <a:t>- FIXOS OU ESPORÁDICOS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85725</xdr:colOff>
      <xdr:row>0</xdr:row>
      <xdr:rowOff>0</xdr:rowOff>
    </xdr:from>
    <xdr:to>
      <xdr:col>2</xdr:col>
      <xdr:colOff>1914525</xdr:colOff>
      <xdr:row>2</xdr:row>
      <xdr:rowOff>116966</xdr:rowOff>
    </xdr:to>
    <xdr:sp macro="" textlink="">
      <xdr:nvSpPr>
        <xdr:cNvPr id="3" name="Retângulo 2">
          <a:extLst>
            <a:ext uri="{FF2B5EF4-FFF2-40B4-BE49-F238E27FC236}">
              <a16:creationId xmlns:a16="http://schemas.microsoft.com/office/drawing/2014/main" id="{00000000-0008-0000-0D00-000003000000}"/>
            </a:ext>
          </a:extLst>
        </xdr:cNvPr>
        <xdr:cNvSpPr/>
      </xdr:nvSpPr>
      <xdr:spPr>
        <a:xfrm>
          <a:off x="85725" y="0"/>
          <a:ext cx="3476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a:t>
          </a:r>
          <a:r>
            <a:rPr lang="pt-BR" sz="1800" b="1" cap="none" spc="0" baseline="0">
              <a:ln w="50800">
                <a:solidFill>
                  <a:schemeClr val="accent5">
                    <a:lumMod val="60000"/>
                    <a:lumOff val="40000"/>
                  </a:schemeClr>
                </a:solidFill>
              </a:ln>
              <a:solidFill>
                <a:schemeClr val="bg1">
                  <a:shade val="50000"/>
                </a:schemeClr>
              </a:solidFill>
              <a:effectLst/>
            </a:rPr>
            <a:t> HORIZONTAL</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31750</xdr:colOff>
          <xdr:row>9</xdr:row>
          <xdr:rowOff>19050</xdr:rowOff>
        </xdr:from>
        <xdr:to>
          <xdr:col>1</xdr:col>
          <xdr:colOff>609600</xdr:colOff>
          <xdr:row>10</xdr:row>
          <xdr:rowOff>12700</xdr:rowOff>
        </xdr:to>
        <xdr:sp macro="" textlink="">
          <xdr:nvSpPr>
            <xdr:cNvPr id="14337" name="ScrollBar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11</xdr:col>
      <xdr:colOff>76200</xdr:colOff>
      <xdr:row>1</xdr:row>
      <xdr:rowOff>38100</xdr:rowOff>
    </xdr:from>
    <xdr:to>
      <xdr:col>13</xdr:col>
      <xdr:colOff>495300</xdr:colOff>
      <xdr:row>6</xdr:row>
      <xdr:rowOff>123825</xdr:rowOff>
    </xdr:to>
    <mc:AlternateContent xmlns:mc="http://schemas.openxmlformats.org/markup-compatibility/2006" xmlns:a14="http://schemas.microsoft.com/office/drawing/2010/main">
      <mc:Choice Requires="a14">
        <xdr:graphicFrame macro="">
          <xdr:nvGraphicFramePr>
            <xdr:cNvPr id="2" name="CONTA CORRENTE 4">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CONTA CORRENTE 4"/>
            </a:graphicData>
          </a:graphic>
        </xdr:graphicFrame>
      </mc:Choice>
      <mc:Fallback xmlns="">
        <xdr:sp macro="" textlink="">
          <xdr:nvSpPr>
            <xdr:cNvPr id="0" name=""/>
            <xdr:cNvSpPr>
              <a:spLocks noTextEdit="1"/>
            </xdr:cNvSpPr>
          </xdr:nvSpPr>
          <xdr:spPr>
            <a:xfrm>
              <a:off x="9705975"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5</xdr:col>
      <xdr:colOff>609600</xdr:colOff>
      <xdr:row>1</xdr:row>
      <xdr:rowOff>38100</xdr:rowOff>
    </xdr:from>
    <xdr:to>
      <xdr:col>8</xdr:col>
      <xdr:colOff>323850</xdr:colOff>
      <xdr:row>6</xdr:row>
      <xdr:rowOff>123825</xdr:rowOff>
    </xdr:to>
    <mc:AlternateContent xmlns:mc="http://schemas.openxmlformats.org/markup-compatibility/2006" xmlns:a14="http://schemas.microsoft.com/office/drawing/2010/main">
      <mc:Choice Requires="a14">
        <xdr:graphicFrame macro="">
          <xdr:nvGraphicFramePr>
            <xdr:cNvPr id="4" name="TITULAR 4">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TITULAR 4"/>
            </a:graphicData>
          </a:graphic>
        </xdr:graphicFrame>
      </mc:Choice>
      <mc:Fallback xmlns="">
        <xdr:sp macro="" textlink="">
          <xdr:nvSpPr>
            <xdr:cNvPr id="0" name=""/>
            <xdr:cNvSpPr>
              <a:spLocks noTextEdit="1"/>
            </xdr:cNvSpPr>
          </xdr:nvSpPr>
          <xdr:spPr>
            <a:xfrm>
              <a:off x="5915025"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8</xdr:col>
      <xdr:colOff>295275</xdr:colOff>
      <xdr:row>1</xdr:row>
      <xdr:rowOff>38100</xdr:rowOff>
    </xdr:from>
    <xdr:to>
      <xdr:col>11</xdr:col>
      <xdr:colOff>9525</xdr:colOff>
      <xdr:row>6</xdr:row>
      <xdr:rowOff>123825</xdr:rowOff>
    </xdr:to>
    <mc:AlternateContent xmlns:mc="http://schemas.openxmlformats.org/markup-compatibility/2006" xmlns:a14="http://schemas.microsoft.com/office/drawing/2010/main">
      <mc:Choice Requires="a14">
        <xdr:graphicFrame macro="">
          <xdr:nvGraphicFramePr>
            <xdr:cNvPr id="5" name="CENTRO CUST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microsoft.com/office/drawing/2010/slicer">
              <sle:slicer xmlns:sle="http://schemas.microsoft.com/office/drawing/2010/slicer" name="CENTRO CUSTO 4"/>
            </a:graphicData>
          </a:graphic>
        </xdr:graphicFrame>
      </mc:Choice>
      <mc:Fallback xmlns="">
        <xdr:sp macro="" textlink="">
          <xdr:nvSpPr>
            <xdr:cNvPr id="0" name=""/>
            <xdr:cNvSpPr>
              <a:spLocks noTextEdit="1"/>
            </xdr:cNvSpPr>
          </xdr:nvSpPr>
          <xdr:spPr>
            <a:xfrm>
              <a:off x="7810500"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5</xdr:col>
      <xdr:colOff>28575</xdr:colOff>
      <xdr:row>4</xdr:row>
      <xdr:rowOff>9525</xdr:rowOff>
    </xdr:from>
    <xdr:to>
      <xdr:col>5</xdr:col>
      <xdr:colOff>276225</xdr:colOff>
      <xdr:row>6</xdr:row>
      <xdr:rowOff>0</xdr:rowOff>
    </xdr:to>
    <xdr:grpSp>
      <xdr:nvGrpSpPr>
        <xdr:cNvPr id="9" name="Agrupar 8">
          <a:extLst>
            <a:ext uri="{FF2B5EF4-FFF2-40B4-BE49-F238E27FC236}">
              <a16:creationId xmlns:a16="http://schemas.microsoft.com/office/drawing/2014/main" id="{00000000-0008-0000-0D00-000009000000}"/>
            </a:ext>
          </a:extLst>
        </xdr:cNvPr>
        <xdr:cNvGrpSpPr>
          <a:grpSpLocks/>
        </xdr:cNvGrpSpPr>
      </xdr:nvGrpSpPr>
      <xdr:grpSpPr>
        <a:xfrm>
          <a:off x="5334000" y="704850"/>
          <a:ext cx="247650" cy="428625"/>
          <a:chOff x="8458200" y="666749"/>
          <a:chExt cx="381000" cy="381001"/>
        </a:xfrm>
      </xdr:grpSpPr>
      <xdr:sp macro="[0]!PeriodoRelFCH" textlink="">
        <xdr:nvSpPr>
          <xdr:cNvPr id="10" name="CaixaDeTexto 9">
            <a:extLst>
              <a:ext uri="{FF2B5EF4-FFF2-40B4-BE49-F238E27FC236}">
                <a16:creationId xmlns:a16="http://schemas.microsoft.com/office/drawing/2014/main" id="{00000000-0008-0000-0D00-00000A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FCH">
        <xdr:nvPicPr>
          <xdr:cNvPr id="11" name="Imagem 10" descr="ApplyFilter">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fPrintsWithSheet="0"/>
  </xdr:twoCellAnchor>
  <xdr:twoCellAnchor editAs="absolute">
    <xdr:from>
      <xdr:col>5</xdr:col>
      <xdr:colOff>304800</xdr:colOff>
      <xdr:row>4</xdr:row>
      <xdr:rowOff>9525</xdr:rowOff>
    </xdr:from>
    <xdr:to>
      <xdr:col>5</xdr:col>
      <xdr:colOff>561975</xdr:colOff>
      <xdr:row>6</xdr:row>
      <xdr:rowOff>0</xdr:rowOff>
    </xdr:to>
    <xdr:grpSp>
      <xdr:nvGrpSpPr>
        <xdr:cNvPr id="12" name="Agrupar 11">
          <a:extLst>
            <a:ext uri="{FF2B5EF4-FFF2-40B4-BE49-F238E27FC236}">
              <a16:creationId xmlns:a16="http://schemas.microsoft.com/office/drawing/2014/main" id="{00000000-0008-0000-0D00-00000C000000}"/>
            </a:ext>
          </a:extLst>
        </xdr:cNvPr>
        <xdr:cNvGrpSpPr>
          <a:grpSpLocks/>
        </xdr:cNvGrpSpPr>
      </xdr:nvGrpSpPr>
      <xdr:grpSpPr>
        <a:xfrm>
          <a:off x="5610225" y="704850"/>
          <a:ext cx="257175" cy="428625"/>
          <a:chOff x="8905875" y="676274"/>
          <a:chExt cx="381000" cy="381001"/>
        </a:xfrm>
      </xdr:grpSpPr>
      <xdr:sp macro="[0]!LimparFiltroRelFCH" textlink="">
        <xdr:nvSpPr>
          <xdr:cNvPr id="13" name="CaixaDeTexto 12">
            <a:extLst>
              <a:ext uri="{FF2B5EF4-FFF2-40B4-BE49-F238E27FC236}">
                <a16:creationId xmlns:a16="http://schemas.microsoft.com/office/drawing/2014/main" id="{00000000-0008-0000-0D00-00000D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lFCH">
        <xdr:nvPicPr>
          <xdr:cNvPr id="14" name="Imagem 13" descr="ApplyFilter">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lFCH">
        <xdr:nvPicPr>
          <xdr:cNvPr id="15" name="Imagem 14" descr="ColumnActionsRemover">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2</xdr:col>
      <xdr:colOff>295275</xdr:colOff>
      <xdr:row>20</xdr:row>
      <xdr:rowOff>0</xdr:rowOff>
    </xdr:to>
    <mc:AlternateContent xmlns:mc="http://schemas.openxmlformats.org/markup-compatibility/2006" xmlns:a14="http://schemas.microsoft.com/office/drawing/2010/main">
      <mc:Choice Requires="a14">
        <xdr:graphicFrame macro="">
          <xdr:nvGraphicFramePr>
            <xdr:cNvPr id="3" name="TITULAR 1">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TITULAR 1"/>
            </a:graphicData>
          </a:graphic>
        </xdr:graphicFrame>
      </mc:Choice>
      <mc:Fallback xmlns="">
        <xdr:sp macro="" textlink="">
          <xdr:nvSpPr>
            <xdr:cNvPr id="0" name=""/>
            <xdr:cNvSpPr>
              <a:spLocks noTextEdit="1"/>
            </xdr:cNvSpPr>
          </xdr:nvSpPr>
          <xdr:spPr>
            <a:xfrm>
              <a:off x="114300" y="2743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21</xdr:row>
      <xdr:rowOff>0</xdr:rowOff>
    </xdr:from>
    <xdr:to>
      <xdr:col>2</xdr:col>
      <xdr:colOff>295275</xdr:colOff>
      <xdr:row>26</xdr:row>
      <xdr:rowOff>0</xdr:rowOff>
    </xdr:to>
    <mc:AlternateContent xmlns:mc="http://schemas.openxmlformats.org/markup-compatibility/2006" xmlns:a14="http://schemas.microsoft.com/office/drawing/2010/main">
      <mc:Choice Requires="a14">
        <xdr:graphicFrame macro="">
          <xdr:nvGraphicFramePr>
            <xdr:cNvPr id="4" name="CENTRO CUSTO 1">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CENTRO CUSTO 1"/>
            </a:graphicData>
          </a:graphic>
        </xdr:graphicFrame>
      </mc:Choice>
      <mc:Fallback xmlns="">
        <xdr:sp macro="" textlink="">
          <xdr:nvSpPr>
            <xdr:cNvPr id="0" name=""/>
            <xdr:cNvSpPr>
              <a:spLocks noTextEdit="1"/>
            </xdr:cNvSpPr>
          </xdr:nvSpPr>
          <xdr:spPr>
            <a:xfrm>
              <a:off x="114300" y="3886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9</xdr:row>
      <xdr:rowOff>0</xdr:rowOff>
    </xdr:from>
    <xdr:to>
      <xdr:col>2</xdr:col>
      <xdr:colOff>295275</xdr:colOff>
      <xdr:row>14</xdr:row>
      <xdr:rowOff>0</xdr:rowOff>
    </xdr:to>
    <mc:AlternateContent xmlns:mc="http://schemas.openxmlformats.org/markup-compatibility/2006" xmlns:a14="http://schemas.microsoft.com/office/drawing/2010/main">
      <mc:Choice Requires="a14">
        <xdr:graphicFrame macro="">
          <xdr:nvGraphicFramePr>
            <xdr:cNvPr id="5" name="CONTA CORRENTE 2">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microsoft.com/office/drawing/2010/slicer">
              <sle:slicer xmlns:sle="http://schemas.microsoft.com/office/drawing/2010/slicer" name="CONTA CORRENTE 2"/>
            </a:graphicData>
          </a:graphic>
        </xdr:graphicFrame>
      </mc:Choice>
      <mc:Fallback xmlns="">
        <xdr:sp macro="" textlink="">
          <xdr:nvSpPr>
            <xdr:cNvPr id="0" name=""/>
            <xdr:cNvSpPr>
              <a:spLocks noTextEdit="1"/>
            </xdr:cNvSpPr>
          </xdr:nvSpPr>
          <xdr:spPr>
            <a:xfrm>
              <a:off x="114300" y="1600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10</xdr:col>
      <xdr:colOff>28575</xdr:colOff>
      <xdr:row>6</xdr:row>
      <xdr:rowOff>0</xdr:rowOff>
    </xdr:from>
    <xdr:to>
      <xdr:col>10</xdr:col>
      <xdr:colOff>276225</xdr:colOff>
      <xdr:row>8</xdr:row>
      <xdr:rowOff>9525</xdr:rowOff>
    </xdr:to>
    <xdr:grpSp>
      <xdr:nvGrpSpPr>
        <xdr:cNvPr id="3" name="Agrupar 2">
          <a:extLst>
            <a:ext uri="{FF2B5EF4-FFF2-40B4-BE49-F238E27FC236}">
              <a16:creationId xmlns:a16="http://schemas.microsoft.com/office/drawing/2014/main" id="{00000000-0008-0000-0F00-000003000000}"/>
            </a:ext>
          </a:extLst>
        </xdr:cNvPr>
        <xdr:cNvGrpSpPr/>
      </xdr:nvGrpSpPr>
      <xdr:grpSpPr>
        <a:xfrm>
          <a:off x="11430000" y="457200"/>
          <a:ext cx="247650" cy="400050"/>
          <a:chOff x="8458200" y="666749"/>
          <a:chExt cx="381000" cy="381001"/>
        </a:xfrm>
      </xdr:grpSpPr>
      <xdr:sp macro="[0]!PeriodoRelRealizadoARealizar" textlink="">
        <xdr:nvSpPr>
          <xdr:cNvPr id="2" name="CaixaDeTexto 1">
            <a:extLst>
              <a:ext uri="{FF2B5EF4-FFF2-40B4-BE49-F238E27FC236}">
                <a16:creationId xmlns:a16="http://schemas.microsoft.com/office/drawing/2014/main" id="{00000000-0008-0000-0F00-000002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RealizadoARealizar">
        <xdr:nvPicPr>
          <xdr:cNvPr id="6" name="Imagem 5" descr="ApplyFilter">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304800</xdr:colOff>
      <xdr:row>5</xdr:row>
      <xdr:rowOff>190499</xdr:rowOff>
    </xdr:from>
    <xdr:to>
      <xdr:col>10</xdr:col>
      <xdr:colOff>561975</xdr:colOff>
      <xdr:row>8</xdr:row>
      <xdr:rowOff>9525</xdr:rowOff>
    </xdr:to>
    <xdr:grpSp>
      <xdr:nvGrpSpPr>
        <xdr:cNvPr id="7" name="Agrupar 6">
          <a:extLst>
            <a:ext uri="{FF2B5EF4-FFF2-40B4-BE49-F238E27FC236}">
              <a16:creationId xmlns:a16="http://schemas.microsoft.com/office/drawing/2014/main" id="{00000000-0008-0000-0F00-000007000000}"/>
            </a:ext>
          </a:extLst>
        </xdr:cNvPr>
        <xdr:cNvGrpSpPr/>
      </xdr:nvGrpSpPr>
      <xdr:grpSpPr>
        <a:xfrm>
          <a:off x="11706225" y="457199"/>
          <a:ext cx="257175" cy="400051"/>
          <a:chOff x="8905875" y="676274"/>
          <a:chExt cx="381000" cy="381001"/>
        </a:xfrm>
      </xdr:grpSpPr>
      <xdr:sp macro="[0]!LimparFiltroRelRealizadoARealizar" textlink="">
        <xdr:nvSpPr>
          <xdr:cNvPr id="9" name="CaixaDeTexto 8">
            <a:extLst>
              <a:ext uri="{FF2B5EF4-FFF2-40B4-BE49-F238E27FC236}">
                <a16:creationId xmlns:a16="http://schemas.microsoft.com/office/drawing/2014/main" id="{00000000-0008-0000-0F00-000009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lRealizadoARealizar">
        <xdr:nvPicPr>
          <xdr:cNvPr id="10" name="Imagem 9" descr="ApplyFilter">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lRealizadoARealizar">
        <xdr:nvPicPr>
          <xdr:cNvPr id="11" name="Imagem 10" descr="ColumnActionsRemover">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xdr:twoCellAnchor>
  <xdr:twoCellAnchor editAs="absolute">
    <xdr:from>
      <xdr:col>5</xdr:col>
      <xdr:colOff>419100</xdr:colOff>
      <xdr:row>4</xdr:row>
      <xdr:rowOff>9525</xdr:rowOff>
    </xdr:from>
    <xdr:to>
      <xdr:col>7</xdr:col>
      <xdr:colOff>76200</xdr:colOff>
      <xdr:row>9</xdr:row>
      <xdr:rowOff>209550</xdr:rowOff>
    </xdr:to>
    <mc:AlternateContent xmlns:mc="http://schemas.openxmlformats.org/markup-compatibility/2006" xmlns:a14="http://schemas.microsoft.com/office/drawing/2010/main">
      <mc:Choice Requires="a14">
        <xdr:graphicFrame macro="">
          <xdr:nvGraphicFramePr>
            <xdr:cNvPr id="4" name="CONTA CORRENTE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microsoft.com/office/drawing/2010/slicer">
              <sle:slicer xmlns:sle="http://schemas.microsoft.com/office/drawing/2010/slicer" name="CONTA CORRENTE 3"/>
            </a:graphicData>
          </a:graphic>
        </xdr:graphicFrame>
      </mc:Choice>
      <mc:Fallback xmlns="">
        <xdr:sp macro="" textlink="">
          <xdr:nvSpPr>
            <xdr:cNvPr id="0" name=""/>
            <xdr:cNvSpPr>
              <a:spLocks noTextEdit="1"/>
            </xdr:cNvSpPr>
          </xdr:nvSpPr>
          <xdr:spPr>
            <a:xfrm>
              <a:off x="6724650" y="85725"/>
              <a:ext cx="1781175"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3</xdr:col>
      <xdr:colOff>114300</xdr:colOff>
      <xdr:row>4</xdr:row>
      <xdr:rowOff>9525</xdr:rowOff>
    </xdr:from>
    <xdr:to>
      <xdr:col>4</xdr:col>
      <xdr:colOff>66675</xdr:colOff>
      <xdr:row>9</xdr:row>
      <xdr:rowOff>209550</xdr:rowOff>
    </xdr:to>
    <mc:AlternateContent xmlns:mc="http://schemas.openxmlformats.org/markup-compatibility/2006" xmlns:a14="http://schemas.microsoft.com/office/drawing/2010/main">
      <mc:Choice Requires="a14">
        <xdr:graphicFrame macro="">
          <xdr:nvGraphicFramePr>
            <xdr:cNvPr id="5" name="TITULAR 3">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microsoft.com/office/drawing/2010/slicer">
              <sle:slicer xmlns:sle="http://schemas.microsoft.com/office/drawing/2010/slicer" name="TITULAR 3"/>
            </a:graphicData>
          </a:graphic>
        </xdr:graphicFrame>
      </mc:Choice>
      <mc:Fallback xmlns="">
        <xdr:sp macro="" textlink="">
          <xdr:nvSpPr>
            <xdr:cNvPr id="0" name=""/>
            <xdr:cNvSpPr>
              <a:spLocks noTextEdit="1"/>
            </xdr:cNvSpPr>
          </xdr:nvSpPr>
          <xdr:spPr>
            <a:xfrm>
              <a:off x="2952750" y="85725"/>
              <a:ext cx="1828800"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4</xdr:col>
      <xdr:colOff>133350</xdr:colOff>
      <xdr:row>4</xdr:row>
      <xdr:rowOff>9525</xdr:rowOff>
    </xdr:from>
    <xdr:to>
      <xdr:col>5</xdr:col>
      <xdr:colOff>371475</xdr:colOff>
      <xdr:row>9</xdr:row>
      <xdr:rowOff>209550</xdr:rowOff>
    </xdr:to>
    <mc:AlternateContent xmlns:mc="http://schemas.openxmlformats.org/markup-compatibility/2006" xmlns:a14="http://schemas.microsoft.com/office/drawing/2010/main">
      <mc:Choice Requires="a14">
        <xdr:graphicFrame macro="">
          <xdr:nvGraphicFramePr>
            <xdr:cNvPr id="8" name="CENTRO CUSTO 3">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microsoft.com/office/drawing/2010/slicer">
              <sle:slicer xmlns:sle="http://schemas.microsoft.com/office/drawing/2010/slicer" name="CENTRO CUSTO 3"/>
            </a:graphicData>
          </a:graphic>
        </xdr:graphicFrame>
      </mc:Choice>
      <mc:Fallback xmlns="">
        <xdr:sp macro="" textlink="">
          <xdr:nvSpPr>
            <xdr:cNvPr id="0" name=""/>
            <xdr:cNvSpPr>
              <a:spLocks noTextEdit="1"/>
            </xdr:cNvSpPr>
          </xdr:nvSpPr>
          <xdr:spPr>
            <a:xfrm>
              <a:off x="4848225" y="85725"/>
              <a:ext cx="1828800"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38101</xdr:rowOff>
    </xdr:from>
    <xdr:to>
      <xdr:col>8</xdr:col>
      <xdr:colOff>514350</xdr:colOff>
      <xdr:row>2</xdr:row>
      <xdr:rowOff>31242</xdr:rowOff>
    </xdr:to>
    <xdr:sp macro="" textlink="">
      <xdr:nvSpPr>
        <xdr:cNvPr id="4" name="Retângulo 3">
          <a:extLst>
            <a:ext uri="{FF2B5EF4-FFF2-40B4-BE49-F238E27FC236}">
              <a16:creationId xmlns:a16="http://schemas.microsoft.com/office/drawing/2014/main" id="{00000000-0008-0000-1000-000004000000}"/>
            </a:ext>
          </a:extLst>
        </xdr:cNvPr>
        <xdr:cNvSpPr/>
      </xdr:nvSpPr>
      <xdr:spPr>
        <a:xfrm>
          <a:off x="38100" y="38101"/>
          <a:ext cx="5829300"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baseline="0">
              <a:ln w="50800">
                <a:solidFill>
                  <a:schemeClr val="accent5">
                    <a:lumMod val="60000"/>
                    <a:lumOff val="40000"/>
                  </a:schemeClr>
                </a:solidFill>
              </a:ln>
              <a:solidFill>
                <a:schemeClr val="bg1">
                  <a:shade val="50000"/>
                </a:schemeClr>
              </a:solidFill>
              <a:effectLst/>
            </a:rPr>
            <a:t>SALDO DAS CONTAS CORRENTES</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0</xdr:colOff>
      <xdr:row>30</xdr:row>
      <xdr:rowOff>0</xdr:rowOff>
    </xdr:from>
    <xdr:to>
      <xdr:col>10</xdr:col>
      <xdr:colOff>304800</xdr:colOff>
      <xdr:row>39</xdr:row>
      <xdr:rowOff>114300</xdr:rowOff>
    </xdr:to>
    <xdr:sp macro="" textlink="">
      <xdr:nvSpPr>
        <xdr:cNvPr id="2" name="AutoShape 1" descr="Resultado de imagem para ícones de lançamentos">
          <a:extLst>
            <a:ext uri="{FF2B5EF4-FFF2-40B4-BE49-F238E27FC236}">
              <a16:creationId xmlns:a16="http://schemas.microsoft.com/office/drawing/2014/main" id="{00000000-0008-0000-1100-000002000000}"/>
            </a:ext>
          </a:extLst>
        </xdr:cNvPr>
        <xdr:cNvSpPr>
          <a:spLocks noChangeAspect="1" noChangeArrowheads="1"/>
        </xdr:cNvSpPr>
      </xdr:nvSpPr>
      <xdr:spPr bwMode="auto">
        <a:xfrm>
          <a:off x="8353425" y="3552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31750</xdr:colOff>
          <xdr:row>18</xdr:row>
          <xdr:rowOff>19050</xdr:rowOff>
        </xdr:from>
        <xdr:to>
          <xdr:col>1</xdr:col>
          <xdr:colOff>685800</xdr:colOff>
          <xdr:row>18</xdr:row>
          <xdr:rowOff>165100</xdr:rowOff>
        </xdr:to>
        <xdr:sp macro="" textlink="">
          <xdr:nvSpPr>
            <xdr:cNvPr id="15361" name="ScrollBar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361950</xdr:colOff>
      <xdr:row>3</xdr:row>
      <xdr:rowOff>0</xdr:rowOff>
    </xdr:from>
    <xdr:to>
      <xdr:col>5</xdr:col>
      <xdr:colOff>295275</xdr:colOff>
      <xdr:row>10</xdr:row>
      <xdr:rowOff>66675</xdr:rowOff>
    </xdr:to>
    <mc:AlternateContent xmlns:mc="http://schemas.openxmlformats.org/markup-compatibility/2006" xmlns:a14="http://schemas.microsoft.com/office/drawing/2010/main">
      <mc:Choice Requires="a14">
        <xdr:graphicFrame macro="">
          <xdr:nvGraphicFramePr>
            <xdr:cNvPr id="4" name="TITULAR 5">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microsoft.com/office/drawing/2010/slicer">
              <sle:slicer xmlns:sle="http://schemas.microsoft.com/office/drawing/2010/slicer" name="TITULAR 5"/>
            </a:graphicData>
          </a:graphic>
        </xdr:graphicFrame>
      </mc:Choice>
      <mc:Fallback xmlns="">
        <xdr:sp macro="" textlink="">
          <xdr:nvSpPr>
            <xdr:cNvPr id="0" name=""/>
            <xdr:cNvSpPr>
              <a:spLocks noTextEdit="1"/>
            </xdr:cNvSpPr>
          </xdr:nvSpPr>
          <xdr:spPr>
            <a:xfrm>
              <a:off x="1362075" y="8572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5</xdr:col>
      <xdr:colOff>323849</xdr:colOff>
      <xdr:row>3</xdr:row>
      <xdr:rowOff>0</xdr:rowOff>
    </xdr:from>
    <xdr:to>
      <xdr:col>8</xdr:col>
      <xdr:colOff>295274</xdr:colOff>
      <xdr:row>10</xdr:row>
      <xdr:rowOff>57151</xdr:rowOff>
    </xdr:to>
    <mc:AlternateContent xmlns:mc="http://schemas.openxmlformats.org/markup-compatibility/2006" xmlns:a14="http://schemas.microsoft.com/office/drawing/2010/main">
      <mc:Choice Requires="a14">
        <xdr:graphicFrame macro="">
          <xdr:nvGraphicFramePr>
            <xdr:cNvPr id="5" name="CENTRO CUSTO 5">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microsoft.com/office/drawing/2010/slicer">
              <sle:slicer xmlns:sle="http://schemas.microsoft.com/office/drawing/2010/slicer" name="CENTRO CUSTO 5"/>
            </a:graphicData>
          </a:graphic>
        </xdr:graphicFrame>
      </mc:Choice>
      <mc:Fallback xmlns="">
        <xdr:sp macro="" textlink="">
          <xdr:nvSpPr>
            <xdr:cNvPr id="0" name=""/>
            <xdr:cNvSpPr>
              <a:spLocks noTextEdit="1"/>
            </xdr:cNvSpPr>
          </xdr:nvSpPr>
          <xdr:spPr>
            <a:xfrm>
              <a:off x="3219449" y="85725"/>
              <a:ext cx="1895475" cy="895351"/>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xdr:col>
      <xdr:colOff>1</xdr:colOff>
      <xdr:row>10</xdr:row>
      <xdr:rowOff>161925</xdr:rowOff>
    </xdr:from>
    <xdr:to>
      <xdr:col>14</xdr:col>
      <xdr:colOff>638175</xdr:colOff>
      <xdr:row>17</xdr:row>
      <xdr:rowOff>0</xdr:rowOff>
    </xdr:to>
    <xdr:graphicFrame macro="">
      <xdr:nvGraphicFramePr>
        <xdr:cNvPr id="9" name="Gráfico 8">
          <a:extLst>
            <a:ext uri="{FF2B5EF4-FFF2-40B4-BE49-F238E27FC236}">
              <a16:creationId xmlns:a16="http://schemas.microsoft.com/office/drawing/2014/main" id="{00000000-0008-0000-1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3</xdr:row>
      <xdr:rowOff>0</xdr:rowOff>
    </xdr:from>
    <xdr:to>
      <xdr:col>2</xdr:col>
      <xdr:colOff>333375</xdr:colOff>
      <xdr:row>10</xdr:row>
      <xdr:rowOff>66675</xdr:rowOff>
    </xdr:to>
    <mc:AlternateContent xmlns:mc="http://schemas.openxmlformats.org/markup-compatibility/2006" xmlns:a14="http://schemas.microsoft.com/office/drawing/2010/main">
      <mc:Choice Requires="a14">
        <xdr:graphicFrame macro="">
          <xdr:nvGraphicFramePr>
            <xdr:cNvPr id="7" name="REALIZADO / A REALIZAR 1">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microsoft.com/office/drawing/2010/slicer">
              <sle:slicer xmlns:sle="http://schemas.microsoft.com/office/drawing/2010/slicer" name="REALIZADO / A REALIZAR 1"/>
            </a:graphicData>
          </a:graphic>
        </xdr:graphicFrame>
      </mc:Choice>
      <mc:Fallback xmlns="">
        <xdr:sp macro="" textlink="">
          <xdr:nvSpPr>
            <xdr:cNvPr id="0" name=""/>
            <xdr:cNvSpPr>
              <a:spLocks noTextEdit="1"/>
            </xdr:cNvSpPr>
          </xdr:nvSpPr>
          <xdr:spPr>
            <a:xfrm>
              <a:off x="133350" y="85725"/>
              <a:ext cx="120015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10</xdr:col>
      <xdr:colOff>28575</xdr:colOff>
      <xdr:row>3</xdr:row>
      <xdr:rowOff>9526</xdr:rowOff>
    </xdr:from>
    <xdr:to>
      <xdr:col>10</xdr:col>
      <xdr:colOff>276225</xdr:colOff>
      <xdr:row>5</xdr:row>
      <xdr:rowOff>0</xdr:rowOff>
    </xdr:to>
    <xdr:grpSp>
      <xdr:nvGrpSpPr>
        <xdr:cNvPr id="10" name="Agrupar 9">
          <a:extLst>
            <a:ext uri="{FF2B5EF4-FFF2-40B4-BE49-F238E27FC236}">
              <a16:creationId xmlns:a16="http://schemas.microsoft.com/office/drawing/2014/main" id="{00000000-0008-0000-1100-00000A000000}"/>
            </a:ext>
          </a:extLst>
        </xdr:cNvPr>
        <xdr:cNvGrpSpPr/>
      </xdr:nvGrpSpPr>
      <xdr:grpSpPr>
        <a:xfrm>
          <a:off x="6219825" y="95251"/>
          <a:ext cx="247650" cy="409574"/>
          <a:chOff x="8458200" y="666749"/>
          <a:chExt cx="381000" cy="381001"/>
        </a:xfrm>
      </xdr:grpSpPr>
      <xdr:sp macro="[0]!PeriodoRelResultado" textlink="">
        <xdr:nvSpPr>
          <xdr:cNvPr id="11" name="CaixaDeTexto 10">
            <a:extLst>
              <a:ext uri="{FF2B5EF4-FFF2-40B4-BE49-F238E27FC236}">
                <a16:creationId xmlns:a16="http://schemas.microsoft.com/office/drawing/2014/main" id="{00000000-0008-0000-1100-00000B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Resultado">
        <xdr:nvPicPr>
          <xdr:cNvPr id="12" name="Imagem 11" descr="ApplyFilter">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304800</xdr:colOff>
      <xdr:row>3</xdr:row>
      <xdr:rowOff>9525</xdr:rowOff>
    </xdr:from>
    <xdr:to>
      <xdr:col>10</xdr:col>
      <xdr:colOff>561975</xdr:colOff>
      <xdr:row>5</xdr:row>
      <xdr:rowOff>0</xdr:rowOff>
    </xdr:to>
    <xdr:grpSp>
      <xdr:nvGrpSpPr>
        <xdr:cNvPr id="13" name="Agrupar 12">
          <a:extLst>
            <a:ext uri="{FF2B5EF4-FFF2-40B4-BE49-F238E27FC236}">
              <a16:creationId xmlns:a16="http://schemas.microsoft.com/office/drawing/2014/main" id="{00000000-0008-0000-1100-00000D000000}"/>
            </a:ext>
          </a:extLst>
        </xdr:cNvPr>
        <xdr:cNvGrpSpPr/>
      </xdr:nvGrpSpPr>
      <xdr:grpSpPr>
        <a:xfrm>
          <a:off x="6496050" y="95250"/>
          <a:ext cx="257175" cy="409575"/>
          <a:chOff x="8905875" y="676274"/>
          <a:chExt cx="381000" cy="381001"/>
        </a:xfrm>
      </xdr:grpSpPr>
      <xdr:sp macro="[0]!LimparFiltroResultado" textlink="">
        <xdr:nvSpPr>
          <xdr:cNvPr id="14" name="CaixaDeTexto 13">
            <a:extLst>
              <a:ext uri="{FF2B5EF4-FFF2-40B4-BE49-F238E27FC236}">
                <a16:creationId xmlns:a16="http://schemas.microsoft.com/office/drawing/2014/main" id="{00000000-0008-0000-1100-00000E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sultado">
        <xdr:nvPicPr>
          <xdr:cNvPr id="15" name="Imagem 14" descr="ApplyFilter">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sultado">
        <xdr:nvPicPr>
          <xdr:cNvPr id="16" name="Imagem 15" descr="ColumnActionsRemover">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1</xdr:row>
      <xdr:rowOff>0</xdr:rowOff>
    </xdr:from>
    <xdr:to>
      <xdr:col>13</xdr:col>
      <xdr:colOff>0</xdr:colOff>
      <xdr:row>15</xdr:row>
      <xdr:rowOff>0</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67235</xdr:colOff>
      <xdr:row>1</xdr:row>
      <xdr:rowOff>1</xdr:rowOff>
    </xdr:from>
    <xdr:to>
      <xdr:col>22</xdr:col>
      <xdr:colOff>605117</xdr:colOff>
      <xdr:row>15</xdr:row>
      <xdr:rowOff>0</xdr:rowOff>
    </xdr:to>
    <xdr:graphicFrame macro="">
      <xdr:nvGraphicFramePr>
        <xdr:cNvPr id="5" name="Gráfico 4">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791134</xdr:colOff>
      <xdr:row>18</xdr:row>
      <xdr:rowOff>110378</xdr:rowOff>
    </xdr:from>
    <xdr:to>
      <xdr:col>5</xdr:col>
      <xdr:colOff>41461</xdr:colOff>
      <xdr:row>23</xdr:row>
      <xdr:rowOff>138953</xdr:rowOff>
    </xdr:to>
    <mc:AlternateContent xmlns:mc="http://schemas.openxmlformats.org/markup-compatibility/2006" xmlns:a14="http://schemas.microsoft.com/office/drawing/2010/main">
      <mc:Choice Requires="a14">
        <xdr:graphicFrame macro="">
          <xdr:nvGraphicFramePr>
            <xdr:cNvPr id="9" name="MÊS 1">
              <a:extLst>
                <a:ext uri="{FF2B5EF4-FFF2-40B4-BE49-F238E27FC236}">
                  <a16:creationId xmlns:a16="http://schemas.microsoft.com/office/drawing/2014/main" id="{00000000-0008-0000-1200-000009000000}"/>
                </a:ext>
              </a:extLst>
            </xdr:cNvPr>
            <xdr:cNvGraphicFramePr/>
          </xdr:nvGraphicFramePr>
          <xdr:xfrm>
            <a:off x="0" y="0"/>
            <a:ext cx="0" cy="0"/>
          </xdr:xfrm>
          <a:graphic>
            <a:graphicData uri="http://schemas.microsoft.com/office/drawing/2010/slicer">
              <sle:slicer xmlns:sle="http://schemas.microsoft.com/office/drawing/2010/slicer" name="MÊS 1"/>
            </a:graphicData>
          </a:graphic>
        </xdr:graphicFrame>
      </mc:Choice>
      <mc:Fallback xmlns="">
        <xdr:sp macro="" textlink="">
          <xdr:nvSpPr>
            <xdr:cNvPr id="0" name=""/>
            <xdr:cNvSpPr>
              <a:spLocks noTextEdit="1"/>
            </xdr:cNvSpPr>
          </xdr:nvSpPr>
          <xdr:spPr>
            <a:xfrm>
              <a:off x="3637428" y="3158378"/>
              <a:ext cx="1099298" cy="89142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28015</xdr:colOff>
      <xdr:row>18</xdr:row>
      <xdr:rowOff>122145</xdr:rowOff>
    </xdr:from>
    <xdr:to>
      <xdr:col>4</xdr:col>
      <xdr:colOff>247650</xdr:colOff>
      <xdr:row>23</xdr:row>
      <xdr:rowOff>36419</xdr:rowOff>
    </xdr:to>
    <mc:AlternateContent xmlns:mc="http://schemas.openxmlformats.org/markup-compatibility/2006" xmlns:a14="http://schemas.microsoft.com/office/drawing/2010/main">
      <mc:Choice Requires="a14">
        <xdr:graphicFrame macro="">
          <xdr:nvGraphicFramePr>
            <xdr:cNvPr id="10" name="ANO 2">
              <a:extLst>
                <a:ext uri="{FF2B5EF4-FFF2-40B4-BE49-F238E27FC236}">
                  <a16:creationId xmlns:a16="http://schemas.microsoft.com/office/drawing/2014/main" id="{00000000-0008-0000-1200-00000A000000}"/>
                </a:ext>
              </a:extLst>
            </xdr:cNvPr>
            <xdr:cNvGraphicFramePr/>
          </xdr:nvGraphicFramePr>
          <xdr:xfrm>
            <a:off x="0" y="0"/>
            <a:ext cx="0" cy="0"/>
          </xdr:xfrm>
          <a:graphic>
            <a:graphicData uri="http://schemas.microsoft.com/office/drawing/2010/slicer">
              <sle:slicer xmlns:sle="http://schemas.microsoft.com/office/drawing/2010/slicer" name="ANO 2"/>
            </a:graphicData>
          </a:graphic>
        </xdr:graphicFrame>
      </mc:Choice>
      <mc:Fallback xmlns="">
        <xdr:sp macro="" textlink="">
          <xdr:nvSpPr>
            <xdr:cNvPr id="0" name=""/>
            <xdr:cNvSpPr>
              <a:spLocks noTextEdit="1"/>
            </xdr:cNvSpPr>
          </xdr:nvSpPr>
          <xdr:spPr>
            <a:xfrm>
              <a:off x="2874309" y="3170145"/>
              <a:ext cx="1015253" cy="77712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20</xdr:col>
      <xdr:colOff>336175</xdr:colOff>
      <xdr:row>18</xdr:row>
      <xdr:rowOff>30257</xdr:rowOff>
    </xdr:from>
    <xdr:to>
      <xdr:col>22</xdr:col>
      <xdr:colOff>238123</xdr:colOff>
      <xdr:row>23</xdr:row>
      <xdr:rowOff>77881</xdr:rowOff>
    </xdr:to>
    <mc:AlternateContent xmlns:mc="http://schemas.openxmlformats.org/markup-compatibility/2006" xmlns:a14="http://schemas.microsoft.com/office/drawing/2010/main">
      <mc:Choice Requires="a14">
        <xdr:graphicFrame macro="">
          <xdr:nvGraphicFramePr>
            <xdr:cNvPr id="11" name="MÊS 2">
              <a:extLst>
                <a:ext uri="{FF2B5EF4-FFF2-40B4-BE49-F238E27FC236}">
                  <a16:creationId xmlns:a16="http://schemas.microsoft.com/office/drawing/2014/main" id="{00000000-0008-0000-1200-00000B000000}"/>
                </a:ext>
              </a:extLst>
            </xdr:cNvPr>
            <xdr:cNvGraphicFramePr/>
          </xdr:nvGraphicFramePr>
          <xdr:xfrm>
            <a:off x="0" y="0"/>
            <a:ext cx="0" cy="0"/>
          </xdr:xfrm>
          <a:graphic>
            <a:graphicData uri="http://schemas.microsoft.com/office/drawing/2010/slicer">
              <sle:slicer xmlns:sle="http://schemas.microsoft.com/office/drawing/2010/slicer" name="MÊS 2"/>
            </a:graphicData>
          </a:graphic>
        </xdr:graphicFrame>
      </mc:Choice>
      <mc:Fallback xmlns="">
        <xdr:sp macro="" textlink="">
          <xdr:nvSpPr>
            <xdr:cNvPr id="0" name=""/>
            <xdr:cNvSpPr>
              <a:spLocks noTextEdit="1"/>
            </xdr:cNvSpPr>
          </xdr:nvSpPr>
          <xdr:spPr>
            <a:xfrm>
              <a:off x="12774704" y="3078257"/>
              <a:ext cx="1112184" cy="91047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18</xdr:col>
      <xdr:colOff>543485</xdr:colOff>
      <xdr:row>18</xdr:row>
      <xdr:rowOff>54349</xdr:rowOff>
    </xdr:from>
    <xdr:to>
      <xdr:col>20</xdr:col>
      <xdr:colOff>271182</xdr:colOff>
      <xdr:row>23</xdr:row>
      <xdr:rowOff>3923</xdr:rowOff>
    </xdr:to>
    <mc:AlternateContent xmlns:mc="http://schemas.openxmlformats.org/markup-compatibility/2006" xmlns:a14="http://schemas.microsoft.com/office/drawing/2010/main">
      <mc:Choice Requires="a14">
        <xdr:graphicFrame macro="">
          <xdr:nvGraphicFramePr>
            <xdr:cNvPr id="12" name="ANO 3">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0/slicer">
              <sle:slicer xmlns:sle="http://schemas.microsoft.com/office/drawing/2010/slicer" name="ANO 3"/>
            </a:graphicData>
          </a:graphic>
        </xdr:graphicFrame>
      </mc:Choice>
      <mc:Fallback xmlns="">
        <xdr:sp macro="" textlink="">
          <xdr:nvSpPr>
            <xdr:cNvPr id="0" name=""/>
            <xdr:cNvSpPr>
              <a:spLocks noTextEdit="1"/>
            </xdr:cNvSpPr>
          </xdr:nvSpPr>
          <xdr:spPr>
            <a:xfrm>
              <a:off x="11659720" y="3102349"/>
              <a:ext cx="1049991" cy="81242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35</xdr:col>
      <xdr:colOff>438150</xdr:colOff>
      <xdr:row>3</xdr:row>
      <xdr:rowOff>47625</xdr:rowOff>
    </xdr:from>
    <xdr:to>
      <xdr:col>37</xdr:col>
      <xdr:colOff>542925</xdr:colOff>
      <xdr:row>8</xdr:row>
      <xdr:rowOff>133350</xdr:rowOff>
    </xdr:to>
    <mc:AlternateContent xmlns:mc="http://schemas.openxmlformats.org/markup-compatibility/2006" xmlns:a14="http://schemas.microsoft.com/office/drawing/2010/main">
      <mc:Choice Requires="a14">
        <xdr:graphicFrame macro="">
          <xdr:nvGraphicFramePr>
            <xdr:cNvPr id="13" name="MÊS 3">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microsoft.com/office/drawing/2010/slicer">
              <sle:slicer xmlns:sle="http://schemas.microsoft.com/office/drawing/2010/slicer" name="MÊS 3"/>
            </a:graphicData>
          </a:graphic>
        </xdr:graphicFrame>
      </mc:Choice>
      <mc:Fallback xmlns="">
        <xdr:sp macro="" textlink="">
          <xdr:nvSpPr>
            <xdr:cNvPr id="0" name=""/>
            <xdr:cNvSpPr>
              <a:spLocks noTextEdit="1"/>
            </xdr:cNvSpPr>
          </xdr:nvSpPr>
          <xdr:spPr>
            <a:xfrm>
              <a:off x="21069300" y="428625"/>
              <a:ext cx="1323975" cy="8477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33</xdr:col>
      <xdr:colOff>323850</xdr:colOff>
      <xdr:row>3</xdr:row>
      <xdr:rowOff>38100</xdr:rowOff>
    </xdr:from>
    <xdr:to>
      <xdr:col>35</xdr:col>
      <xdr:colOff>295275</xdr:colOff>
      <xdr:row>8</xdr:row>
      <xdr:rowOff>142875</xdr:rowOff>
    </xdr:to>
    <mc:AlternateContent xmlns:mc="http://schemas.openxmlformats.org/markup-compatibility/2006" xmlns:a14="http://schemas.microsoft.com/office/drawing/2010/main">
      <mc:Choice Requires="a14">
        <xdr:graphicFrame macro="">
          <xdr:nvGraphicFramePr>
            <xdr:cNvPr id="14" name="ANO 4">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microsoft.com/office/drawing/2010/slicer">
              <sle:slicer xmlns:sle="http://schemas.microsoft.com/office/drawing/2010/slicer" name="ANO 4"/>
            </a:graphicData>
          </a:graphic>
        </xdr:graphicFrame>
      </mc:Choice>
      <mc:Fallback xmlns="">
        <xdr:sp macro="" textlink="">
          <xdr:nvSpPr>
            <xdr:cNvPr id="0" name=""/>
            <xdr:cNvSpPr>
              <a:spLocks noTextEdit="1"/>
            </xdr:cNvSpPr>
          </xdr:nvSpPr>
          <xdr:spPr>
            <a:xfrm>
              <a:off x="19735800" y="419100"/>
              <a:ext cx="1190625" cy="8667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1304925</xdr:colOff>
      <xdr:row>0</xdr:row>
      <xdr:rowOff>78440</xdr:rowOff>
    </xdr:from>
    <xdr:to>
      <xdr:col>2</xdr:col>
      <xdr:colOff>0</xdr:colOff>
      <xdr:row>22</xdr:row>
      <xdr:rowOff>56029</xdr:rowOff>
    </xdr:to>
    <mc:AlternateContent xmlns:mc="http://schemas.openxmlformats.org/markup-compatibility/2006" xmlns:a14="http://schemas.microsoft.com/office/drawing/2010/main">
      <mc:Choice Requires="a14">
        <xdr:graphicFrame macro="">
          <xdr:nvGraphicFramePr>
            <xdr:cNvPr id="15" name="MÊS 4">
              <a:extLst>
                <a:ext uri="{FF2B5EF4-FFF2-40B4-BE49-F238E27FC236}">
                  <a16:creationId xmlns:a16="http://schemas.microsoft.com/office/drawing/2014/main" id="{00000000-0008-0000-1200-00000F000000}"/>
                </a:ext>
              </a:extLst>
            </xdr:cNvPr>
            <xdr:cNvGraphicFramePr/>
          </xdr:nvGraphicFramePr>
          <xdr:xfrm>
            <a:off x="0" y="0"/>
            <a:ext cx="0" cy="0"/>
          </xdr:xfrm>
          <a:graphic>
            <a:graphicData uri="http://schemas.microsoft.com/office/drawing/2010/slicer">
              <sle:slicer xmlns:sle="http://schemas.microsoft.com/office/drawing/2010/slicer" name="MÊS 4"/>
            </a:graphicData>
          </a:graphic>
        </xdr:graphicFrame>
      </mc:Choice>
      <mc:Fallback xmlns="">
        <xdr:sp macro="" textlink="">
          <xdr:nvSpPr>
            <xdr:cNvPr id="0" name=""/>
            <xdr:cNvSpPr>
              <a:spLocks noTextEdit="1"/>
            </xdr:cNvSpPr>
          </xdr:nvSpPr>
          <xdr:spPr>
            <a:xfrm>
              <a:off x="1400175" y="47625"/>
              <a:ext cx="1257300" cy="3581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1</xdr:col>
      <xdr:colOff>0</xdr:colOff>
      <xdr:row>0</xdr:row>
      <xdr:rowOff>76198</xdr:rowOff>
    </xdr:from>
    <xdr:to>
      <xdr:col>1</xdr:col>
      <xdr:colOff>1143000</xdr:colOff>
      <xdr:row>22</xdr:row>
      <xdr:rowOff>33617</xdr:rowOff>
    </xdr:to>
    <mc:AlternateContent xmlns:mc="http://schemas.openxmlformats.org/markup-compatibility/2006" xmlns:a14="http://schemas.microsoft.com/office/drawing/2010/main">
      <mc:Choice Requires="a14">
        <xdr:graphicFrame macro="">
          <xdr:nvGraphicFramePr>
            <xdr:cNvPr id="16" name="ANO 5">
              <a:extLst>
                <a:ext uri="{FF2B5EF4-FFF2-40B4-BE49-F238E27FC236}">
                  <a16:creationId xmlns:a16="http://schemas.microsoft.com/office/drawing/2014/main" id="{00000000-0008-0000-1200-000010000000}"/>
                </a:ext>
              </a:extLst>
            </xdr:cNvPr>
            <xdr:cNvGraphicFramePr/>
          </xdr:nvGraphicFramePr>
          <xdr:xfrm>
            <a:off x="0" y="0"/>
            <a:ext cx="0" cy="0"/>
          </xdr:xfrm>
          <a:graphic>
            <a:graphicData uri="http://schemas.microsoft.com/office/drawing/2010/slicer">
              <sle:slicer xmlns:sle="http://schemas.microsoft.com/office/drawing/2010/slicer" name="ANO 5"/>
            </a:graphicData>
          </a:graphic>
        </xdr:graphicFrame>
      </mc:Choice>
      <mc:Fallback xmlns="">
        <xdr:sp macro="" textlink="">
          <xdr:nvSpPr>
            <xdr:cNvPr id="0" name=""/>
            <xdr:cNvSpPr>
              <a:spLocks noTextEdit="1"/>
            </xdr:cNvSpPr>
          </xdr:nvSpPr>
          <xdr:spPr>
            <a:xfrm>
              <a:off x="95250" y="47624"/>
              <a:ext cx="1143000" cy="3581401"/>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3</xdr:col>
      <xdr:colOff>0</xdr:colOff>
      <xdr:row>16</xdr:row>
      <xdr:rowOff>0</xdr:rowOff>
    </xdr:from>
    <xdr:to>
      <xdr:col>6</xdr:col>
      <xdr:colOff>0</xdr:colOff>
      <xdr:row>30</xdr:row>
      <xdr:rowOff>0</xdr:rowOff>
    </xdr:to>
    <xdr:graphicFrame macro="">
      <xdr:nvGraphicFramePr>
        <xdr:cNvPr id="7" name="Gráfico 6">
          <a:extLst>
            <a:ext uri="{FF2B5EF4-FFF2-40B4-BE49-F238E27FC236}">
              <a16:creationId xmlns:a16="http://schemas.microsoft.com/office/drawing/2014/main" id="{00000000-0008-0000-1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16</xdr:row>
      <xdr:rowOff>2802</xdr:rowOff>
    </xdr:from>
    <xdr:to>
      <xdr:col>23</xdr:col>
      <xdr:colOff>22411</xdr:colOff>
      <xdr:row>30</xdr:row>
      <xdr:rowOff>0</xdr:rowOff>
    </xdr:to>
    <xdr:graphicFrame macro="">
      <xdr:nvGraphicFramePr>
        <xdr:cNvPr id="2" name="Gráfico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16</xdr:row>
      <xdr:rowOff>0</xdr:rowOff>
    </xdr:from>
    <xdr:to>
      <xdr:col>13</xdr:col>
      <xdr:colOff>0</xdr:colOff>
      <xdr:row>30</xdr:row>
      <xdr:rowOff>0</xdr:rowOff>
    </xdr:to>
    <xdr:graphicFrame macro="">
      <xdr:nvGraphicFramePr>
        <xdr:cNvPr id="3" name="Gráfico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295274</xdr:colOff>
      <xdr:row>2</xdr:row>
      <xdr:rowOff>85611</xdr:rowOff>
    </xdr:to>
    <xdr:sp macro="" textlink="">
      <xdr:nvSpPr>
        <xdr:cNvPr id="2" name="Retângulo 1">
          <a:extLst>
            <a:ext uri="{FF2B5EF4-FFF2-40B4-BE49-F238E27FC236}">
              <a16:creationId xmlns:a16="http://schemas.microsoft.com/office/drawing/2014/main" id="{00000000-0008-0000-13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CONTROLE DE ESTOQUE</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xdr:col>
      <xdr:colOff>533400</xdr:colOff>
      <xdr:row>92</xdr:row>
      <xdr:rowOff>38100</xdr:rowOff>
    </xdr:from>
    <xdr:to>
      <xdr:col>4</xdr:col>
      <xdr:colOff>190500</xdr:colOff>
      <xdr:row>96</xdr:row>
      <xdr:rowOff>161925</xdr:rowOff>
    </xdr:to>
    <mc:AlternateContent xmlns:mc="http://schemas.openxmlformats.org/markup-compatibility/2006" xmlns:a14="http://schemas.microsoft.com/office/drawing/2010/main">
      <mc:Choice Requires="a14">
        <xdr:graphicFrame macro="">
          <xdr:nvGraphicFramePr>
            <xdr:cNvPr id="5" name="CONTA CORRENTE 1">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microsoft.com/office/drawing/2010/slicer">
              <sle:slicer xmlns:sle="http://schemas.microsoft.com/office/drawing/2010/slicer" name="CONTA CORRENTE 1"/>
            </a:graphicData>
          </a:graphic>
        </xdr:graphicFrame>
      </mc:Choice>
      <mc:Fallback xmlns="">
        <xdr:sp macro="" textlink="">
          <xdr:nvSpPr>
            <xdr:cNvPr id="0" name=""/>
            <xdr:cNvSpPr>
              <a:spLocks noTextEdit="1"/>
            </xdr:cNvSpPr>
          </xdr:nvSpPr>
          <xdr:spPr>
            <a:xfrm>
              <a:off x="6600825" y="17383125"/>
              <a:ext cx="1828800" cy="8858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552450</xdr:colOff>
      <xdr:row>82</xdr:row>
      <xdr:rowOff>57150</xdr:rowOff>
    </xdr:from>
    <xdr:to>
      <xdr:col>4</xdr:col>
      <xdr:colOff>209550</xdr:colOff>
      <xdr:row>86</xdr:row>
      <xdr:rowOff>104775</xdr:rowOff>
    </xdr:to>
    <mc:AlternateContent xmlns:mc="http://schemas.openxmlformats.org/markup-compatibility/2006" xmlns:a14="http://schemas.microsoft.com/office/drawing/2010/main">
      <mc:Choice Requires="a14">
        <xdr:graphicFrame macro="">
          <xdr:nvGraphicFramePr>
            <xdr:cNvPr id="6" name="TITULAR">
              <a:extLst>
                <a:ext uri="{FF2B5EF4-FFF2-40B4-BE49-F238E27FC236}">
                  <a16:creationId xmlns:a16="http://schemas.microsoft.com/office/drawing/2014/main" id="{00000000-0008-0000-1400-000006000000}"/>
                </a:ext>
              </a:extLst>
            </xdr:cNvPr>
            <xdr:cNvGraphicFramePr/>
          </xdr:nvGraphicFramePr>
          <xdr:xfrm>
            <a:off x="0" y="0"/>
            <a:ext cx="0" cy="0"/>
          </xdr:xfrm>
          <a:graphic>
            <a:graphicData uri="http://schemas.microsoft.com/office/drawing/2010/slicer">
              <sle:slicer xmlns:sle="http://schemas.microsoft.com/office/drawing/2010/slicer" name="TITULAR"/>
            </a:graphicData>
          </a:graphic>
        </xdr:graphicFrame>
      </mc:Choice>
      <mc:Fallback xmlns="">
        <xdr:sp macro="" textlink="">
          <xdr:nvSpPr>
            <xdr:cNvPr id="0" name=""/>
            <xdr:cNvSpPr>
              <a:spLocks noTextEdit="1"/>
            </xdr:cNvSpPr>
          </xdr:nvSpPr>
          <xdr:spPr>
            <a:xfrm>
              <a:off x="6619875" y="15497175"/>
              <a:ext cx="1828800" cy="8096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86</xdr:row>
      <xdr:rowOff>180976</xdr:rowOff>
    </xdr:from>
    <xdr:to>
      <xdr:col>4</xdr:col>
      <xdr:colOff>190500</xdr:colOff>
      <xdr:row>91</xdr:row>
      <xdr:rowOff>104776</xdr:rowOff>
    </xdr:to>
    <mc:AlternateContent xmlns:mc="http://schemas.openxmlformats.org/markup-compatibility/2006" xmlns:a14="http://schemas.microsoft.com/office/drawing/2010/main">
      <mc:Choice Requires="a14">
        <xdr:graphicFrame macro="">
          <xdr:nvGraphicFramePr>
            <xdr:cNvPr id="7" name="CENTRO CUSTO">
              <a:extLst>
                <a:ext uri="{FF2B5EF4-FFF2-40B4-BE49-F238E27FC236}">
                  <a16:creationId xmlns:a16="http://schemas.microsoft.com/office/drawing/2014/main" id="{00000000-0008-0000-1400-000007000000}"/>
                </a:ext>
              </a:extLst>
            </xdr:cNvPr>
            <xdr:cNvGraphicFramePr/>
          </xdr:nvGraphicFramePr>
          <xdr:xfrm>
            <a:off x="0" y="0"/>
            <a:ext cx="0" cy="0"/>
          </xdr:xfrm>
          <a:graphic>
            <a:graphicData uri="http://schemas.microsoft.com/office/drawing/2010/slicer">
              <sle:slicer xmlns:sle="http://schemas.microsoft.com/office/drawing/2010/slicer" name="CENTRO CUSTO"/>
            </a:graphicData>
          </a:graphic>
        </xdr:graphicFrame>
      </mc:Choice>
      <mc:Fallback xmlns="">
        <xdr:sp macro="" textlink="">
          <xdr:nvSpPr>
            <xdr:cNvPr id="0" name=""/>
            <xdr:cNvSpPr>
              <a:spLocks noTextEdit="1"/>
            </xdr:cNvSpPr>
          </xdr:nvSpPr>
          <xdr:spPr>
            <a:xfrm>
              <a:off x="6600825" y="16383001"/>
              <a:ext cx="1828800" cy="8763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102</xdr:row>
      <xdr:rowOff>57150</xdr:rowOff>
    </xdr:from>
    <xdr:to>
      <xdr:col>4</xdr:col>
      <xdr:colOff>190500</xdr:colOff>
      <xdr:row>106</xdr:row>
      <xdr:rowOff>123825</xdr:rowOff>
    </xdr:to>
    <mc:AlternateContent xmlns:mc="http://schemas.openxmlformats.org/markup-compatibility/2006" xmlns:a14="http://schemas.microsoft.com/office/drawing/2010/main">
      <mc:Choice Requires="a14">
        <xdr:graphicFrame macro="">
          <xdr:nvGraphicFramePr>
            <xdr:cNvPr id="8" name="ANO">
              <a:extLst>
                <a:ext uri="{FF2B5EF4-FFF2-40B4-BE49-F238E27FC236}">
                  <a16:creationId xmlns:a16="http://schemas.microsoft.com/office/drawing/2014/main" id="{00000000-0008-0000-1400-000008000000}"/>
                </a:ext>
              </a:extLst>
            </xdr:cNvPr>
            <xdr:cNvGraphicFramePr/>
          </xdr:nvGraphicFramePr>
          <xdr:xfrm>
            <a:off x="0" y="0"/>
            <a:ext cx="0" cy="0"/>
          </xdr:xfrm>
          <a:graphic>
            <a:graphicData uri="http://schemas.microsoft.com/office/drawing/2010/slicer">
              <sle:slicer xmlns:sle="http://schemas.microsoft.com/office/drawing/2010/slicer" name="ANO"/>
            </a:graphicData>
          </a:graphic>
        </xdr:graphicFrame>
      </mc:Choice>
      <mc:Fallback xmlns="">
        <xdr:sp macro="" textlink="">
          <xdr:nvSpPr>
            <xdr:cNvPr id="0" name=""/>
            <xdr:cNvSpPr>
              <a:spLocks noTextEdit="1"/>
            </xdr:cNvSpPr>
          </xdr:nvSpPr>
          <xdr:spPr>
            <a:xfrm>
              <a:off x="6600825" y="19307175"/>
              <a:ext cx="1828800" cy="8286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523875</xdr:colOff>
      <xdr:row>97</xdr:row>
      <xdr:rowOff>57150</xdr:rowOff>
    </xdr:from>
    <xdr:to>
      <xdr:col>4</xdr:col>
      <xdr:colOff>180975</xdr:colOff>
      <xdr:row>102</xdr:row>
      <xdr:rowOff>9525</xdr:rowOff>
    </xdr:to>
    <mc:AlternateContent xmlns:mc="http://schemas.openxmlformats.org/markup-compatibility/2006" xmlns:a14="http://schemas.microsoft.com/office/drawing/2010/main">
      <mc:Choice Requires="a14">
        <xdr:graphicFrame macro="">
          <xdr:nvGraphicFramePr>
            <xdr:cNvPr id="9" name="REALIZADO / A REALIZAR">
              <a:extLst>
                <a:ext uri="{FF2B5EF4-FFF2-40B4-BE49-F238E27FC236}">
                  <a16:creationId xmlns:a16="http://schemas.microsoft.com/office/drawing/2014/main" id="{00000000-0008-0000-1400-000009000000}"/>
                </a:ext>
              </a:extLst>
            </xdr:cNvPr>
            <xdr:cNvGraphicFramePr/>
          </xdr:nvGraphicFramePr>
          <xdr:xfrm>
            <a:off x="0" y="0"/>
            <a:ext cx="0" cy="0"/>
          </xdr:xfrm>
          <a:graphic>
            <a:graphicData uri="http://schemas.microsoft.com/office/drawing/2010/slicer">
              <sle:slicer xmlns:sle="http://schemas.microsoft.com/office/drawing/2010/slicer" name="REALIZADO / A REALIZAR"/>
            </a:graphicData>
          </a:graphic>
        </xdr:graphicFrame>
      </mc:Choice>
      <mc:Fallback xmlns="">
        <xdr:sp macro="" textlink="">
          <xdr:nvSpPr>
            <xdr:cNvPr id="0" name=""/>
            <xdr:cNvSpPr>
              <a:spLocks noTextEdit="1"/>
            </xdr:cNvSpPr>
          </xdr:nvSpPr>
          <xdr:spPr>
            <a:xfrm>
              <a:off x="6591300" y="1835467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542925</xdr:colOff>
      <xdr:row>106</xdr:row>
      <xdr:rowOff>180975</xdr:rowOff>
    </xdr:from>
    <xdr:to>
      <xdr:col>4</xdr:col>
      <xdr:colOff>200025</xdr:colOff>
      <xdr:row>111</xdr:row>
      <xdr:rowOff>85725</xdr:rowOff>
    </xdr:to>
    <mc:AlternateContent xmlns:mc="http://schemas.openxmlformats.org/markup-compatibility/2006" xmlns:a14="http://schemas.microsoft.com/office/drawing/2010/main">
      <mc:Choice Requires="a14">
        <xdr:graphicFrame macro="">
          <xdr:nvGraphicFramePr>
            <xdr:cNvPr id="10" name="MÊS">
              <a:extLst>
                <a:ext uri="{FF2B5EF4-FFF2-40B4-BE49-F238E27FC236}">
                  <a16:creationId xmlns:a16="http://schemas.microsoft.com/office/drawing/2014/main" id="{00000000-0008-0000-1400-00000A000000}"/>
                </a:ext>
              </a:extLst>
            </xdr:cNvPr>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6610350" y="20193000"/>
              <a:ext cx="1828800" cy="8572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xdr:col>
      <xdr:colOff>1590675</xdr:colOff>
      <xdr:row>82</xdr:row>
      <xdr:rowOff>95250</xdr:rowOff>
    </xdr:from>
    <xdr:to>
      <xdr:col>3</xdr:col>
      <xdr:colOff>419100</xdr:colOff>
      <xdr:row>88</xdr:row>
      <xdr:rowOff>85725</xdr:rowOff>
    </xdr:to>
    <mc:AlternateContent xmlns:mc="http://schemas.openxmlformats.org/markup-compatibility/2006" xmlns:a14="http://schemas.microsoft.com/office/drawing/2010/main">
      <mc:Choice Requires="a14">
        <xdr:graphicFrame macro="">
          <xdr:nvGraphicFramePr>
            <xdr:cNvPr id="11" name="REC./DESP.">
              <a:extLst>
                <a:ext uri="{FF2B5EF4-FFF2-40B4-BE49-F238E27FC236}">
                  <a16:creationId xmlns:a16="http://schemas.microsoft.com/office/drawing/2014/main" id="{00000000-0008-0000-1400-00000B000000}"/>
                </a:ext>
              </a:extLst>
            </xdr:cNvPr>
            <xdr:cNvGraphicFramePr/>
          </xdr:nvGraphicFramePr>
          <xdr:xfrm>
            <a:off x="0" y="0"/>
            <a:ext cx="0" cy="0"/>
          </xdr:xfrm>
          <a:graphic>
            <a:graphicData uri="http://schemas.microsoft.com/office/drawing/2010/slicer">
              <sle:slicer xmlns:sle="http://schemas.microsoft.com/office/drawing/2010/slicer" name="REC./DESP."/>
            </a:graphicData>
          </a:graphic>
        </xdr:graphicFrame>
      </mc:Choice>
      <mc:Fallback xmlns="">
        <xdr:sp macro="" textlink="">
          <xdr:nvSpPr>
            <xdr:cNvPr id="0" name=""/>
            <xdr:cNvSpPr>
              <a:spLocks noTextEdit="1"/>
            </xdr:cNvSpPr>
          </xdr:nvSpPr>
          <xdr:spPr>
            <a:xfrm>
              <a:off x="4657725" y="15535275"/>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5</xdr:col>
      <xdr:colOff>457200</xdr:colOff>
      <xdr:row>12</xdr:row>
      <xdr:rowOff>171450</xdr:rowOff>
    </xdr:from>
    <xdr:to>
      <xdr:col>5</xdr:col>
      <xdr:colOff>1530723</xdr:colOff>
      <xdr:row>14</xdr:row>
      <xdr:rowOff>39025</xdr:rowOff>
    </xdr:to>
    <xdr:sp macro="[0]!LimparRegistros" textlink="">
      <xdr:nvSpPr>
        <xdr:cNvPr id="12" name="CaixaDeTexto 11">
          <a:extLst>
            <a:ext uri="{FF2B5EF4-FFF2-40B4-BE49-F238E27FC236}">
              <a16:creationId xmlns:a16="http://schemas.microsoft.com/office/drawing/2014/main" id="{00000000-0008-0000-1400-00000C000000}"/>
            </a:ext>
          </a:extLst>
        </xdr:cNvPr>
        <xdr:cNvSpPr txBox="1"/>
      </xdr:nvSpPr>
      <xdr:spPr>
        <a:xfrm>
          <a:off x="9077325" y="2466975"/>
          <a:ext cx="1073523" cy="248575"/>
        </a:xfrm>
        <a:prstGeom prst="rect">
          <a:avLst/>
        </a:prstGeom>
        <a:solidFill>
          <a:schemeClr val="tx1">
            <a:lumMod val="95000"/>
            <a:lumOff val="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b="1">
              <a:solidFill>
                <a:srgbClr val="FFFF66"/>
              </a:solidFill>
            </a:rPr>
            <a:t>LIMPAR CADASTROS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gis Marinho" refreshedDate="43388.298946643517" missingItemsLimit="0" createdVersion="6" refreshedVersion="6" minRefreshableVersion="3" recordCount="25" xr:uid="{00000000-000A-0000-FFFF-FFFF00000000}">
  <cacheSource type="worksheet">
    <worksheetSource name="rng_DadosLanctosTD"/>
  </cacheSource>
  <cacheFields count="38">
    <cacheField name="Nº LANÇ." numFmtId="170">
      <sharedItems containsSemiMixedTypes="0" containsString="0" containsNumber="1" containsInteger="1" minValue="1" maxValue="25" count="25">
        <n v="1"/>
        <n v="2"/>
        <n v="14"/>
        <n v="3"/>
        <n v="15"/>
        <n v="4"/>
        <n v="16"/>
        <n v="5"/>
        <n v="17"/>
        <n v="6"/>
        <n v="18"/>
        <n v="7"/>
        <n v="19"/>
        <n v="8"/>
        <n v="20"/>
        <n v="9"/>
        <n v="21"/>
        <n v="10"/>
        <n v="22"/>
        <n v="11"/>
        <n v="23"/>
        <n v="12"/>
        <n v="24"/>
        <n v="13"/>
        <n v="25"/>
      </sharedItems>
    </cacheField>
    <cacheField name="DATA EMISSÃO" numFmtId="14">
      <sharedItems containsSemiMixedTypes="0" containsNonDate="0" containsDate="1" containsString="0" minDate="2018-10-15T00:00:00" maxDate="2018-10-16T00:00:00" count="1">
        <d v="2018-10-15T00:00:00"/>
      </sharedItems>
    </cacheField>
    <cacheField name="VENCTO. ORIGINAL" numFmtId="14">
      <sharedItems containsSemiMixedTypes="0" containsNonDate="0" containsDate="1" containsString="0" minDate="2018-10-15T00:00:00" maxDate="2019-10-16T00:00:00"/>
    </cacheField>
    <cacheField name="VENCTO. AJUSTADO" numFmtId="14">
      <sharedItems containsSemiMixedTypes="0" containsNonDate="0" containsDate="1" containsString="0" minDate="2018-10-15T00:00:00" maxDate="2019-10-16T00:00:00" count="13">
        <d v="2018-10-15T00:00:00"/>
        <d v="2018-11-15T00:00:00"/>
        <d v="2018-12-15T00:00:00"/>
        <d v="2019-01-15T00:00:00"/>
        <d v="2019-02-15T00:00:00"/>
        <d v="2019-03-15T00:00:00"/>
        <d v="2019-04-15T00:00:00"/>
        <d v="2019-05-15T00:00:00"/>
        <d v="2019-06-15T00:00:00"/>
        <d v="2019-07-15T00:00:00"/>
        <d v="2019-08-15T00:00:00"/>
        <d v="2019-09-15T00:00:00"/>
        <d v="2019-10-15T00:00:00"/>
      </sharedItems>
    </cacheField>
    <cacheField name="DATA REALIZ." numFmtId="14">
      <sharedItems containsNonDate="0" containsDate="1" containsString="0" containsBlank="1" minDate="2018-10-15T00:00:00" maxDate="2018-10-16T00:00:00"/>
    </cacheField>
    <cacheField name="VALOR" numFmtId="168">
      <sharedItems containsSemiMixedTypes="0" containsString="0" containsNumber="1" containsInteger="1" minValue="-15000" maxValue="20000"/>
    </cacheField>
    <cacheField name="CONTA CORRENTE" numFmtId="0">
      <sharedItems count="1">
        <s v="CAIXA"/>
      </sharedItems>
    </cacheField>
    <cacheField name="TITULAR" numFmtId="0">
      <sharedItems count="1">
        <s v="R. MARINHO"/>
      </sharedItems>
    </cacheField>
    <cacheField name="CLIENTE OU FORNECEDOR" numFmtId="0">
      <sharedItems count="1">
        <s v="R. MARINHO"/>
      </sharedItems>
    </cacheField>
    <cacheField name="PLANO DE CONTAS" numFmtId="0">
      <sharedItems count="3">
        <s v="SALDO INICIAL"/>
        <s v="VENDAS"/>
        <s v="COMPRAS"/>
      </sharedItems>
    </cacheField>
    <cacheField name="CENTRO CUSTO" numFmtId="0">
      <sharedItems count="1">
        <s v="ADMINISTRATIVO"/>
      </sharedItems>
    </cacheField>
    <cacheField name="REC./DESP." numFmtId="0">
      <sharedItems count="3">
        <s v="MOVIMENTAÇÃO FINANCEIRA"/>
        <s v="RECEITA"/>
        <s v="DESPESA"/>
      </sharedItems>
    </cacheField>
    <cacheField name="TIPO DE DOCTO." numFmtId="0">
      <sharedItems count="1">
        <s v="AV"/>
      </sharedItems>
    </cacheField>
    <cacheField name="DOCUMENTO" numFmtId="0">
      <sharedItems count="1">
        <s v=""/>
      </sharedItems>
    </cacheField>
    <cacheField name="DESCRIÇÃO" numFmtId="0">
      <sharedItems count="1">
        <s v="-"/>
      </sharedItems>
    </cacheField>
    <cacheField name="OBS. INTERNA" numFmtId="0">
      <sharedItems/>
    </cacheField>
    <cacheField name="DATA CONCILIAÇÃO" numFmtId="0">
      <sharedItems containsNonDate="0" containsString="0" containsBlank="1"/>
    </cacheField>
    <cacheField name="MÊS" numFmtId="169">
      <sharedItems containsSemiMixedTypes="0" containsNonDate="0" containsDate="1" containsString="0" minDate="2018-10-31T00:00:00" maxDate="2019-11-01T00:00:00" count="13">
        <d v="2018-10-31T00:00:00"/>
        <d v="2018-11-30T00:00:00"/>
        <d v="2018-12-31T00:00:00"/>
        <d v="2019-01-31T00:00:00"/>
        <d v="2019-02-28T00:00:00"/>
        <d v="2019-03-31T00:00:00"/>
        <d v="2019-04-30T00:00:00"/>
        <d v="2019-05-31T00:00:00"/>
        <d v="2019-06-30T00:00:00"/>
        <d v="2019-07-31T00:00:00"/>
        <d v="2019-08-31T00:00:00"/>
        <d v="2019-09-30T00:00:00"/>
        <d v="2019-10-31T00:00:00"/>
      </sharedItems>
    </cacheField>
    <cacheField name="ANO" numFmtId="0">
      <sharedItems containsSemiMixedTypes="0" containsString="0" containsNumber="1" containsInteger="1" minValue="2018" maxValue="2019" count="2">
        <n v="2018"/>
        <n v="2019"/>
      </sharedItems>
    </cacheField>
    <cacheField name="TIPO REGISTRO" numFmtId="0">
      <sharedItems/>
    </cacheField>
    <cacheField name="REALIZADO / A REALIZAR" numFmtId="0">
      <sharedItems count="2">
        <s v="REALIZADO"/>
        <s v="A REALIZAR"/>
      </sharedItems>
    </cacheField>
    <cacheField name="TIPO REC./DESP." numFmtId="0">
      <sharedItems count="1">
        <s v="FIXA"/>
      </sharedItems>
    </cacheField>
    <cacheField name="NOME DO INSUMO" numFmtId="0">
      <sharedItems count="1">
        <s v="-"/>
      </sharedItems>
    </cacheField>
    <cacheField name="UNID." numFmtId="0">
      <sharedItems/>
    </cacheField>
    <cacheField name="VALOR INSUMO" numFmtId="168">
      <sharedItems containsNonDate="0" containsString="0" containsBlank="1"/>
    </cacheField>
    <cacheField name="QUANT. INSUMO" numFmtId="0">
      <sharedItems containsNonDate="0" containsString="0" containsBlank="1"/>
    </cacheField>
    <cacheField name="DATA LANÇ." numFmtId="14">
      <sharedItems containsSemiMixedTypes="0" containsNonDate="0" containsDate="1" containsString="0" minDate="2018-10-15T00:00:00" maxDate="2018-10-16T00:00:00"/>
    </cacheField>
    <cacheField name="M" numFmtId="0">
      <sharedItems containsSemiMixedTypes="0" containsString="0" containsNumber="1" containsInteger="1" minValue="1" maxValue="12"/>
    </cacheField>
    <cacheField name="MÊS COMPET." numFmtId="169">
      <sharedItems containsSemiMixedTypes="0" containsNonDate="0" containsDate="1" containsString="0" minDate="2018-10-01T00:00:00" maxDate="2019-10-02T00:00:00"/>
    </cacheField>
    <cacheField name="GRUPO DE CONTAS" numFmtId="0">
      <sharedItems count="3">
        <s v="FINANCEIRO"/>
        <s v="RECEITAS OPERACIONAIS"/>
        <s v="DESPESAS OPERACIONAIS"/>
      </sharedItems>
    </cacheField>
    <cacheField name="FK_TIT" numFmtId="0">
      <sharedItems containsSemiMixedTypes="0" containsString="0" containsNumber="1" containsInteger="1" minValue="1" maxValue="1"/>
    </cacheField>
    <cacheField name="FK_CC" numFmtId="0">
      <sharedItems containsSemiMixedTypes="0" containsString="0" containsNumber="1" containsInteger="1" minValue="1" maxValue="1"/>
    </cacheField>
    <cacheField name="FK_PC" numFmtId="0">
      <sharedItems containsSemiMixedTypes="0" containsString="0" containsNumber="1" containsInteger="1" minValue="1" maxValue="3"/>
    </cacheField>
    <cacheField name="FK_CCor" numFmtId="0">
      <sharedItems containsSemiMixedTypes="0" containsString="0" containsNumber="1" containsInteger="1" minValue="1" maxValue="1"/>
    </cacheField>
    <cacheField name="FK_CliFor" numFmtId="0">
      <sharedItems containsSemiMixedTypes="0" containsString="0" containsNumber="1" containsInteger="1" minValue="1" maxValue="1"/>
    </cacheField>
    <cacheField name="FK_INSUMO" numFmtId="0">
      <sharedItems containsNonDate="0" containsString="0" containsBlank="1"/>
    </cacheField>
    <cacheField name="FK_GC" numFmtId="0">
      <sharedItems containsSemiMixedTypes="0" containsString="0" containsNumber="1" containsInteger="1" minValue="1" maxValue="3"/>
    </cacheField>
    <cacheField name="DATA REFERÊNCIA" numFmtId="14">
      <sharedItems containsSemiMixedTypes="0" containsNonDate="0" containsDate="1" containsString="0" minDate="2018-10-15T00:00:00" maxDate="2019-10-16T00:00:00" count="13">
        <d v="2018-10-15T00:00:00"/>
        <d v="2018-11-15T00:00:00"/>
        <d v="2018-12-15T00:00:00"/>
        <d v="2019-01-15T00:00:00"/>
        <d v="2019-02-15T00:00:00"/>
        <d v="2019-03-15T00:00:00"/>
        <d v="2019-04-15T00:00:00"/>
        <d v="2019-05-15T00:00:00"/>
        <d v="2019-06-15T00:00:00"/>
        <d v="2019-07-15T00:00:00"/>
        <d v="2019-08-15T00:00:00"/>
        <d v="2019-09-15T00:00:00"/>
        <d v="2019-10-15T00:00:00"/>
      </sharedItems>
    </cacheField>
  </cacheFields>
  <extLst>
    <ext xmlns:x14="http://schemas.microsoft.com/office/spreadsheetml/2009/9/main" uri="{725AE2AE-9491-48be-B2B4-4EB974FC3084}">
      <x14:pivotCacheDefinition pivotCacheId="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058678-C4F2-4F51-9B8E-D6B362E7460A}"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10:C13" firstHeaderRow="1" firstDataRow="1" firstDataCol="1" rowPageCount="4" colPageCount="1"/>
  <pivotFields count="38">
    <pivotField axis="axisRow" numFmtId="170" showAll="0" defaultSubtotal="0">
      <items count="25">
        <item x="0"/>
        <item x="1"/>
        <item x="5"/>
        <item x="3"/>
        <item x="2"/>
        <item x="4"/>
        <item x="6"/>
        <item x="7"/>
        <item x="8"/>
        <item x="9"/>
        <item x="10"/>
        <item x="11"/>
        <item x="12"/>
        <item x="13"/>
        <item x="14"/>
        <item x="15"/>
        <item x="16"/>
        <item x="17"/>
        <item x="18"/>
        <item x="19"/>
        <item x="20"/>
        <item x="21"/>
        <item x="22"/>
        <item x="23"/>
        <item x="24"/>
      </items>
    </pivotField>
    <pivotField numFmtId="167" showAll="0"/>
    <pivotField numFmtId="167" showAll="0"/>
    <pivotField axis="axisRow" numFmtId="167" showAll="0" sortType="ascending" defaultSubtotal="0">
      <items count="13">
        <item sd="0" x="0"/>
        <item sd="0" x="1"/>
        <item sd="0" x="2"/>
        <item sd="0" x="3"/>
        <item sd="0" x="4"/>
        <item sd="0" x="5"/>
        <item sd="0" x="6"/>
        <item sd="0" x="7"/>
        <item sd="0" x="8"/>
        <item sd="0" x="9"/>
        <item sd="0" x="10"/>
        <item sd="0" x="11"/>
        <item sd="0" x="12"/>
      </items>
    </pivotField>
    <pivotField showAll="0"/>
    <pivotField dataField="1" numFmtId="168" showAll="0"/>
    <pivotField axis="axisPage" showAll="0">
      <items count="2">
        <item x="0"/>
        <item t="default"/>
      </items>
    </pivotField>
    <pivotField axis="axisPage" showAll="0">
      <items count="2">
        <item x="0"/>
        <item t="default"/>
      </items>
    </pivotField>
    <pivotField axis="axisRow" showAll="0" defaultSubtotal="0">
      <items count="1">
        <item sd="0" x="0"/>
      </items>
    </pivotField>
    <pivotField axis="axisRow" showAll="0" defaultSubtotal="0">
      <items count="3">
        <item sd="0" x="0"/>
        <item sd="0" x="1"/>
        <item sd="0" x="2"/>
      </items>
    </pivotField>
    <pivotField axis="axisPage" showAll="0">
      <items count="2">
        <item x="0"/>
        <item t="default"/>
      </items>
    </pivotField>
    <pivotField showAll="0"/>
    <pivotField showAll="0"/>
    <pivotField showAll="0"/>
    <pivotField axis="axisRow" showAll="0" defaultSubtotal="0">
      <items count="1">
        <item sd="0" x="0"/>
      </items>
    </pivotField>
    <pivotField showAll="0"/>
    <pivotField showAll="0"/>
    <pivotField axis="axisRow" numFmtId="169" showAll="0" sortType="ascending" defaultSubtotal="0">
      <items count="13">
        <item sd="0" x="0"/>
        <item sd="0" x="1"/>
        <item sd="0" x="2"/>
        <item sd="0" x="3"/>
        <item sd="0" x="4"/>
        <item sd="0" x="5"/>
        <item sd="0" x="6"/>
        <item sd="0" x="7"/>
        <item sd="0" x="8"/>
        <item sd="0" x="9"/>
        <item sd="0" x="10"/>
        <item sd="0" x="11"/>
        <item sd="0" x="12"/>
      </items>
    </pivotField>
    <pivotField axis="axisRow" showAll="0" sortType="ascending" defaultSubtotal="0">
      <items count="2">
        <item sd="0" x="0"/>
        <item sd="0" x="1"/>
      </items>
    </pivotField>
    <pivotField showAll="0"/>
    <pivotField axis="axisPage" showAll="0">
      <items count="3">
        <item x="0"/>
        <item x="1"/>
        <item t="default"/>
      </items>
    </pivotField>
    <pivotField showAll="0"/>
    <pivotField showAll="0"/>
    <pivotField showAll="0"/>
    <pivotField showAll="0"/>
    <pivotField showAll="0"/>
    <pivotField numFmtId="167" showAll="0"/>
    <pivotField showAll="0"/>
    <pivotField numFmtId="169" showAll="0"/>
    <pivotField showAll="0"/>
    <pivotField showAll="0"/>
    <pivotField showAll="0"/>
    <pivotField showAll="0"/>
    <pivotField showAll="0"/>
    <pivotField showAll="0"/>
    <pivotField showAll="0"/>
    <pivotField showAll="0"/>
    <pivotField showAll="0"/>
  </pivotFields>
  <rowFields count="7">
    <field x="18"/>
    <field x="17"/>
    <field x="3"/>
    <field x="9"/>
    <field x="8"/>
    <field x="14"/>
    <field x="0"/>
  </rowFields>
  <rowItems count="3">
    <i>
      <x/>
    </i>
    <i>
      <x v="1"/>
    </i>
    <i t="grand">
      <x/>
    </i>
  </rowItems>
  <colItems count="1">
    <i/>
  </colItems>
  <pageFields count="4">
    <pageField fld="7" hier="-1"/>
    <pageField fld="10" hier="-1"/>
    <pageField fld="6" hier="-1"/>
    <pageField fld="20" item="1" hier="-1"/>
  </pageFields>
  <dataFields count="1">
    <dataField name="VALOR " fld="5" baseField="0" baseItem="0" numFmtId="168"/>
  </dataFields>
  <formats count="3">
    <format dxfId="170">
      <pivotArea dataOnly="0" labelOnly="1" outline="0" axis="axisValues" fieldPosition="0"/>
    </format>
    <format dxfId="169">
      <pivotArea field="18" type="button" dataOnly="0" labelOnly="1" outline="0" axis="axisRow" fieldPosition="0"/>
    </format>
    <format dxfId="168">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ESCRIÇÃO" colHeaderCaption="PERÍODO:">
  <location ref="B8:M16" firstHeaderRow="1" firstDataRow="2" firstDataCol="1" rowPageCount="2"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name="TITULAR:" axis="axisPage" showAll="0" insertBlankRow="1" sortType="ascending">
      <items count="2">
        <item x="0"/>
        <item t="default"/>
      </items>
    </pivotField>
    <pivotField showAll="0" defaultSubtota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axis="axisRow" showAll="0" sortType="ascending">
      <items count="2">
        <item x="0"/>
        <item t="default" sd="0"/>
      </items>
      <autoSortScope>
        <pivotArea dataOnly="0" outline="0" fieldPosition="0">
          <references count="1">
            <reference field="4294967294" count="1" selected="0">
              <x v="0"/>
            </reference>
          </references>
        </pivotArea>
      </autoSortScope>
    </pivotField>
    <pivotField axis="axisRow" showAll="0">
      <items count="4">
        <item x="0"/>
        <item x="1"/>
        <item x="2"/>
        <item t="default"/>
      </items>
    </pivotField>
    <pivotField showAll="0" defaultSubtotal="0"/>
    <pivotField showAll="0" defaultSubtotal="0"/>
    <pivotField showAll="0" defaultSubtotal="0"/>
    <pivotField showAll="0" defaultSubtotal="0"/>
    <pivotField showAll="0" defaultSubtotal="0"/>
    <pivotField axis="axisCol" numFmtId="169" showAll="0" sortType="ascending" defaultSubtotal="0">
      <items count="13">
        <item x="0"/>
        <item x="1"/>
        <item x="2"/>
        <item x="3"/>
        <item x="4"/>
        <item x="5"/>
        <item x="6"/>
        <item x="7"/>
        <item x="8"/>
        <item x="9"/>
        <item x="10"/>
        <item x="11"/>
        <item x="12"/>
      </items>
    </pivotField>
    <pivotField name="ANO:" axis="axisPage" showAll="0" defaultSubtotal="0">
      <items count="2">
        <item x="0"/>
        <item x="1"/>
      </items>
    </pivotField>
    <pivotField showAll="0" defaultSubtotal="0"/>
    <pivotField showAll="0"/>
    <pivotField showAll="0" defaultSubtotal="0"/>
    <pivotField showAll="0"/>
    <pivotField showAll="0"/>
    <pivotField numFmtId="166" showAll="0"/>
    <pivotField numFmtId="166" showAll="0"/>
    <pivotField showAll="0" defaultSubtotal="0"/>
    <pivotField showAll="0" defaultSubtotal="0"/>
    <pivotField numFmtId="169"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11"/>
    <field x="10"/>
    <field x="9"/>
  </rowFields>
  <rowItems count="7">
    <i>
      <x v="1"/>
    </i>
    <i r="1">
      <x/>
    </i>
    <i r="2">
      <x v="1"/>
    </i>
    <i>
      <x v="2"/>
    </i>
    <i r="1">
      <x/>
    </i>
    <i r="2">
      <x v="2"/>
    </i>
    <i t="grand">
      <x/>
    </i>
  </rowItems>
  <colFields count="1">
    <field x="17"/>
  </colFields>
  <colItems count="11">
    <i>
      <x v="3"/>
    </i>
    <i>
      <x v="4"/>
    </i>
    <i>
      <x v="5"/>
    </i>
    <i>
      <x v="6"/>
    </i>
    <i>
      <x v="7"/>
    </i>
    <i>
      <x v="8"/>
    </i>
    <i>
      <x v="9"/>
    </i>
    <i>
      <x v="10"/>
    </i>
    <i>
      <x v="11"/>
    </i>
    <i>
      <x v="12"/>
    </i>
    <i t="grand">
      <x/>
    </i>
  </colItems>
  <pageFields count="2">
    <pageField fld="7" hier="-1"/>
    <pageField fld="18" item="1" hier="-1"/>
  </pageFields>
  <dataFields count="1">
    <dataField name="Soma de VALOR" fld="5" baseField="0" baseItem="0" numFmtId="168"/>
  </dataFields>
  <formats count="16">
    <format dxfId="167">
      <pivotArea type="all" dataOnly="0" outline="0" fieldPosition="0"/>
    </format>
    <format dxfId="166">
      <pivotArea outline="0" collapsedLevelsAreSubtotals="1" fieldPosition="0"/>
    </format>
    <format dxfId="165">
      <pivotArea field="10" type="button" dataOnly="0" labelOnly="1" outline="0" axis="axisRow" fieldPosition="1"/>
    </format>
    <format dxfId="164">
      <pivotArea dataOnly="0" labelOnly="1" outline="0" axis="axisValues" fieldPosition="0"/>
    </format>
    <format dxfId="163">
      <pivotArea dataOnly="0" labelOnly="1" grandRow="1" outline="0" fieldPosition="0"/>
    </format>
    <format dxfId="162">
      <pivotArea dataOnly="0" labelOnly="1" outline="0" axis="axisValues" fieldPosition="0"/>
    </format>
    <format dxfId="161">
      <pivotArea type="all" dataOnly="0" outline="0" fieldPosition="0"/>
    </format>
    <format dxfId="160">
      <pivotArea type="origin" dataOnly="0" labelOnly="1" outline="0" fieldPosition="0"/>
    </format>
    <format dxfId="159">
      <pivotArea dataOnly="0" labelOnly="1" fieldPosition="0">
        <references count="1">
          <reference field="17" count="0"/>
        </references>
      </pivotArea>
    </format>
    <format dxfId="158">
      <pivotArea type="all" dataOnly="0" outline="0" fieldPosition="0"/>
    </format>
    <format dxfId="157">
      <pivotArea field="18" type="button" dataOnly="0" labelOnly="1" outline="0" axis="axisPage" fieldPosition="1"/>
    </format>
    <format dxfId="156">
      <pivotArea type="all" dataOnly="0" outline="0" fieldPosition="0"/>
    </format>
    <format dxfId="155">
      <pivotArea outline="0" fieldPosition="0">
        <references count="1">
          <reference field="4294967294" count="1">
            <x v="0"/>
          </reference>
        </references>
      </pivotArea>
    </format>
    <format dxfId="154">
      <pivotArea field="7" type="button" dataOnly="0" labelOnly="1" outline="0" axis="axisPage" fieldPosition="0"/>
    </format>
    <format dxfId="153">
      <pivotArea field="18" type="button" dataOnly="0" labelOnly="1" outline="0" axis="axisPage" fieldPosition="1"/>
    </format>
    <format dxfId="152">
      <pivotArea field="18" type="button" dataOnly="0" labelOnly="1" outline="0" axis="axisPage" fieldPosition="1"/>
    </format>
  </formats>
  <pivotTableStyleInfo name="PivotStyleMedium2"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MÊS " colHeaderCaption="PERÍODO: ">
  <location ref="B6:M14" firstHeaderRow="1" firstDataRow="2" firstDataCol="1" rowPageCount="1"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showAll="0" defaultSubtotal="0"/>
    <pivotField showAll="0" defaultSubtotal="0"/>
    <pivotField axis="axisRow" showAll="0">
      <items count="4">
        <item x="0"/>
        <item x="1"/>
        <item x="2"/>
        <item t="default"/>
      </items>
    </pivotField>
    <pivotField showAll="0"/>
    <pivotField axis="axisRow" showAll="0">
      <items count="4">
        <item x="0"/>
        <item x="1"/>
        <item x="2"/>
        <item t="default"/>
      </items>
    </pivotField>
    <pivotField showAll="0" defaultSubtotal="0"/>
    <pivotField showAll="0" defaultSubtotal="0"/>
    <pivotField showAll="0" defaultSubtotal="0"/>
    <pivotField showAll="0" defaultSubtotal="0"/>
    <pivotField showAll="0" defaultSubtotal="0"/>
    <pivotField axis="axisCol" numFmtId="169" showAll="0" sortType="ascending" defaultSubtotal="0">
      <items count="13">
        <item x="0"/>
        <item x="1"/>
        <item x="2"/>
        <item x="3"/>
        <item x="4"/>
        <item x="5"/>
        <item x="6"/>
        <item x="7"/>
        <item x="8"/>
        <item x="9"/>
        <item x="10"/>
        <item x="11"/>
        <item x="12"/>
      </items>
    </pivotField>
    <pivotField name="ANO: " axis="axisPage" showAll="0" defaultSubtotal="0">
      <items count="2">
        <item x="0"/>
        <item x="1"/>
      </items>
    </pivotField>
    <pivotField showAll="0" defaultSubtotal="0"/>
    <pivotField showAll="0"/>
    <pivotField axis="axisRow" showAll="0" insertBlankRow="1">
      <items count="2">
        <item x="0"/>
        <item t="default"/>
      </items>
    </pivotField>
    <pivotField showAll="0"/>
    <pivotField showAll="0"/>
    <pivotField numFmtId="166" showAll="0"/>
    <pivotField numFmtId="166" showAll="0"/>
    <pivotField showAll="0" defaultSubtotal="0"/>
    <pivotField showAll="0" defaultSubtotal="0"/>
    <pivotField numFmtId="169"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21"/>
    <field x="11"/>
    <field x="9"/>
  </rowFields>
  <rowItems count="7">
    <i>
      <x/>
    </i>
    <i r="1">
      <x v="1"/>
    </i>
    <i r="2">
      <x v="1"/>
    </i>
    <i r="1">
      <x v="2"/>
    </i>
    <i r="2">
      <x v="2"/>
    </i>
    <i t="blank">
      <x/>
    </i>
    <i t="grand">
      <x/>
    </i>
  </rowItems>
  <colFields count="1">
    <field x="17"/>
  </colFields>
  <colItems count="11">
    <i>
      <x v="3"/>
    </i>
    <i>
      <x v="4"/>
    </i>
    <i>
      <x v="5"/>
    </i>
    <i>
      <x v="6"/>
    </i>
    <i>
      <x v="7"/>
    </i>
    <i>
      <x v="8"/>
    </i>
    <i>
      <x v="9"/>
    </i>
    <i>
      <x v="10"/>
    </i>
    <i>
      <x v="11"/>
    </i>
    <i>
      <x v="12"/>
    </i>
    <i t="grand">
      <x/>
    </i>
  </colItems>
  <pageFields count="1">
    <pageField fld="18" item="1" hier="-1"/>
  </pageFields>
  <dataFields count="1">
    <dataField name="Soma de VALOR" fld="5" baseField="0" baseItem="0" numFmtId="168"/>
  </dataFields>
  <formats count="9">
    <format dxfId="151">
      <pivotArea type="all" dataOnly="0" outline="0" fieldPosition="0"/>
    </format>
    <format dxfId="150">
      <pivotArea dataOnly="0" labelOnly="1" outline="0" fieldPosition="0">
        <references count="1">
          <reference field="21" count="0"/>
        </references>
      </pivotArea>
    </format>
    <format dxfId="149">
      <pivotArea dataOnly="0" labelOnly="1" grandCol="1" outline="0" fieldPosition="0"/>
    </format>
    <format dxfId="148">
      <pivotArea type="origin" dataOnly="0" labelOnly="1" outline="0" fieldPosition="0"/>
    </format>
    <format dxfId="147">
      <pivotArea dataOnly="0" labelOnly="1" fieldPosition="0">
        <references count="1">
          <reference field="17" count="0"/>
        </references>
      </pivotArea>
    </format>
    <format dxfId="146">
      <pivotArea type="all" dataOnly="0" outline="0" fieldPosition="0"/>
    </format>
    <format dxfId="145">
      <pivotArea field="18" type="button" dataOnly="0" labelOnly="1" outline="0" axis="axisPage" fieldPosition="0"/>
    </format>
    <format dxfId="144">
      <pivotArea type="all" dataOnly="0" outline="0" fieldPosition="0"/>
    </format>
    <format dxfId="143">
      <pivotArea outline="0" fieldPosition="0">
        <references count="1">
          <reference field="4294967294" count="1">
            <x v="0"/>
          </reference>
        </references>
      </pivotArea>
    </format>
  </formats>
  <pivotTableStyleInfo name="PivotStyleMedium3"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Mês " colHeaderCaption="Ano:">
  <location ref="B7:E12" firstHeaderRow="1" firstDataRow="2" firstDataCol="1" rowPageCount="1"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axis="axisPage" showAll="0" insertBlankRow="1">
      <items count="2">
        <item x="0"/>
        <item t="default"/>
      </items>
    </pivotField>
    <pivotField showAll="0" defaultSubtotal="0"/>
    <pivotField showAll="0"/>
    <pivotField showAll="0">
      <items count="2">
        <item x="0"/>
        <item t="default"/>
      </items>
    </pivotField>
    <pivotField axis="axisRow" showAll="0" insertBlankRow="1">
      <items count="4">
        <item x="1"/>
        <item x="2"/>
        <item x="0"/>
        <item t="default"/>
      </items>
    </pivotField>
    <pivotField showAll="0" defaultSubtotal="0"/>
    <pivotField showAll="0" defaultSubtotal="0"/>
    <pivotField showAll="0" defaultSubtotal="0"/>
    <pivotField showAll="0" defaultSubtotal="0"/>
    <pivotField showAll="0" defaultSubtotal="0"/>
    <pivotField numFmtId="169" showAll="0" sortType="ascending" defaultSubtotal="0"/>
    <pivotField axis="axisCol" showAll="0" defaultSubtotal="0">
      <items count="2">
        <item x="0"/>
        <item x="1"/>
      </items>
    </pivotField>
    <pivotField showAll="0" defaultSubtotal="0"/>
    <pivotField showAll="0"/>
    <pivotField showAll="0" defaultSubtotal="0"/>
    <pivotField showAll="0"/>
    <pivotField showAll="0"/>
    <pivotField numFmtId="166" showAll="0"/>
    <pivotField numFmtId="166" showAll="0"/>
    <pivotField showAll="0" defaultSubtotal="0"/>
    <pivotField showAll="0" defaultSubtotal="0"/>
    <pivotField numFmtId="169"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1"/>
  </rowFields>
  <rowItems count="4">
    <i>
      <x/>
    </i>
    <i>
      <x v="1"/>
    </i>
    <i>
      <x v="2"/>
    </i>
    <i t="grand">
      <x/>
    </i>
  </rowItems>
  <colFields count="1">
    <field x="18"/>
  </colFields>
  <colItems count="3">
    <i>
      <x/>
    </i>
    <i>
      <x v="1"/>
    </i>
    <i t="grand">
      <x/>
    </i>
  </colItems>
  <pageFields count="1">
    <pageField fld="7" hier="-1"/>
  </pageFields>
  <dataFields count="1">
    <dataField name="Soma de VALOR" fld="5" baseField="0" baseItem="0" numFmtId="168"/>
  </dataFields>
  <formats count="17">
    <format dxfId="142">
      <pivotArea type="all" dataOnly="0" outline="0" fieldPosition="0"/>
    </format>
    <format dxfId="141">
      <pivotArea outline="0" collapsedLevelsAreSubtotals="1" fieldPosition="0"/>
    </format>
    <format dxfId="140">
      <pivotArea field="10" type="button" dataOnly="0" labelOnly="1" outline="0"/>
    </format>
    <format dxfId="139">
      <pivotArea dataOnly="0" labelOnly="1" outline="0" axis="axisValues"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type="origin" dataOnly="0" labelOnly="1" outline="0" fieldPosition="0"/>
    </format>
    <format dxfId="134">
      <pivotArea dataOnly="0" labelOnly="1" outline="0" axis="axisValues" fieldPosition="0"/>
    </format>
    <format dxfId="133">
      <pivotArea dataOnly="0" labelOnly="1" outline="0" axis="axisValues" fieldPosition="0"/>
    </format>
    <format dxfId="132">
      <pivotArea dataOnly="0" labelOnly="1" fieldPosition="0">
        <references count="1">
          <reference field="18" count="0"/>
        </references>
      </pivotArea>
    </format>
    <format dxfId="131">
      <pivotArea field="18" type="button" dataOnly="0" labelOnly="1" outline="0" axis="axisCol" fieldPosition="0"/>
    </format>
    <format dxfId="130">
      <pivotArea field="18" type="button" dataOnly="0" labelOnly="1" outline="0" axis="axisCol" fieldPosition="0"/>
    </format>
    <format dxfId="129">
      <pivotArea outline="0" fieldPosition="0">
        <references count="1">
          <reference field="4294967294" count="1">
            <x v="0"/>
          </reference>
        </references>
      </pivotArea>
    </format>
    <format dxfId="128">
      <pivotArea field="7" type="button" dataOnly="0" labelOnly="1" outline="0" axis="axisPage" fieldPosition="0"/>
    </format>
    <format dxfId="127">
      <pivotArea type="origin" dataOnly="0" labelOnly="1" outline="0" fieldPosition="0"/>
    </format>
    <format dxfId="126">
      <pivotArea field="11" type="button" dataOnly="0" labelOnly="1" outline="0" axis="axisRow" fieldPosition="0"/>
    </format>
  </formats>
  <pivotTableStyleInfo name="PivotStyleMedium5"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Relatorio" cacheId="0" dataOnRows="1" applyNumberFormats="0" applyBorderFormats="0" applyFontFormats="0" applyPatternFormats="0" applyAlignmentFormats="0" applyWidthHeightFormats="1" dataCaption="Valores" updatedVersion="6" minRefreshableVersion="3" itemPrintTitles="1" createdVersion="6" indent="0" outline="1" outlineData="1" multipleFieldFilters="0" rowHeaderCaption="REC/DESP/MOV. FIN." colHeaderCaption="PERÍODO">
  <location ref="B10:P16" firstHeaderRow="1" firstDataRow="2" firstDataCol="2" rowPageCount="4"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axis="axisPage" showAll="0" defaultSubtotal="0">
      <items count="1">
        <item x="0"/>
      </items>
    </pivotField>
    <pivotField axis="axisPage" showAll="0" defaultSubtotal="0">
      <items count="1">
        <item x="0"/>
      </items>
    </pivotField>
    <pivotField showAll="0" defaultSubtotal="0"/>
    <pivotField axis="axisRow" showAll="0">
      <items count="4">
        <item x="0"/>
        <item x="1"/>
        <item x="2"/>
        <item t="default" sd="0"/>
      </items>
    </pivotField>
    <pivotField axis="axisPage" showAll="0" defaultSubtotal="0">
      <items count="1">
        <item x="0"/>
      </items>
    </pivotField>
    <pivotField axis="axisRow" outline="0" showAll="0" insertBlankRow="1">
      <items count="4">
        <item sd="0" x="1"/>
        <item sd="0" x="2"/>
        <item sd="0" x="0"/>
        <item t="default" sd="0"/>
      </items>
    </pivotField>
    <pivotField showAll="0" defaultSubtotal="0"/>
    <pivotField showAll="0" defaultSubtotal="0"/>
    <pivotField showAll="0" defaultSubtotal="0"/>
    <pivotField showAll="0" defaultSubtotal="0"/>
    <pivotField showAll="0" defaultSubtotal="0"/>
    <pivotField axis="axisCol" numFmtId="169" showAll="0" sortType="ascending">
      <items count="14">
        <item x="0"/>
        <item x="1"/>
        <item x="2"/>
        <item x="3"/>
        <item x="4"/>
        <item x="5"/>
        <item x="6"/>
        <item x="7"/>
        <item x="8"/>
        <item x="9"/>
        <item x="10"/>
        <item x="11"/>
        <item x="12"/>
        <item t="default"/>
      </items>
    </pivotField>
    <pivotField showAll="0" defaultSubtotal="0"/>
    <pivotField showAll="0" defaultSubtotal="0"/>
    <pivotField axis="axisPage" showAll="0">
      <items count="3">
        <item x="0"/>
        <item x="1"/>
        <item t="default"/>
      </items>
    </pivotField>
    <pivotField showAll="0" defaultSubtotal="0"/>
    <pivotField showAll="0"/>
    <pivotField showAll="0"/>
    <pivotField numFmtId="166" showAll="0"/>
    <pivotField numFmtId="166" showAll="0"/>
    <pivotField showAll="0" defaultSubtotal="0"/>
    <pivotField showAll="0" defaultSubtotal="0"/>
    <pivotField numFmtId="169" showAll="0"/>
    <pivotField axis="axisRow" showAll="0" sortType="ascending">
      <items count="4">
        <item sd="0" x="2"/>
        <item sd="0" x="0"/>
        <item sd="0" x="1"/>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3">
    <field x="11"/>
    <field x="29"/>
    <field x="9"/>
  </rowFields>
  <rowItems count="5">
    <i>
      <x/>
    </i>
    <i t="blank">
      <x/>
    </i>
    <i>
      <x v="1"/>
    </i>
    <i t="blank">
      <x v="1"/>
    </i>
    <i t="grand">
      <x/>
    </i>
  </rowItems>
  <colFields count="1">
    <field x="17"/>
  </colFields>
  <colItems count="13">
    <i>
      <x v="1"/>
    </i>
    <i>
      <x v="2"/>
    </i>
    <i>
      <x v="3"/>
    </i>
    <i>
      <x v="4"/>
    </i>
    <i>
      <x v="5"/>
    </i>
    <i>
      <x v="6"/>
    </i>
    <i>
      <x v="7"/>
    </i>
    <i>
      <x v="8"/>
    </i>
    <i>
      <x v="9"/>
    </i>
    <i>
      <x v="10"/>
    </i>
    <i>
      <x v="11"/>
    </i>
    <i>
      <x v="12"/>
    </i>
    <i t="grand">
      <x/>
    </i>
  </colItems>
  <pageFields count="4">
    <pageField fld="7" hier="-1"/>
    <pageField fld="10" hier="-1"/>
    <pageField fld="6" hier="-1"/>
    <pageField fld="20" item="1" hier="-1"/>
  </pageFields>
  <dataFields count="1">
    <dataField name="Valor " fld="5" baseField="0" baseItem="0" numFmtId="168"/>
  </dataFields>
  <formats count="4">
    <format dxfId="124">
      <pivotArea type="origin" dataOnly="0" labelOnly="1" outline="0" fieldPosition="0"/>
    </format>
    <format dxfId="123">
      <pivotArea outline="0" fieldPosition="0">
        <references count="1">
          <reference field="4294967294" count="1">
            <x v="0"/>
          </reference>
        </references>
      </pivotArea>
    </format>
    <format dxfId="122">
      <pivotArea dataOnly="0" labelOnly="1" fieldPosition="0">
        <references count="1">
          <reference field="17" count="0"/>
        </references>
      </pivotArea>
    </format>
    <format dxfId="121">
      <pivotArea dataOnly="0" labelOnly="1" grandCol="1" outline="0" fieldPosition="0"/>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1C1C66-79AE-4DAD-8802-E1459B816449}" name="Tabela dinâmica4"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7:B8" firstHeaderRow="1" firstDataRow="1" firstDataCol="0" rowPageCount="4" colPageCount="1"/>
  <pivotFields count="38">
    <pivotField numFmtId="170" showAll="0" defaultSubtotal="0"/>
    <pivotField numFmtId="167" showAll="0"/>
    <pivotField numFmtId="167" showAll="0"/>
    <pivotField numFmtId="167" showAll="0" sortType="ascending" defaultSubtotal="0"/>
    <pivotField showAll="0"/>
    <pivotField dataField="1" numFmtId="168" showAll="0"/>
    <pivotField axis="axisPage" showAll="0">
      <items count="2">
        <item x="0"/>
        <item t="default"/>
      </items>
    </pivotField>
    <pivotField axis="axisPage" showAll="0">
      <items count="2">
        <item x="0"/>
        <item t="default"/>
      </items>
    </pivotField>
    <pivotField showAll="0" defaultSubtotal="0"/>
    <pivotField showAll="0" defaultSubtotal="0"/>
    <pivotField axis="axisPage" showAll="0">
      <items count="2">
        <item x="0"/>
        <item t="default"/>
      </items>
    </pivotField>
    <pivotField showAll="0"/>
    <pivotField showAll="0"/>
    <pivotField showAll="0"/>
    <pivotField showAll="0" defaultSubtotal="0"/>
    <pivotField showAll="0"/>
    <pivotField showAll="0"/>
    <pivotField numFmtId="169" showAll="0" sortType="ascending" defaultSubtotal="0"/>
    <pivotField showAll="0" sortType="ascending" defaultSubtotal="0">
      <items count="2">
        <item sd="0" x="0"/>
        <item x="1"/>
      </items>
    </pivotField>
    <pivotField showAll="0"/>
    <pivotField axis="axisPage" showAll="0">
      <items count="3">
        <item x="0"/>
        <item x="1"/>
        <item t="default"/>
      </items>
    </pivotField>
    <pivotField showAll="0"/>
    <pivotField showAll="0"/>
    <pivotField showAll="0"/>
    <pivotField showAll="0"/>
    <pivotField showAll="0"/>
    <pivotField numFmtId="167" showAll="0"/>
    <pivotField showAll="0"/>
    <pivotField numFmtId="169" showAll="0"/>
    <pivotField showAll="0"/>
    <pivotField showAll="0"/>
    <pivotField showAll="0"/>
    <pivotField showAll="0"/>
    <pivotField showAll="0"/>
    <pivotField showAll="0"/>
    <pivotField showAll="0"/>
    <pivotField showAll="0"/>
    <pivotField showAll="0"/>
  </pivotFields>
  <rowItems count="1">
    <i/>
  </rowItems>
  <colItems count="1">
    <i/>
  </colItems>
  <pageFields count="4">
    <pageField fld="7" hier="-1"/>
    <pageField fld="10" hier="-1"/>
    <pageField fld="6" hier="-1"/>
    <pageField fld="20" item="0" hier="-1"/>
  </pageFields>
  <dataFields count="1">
    <dataField name="VALOR " fld="5" baseField="0" baseItem="0" numFmtId="168"/>
  </dataFields>
  <formats count="3">
    <format dxfId="112">
      <pivotArea dataOnly="0" labelOnly="1" outline="0" axis="axisValues" fieldPosition="0"/>
    </format>
    <format dxfId="111">
      <pivotArea field="18" type="button" dataOnly="0" labelOnly="1" outline="0"/>
    </format>
    <format dxfId="110">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F2C7C27-B138-4459-A558-BAC1DD329048}" name="Tabela dinâ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6" rowHeaderCaption="DESCRIÇÃO" colHeaderCaption="PERÍODO">
  <location ref="F7:G20" firstHeaderRow="1" firstDataRow="1" firstDataCol="1" rowPageCount="4"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axis="axisPage" showAll="0" defaultSubtotal="0">
      <items count="1">
        <item x="0"/>
      </items>
    </pivotField>
    <pivotField showAll="0" defaultSubtotal="0"/>
    <pivotField showAll="0"/>
    <pivotField axis="axisPage" showAll="0" defaultSubtotal="0">
      <items count="1">
        <item x="0"/>
      </items>
    </pivotField>
    <pivotField axis="axisPage" multipleItemSelectionAllowed="1" showAll="0" insertBlankRow="1">
      <items count="4">
        <item x="1"/>
        <item x="2"/>
        <item h="1" x="0"/>
        <item t="default" sd="0"/>
      </items>
    </pivotField>
    <pivotField showAll="0" defaultSubtotal="0"/>
    <pivotField showAll="0" defaultSubtotal="0"/>
    <pivotField showAll="0" defaultSubtotal="0"/>
    <pivotField showAll="0" defaultSubtotal="0"/>
    <pivotField showAll="0" defaultSubtotal="0"/>
    <pivotField axis="axisRow" numFmtId="169"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showAll="0">
      <items count="3">
        <item x="1"/>
        <item x="0"/>
        <item t="default"/>
      </items>
    </pivotField>
    <pivotField showAll="0" defaultSubtotal="0"/>
    <pivotField showAll="0"/>
    <pivotField showAll="0"/>
    <pivotField numFmtId="166" showAll="0"/>
    <pivotField numFmtId="166" showAll="0"/>
    <pivotField showAll="0" defaultSubtotal="0"/>
    <pivotField showAll="0" defaultSubtotal="0"/>
    <pivotField numFmtId="169"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4">
    <pageField fld="7" hier="-1"/>
    <pageField fld="10" hier="-1"/>
    <pageField fld="18" hier="-1"/>
    <pageField fld="11" hier="-1"/>
  </pageFields>
  <dataFields count="1">
    <dataField name="Resultado" fld="5" baseField="0" baseItem="2" numFmtId="168"/>
  </dataFields>
  <formats count="8">
    <format dxfId="120">
      <pivotArea type="origin" dataOnly="0" labelOnly="1" outline="0" fieldPosition="0"/>
    </format>
    <format dxfId="119">
      <pivotArea outline="0" fieldPosition="0">
        <references count="1">
          <reference field="4294967294" count="1">
            <x v="0"/>
          </reference>
        </references>
      </pivotArea>
    </format>
    <format dxfId="118">
      <pivotArea type="all" dataOnly="0" outline="0" fieldPosition="0"/>
    </format>
    <format dxfId="117">
      <pivotArea outline="0" collapsedLevelsAreSubtotals="1" fieldPosition="0"/>
    </format>
    <format dxfId="116">
      <pivotArea field="17" type="button" dataOnly="0" labelOnly="1" outline="0" axis="axisRow" fieldPosition="0"/>
    </format>
    <format dxfId="115">
      <pivotArea dataOnly="0" labelOnly="1" fieldPosition="0">
        <references count="1">
          <reference field="17" count="0"/>
        </references>
      </pivotArea>
    </format>
    <format dxfId="114">
      <pivotArea dataOnly="0" labelOnly="1" grandRow="1" outline="0" fieldPosition="0"/>
    </format>
    <format dxfId="113">
      <pivotArea dataOnly="0" labelOnly="1" outline="0" axis="axisValues"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37FD725-3769-4BC9-9918-5951F9939579}" name="Relatorio" cacheId="0" applyNumberFormats="0" applyBorderFormats="0" applyFontFormats="0" applyPatternFormats="0" applyAlignmentFormats="0" applyWidthHeightFormats="1" dataCaption="Valores" updatedVersion="6" minRefreshableVersion="3" itemPrintTitles="1" createdVersion="6" indent="0" compact="0" compactData="0" multipleFieldFilters="0" rowHeaderCaption="DESCRIÇÃO">
  <location ref="B11:J12" firstHeaderRow="1" firstDataRow="1" firstDataCol="8" rowPageCount="5" colPageCount="1"/>
  <pivotFields count="38">
    <pivotField axis="axisRow" compact="0" numFmtId="170" outline="0" showAll="0" defaultSubtotal="0">
      <items count="25">
        <item x="0"/>
        <item x="1"/>
        <item x="5"/>
        <item x="3"/>
        <item x="2"/>
        <item x="4"/>
        <item x="6"/>
        <item x="7"/>
        <item x="8"/>
        <item x="9"/>
        <item x="10"/>
        <item x="11"/>
        <item x="12"/>
        <item x="13"/>
        <item x="14"/>
        <item x="15"/>
        <item x="16"/>
        <item x="17"/>
        <item x="18"/>
        <item x="19"/>
        <item x="20"/>
        <item x="21"/>
        <item x="22"/>
        <item x="23"/>
        <item x="24"/>
      </items>
    </pivotField>
    <pivotField compact="0" numFmtId="167" outline="0" showAll="0"/>
    <pivotField compact="0" numFmtId="167" outline="0" showAll="0"/>
    <pivotField compact="0" numFmtId="167" outline="0" showAll="0" sortType="ascending" defaultSubtotal="0"/>
    <pivotField compact="0" outline="0" showAll="0" defaultSubtotal="0"/>
    <pivotField dataField="1" compact="0" numFmtId="168" outline="0" showAll="0"/>
    <pivotField axis="axisRow" compact="0" outline="0" showAll="0" defaultSubtotal="0">
      <items count="1">
        <item x="0"/>
      </items>
      <extLst>
        <ext xmlns:x14="http://schemas.microsoft.com/office/spreadsheetml/2009/9/main" uri="{2946ED86-A175-432a-8AC1-64E0C546D7DE}">
          <x14:pivotField fillDownLabels="1"/>
        </ext>
      </extLst>
    </pivotField>
    <pivotField name="TITULAR:" axis="axisPage" compact="0" outline="0" showAll="0">
      <items count="2">
        <item x="0"/>
        <item t="default"/>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name="C. CUSTOS:" axis="axisPage" compact="0" outline="0" showAll="0">
      <items count="2">
        <item x="0"/>
        <item t="default"/>
      </items>
    </pivotField>
    <pivotField compact="0" outline="0" showAll="0"/>
    <pivotField name="TIPO DOC."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pivotField compact="0" outline="0" showAll="0"/>
    <pivotField name="MÊS:" axis="axisPage" compact="0" numFmtId="169" outline="0" showAll="0" insertBlankRow="1" sortType="ascending" defaultSubtotal="0">
      <items count="13">
        <item n="out-18" sd="0" x="0"/>
        <item sd="0" x="1"/>
        <item sd="0" x="2"/>
        <item sd="0" x="3"/>
        <item sd="0" x="4"/>
        <item sd="0" x="5"/>
        <item sd="0" x="6"/>
        <item sd="0" x="7"/>
        <item sd="0" x="8"/>
        <item sd="0" x="9"/>
        <item sd="0" x="10"/>
        <item sd="0" x="11"/>
        <item sd="0" x="12"/>
      </items>
    </pivotField>
    <pivotField name="ANO:" axis="axisPage" compact="0" outline="0" showAll="0" sortType="ascending" defaultSubtotal="0">
      <items count="2">
        <item sd="0" x="0"/>
        <item sd="0" x="1"/>
      </items>
    </pivotField>
    <pivotField compact="0" outline="0" showAll="0"/>
    <pivotField name="STATUS:"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numFmtId="167" outline="0" showAll="0"/>
    <pivotField compact="0" outline="0" showAll="0"/>
    <pivotField compact="0" numFmtId="16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VENCTO." axis="axisRow" compact="0" outline="0" showAll="0" sortType="ascending" defaultSubtotal="0">
      <items count="13">
        <item x="0"/>
        <item x="1"/>
        <item x="2"/>
        <item x="3"/>
        <item x="4"/>
        <item x="5"/>
        <item x="6"/>
        <item x="7"/>
        <item x="8"/>
        <item x="9"/>
        <item x="10"/>
        <item x="11"/>
        <item x="12"/>
      </items>
    </pivotField>
  </pivotFields>
  <rowFields count="8">
    <field x="37"/>
    <field x="9"/>
    <field x="8"/>
    <field x="14"/>
    <field x="6"/>
    <field x="12"/>
    <field x="13"/>
    <field x="0"/>
  </rowFields>
  <rowItems count="1">
    <i t="grand">
      <x/>
    </i>
  </rowItems>
  <colItems count="1">
    <i/>
  </colItems>
  <pageFields count="5">
    <pageField fld="7" hier="-1"/>
    <pageField fld="10" hier="-1"/>
    <pageField fld="20" item="1" hier="-1"/>
    <pageField fld="18" hier="-1"/>
    <pageField fld="17" hier="-1"/>
  </pageFields>
  <dataFields count="1">
    <dataField name="VALOR " fld="5" baseField="0" baseItem="0" numFmtId="168"/>
  </dataFields>
  <formats count="25">
    <format dxfId="99">
      <pivotArea field="18" type="button" dataOnly="0" labelOnly="1" outline="0" axis="axisPage" fieldPosition="3"/>
    </format>
    <format dxfId="98">
      <pivotArea field="37" type="button" dataOnly="0" labelOnly="1" outline="0" axis="axisRow" fieldPosition="0"/>
    </format>
    <format dxfId="97">
      <pivotArea field="9" type="button" dataOnly="0" labelOnly="1" outline="0" axis="axisRow" fieldPosition="1"/>
    </format>
    <format dxfId="96">
      <pivotArea field="8" type="button" dataOnly="0" labelOnly="1" outline="0" axis="axisRow" fieldPosition="2"/>
    </format>
    <format dxfId="95">
      <pivotArea field="14" type="button" dataOnly="0" labelOnly="1" outline="0" axis="axisRow" fieldPosition="3"/>
    </format>
    <format dxfId="94">
      <pivotArea field="6" type="button" dataOnly="0" labelOnly="1" outline="0" axis="axisRow" fieldPosition="4"/>
    </format>
    <format dxfId="93">
      <pivotArea field="12" type="button" dataOnly="0" labelOnly="1" outline="0" axis="axisRow" fieldPosition="5"/>
    </format>
    <format dxfId="92">
      <pivotArea field="13" type="button" dataOnly="0" labelOnly="1" outline="0" axis="axisRow" fieldPosition="6"/>
    </format>
    <format dxfId="91">
      <pivotArea field="0" type="button" dataOnly="0" labelOnly="1" outline="0" axis="axisRow" fieldPosition="7"/>
    </format>
    <format dxfId="90">
      <pivotArea dataOnly="0" labelOnly="1" outline="0" axis="axisValues" fieldPosition="0"/>
    </format>
    <format dxfId="89">
      <pivotArea type="all" dataOnly="0" outline="0" fieldPosition="0"/>
    </format>
    <format dxfId="88">
      <pivotArea outline="0" collapsedLevelsAreSubtotals="1" fieldPosition="0"/>
    </format>
    <format dxfId="87">
      <pivotArea field="37" type="button" dataOnly="0" labelOnly="1" outline="0" axis="axisRow" fieldPosition="0"/>
    </format>
    <format dxfId="86">
      <pivotArea field="9" type="button" dataOnly="0" labelOnly="1" outline="0" axis="axisRow" fieldPosition="1"/>
    </format>
    <format dxfId="85">
      <pivotArea field="8" type="button" dataOnly="0" labelOnly="1" outline="0" axis="axisRow" fieldPosition="2"/>
    </format>
    <format dxfId="84">
      <pivotArea field="14" type="button" dataOnly="0" labelOnly="1" outline="0" axis="axisRow" fieldPosition="3"/>
    </format>
    <format dxfId="83">
      <pivotArea field="6" type="button" dataOnly="0" labelOnly="1" outline="0" axis="axisRow" fieldPosition="4"/>
    </format>
    <format dxfId="82">
      <pivotArea field="12" type="button" dataOnly="0" labelOnly="1" outline="0" axis="axisRow" fieldPosition="5"/>
    </format>
    <format dxfId="81">
      <pivotArea field="13" type="button" dataOnly="0" labelOnly="1" outline="0" axis="axisRow" fieldPosition="6"/>
    </format>
    <format dxfId="80">
      <pivotArea field="0" type="button" dataOnly="0" labelOnly="1" outline="0" axis="axisRow" fieldPosition="7"/>
    </format>
    <format dxfId="79">
      <pivotArea dataOnly="0" labelOnly="1" grandRow="1" outline="0" fieldPosition="0"/>
    </format>
    <format dxfId="78">
      <pivotArea dataOnly="0" labelOnly="1" outline="0" axis="axisValues" fieldPosition="0"/>
    </format>
    <format dxfId="77">
      <pivotArea field="18" type="button" dataOnly="0" labelOnly="1" outline="0" axis="axisPage" fieldPosition="3"/>
    </format>
    <format dxfId="76">
      <pivotArea field="17" type="button" dataOnly="0" labelOnly="1" outline="0" axis="axisPage" fieldPosition="4"/>
    </format>
    <format dxfId="75">
      <pivotArea dataOnly="0" labelOnly="1" outline="0" fieldPosition="0">
        <references count="1">
          <reference field="20" count="1">
            <x v="0"/>
          </reference>
        </references>
      </pivotArea>
    </format>
  </formats>
  <pivotTableStyleInfo name="PivotStyleMedium2" showRowHeaders="1" showColHeaders="1" showRowStripes="1" showColStripes="1" showLastColumn="1"/>
  <filters count="1">
    <filter fld="37" type="dateBetween" evalOrder="-1" id="29">
      <autoFilter ref="A1">
        <filterColumn colId="0">
          <customFilters and="1">
            <customFilter operator="greaterThanOrEqual" val="43388"/>
            <customFilter operator="lessThanOrEqual" val="4339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F4C5FAD-EC4B-4CB8-87E4-072EA74C9F8B}"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TITULAR / CONTA">
  <location ref="B7:C10" firstHeaderRow="1" firstDataRow="1" firstDataCol="1" rowPageCount="1" colPageCount="1"/>
  <pivotFields count="38">
    <pivotField numFmtId="170" showAll="0" defaultSubtotal="0"/>
    <pivotField numFmtId="167" showAll="0"/>
    <pivotField numFmtId="167" showAll="0"/>
    <pivotField numFmtId="167" showAll="0" sortType="ascending" defaultSubtotal="0"/>
    <pivotField showAll="0" defaultSubtotal="0"/>
    <pivotField dataField="1" numFmtId="168" showAll="0"/>
    <pivotField axis="axisRow" showAll="0">
      <items count="2">
        <item x="0"/>
        <item t="default"/>
      </items>
    </pivotField>
    <pivotField axis="axisRow" showAll="0">
      <items count="2">
        <item x="0"/>
        <item t="default"/>
      </items>
    </pivotField>
    <pivotField showAll="0" defaultSubtotal="0"/>
    <pivotField showAll="0" defaultSubtotal="0"/>
    <pivotField showAll="0"/>
    <pivotField showAll="0"/>
    <pivotField showAll="0"/>
    <pivotField showAll="0"/>
    <pivotField showAll="0" defaultSubtotal="0"/>
    <pivotField showAll="0"/>
    <pivotField showAll="0"/>
    <pivotField numFmtId="169" showAll="0" sortType="ascending" defaultSubtotal="0"/>
    <pivotField showAll="0" sortType="ascending" defaultSubtotal="0">
      <items count="2">
        <item x="0"/>
        <item x="1"/>
      </items>
    </pivotField>
    <pivotField showAll="0"/>
    <pivotField name="STATUS:" axis="axisPage" showAll="0">
      <items count="3">
        <item x="0"/>
        <item x="1"/>
        <item t="default"/>
      </items>
    </pivotField>
    <pivotField showAll="0"/>
    <pivotField showAll="0"/>
    <pivotField showAll="0"/>
    <pivotField showAll="0"/>
    <pivotField showAll="0"/>
    <pivotField numFmtId="167" showAll="0"/>
    <pivotField showAll="0"/>
    <pivotField numFmtId="169" showAll="0"/>
    <pivotField showAll="0"/>
    <pivotField showAll="0"/>
    <pivotField showAll="0"/>
    <pivotField showAll="0"/>
    <pivotField showAll="0"/>
    <pivotField showAll="0"/>
    <pivotField showAll="0"/>
    <pivotField showAll="0"/>
    <pivotField showAll="0" sortType="ascending"/>
  </pivotFields>
  <rowFields count="2">
    <field x="7"/>
    <field x="6"/>
  </rowFields>
  <rowItems count="3">
    <i>
      <x/>
    </i>
    <i r="1">
      <x/>
    </i>
    <i t="grand">
      <x/>
    </i>
  </rowItems>
  <colItems count="1">
    <i/>
  </colItems>
  <pageFields count="1">
    <pageField fld="20" item="0" hier="-1"/>
  </pageFields>
  <dataFields count="1">
    <dataField name="VALOR " fld="5" baseField="0" baseItem="0" numFmtId="168"/>
  </dataFields>
  <formats count="6">
    <format dxfId="74">
      <pivotArea dataOnly="0" labelOnly="1" outline="0" axis="axisValues" fieldPosition="0"/>
    </format>
    <format dxfId="73">
      <pivotArea field="18" type="button" dataOnly="0" labelOnly="1" outline="0"/>
    </format>
    <format dxfId="72">
      <pivotArea dataOnly="0" labelOnly="1" outline="0" axis="axisValues" fieldPosition="0"/>
    </format>
    <format dxfId="71">
      <pivotArea field="7" type="button" dataOnly="0" labelOnly="1" outline="0" axis="axisRow" fieldPosition="0"/>
    </format>
    <format dxfId="70">
      <pivotArea field="20" type="button" dataOnly="0" labelOnly="1" outline="0" axis="axisPage" fieldPosition="0"/>
    </format>
    <format dxfId="69">
      <pivotArea field="20"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FEA49A7-C66A-4BC4-933A-F139EB43052B}" name="Relatorio" cacheId="0"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2" rowHeaderCaption="DESCRIÇÃO" colHeaderCaption="Período:">
  <location ref="B19:O30" firstHeaderRow="1" firstDataRow="2" firstDataCol="1" rowPageCount="3"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axis="axisPage" showAll="0" defaultSubtotal="0">
      <items count="1">
        <item x="0"/>
      </items>
    </pivotField>
    <pivotField showAll="0" defaultSubtotal="0"/>
    <pivotField axis="axisRow" showAll="0">
      <items count="4">
        <item x="0"/>
        <item x="1"/>
        <item x="2"/>
        <item t="default"/>
      </items>
    </pivotField>
    <pivotField axis="axisPage" showAll="0" defaultSubtotal="0">
      <items count="1">
        <item x="0"/>
      </items>
    </pivotField>
    <pivotField axis="axisRow" showAll="0" insertBlankRow="1">
      <items count="4">
        <item n="RECEITA" sd="0" x="1"/>
        <item n="DESPESA" sd="0" x="2"/>
        <item h="1" sd="0" x="0"/>
        <item t="default" sd="0"/>
      </items>
    </pivotField>
    <pivotField showAll="0" defaultSubtotal="0"/>
    <pivotField showAll="0" defaultSubtotal="0"/>
    <pivotField showAll="0" defaultSubtotal="0"/>
    <pivotField showAll="0" defaultSubtotal="0"/>
    <pivotField showAll="0" defaultSubtotal="0"/>
    <pivotField axis="axisCol" numFmtId="169" showAll="0" sortType="ascending">
      <items count="14">
        <item x="0"/>
        <item x="1"/>
        <item x="2"/>
        <item x="3"/>
        <item x="4"/>
        <item x="5"/>
        <item x="6"/>
        <item x="7"/>
        <item x="8"/>
        <item x="9"/>
        <item x="10"/>
        <item x="11"/>
        <item x="12"/>
        <item t="default"/>
      </items>
    </pivotField>
    <pivotField showAll="0" defaultSubtotal="0">
      <items count="2">
        <item x="0"/>
        <item x="1"/>
      </items>
    </pivotField>
    <pivotField showAll="0" defaultSubtotal="0"/>
    <pivotField name="STATUS" axis="axisPage" showAll="0">
      <items count="3">
        <item x="0"/>
        <item x="1"/>
        <item t="default"/>
      </items>
    </pivotField>
    <pivotField showAll="0" defaultSubtotal="0"/>
    <pivotField showAll="0"/>
    <pivotField showAll="0"/>
    <pivotField numFmtId="166" showAll="0"/>
    <pivotField numFmtId="166" showAll="0"/>
    <pivotField showAll="0" defaultSubtotal="0"/>
    <pivotField showAll="0" defaultSubtotal="0"/>
    <pivotField numFmtId="169" showAll="0"/>
    <pivotField axis="axisRow" showAll="0" sortType="ascending">
      <items count="4">
        <item sd="0" x="2"/>
        <item sd="0" x="0"/>
        <item sd="0" x="1"/>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4">
    <field x="11"/>
    <field x="29"/>
    <field x="9"/>
    <field x="-2"/>
  </rowFields>
  <rowItems count="10">
    <i>
      <x/>
    </i>
    <i r="3">
      <x/>
    </i>
    <i r="3" i="1">
      <x v="1"/>
    </i>
    <i t="blank">
      <x/>
    </i>
    <i>
      <x v="1"/>
    </i>
    <i r="3">
      <x/>
    </i>
    <i r="3" i="1">
      <x v="1"/>
    </i>
    <i t="blank">
      <x v="1"/>
    </i>
    <i t="grand">
      <x/>
    </i>
    <i t="grand" i="1">
      <x/>
    </i>
  </rowItems>
  <colFields count="1">
    <field x="17"/>
  </colFields>
  <colItems count="13">
    <i>
      <x v="1"/>
    </i>
    <i>
      <x v="2"/>
    </i>
    <i>
      <x v="3"/>
    </i>
    <i>
      <x v="4"/>
    </i>
    <i>
      <x v="5"/>
    </i>
    <i>
      <x v="6"/>
    </i>
    <i>
      <x v="7"/>
    </i>
    <i>
      <x v="8"/>
    </i>
    <i>
      <x v="9"/>
    </i>
    <i>
      <x v="10"/>
    </i>
    <i>
      <x v="11"/>
    </i>
    <i>
      <x v="12"/>
    </i>
    <i t="grand">
      <x/>
    </i>
  </colItems>
  <pageFields count="3">
    <pageField fld="7" hier="-1"/>
    <pageField fld="10" hier="-1"/>
    <pageField fld="20" hier="-1"/>
  </pageFields>
  <dataFields count="2">
    <dataField name="Valor " fld="5" baseField="0" baseItem="0" numFmtId="168"/>
    <dataField name="Saldo" fld="5" showDataAs="runTotal" baseField="17" baseItem="0" numFmtId="168"/>
  </dataFields>
  <formats count="23">
    <format dxfId="68">
      <pivotArea type="origin" dataOnly="0" labelOnly="1" outline="0" fieldPosition="0"/>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outline="0" fieldPosition="0">
        <references count="1">
          <reference field="4294967294" count="1">
            <x v="1"/>
          </reference>
        </references>
      </pivotArea>
    </format>
    <format dxfId="64">
      <pivotArea dataOnly="0" outline="0" fieldPosition="0">
        <references count="1">
          <reference field="4294967294" count="1">
            <x v="1"/>
          </reference>
        </references>
      </pivotArea>
    </format>
    <format dxfId="63">
      <pivotArea field="11" type="button" dataOnly="0" labelOnly="1" outline="0" axis="axisRow" fieldPosition="0"/>
    </format>
    <format dxfId="62">
      <pivotArea dataOnly="0" labelOnly="1" fieldPosition="0">
        <references count="1">
          <reference field="17" count="0"/>
        </references>
      </pivotArea>
    </format>
    <format dxfId="61">
      <pivotArea dataOnly="0" labelOnly="1" grandCol="1" outline="0" fieldPosition="0"/>
    </format>
    <format dxfId="60">
      <pivotArea type="all" dataOnly="0" outline="0" fieldPosition="0"/>
    </format>
    <format dxfId="59">
      <pivotArea field="11" type="button" dataOnly="0" labelOnly="1" outline="0" axis="axisRow" fieldPosition="0"/>
    </format>
    <format dxfId="58">
      <pivotArea field="11" type="button" dataOnly="0" labelOnly="1" outline="0" axis="axisRow" fieldPosition="0"/>
    </format>
    <format dxfId="57">
      <pivotArea type="all" dataOnly="0" outline="0" fieldPosition="0"/>
    </format>
    <format dxfId="56">
      <pivotArea outline="0" collapsedLevelsAreSubtotals="1" fieldPosition="0"/>
    </format>
    <format dxfId="55">
      <pivotArea type="origin" dataOnly="0" labelOnly="1" outline="0" fieldPosition="0"/>
    </format>
    <format dxfId="54">
      <pivotArea field="17" type="button" dataOnly="0" labelOnly="1" outline="0" axis="axisCol" fieldPosition="0"/>
    </format>
    <format dxfId="53">
      <pivotArea type="topRight" dataOnly="0" labelOnly="1" outline="0" fieldPosition="0"/>
    </format>
    <format dxfId="52">
      <pivotArea field="11" type="button" dataOnly="0" labelOnly="1" outline="0" axis="axisRow" fieldPosition="0"/>
    </format>
    <format dxfId="51">
      <pivotArea dataOnly="0" labelOnly="1" fieldPosition="0">
        <references count="1">
          <reference field="11" count="0"/>
        </references>
      </pivotArea>
    </format>
    <format dxfId="50">
      <pivotArea field="11" dataOnly="0" labelOnly="1" grandRow="1" outline="0" axis="axisRow" fieldPosition="0">
        <references count="1">
          <reference field="4294967294" count="1" selected="0">
            <x v="0"/>
          </reference>
        </references>
      </pivotArea>
    </format>
    <format dxfId="49">
      <pivotArea field="11" dataOnly="0" labelOnly="1" grandRow="1" outline="0" axis="axisRow" fieldPosition="0">
        <references count="1">
          <reference field="4294967294" count="1" selected="0">
            <x v="1"/>
          </reference>
        </references>
      </pivotArea>
    </format>
    <format dxfId="48">
      <pivotArea dataOnly="0" labelOnly="1" fieldPosition="0">
        <references count="1">
          <reference field="17" count="0"/>
        </references>
      </pivotArea>
    </format>
    <format dxfId="47">
      <pivotArea dataOnly="0" labelOnly="1" grandCol="1" outline="0" fieldPosition="0"/>
    </format>
    <format dxfId="46">
      <pivotArea field="20" type="button" dataOnly="0" labelOnly="1" outline="0" axis="axisPage" fieldPosition="2"/>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AF3FFE1-F026-4B86-B2AC-422D747BB359}" name="TDCCustos" cacheId="0"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H59:I61" firstHeaderRow="1" firstDataRow="1" firstDataCol="1" rowPageCount="3"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showAll="0" defaultSubtotal="0"/>
    <pivotField showAll="0" defaultSubtotal="0"/>
    <pivotField showAll="0"/>
    <pivotField axis="axisRow" showAll="0">
      <items count="2">
        <item x="0"/>
        <item t="default"/>
      </items>
    </pivotField>
    <pivotField axis="axisPage" multipleItemSelectionAllowed="1"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9"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6" showAll="0"/>
    <pivotField numFmtId="166" showAll="0"/>
    <pivotField showAll="0" defaultSubtotal="0"/>
    <pivotField showAll="0" defaultSubtotal="0"/>
    <pivotField numFmtId="169"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0"/>
  </rowFields>
  <rowItems count="2">
    <i>
      <x/>
    </i>
    <i t="grand">
      <x/>
    </i>
  </rowItems>
  <colItems count="1">
    <i/>
  </colItems>
  <pageFields count="3">
    <pageField fld="18" hier="-1"/>
    <pageField fld="17" hier="-1"/>
    <pageField fld="11" hier="-1"/>
  </pageFields>
  <dataFields count="1">
    <dataField name="Soma de VALOR" fld="5" baseField="0" baseItem="0" numFmtId="168"/>
  </dataFields>
  <formats count="2">
    <format dxfId="25">
      <pivotArea type="all" dataOnly="0" outline="0" fieldPosition="0"/>
    </format>
    <format dxfId="24">
      <pivotArea outline="0" fieldPosition="0">
        <references count="1">
          <reference field="4294967294" count="1">
            <x v="0"/>
          </reference>
        </references>
      </pivotArea>
    </format>
  </formats>
  <chartFormats count="5">
    <chartFormat chart="0" format="14" series="1">
      <pivotArea type="data" outline="0" fieldPosition="0">
        <references count="1">
          <reference field="4294967294" count="1" selected="0">
            <x v="0"/>
          </reference>
        </references>
      </pivotArea>
    </chartFormat>
    <chartFormat chart="0" format="18">
      <pivotArea type="data" outline="0" fieldPosition="0">
        <references count="2">
          <reference field="4294967294" count="1" selected="0">
            <x v="0"/>
          </reference>
          <reference field="11" count="1" selected="0">
            <x v="0"/>
          </reference>
        </references>
      </pivotArea>
    </chartFormat>
    <chartFormat chart="0" format="19">
      <pivotArea type="data" outline="0" fieldPosition="0">
        <references count="2">
          <reference field="4294967294" count="1" selected="0">
            <x v="0"/>
          </reference>
          <reference field="11" count="1" selected="0">
            <x v="1"/>
          </reference>
        </references>
      </pivotArea>
    </chartFormat>
    <chartFormat chart="2" format="0"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10"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Tabela dinâmica2" cacheId="0"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2" rowHeaderCaption="DESCRIÇÃO" colHeaderCaption="C. CUSTOS">
  <location ref="AF8:AG10" firstHeaderRow="1" firstDataRow="1" firstDataCol="1" rowPageCount="3"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showAll="0" defaultSubtotal="0"/>
    <pivotField showAll="0" defaultSubtotal="0"/>
    <pivotField axis="axisRow" showAll="0">
      <items count="4">
        <item x="0"/>
        <item x="1"/>
        <item x="2"/>
        <item t="default"/>
      </items>
    </pivotField>
    <pivotField showAll="0">
      <items count="2">
        <item x="0"/>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9"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6" showAll="0"/>
    <pivotField numFmtId="166" showAll="0"/>
    <pivotField showAll="0" defaultSubtotal="0"/>
    <pivotField showAll="0" defaultSubtotal="0"/>
    <pivotField numFmtId="169"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2">
    <i>
      <x v="1"/>
    </i>
    <i t="grand">
      <x/>
    </i>
  </rowItems>
  <colItems count="1">
    <i/>
  </colItems>
  <pageFields count="3">
    <pageField fld="18" hier="-1"/>
    <pageField fld="17" hier="-1"/>
    <pageField fld="11" item="0" hier="-1"/>
  </pageFields>
  <dataFields count="1">
    <dataField name="Soma de VALOR" fld="5" baseField="0" baseItem="0" numFmtId="168"/>
  </dataFields>
  <formats count="8">
    <format dxfId="33">
      <pivotArea type="all" dataOnly="0" outline="0" fieldPosition="0"/>
    </format>
    <format dxfId="32">
      <pivotArea outline="0" collapsedLevelsAreSubtotals="1" fieldPosition="0"/>
    </format>
    <format dxfId="31">
      <pivotArea field="10" type="button" dataOnly="0" labelOnly="1" outline="0"/>
    </format>
    <format dxfId="30">
      <pivotArea dataOnly="0" labelOnly="1" outline="0" axis="axisValues" fieldPosition="0"/>
    </format>
    <format dxfId="29">
      <pivotArea dataOnly="0" labelOnly="1" grandRow="1" outline="0" fieldPosition="0"/>
    </format>
    <format dxfId="28">
      <pivotArea dataOnly="0" labelOnly="1" outline="0" axis="axisValues" fieldPosition="0"/>
    </format>
    <format dxfId="27">
      <pivotArea type="all" dataOnly="0" outline="0" fieldPosition="0"/>
    </format>
    <format dxfId="26">
      <pivotArea outline="0" fieldPosition="0">
        <references count="1">
          <reference field="4294967294" count="1">
            <x v="0"/>
          </reference>
        </references>
      </pivotArea>
    </format>
  </formats>
  <chartFormats count="1">
    <chartFormat chart="1" format="13" series="1">
      <pivotArea type="data" outline="0" fieldPosition="0">
        <references count="1">
          <reference field="4294967294" count="1" selected="0">
            <x v="0"/>
          </reference>
        </references>
      </pivotArea>
    </chartFormat>
  </chartFormats>
  <pivotTableStyleInfo name="PivotStyleLight23"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Tabela dinâmica4" cacheId="0"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5" rowHeaderCaption="DESCRIÇÃO" colHeaderCaption="C. CUSTOS">
  <location ref="D22:E24" firstHeaderRow="1" firstDataRow="1" firstDataCol="1" rowPageCount="2"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axis="axisRow" showAll="0" defaultSubtotal="0">
      <items count="1">
        <item x="0"/>
      </items>
    </pivotField>
    <pivotField showAll="0" defaultSubtotal="0"/>
    <pivotField showAll="0"/>
    <pivotField showAll="0"/>
    <pivotField multipleItemSelectionAllowed="1" showAll="0" defaultSubtotal="0"/>
    <pivotField showAll="0" defaultSubtotal="0"/>
    <pivotField showAll="0" defaultSubtotal="0"/>
    <pivotField showAll="0" defaultSubtotal="0"/>
    <pivotField showAll="0" defaultSubtotal="0"/>
    <pivotField showAll="0" defaultSubtotal="0"/>
    <pivotField axis="axisPage" numFmtId="169"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6" showAll="0"/>
    <pivotField numFmtId="166" showAll="0"/>
    <pivotField showAll="0" defaultSubtotal="0"/>
    <pivotField showAll="0" defaultSubtotal="0"/>
    <pivotField numFmtId="169"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7"/>
  </rowFields>
  <rowItems count="2">
    <i>
      <x/>
    </i>
    <i t="grand">
      <x/>
    </i>
  </rowItems>
  <colItems count="1">
    <i/>
  </colItems>
  <pageFields count="2">
    <pageField fld="18" hier="-1"/>
    <pageField fld="17" hier="-1"/>
  </pageFields>
  <dataFields count="1">
    <dataField name="Soma de VALOR" fld="5" baseField="0" baseItem="0" numFmtId="168"/>
  </dataFields>
  <formats count="2">
    <format dxfId="35">
      <pivotArea type="all" dataOnly="0" outline="0" fieldPosition="0"/>
    </format>
    <format dxfId="34">
      <pivotArea outline="0" fieldPosition="0">
        <references count="1">
          <reference field="4294967294" count="1">
            <x v="0"/>
          </reference>
        </references>
      </pivotArea>
    </format>
  </formats>
  <chartFormats count="2">
    <chartFormat chart="4" format="0"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Relatorio" cacheId="0"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1" rowHeaderCaption="DESCRIÇÃO" colHeaderCaption="C. CUSTOS">
  <location ref="D58:E71" firstHeaderRow="1" firstDataRow="1" firstDataCol="1" rowPageCount="2"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showAll="0" defaultSubtotal="0"/>
    <pivotField showAll="0" defaultSubtotal="0"/>
    <pivotField showAll="0"/>
    <pivotField showAll="0"/>
    <pivotField axis="axisPage" multipleItemSelectionAllowed="1" showAll="0" defaultSubtotal="0">
      <items count="3">
        <item x="1"/>
        <item x="2"/>
        <item h="1" x="0"/>
      </items>
    </pivotField>
    <pivotField showAll="0" defaultSubtotal="0"/>
    <pivotField showAll="0" defaultSubtotal="0"/>
    <pivotField showAll="0" defaultSubtotal="0"/>
    <pivotField showAll="0" defaultSubtotal="0"/>
    <pivotField showAll="0" defaultSubtotal="0"/>
    <pivotField axis="axisRow" numFmtId="169"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6" showAll="0"/>
    <pivotField numFmtId="166" showAll="0"/>
    <pivotField showAll="0" defaultSubtotal="0"/>
    <pivotField showAll="0" defaultSubtotal="0"/>
    <pivotField numFmtId="169"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2">
    <pageField fld="18" hier="-1"/>
    <pageField fld="11" hier="-1"/>
  </pageFields>
  <dataFields count="1">
    <dataField name="Soma de VALOR" fld="5" baseField="0" baseItem="0" numFmtId="168"/>
  </dataFields>
  <formats count="2">
    <format dxfId="37">
      <pivotArea type="all" dataOnly="0" outline="0" fieldPosition="0"/>
    </format>
    <format dxfId="36">
      <pivotArea outline="0" fieldPosition="0">
        <references count="1">
          <reference field="4294967294" count="1">
            <x v="0"/>
          </reference>
        </references>
      </pivotArea>
    </format>
  </formats>
  <chartFormats count="6">
    <chartFormat chart="0" format="14" series="1">
      <pivotArea type="data" outline="0" fieldPosition="0">
        <references count="1">
          <reference field="4294967294" count="1" selected="0">
            <x v="0"/>
          </reference>
        </references>
      </pivotArea>
    </chartFormat>
    <chartFormat chart="0" format="18">
      <pivotArea type="data" outline="0" fieldPosition="0">
        <references count="2">
          <reference field="4294967294" count="1" selected="0">
            <x v="0"/>
          </reference>
          <reference field="11" count="1" selected="0">
            <x v="0"/>
          </reference>
        </references>
      </pivotArea>
    </chartFormat>
    <chartFormat chart="0" format="19">
      <pivotArea type="data" outline="0" fieldPosition="0">
        <references count="2">
          <reference field="4294967294" count="1" selected="0">
            <x v="0"/>
          </reference>
          <reference field="11" count="1" selected="0">
            <x v="1"/>
          </reference>
        </references>
      </pivotArea>
    </chartFormat>
    <chartFormat chart="0" format="22">
      <pivotArea type="data" outline="0" fieldPosition="0">
        <references count="2">
          <reference field="4294967294" count="1" selected="0">
            <x v="0"/>
          </reference>
          <reference field="17" count="1" selected="0">
            <x v="0"/>
          </reference>
        </references>
      </pivotArea>
    </chartFormat>
    <chartFormat chart="0" format="23">
      <pivotArea type="data" outline="0" fieldPosition="0">
        <references count="2">
          <reference field="4294967294" count="1" selected="0">
            <x v="0"/>
          </reference>
          <reference field="17" count="1" selected="0">
            <x v="1"/>
          </reference>
        </references>
      </pivotArea>
    </chartFormat>
    <chartFormat chart="0" format="24">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Tabela dinâmica3" cacheId="0"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Q23:R25" firstHeaderRow="1" firstDataRow="1" firstDataCol="1" rowPageCount="3"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showAll="0" defaultSubtotal="0"/>
    <pivotField showAll="0" defaultSubtotal="0"/>
    <pivotField showAll="0" defaultSubtotal="0"/>
    <pivotField axis="axisRow" showAll="0">
      <items count="4">
        <item x="0"/>
        <item x="1"/>
        <item x="2"/>
        <item t="default"/>
      </items>
    </pivotField>
    <pivotField showAll="0">
      <items count="2">
        <item x="0"/>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9"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6" showAll="0"/>
    <pivotField numFmtId="166" showAll="0"/>
    <pivotField showAll="0" defaultSubtotal="0"/>
    <pivotField showAll="0" defaultSubtotal="0"/>
    <pivotField numFmtId="169"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2">
    <i>
      <x v="2"/>
    </i>
    <i t="grand">
      <x/>
    </i>
  </rowItems>
  <colItems count="1">
    <i/>
  </colItems>
  <pageFields count="3">
    <pageField fld="18" hier="-1"/>
    <pageField fld="17" hier="-1"/>
    <pageField fld="11" item="1" hier="-1"/>
  </pageFields>
  <dataFields count="1">
    <dataField name="Soma de VALOR" fld="5" baseField="0" baseItem="0" numFmtId="168"/>
  </dataFields>
  <formats count="8">
    <format dxfId="45">
      <pivotArea type="all" dataOnly="0" outline="0" fieldPosition="0"/>
    </format>
    <format dxfId="44">
      <pivotArea outline="0" collapsedLevelsAreSubtotals="1" fieldPosition="0"/>
    </format>
    <format dxfId="43">
      <pivotArea field="10" type="button" dataOnly="0" labelOnly="1" outline="0"/>
    </format>
    <format dxfId="42">
      <pivotArea dataOnly="0" labelOnly="1" outline="0" axis="axisValues" fieldPosition="0"/>
    </format>
    <format dxfId="41">
      <pivotArea dataOnly="0" labelOnly="1" grandRow="1" outline="0" fieldPosition="0"/>
    </format>
    <format dxfId="40">
      <pivotArea dataOnly="0" labelOnly="1" outline="0" axis="axisValues" fieldPosition="0"/>
    </format>
    <format dxfId="39">
      <pivotArea type="all" dataOnly="0" outline="0" fieldPosition="0"/>
    </format>
    <format dxfId="38">
      <pivotArea outline="0" fieldPosition="0">
        <references count="1">
          <reference field="4294967294" count="1">
            <x v="0"/>
          </reference>
        </references>
      </pivotArea>
    </format>
  </formats>
  <chartFormats count="1">
    <chartFormat chart="2" format="1" series="1">
      <pivotArea type="data" outline="0" fieldPosition="0">
        <references count="1">
          <reference field="4294967294" count="1" selected="0">
            <x v="0"/>
          </reference>
        </references>
      </pivotArea>
    </chartFormat>
  </chartFormats>
  <pivotTableStyleInfo name="PivotStyleLight2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Relatorio"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ATA" colHeaderCaption="PERÍODO:">
  <location ref="B7:J11" firstHeaderRow="1" firstDataRow="3" firstDataCol="1" rowPageCount="1" colPageCount="1"/>
  <pivotFields count="38">
    <pivotField numFmtId="170" subtotalTop="0" showAll="0"/>
    <pivotField axis="axisRow" numFmtId="167" subtotalTop="0" showAll="0" sortType="ascending">
      <items count="2">
        <item x="0"/>
        <item t="default"/>
      </items>
    </pivotField>
    <pivotField numFmtId="167" subtotalTop="0" showAll="0"/>
    <pivotField numFmtId="167" subtotalTop="0" showAll="0"/>
    <pivotField subtotalTop="0" showAll="0" sortType="ascending" defaultSubtotal="0"/>
    <pivotField numFmtId="168" subtotalTop="0" showAll="0"/>
    <pivotField subtotalTop="0" showAll="0"/>
    <pivotField subtotalTop="0" showAll="0" insertBlankRow="1" sortType="ascending"/>
    <pivotField subtotalTop="0" showAll="0"/>
    <pivotField subtotalTop="0" showAll="0"/>
    <pivotField subtotalTop="0" showAll="0">
      <items count="2">
        <item x="0"/>
        <item t="default"/>
      </items>
    </pivotField>
    <pivotField axis="axisCol" subtotalTop="0" showAll="0">
      <items count="4">
        <item n="ENTRADA" x="2"/>
        <item n="SAÍDA" x="1"/>
        <item x="0"/>
        <item t="default"/>
      </items>
    </pivotField>
    <pivotField subtotalTop="0" showAll="0"/>
    <pivotField subtotalTop="0" showAll="0"/>
    <pivotField subtotalTop="0" showAll="0"/>
    <pivotField subtotalTop="0" showAll="0"/>
    <pivotField subtotalTop="0" showAll="0"/>
    <pivotField numFmtId="169" subtotalTop="0" showAll="0" sortType="ascending"/>
    <pivotField name="ANO: " subtotalTop="0" showAll="0">
      <items count="3">
        <item x="0"/>
        <item x="1"/>
        <item t="default"/>
      </items>
    </pivotField>
    <pivotField subtotalTop="0" showAll="0"/>
    <pivotField subtotalTop="0" showAll="0"/>
    <pivotField subtotalTop="0" showAll="0"/>
    <pivotField name="INSUMO:" axis="axisPage" outline="0" subtotalTop="0" showAll="0">
      <items count="2">
        <item x="0"/>
        <item t="default"/>
      </items>
    </pivotField>
    <pivotField subtotalTop="0" showAll="0"/>
    <pivotField numFmtId="166" subtotalTop="0" showAll="0"/>
    <pivotField dataField="1" numFmtId="166" subtotalTop="0" showAll="0"/>
    <pivotField subtotalTop="0" showAll="0"/>
    <pivotField subtotalTop="0" showAll="0"/>
    <pivotField numFmtId="169"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1"/>
  </rowFields>
  <rowItems count="2">
    <i>
      <x/>
    </i>
    <i t="grand">
      <x/>
    </i>
  </rowItems>
  <colFields count="2">
    <field x="11"/>
    <field x="-2"/>
  </colFields>
  <colItems count="8">
    <i>
      <x/>
      <x/>
    </i>
    <i r="1" i="1">
      <x v="1"/>
    </i>
    <i>
      <x v="1"/>
      <x/>
    </i>
    <i r="1" i="1">
      <x v="1"/>
    </i>
    <i>
      <x v="2"/>
      <x/>
    </i>
    <i r="1" i="1">
      <x v="1"/>
    </i>
    <i t="grand">
      <x/>
    </i>
    <i t="grand" i="1">
      <x/>
    </i>
  </colItems>
  <pageFields count="1">
    <pageField fld="22" hier="-1"/>
  </pageFields>
  <dataFields count="2">
    <dataField name="QDE." fld="25" baseField="0" baseItem="0" numFmtId="168"/>
    <dataField name="ACUM." fld="25" showDataAs="runTotal" baseField="1" baseItem="0" numFmtId="168"/>
  </dataFields>
  <formats count="20">
    <format dxfId="23">
      <pivotArea type="all" dataOnly="0" outline="0" fieldPosition="0"/>
    </format>
    <format dxfId="22">
      <pivotArea outline="0" collapsedLevelsAreSubtotals="1" fieldPosition="0"/>
    </format>
    <format dxfId="21">
      <pivotArea field="10" type="button" dataOnly="0" labelOnly="1" outline="0"/>
    </format>
    <format dxfId="20">
      <pivotArea dataOnly="0" labelOnly="1" outline="0" axis="axisValues" fieldPosition="0"/>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type="origin" dataOnly="0" labelOnly="1" outline="0" fieldPosition="0"/>
    </format>
    <format dxfId="15">
      <pivotArea type="all" dataOnly="0" outline="0" fieldPosition="0"/>
    </format>
    <format dxfId="14">
      <pivotArea field="18" type="button" dataOnly="0" labelOnly="1" outline="0"/>
    </format>
    <format dxfId="13">
      <pivotArea type="all" dataOnly="0" outline="0" fieldPosition="0"/>
    </format>
    <format dxfId="12">
      <pivotArea outline="0" fieldPosition="0">
        <references count="1">
          <reference field="4294967294" count="1">
            <x v="0"/>
          </reference>
        </references>
      </pivotArea>
    </format>
    <format dxfId="11">
      <pivotArea dataOnly="0" labelOnly="1" fieldPosition="0">
        <references count="1">
          <reference field="11" count="0"/>
        </references>
      </pivotArea>
    </format>
    <format dxfId="10">
      <pivotArea outline="0" fieldPosition="0">
        <references count="1">
          <reference field="4294967294" count="1">
            <x v="1"/>
          </reference>
        </references>
      </pivotArea>
    </format>
    <format dxfId="9">
      <pivotArea field="11" dataOnly="0" labelOnly="1" grandCol="1" outline="0" axis="axisCol" fieldPosition="0">
        <references count="1">
          <reference field="4294967294" count="1" selected="0">
            <x v="0"/>
          </reference>
        </references>
      </pivotArea>
    </format>
    <format dxfId="8">
      <pivotArea field="11" dataOnly="0" labelOnly="1" grandCol="1" outline="0" axis="axisCol" fieldPosition="0">
        <references count="1">
          <reference field="4294967294" count="1" selected="0">
            <x v="1"/>
          </reference>
        </references>
      </pivotArea>
    </format>
    <format dxfId="7">
      <pivotArea dataOnly="0" labelOnly="1" outline="0" fieldPosition="0">
        <references count="2">
          <reference field="4294967294" count="2">
            <x v="0"/>
            <x v="1"/>
          </reference>
          <reference field="11" count="1" selected="0">
            <x v="1"/>
          </reference>
        </references>
      </pivotArea>
    </format>
    <format dxfId="6">
      <pivotArea field="11" grandCol="1" outline="0" collapsedLevelsAreSubtotals="1" axis="axisCol" fieldPosition="0">
        <references count="1">
          <reference field="4294967294" count="2" selected="0">
            <x v="0"/>
            <x v="1"/>
          </reference>
        </references>
      </pivotArea>
    </format>
    <format dxfId="5">
      <pivotArea field="11" dataOnly="0" labelOnly="1" grandCol="1" outline="0" axis="axisCol" fieldPosition="0">
        <references count="1">
          <reference field="4294967294" count="1" selected="0">
            <x v="0"/>
          </reference>
        </references>
      </pivotArea>
    </format>
    <format dxfId="4">
      <pivotArea field="11" dataOnly="0" labelOnly="1" grandCol="1" outline="0" axis="axisCol" fieldPosition="0">
        <references count="1">
          <reference field="4294967294" count="1" selected="0">
            <x v="1"/>
          </reference>
        </references>
      </pivotArea>
    </format>
  </formats>
  <pivotTableStyleInfo name="PivotStyleMedium7" showRowHeaders="1" showColHeaders="1" showRowStripes="1" showColStripes="1" showLastColumn="1"/>
  <extLst>
    <ext xmlns:xpdl="http://schemas.microsoft.com/office/spreadsheetml/2016/pivotdefaultlayout" uri="{747A6164-185A-40DC-8AA5-F01512510D54}">
      <xpdl:pivotTableDefinition16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8D9D133-144B-45ED-8C2A-777C020DE3DF}" name="Tabela dinâmica3"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7" rowHeaderCaption="REC/DESP/MOV. FIN." colHeaderCaption="PERÍODO">
  <location ref="I90:J103" firstHeaderRow="1" firstDataRow="1" firstDataCol="1" rowPageCount="6"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1">
        <item x="0"/>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9"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axis="axisPage" showAll="0">
      <items count="3">
        <item x="0"/>
        <item x="1"/>
        <item t="default"/>
      </items>
    </pivotField>
    <pivotField showAll="0" defaultSubtotal="0"/>
    <pivotField showAll="0"/>
    <pivotField showAll="0"/>
    <pivotField numFmtId="166" showAll="0"/>
    <pivotField numFmtId="166" showAll="0"/>
    <pivotField showAll="0" defaultSubtotal="0"/>
    <pivotField showAll="0" defaultSubtotal="0"/>
    <pivotField numFmtId="169"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hier="-1"/>
    <pageField fld="18" hier="-1"/>
    <pageField fld="11" hier="-1"/>
  </pageFields>
  <dataFields count="1">
    <dataField name="Soma de VALOR" fld="5" baseField="0" baseItem="2" numFmtId="168"/>
  </dataFields>
  <formats count="2">
    <format dxfId="1">
      <pivotArea type="origin" dataOnly="0" labelOnly="1" outline="0" fieldPosition="0"/>
    </format>
    <format dxfId="0">
      <pivotArea outline="0" fieldPosition="0">
        <references count="1">
          <reference field="4294967294" count="1">
            <x v="0"/>
          </reference>
        </references>
      </pivotArea>
    </format>
  </formats>
  <pivotTableStyleInfo name="PivotStyleMedium2" showRowHeaders="1" showColHeaders="1" showRowStripes="0" showColStripes="0" showLastColumn="1"/>
  <filters count="1">
    <filter fld="17" type="dateBetween" evalOrder="-1" id="32">
      <autoFilter ref="A1">
        <filterColumn colId="0">
          <customFilters and="1">
            <customFilter operator="greaterThanOrEqual" val="43405"/>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92CC24A-BAAB-429A-A2C5-FF6D0DCC7310}" name="Tabela dinâmica2" cacheId="0"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3" rowHeaderCaption="REC/DESP/MOV. FIN." colHeaderCaption="PERÍODO">
  <location ref="F90:G103" firstHeaderRow="1" firstDataRow="1" firstDataCol="1" rowPageCount="6" colPageCount="1"/>
  <pivotFields count="38">
    <pivotField numFmtId="170" showAll="0"/>
    <pivotField numFmtId="167" showAll="0" defaultSubtotal="0"/>
    <pivotField numFmtId="167" showAll="0"/>
    <pivotField numFmtId="167" showAll="0"/>
    <pivotField showAll="0" defaultSubtotal="0"/>
    <pivotField dataField="1" numFmtId="168"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1">
        <item x="0"/>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9"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axis="axisPage" showAll="0">
      <items count="3">
        <item x="0"/>
        <item x="1"/>
        <item t="default"/>
      </items>
    </pivotField>
    <pivotField showAll="0" defaultSubtotal="0"/>
    <pivotField showAll="0"/>
    <pivotField showAll="0"/>
    <pivotField numFmtId="166" showAll="0"/>
    <pivotField numFmtId="166" showAll="0"/>
    <pivotField showAll="0" defaultSubtotal="0"/>
    <pivotField showAll="0" defaultSubtotal="0"/>
    <pivotField numFmtId="169"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hier="-1"/>
    <pageField fld="18" hier="-1"/>
    <pageField fld="11" hier="-1"/>
  </pageFields>
  <dataFields count="1">
    <dataField name="Valor " fld="5" baseField="0" baseItem="0" numFmtId="168"/>
  </dataFields>
  <formats count="2">
    <format dxfId="3">
      <pivotArea type="origin" dataOnly="0" labelOnly="1" outline="0" fieldPosition="0"/>
    </format>
    <format dxfId="2">
      <pivotArea outline="0" fieldPosition="0">
        <references count="1">
          <reference field="4294967294" count="1">
            <x v="0"/>
          </reference>
        </references>
      </pivotArea>
    </format>
  </formats>
  <pivotTableStyleInfo name="PivotStyleMedium2" showRowHeaders="1" showColHeaders="1" showRowStripes="0" showColStripes="0" showLastColumn="1"/>
  <filters count="1">
    <filter fld="17" type="dateBetween" evalOrder="-1" id="32">
      <autoFilter ref="A1">
        <filterColumn colId="0">
          <customFilters and="1">
            <customFilter operator="greaterThanOrEqual" val="43405"/>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 xr10:uid="{71348439-CD5B-4E3B-86F0-3782F6611D92}" sourceName="ANO">
  <pivotTables>
    <pivotTable tabId="12" name="Tabela dinâmica2"/>
    <pivotTable tabId="12" name="Tabela dinâmica3"/>
    <pivotTable tabId="26" name="Relatorio"/>
    <pivotTable tabId="31" name="Tabela dinâmica1"/>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ALIZADO___A_REALIZAR" xr10:uid="{F8FA946E-990D-4BF0-B56F-B627FC83FA21}" sourceName="REALIZADO / A REALIZAR">
  <pivotTables>
    <pivotTable tabId="12" name="Tabela dinâmica2"/>
    <pivotTable tabId="12" name="Tabela dinâmica3"/>
    <pivotTable tabId="26" name="Relatorio"/>
    <pivotTable tabId="31" name="Tabela dinâmica1"/>
  </pivotTables>
  <data>
    <tabular pivotCacheId="1">
      <items count="2">
        <i x="1" s="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 xr10:uid="{22725DCB-DD7F-467B-9883-9F9980F5FF21}" sourceName="MÊS">
  <pivotTables>
    <pivotTable tabId="12" name="Tabela dinâmica2"/>
    <pivotTable tabId="12" name="Tabela dinâmica3"/>
    <pivotTable tabId="26" name="Relatorio"/>
    <pivotTable tabId="31" name="Tabela dinâmica1"/>
  </pivotTables>
  <data>
    <tabular pivotCacheId="1">
      <items count="13">
        <i x="1" s="1"/>
        <i x="2" s="1"/>
        <i x="3" s="1"/>
        <i x="4" s="1"/>
        <i x="5" s="1"/>
        <i x="6" s="1"/>
        <i x="7" s="1"/>
        <i x="8" s="1"/>
        <i x="9" s="1"/>
        <i x="10" s="1"/>
        <i x="11" s="1"/>
        <i x="12" s="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C._DESP." xr10:uid="{CF474F13-898D-4579-AF8F-DD8279921C3B}" sourceName="REC./DESP.">
  <pivotTables>
    <pivotTable tabId="12" name="Tabela dinâmica2"/>
    <pivotTable tabId="12" name="Tabela dinâmica3"/>
    <pivotTable tabId="26" name="Relatorio"/>
    <pivotTable tabId="31" name="Tabela dinâmica1"/>
  </pivotTables>
  <data>
    <tabular pivotCacheId="1">
      <items count="3">
        <i x="2" s="1"/>
        <i x="0"/>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NTA_CORRENTE1" xr10:uid="{49042143-5F64-4C1E-BC0E-2F596EC7292A}" sourceName="CONTA CORRENTE">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1" xr10:uid="{228E6284-D264-46C6-837C-90E92B011F9A}" sourceName="TITULAR">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1" xr10:uid="{A9D72C44-F206-44AD-858C-562831374FF7}" sourceName="CENTRO CUSTO">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 xr10:uid="{847EFB9B-AFC6-4461-AC53-4C221E6A1F34}" sourceName="TITULAR">
  <pivotTables>
    <pivotTable tabId="26" name="Relatorio"/>
    <pivotTable tabId="12" name="Tabela dinâmica2"/>
    <pivotTable tabId="12" name="Tabela dinâmica3"/>
    <pivotTable tabId="31" name="Tabela dinâmica1"/>
  </pivotTables>
  <data>
    <tabular pivotCacheId="1">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 xr10:uid="{8C3EC263-99F9-4879-9396-B37137F8D41C}" sourceName="CENTRO CUSTO">
  <pivotTables>
    <pivotTable tabId="26" name="Relatorio"/>
    <pivotTable tabId="12" name="Tabela dinâmica2"/>
    <pivotTable tabId="31" name="Tabela dinâmica1"/>
  </pivotTables>
  <data>
    <tabular pivotCacheId="1">
      <items count="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1" xr10:uid="{D54D77FD-4A28-48B9-B7EB-BF50C9A56831}" sourceName="ANO">
  <pivotTables>
    <pivotTable tabId="8" name="Relatorio"/>
    <pivotTable tabId="8" name="Tabela dinâmica2"/>
    <pivotTable tabId="8" name="Tabela dinâmica3"/>
    <pivotTable tabId="8" name="Tabela dinâmica4"/>
    <pivotTable tabId="8" name="TDCCustos"/>
  </pivotTables>
  <data>
    <tabular pivotCacheId="1">
      <items count="2">
        <i x="0" s="1"/>
        <i x="1"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4" xr10:uid="{884C2C2B-2BC0-45B7-A111-664780A14192}" sourceName="MÊS">
  <pivotTables>
    <pivotTable tabId="8" name="Relatorio"/>
    <pivotTable tabId="8" name="Tabela dinâmica2"/>
    <pivotTable tabId="8" name="Tabela dinâmica3"/>
    <pivotTable tabId="8" name="Tabela dinâmica4"/>
    <pivotTable tabId="8" name="TDCCustos"/>
  </pivotTables>
  <data>
    <tabular pivotCacheId="1">
      <items count="13">
        <i x="0" s="1"/>
        <i x="1" s="1"/>
        <i x="2" s="1"/>
        <i x="3" s="1"/>
        <i x="4" s="1"/>
        <i x="5" s="1"/>
        <i x="6" s="1"/>
        <i x="7" s="1"/>
        <i x="8" s="1"/>
        <i x="9" s="1"/>
        <i x="10" s="1"/>
        <i x="11" s="1"/>
        <i x="1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xr10:uid="{BDB5AE39-BE84-4348-8419-72356E8322F8}" cache="SegmentaçãodeDados_CONTA_CORRENTE1" caption="CONTA CORRENTE" rowHeight="241300"/>
  <slicer name="TITULAR 2" xr10:uid="{CDB28167-35E7-461A-93B6-D7EE88B04490}" cache="SegmentaçãodeDados_TITULAR1" caption="TITULAR" rowHeight="241300"/>
  <slicer name="CENTRO CUSTO 2" xr10:uid="{2B64160F-DD93-4814-87F2-BD26EBA6EB36}" cache="SegmentaçãodeDados_CENTRO_CUSTO1" caption="CENTRO CUST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4" xr10:uid="{7F7AD4D7-7129-463A-8FFD-E8167719C871}" cache="SegmentaçãodeDados_CONTA_CORRENTE1" caption="CONTA CORRENTE" rowHeight="241300"/>
  <slicer name="TITULAR 4" xr10:uid="{35A66ED7-1E59-4123-B3E0-79D373DB7F16}" cache="SegmentaçãodeDados_TITULAR1" caption="TITULAR" rowHeight="241300"/>
  <slicer name="CENTRO CUSTO 4" xr10:uid="{E1282A64-028A-43BB-9FAB-FB6B52730165}" cache="SegmentaçãodeDados_CENTRO_CUSTO1" caption="CENTRO CUST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2" xr10:uid="{4E3C755B-C161-4D09-9672-88474D88AF94}" cache="SegmentaçãodeDados_CONTA_CORRENTE1" caption="CONTA CORRENTE" rowHeight="241300"/>
  <slicer name="TITULAR 1" xr10:uid="{BEEB5A1D-982C-445F-B04B-AB6A0A685457}" cache="SegmentaçãodeDados_TITULAR1" caption="TITULAR" rowHeight="241300"/>
  <slicer name="CENTRO CUSTO 1" xr10:uid="{83EAEC63-AF7D-4E37-A767-B3FACE37B523}" cache="SegmentaçãodeDados_CENTRO_CUSTO1" caption="CENTRO CUSTO"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3" xr10:uid="{646BABD9-6032-4B0D-ADCC-0B044341C7D8}" cache="SegmentaçãodeDados_CONTA_CORRENTE1" caption="CONTA CORRENTE" rowHeight="241300"/>
  <slicer name="TITULAR 3" xr10:uid="{833388CD-8CAF-469D-B1EC-F4F94A6F4A8D}" cache="SegmentaçãodeDados_TITULAR1" caption="TITULAR:" rowHeight="241300"/>
  <slicer name="CENTRO CUSTO 3" xr10:uid="{FE16568F-EEB4-4245-ADC5-8BE60D31238A}" cache="SegmentaçãodeDados_CENTRO_CUSTO1" caption="C. CUSTOS:"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ALIZADO / A REALIZAR 1" xr10:uid="{AE4DC8A1-E6C6-4A78-85F8-A95F58A7C6EC}" cache="SegmentaçãodeDados_REALIZADO___A_REALIZAR" caption="STATUS" rowHeight="241300"/>
  <slicer name="TITULAR 5" xr10:uid="{13BCA819-2F89-41A0-85BB-EA4971423293}" cache="SegmentaçãodeDados_TITULAR" caption="TITULAR" rowHeight="241300"/>
  <slicer name="CENTRO CUSTO 5" xr10:uid="{CC419D54-4D62-4E12-98C5-2B884B6ADAE0}" cache="SegmentaçãodeDados_CENTRO_CUSTO" caption="CENTRO CUSTO"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2" xr10:uid="{5FD15F2A-6678-4A77-949F-3C5E3B301730}" cache="SegmentaçãodeDados_ANO1" caption="ANO" startItem="1" rowHeight="241300"/>
  <slicer name="ANO 3" xr10:uid="{A1D56980-D605-49AF-B315-528F9FE9931F}" cache="SegmentaçãodeDados_ANO1" caption="ANO" rowHeight="241300"/>
  <slicer name="ANO 4" xr10:uid="{EB5736B6-5D43-4601-8E56-89AA1773365F}" cache="SegmentaçãodeDados_ANO1" caption="ANO" rowHeight="241300"/>
  <slicer name="ANO 5" xr10:uid="{5BDAA98A-BAF6-4BD0-89D4-04BEEFCF1B00}" cache="SegmentaçãodeDados_ANO1" caption="ANO" rowHeight="241300"/>
  <slicer name="MÊS 4" xr10:uid="{C828E65E-6653-4942-B826-83992C558BDA}" cache="SegmentaçãodeDados_MÊS4" caption="MÊS" rowHeight="241300"/>
  <slicer name="MÊS 3" xr10:uid="{EC922DC4-BD2E-4388-8C4C-3C03E0867C37}" cache="SegmentaçãodeDados_MÊS4" caption="MÊS" rowHeight="241300"/>
  <slicer name="MÊS 2" xr10:uid="{45FE0739-95DF-4380-B799-9BBB3E6896A4}" cache="SegmentaçãodeDados_MÊS4" caption="MÊS" startItem="1" rowHeight="241300"/>
  <slicer name="MÊS 1" xr10:uid="{BB56C7A1-D5CC-4223-AD04-6E5CB0391144}" cache="SegmentaçãodeDados_MÊS4" caption="MÊS"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xr10:uid="{AC39BE15-129A-4197-9A89-21F06CE18AFC}" cache="SegmentaçãodeDados_ANO" caption="ANO" rowHeight="241300"/>
  <slicer name="REALIZADO / A REALIZAR" xr10:uid="{71572890-0491-4AC5-84AD-B730B2180760}" cache="SegmentaçãodeDados_REALIZADO___A_REALIZAR" caption="REALIZADO / A REALIZAR" rowHeight="241300"/>
  <slicer name="MÊS" xr10:uid="{44BF1B80-A944-482D-A3DD-D4936DDFB741}" cache="SegmentaçãodeDados_MÊS" caption="MÊS" rowHeight="241300"/>
  <slicer name="REC./DESP." xr10:uid="{99A02BF1-D688-435C-87B8-F2381A7B8E84}" cache="SegmentaçãodeDados_REC._DESP." caption="REC./DESP." rowHeight="241300"/>
  <slicer name="CONTA CORRENTE 1" xr10:uid="{61438206-1703-466D-A904-C00B3D8C83DD}" cache="SegmentaçãodeDados_CONTA_CORRENTE1" caption="CONTA CORRENTE" rowHeight="241300"/>
  <slicer name="TITULAR" xr10:uid="{69CCE3C4-B716-4972-B15F-E5716DFFEF74}" cache="SegmentaçãodeDados_TITULAR1" caption="TITULAR" rowHeight="241300"/>
  <slicer name="CENTRO CUSTO" xr10:uid="{74B44B82-299A-4C2F-85FA-FB02F79EA22C}" cache="SegmentaçãodeDados_CENTRO_CUSTO1" caption="CENTRO CUSTO"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75000"/>
          </a:schemeClr>
        </a:solidFill>
        <a:ln w="12700" cap="flat" cmpd="sng" algn="ctr">
          <a:solidFill>
            <a:srgbClr val="5B9BD5">
              <a:shade val="50000"/>
            </a:srgbClr>
          </a:solidFill>
          <a:prstDash val="solid"/>
          <a:miter lim="800000"/>
        </a:ln>
        <a:effectLst>
          <a:softEdge rad="12700"/>
        </a:effectLst>
      </a:spPr>
      <a:bodyPr vertOverflow="clip" horzOverflow="clip" rtlCol="0" anchor="ctr"/>
      <a:lstStyle>
        <a:defPPr marL="0" marR="0" indent="0" algn="ctr" defTabSz="914400" eaLnBrk="1" fontAlgn="auto" latinLnBrk="0" hangingPunct="1">
          <a:lnSpc>
            <a:spcPct val="100000"/>
          </a:lnSpc>
          <a:spcBef>
            <a:spcPts val="0"/>
          </a:spcBef>
          <a:spcAft>
            <a:spcPts val="0"/>
          </a:spcAft>
          <a:buClrTx/>
          <a:buSzTx/>
          <a:buFontTx/>
          <a:buNone/>
          <a:tabLst/>
          <a:defRPr kumimoji="0" sz="1100" b="0" i="0" u="none" strike="noStrike" kern="0" cap="none" spc="0" normalizeH="0" baseline="0" noProof="0">
            <a:ln>
              <a:noFill/>
            </a:ln>
            <a:solidFill>
              <a:sysClr val="window" lastClr="FFFFFF"/>
            </a:solidFill>
            <a:effectLst/>
            <a:uLnTx/>
            <a:uFillTx/>
            <a:latin typeface="Calibri" panose="020F0502020204030204"/>
            <a:ea typeface="+mn-ea"/>
            <a:cs typeface="+mn-cs"/>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10.xml"/><Relationship Id="rId7" Type="http://schemas.microsoft.com/office/2007/relationships/slicer" Target="../slicers/slicer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7" Type="http://schemas.microsoft.com/office/2007/relationships/slicer" Target="../slicers/slicer2.xml"/><Relationship Id="rId2" Type="http://schemas.openxmlformats.org/officeDocument/2006/relationships/printerSettings" Target="../printerSettings/printerSettings14.bin"/><Relationship Id="rId1" Type="http://schemas.openxmlformats.org/officeDocument/2006/relationships/pivotTable" Target="../pivotTables/pivotTable5.xml"/><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microsoft.com/office/2007/relationships/slicer" Target="../slicers/slicer3.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pivotTable" Target="../pivotTables/pivotTable8.xml"/><Relationship Id="rId6" Type="http://schemas.openxmlformats.org/officeDocument/2006/relationships/comments" Target="../comments4.xml"/><Relationship Id="rId5" Type="http://schemas.microsoft.com/office/2007/relationships/slicer" Target="../slicers/slicer4.xml"/><Relationship Id="rId4"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drawing" Target="../drawings/drawing17.xml"/><Relationship Id="rId7" Type="http://schemas.microsoft.com/office/2007/relationships/slicer" Target="../slicers/slicer5.xml"/><Relationship Id="rId2" Type="http://schemas.openxmlformats.org/officeDocument/2006/relationships/printerSettings" Target="../printerSettings/printerSettings17.bin"/><Relationship Id="rId1" Type="http://schemas.openxmlformats.org/officeDocument/2006/relationships/pivotTable" Target="../pivotTables/pivotTable10.xml"/><Relationship Id="rId6" Type="http://schemas.openxmlformats.org/officeDocument/2006/relationships/image" Target="../media/image7.emf"/><Relationship Id="rId5" Type="http://schemas.openxmlformats.org/officeDocument/2006/relationships/control" Target="../activeX/activeX4.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8" Type="http://schemas.microsoft.com/office/2007/relationships/slicer" Target="../slicers/slicer6.xml"/><Relationship Id="rId3" Type="http://schemas.openxmlformats.org/officeDocument/2006/relationships/pivotTable" Target="../pivotTables/pivotTable13.xml"/><Relationship Id="rId7" Type="http://schemas.openxmlformats.org/officeDocument/2006/relationships/drawing" Target="../drawings/drawing18.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rinterSettings" Target="../printerSettings/printerSettings18.bin"/><Relationship Id="rId5" Type="http://schemas.openxmlformats.org/officeDocument/2006/relationships/pivotTable" Target="../pivotTables/pivotTable15.xml"/><Relationship Id="rId4" Type="http://schemas.openxmlformats.org/officeDocument/2006/relationships/pivotTable" Target="../pivotTables/pivotTable14.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6.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microsoft.com/office/2007/relationships/slicer" Target="../slicers/slicer7.xml"/><Relationship Id="rId4"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Menu">
    <tabColor theme="3"/>
    <pageSetUpPr fitToPage="1"/>
  </sheetPr>
  <dimension ref="A1:H38"/>
  <sheetViews>
    <sheetView showGridLines="0" showRowColHeaders="0" tabSelected="1" zoomScale="85" zoomScaleNormal="85" workbookViewId="0">
      <selection activeCell="B2" sqref="B2:G3"/>
    </sheetView>
  </sheetViews>
  <sheetFormatPr defaultRowHeight="14.5" x14ac:dyDescent="0.35"/>
  <cols>
    <col min="1" max="1" width="1.7265625" customWidth="1"/>
    <col min="2" max="2" width="3.1796875" customWidth="1"/>
    <col min="3" max="3" width="40.7265625" customWidth="1"/>
    <col min="4" max="4" width="3.1796875" customWidth="1"/>
    <col min="5" max="5" width="3.26953125" customWidth="1"/>
    <col min="6" max="6" width="40.7265625" customWidth="1"/>
    <col min="7" max="7" width="3.1796875" customWidth="1"/>
  </cols>
  <sheetData>
    <row r="1" spans="2:8" x14ac:dyDescent="0.35">
      <c r="G1" s="20"/>
    </row>
    <row r="2" spans="2:8" ht="15" customHeight="1" x14ac:dyDescent="0.35">
      <c r="B2" s="173" t="s">
        <v>161</v>
      </c>
      <c r="C2" s="173"/>
      <c r="D2" s="173"/>
      <c r="E2" s="173"/>
      <c r="F2" s="173"/>
      <c r="G2" s="173"/>
    </row>
    <row r="3" spans="2:8" ht="15" customHeight="1" x14ac:dyDescent="0.35">
      <c r="B3" s="173"/>
      <c r="C3" s="173"/>
      <c r="D3" s="173"/>
      <c r="E3" s="173"/>
      <c r="F3" s="173"/>
      <c r="G3" s="173"/>
    </row>
    <row r="5" spans="2:8" x14ac:dyDescent="0.35">
      <c r="B5" s="3"/>
    </row>
    <row r="6" spans="2:8" ht="4.5" customHeight="1" x14ac:dyDescent="0.35">
      <c r="B6" s="3"/>
    </row>
    <row r="7" spans="2:8" ht="18" customHeight="1" x14ac:dyDescent="0.45">
      <c r="B7" s="3"/>
      <c r="D7" s="21" t="s">
        <v>8</v>
      </c>
      <c r="G7" s="21" t="s">
        <v>8</v>
      </c>
    </row>
    <row r="8" spans="2:8" ht="10" customHeight="1" x14ac:dyDescent="0.35">
      <c r="B8" s="3"/>
      <c r="D8" s="19"/>
    </row>
    <row r="9" spans="2:8" ht="18" customHeight="1" x14ac:dyDescent="0.45">
      <c r="B9" s="3"/>
      <c r="D9" s="21" t="s">
        <v>8</v>
      </c>
      <c r="G9" s="21" t="s">
        <v>8</v>
      </c>
      <c r="H9" s="26"/>
    </row>
    <row r="10" spans="2:8" ht="10" customHeight="1" x14ac:dyDescent="0.35"/>
    <row r="11" spans="2:8" ht="18" customHeight="1" x14ac:dyDescent="0.45">
      <c r="D11" s="21" t="s">
        <v>8</v>
      </c>
      <c r="G11" s="21" t="s">
        <v>8</v>
      </c>
    </row>
    <row r="12" spans="2:8" ht="10" customHeight="1" x14ac:dyDescent="0.35">
      <c r="D12" s="19"/>
    </row>
    <row r="13" spans="2:8" ht="18" customHeight="1" x14ac:dyDescent="0.45">
      <c r="D13" s="21" t="s">
        <v>8</v>
      </c>
      <c r="G13" s="21" t="s">
        <v>8</v>
      </c>
    </row>
    <row r="14" spans="2:8" ht="10" customHeight="1" x14ac:dyDescent="0.35">
      <c r="D14" s="19"/>
    </row>
    <row r="15" spans="2:8" ht="18" customHeight="1" x14ac:dyDescent="0.45">
      <c r="D15" s="21" t="s">
        <v>8</v>
      </c>
      <c r="G15" s="21" t="s">
        <v>8</v>
      </c>
    </row>
    <row r="16" spans="2:8" ht="10" customHeight="1" x14ac:dyDescent="0.35">
      <c r="D16" s="18"/>
    </row>
    <row r="17" spans="4:8" ht="18.5" x14ac:dyDescent="0.45">
      <c r="D17" s="21" t="s">
        <v>8</v>
      </c>
      <c r="G17" s="21" t="s">
        <v>8</v>
      </c>
      <c r="H17" s="26"/>
    </row>
    <row r="18" spans="4:8" ht="10" customHeight="1" x14ac:dyDescent="0.35"/>
    <row r="19" spans="4:8" ht="18.5" x14ac:dyDescent="0.45">
      <c r="D19" s="21" t="s">
        <v>8</v>
      </c>
      <c r="G19" s="21" t="s">
        <v>8</v>
      </c>
    </row>
    <row r="20" spans="4:8" ht="10" customHeight="1" x14ac:dyDescent="0.35">
      <c r="D20" s="18"/>
    </row>
    <row r="21" spans="4:8" ht="18.5" x14ac:dyDescent="0.45">
      <c r="D21" s="21" t="s">
        <v>8</v>
      </c>
      <c r="G21" s="21" t="s">
        <v>8</v>
      </c>
    </row>
    <row r="22" spans="4:8" ht="10" customHeight="1" x14ac:dyDescent="0.35"/>
    <row r="23" spans="4:8" x14ac:dyDescent="0.35">
      <c r="D23" s="18"/>
    </row>
    <row r="24" spans="4:8" ht="10" customHeight="1" x14ac:dyDescent="0.35">
      <c r="D24" s="18"/>
    </row>
    <row r="38" spans="1:1" x14ac:dyDescent="0.35">
      <c r="A38" s="8" t="s">
        <v>9</v>
      </c>
    </row>
  </sheetData>
  <sheetProtection algorithmName="SHA-512" hashValue="PtVzoop24l88VD1Ahrz/EwM4TPOqNsndRx7CdD0m/EGJjGRYmf8HHasABcXqQf6o5oznKkn8UJ4zWSDAqxr+9Q==" saltValue="842lvKz2gXEThK6Ajx5KLA==" spinCount="100000" sheet="1" objects="1" scenarios="1" formatCells="0" formatColumns="0" sort="0" autoFilter="0" pivotTables="0"/>
  <mergeCells count="1">
    <mergeCell ref="B2:G3"/>
  </mergeCells>
  <printOptions horizontalCentered="1" verticalCentered="1"/>
  <pageMargins left="0.27559055118110237" right="0.51181102362204722" top="0.78740157480314965" bottom="1.19" header="0.31496062992125984" footer="0.31496062992125984"/>
  <pageSetup paperSize="9" scale="59" orientation="landscape" r:id="rId1"/>
  <headerFooter>
    <oddFooter>&amp;L&amp;8&amp;Z&amp;F&amp;R&amp;D / &amp;T</oddFooter>
  </headerFooter>
  <drawing r:id="rId2"/>
  <legacyDrawing r:id="rId3"/>
  <picture r:id="rId4"/>
  <controls>
    <mc:AlternateContent xmlns:mc="http://schemas.openxmlformats.org/markup-compatibility/2006">
      <mc:Choice Requires="x14">
        <control shapeId="1030" r:id="rId5" name="ChBoxDicas">
          <controlPr defaultSize="0" autoLine="0" r:id="rId6">
            <anchor>
              <from>
                <xdr:col>5</xdr:col>
                <xdr:colOff>1466850</xdr:colOff>
                <xdr:row>3</xdr:row>
                <xdr:rowOff>31750</xdr:rowOff>
              </from>
              <to>
                <xdr:col>6</xdr:col>
                <xdr:colOff>0</xdr:colOff>
                <xdr:row>4</xdr:row>
                <xdr:rowOff>114300</xdr:rowOff>
              </to>
            </anchor>
          </controlPr>
        </control>
      </mc:Choice>
      <mc:Fallback>
        <control shapeId="1030" r:id="rId5" name="ChBoxDic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Titular">
    <tabColor theme="8" tint="0.39997558519241921"/>
  </sheetPr>
  <dimension ref="B1:C7"/>
  <sheetViews>
    <sheetView showGridLines="0" showRowColHeaders="0" workbookViewId="0">
      <pane ySplit="2" topLeftCell="A3" activePane="bottomLeft" state="frozen"/>
      <selection activeCell="B2" sqref="B2:G3"/>
      <selection pane="bottomLeft" activeCell="C4" sqref="C4"/>
    </sheetView>
  </sheetViews>
  <sheetFormatPr defaultColWidth="9.1796875" defaultRowHeight="14.5" x14ac:dyDescent="0.35"/>
  <cols>
    <col min="1" max="1" width="1.7265625" style="5" customWidth="1"/>
    <col min="2" max="2" width="7" style="6" hidden="1" customWidth="1"/>
    <col min="3" max="3" width="40.1796875" style="5" customWidth="1"/>
    <col min="4" max="16384" width="9.1796875" style="5"/>
  </cols>
  <sheetData>
    <row r="1" spans="2:3" ht="3.75" customHeight="1" x14ac:dyDescent="0.35"/>
    <row r="2" spans="2:3" s="4" customFormat="1" ht="30" customHeight="1" thickBot="1" x14ac:dyDescent="0.4">
      <c r="B2" s="15" t="s">
        <v>4</v>
      </c>
      <c r="C2" s="36" t="s">
        <v>14</v>
      </c>
    </row>
    <row r="3" spans="2:3" ht="0.75" customHeight="1" x14ac:dyDescent="0.35">
      <c r="B3" s="5"/>
    </row>
    <row r="4" spans="2:3" x14ac:dyDescent="0.35">
      <c r="B4" s="42"/>
    </row>
    <row r="5" spans="2:3" x14ac:dyDescent="0.35">
      <c r="B5" s="42"/>
    </row>
    <row r="6" spans="2:3" x14ac:dyDescent="0.35">
      <c r="B6" s="42"/>
    </row>
    <row r="7" spans="2:3" x14ac:dyDescent="0.35">
      <c r="B7" s="42"/>
    </row>
  </sheetData>
  <sheetProtection algorithmName="SHA-512" hashValue="WEMGlgCsPXWaBKu6uKo9Px1eI5iiUwsLFVThKNNDQzLeNBQr30HGZRqn3QjcafNdmVAE9Fhp7E2vpA2CP+j0+A==" saltValue="1twLdv1ifIO/jzSQmkjnig==" spinCount="100000" sheet="1" objects="1" scenarios="1" formatCells="0" formatColumns="0" sort="0" autoFilter="0" pivotTables="0"/>
  <autoFilter ref="B2:C3" xr:uid="{00D7E7A6-C411-4A43-B42C-16F23CF22F92}"/>
  <dataValidations count="1">
    <dataValidation allowBlank="1" showInputMessage="1" showErrorMessage="1" sqref="B3:F3 G2:G3" xr:uid="{00000000-0002-0000-0100-000000000000}"/>
  </dataValidation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_CliFor">
    <tabColor theme="7" tint="0.59999389629810485"/>
  </sheetPr>
  <dimension ref="B1:M4"/>
  <sheetViews>
    <sheetView showGridLines="0" showRowColHeaders="0" zoomScale="85" zoomScaleNormal="85" workbookViewId="0">
      <pane ySplit="3" topLeftCell="A4" activePane="bottomLeft" state="frozen"/>
      <selection pane="bottomLeft" activeCell="C4" sqref="C4"/>
    </sheetView>
  </sheetViews>
  <sheetFormatPr defaultColWidth="9.1796875" defaultRowHeight="14.5" x14ac:dyDescent="0.35"/>
  <cols>
    <col min="1" max="1" width="0.54296875" style="5" customWidth="1"/>
    <col min="2" max="2" width="7" style="6" customWidth="1"/>
    <col min="3" max="3" width="41.7265625" style="5" customWidth="1"/>
    <col min="4" max="4" width="23.26953125" style="6" customWidth="1"/>
    <col min="5" max="5" width="24.81640625" style="6" customWidth="1"/>
    <col min="6" max="6" width="34.26953125" style="5" customWidth="1"/>
    <col min="7" max="7" width="14.26953125" style="5" customWidth="1"/>
    <col min="8" max="8" width="18.81640625" style="5" customWidth="1"/>
    <col min="9" max="9" width="12.81640625" style="5" bestFit="1" customWidth="1"/>
    <col min="10" max="10" width="27.7265625" style="5" customWidth="1"/>
    <col min="11" max="11" width="15.26953125" style="5" bestFit="1" customWidth="1"/>
    <col min="12" max="12" width="19.7265625" style="5" customWidth="1"/>
    <col min="13" max="13" width="5.81640625" style="5" bestFit="1" customWidth="1"/>
    <col min="14" max="16384" width="9.1796875" style="5"/>
  </cols>
  <sheetData>
    <row r="1" spans="2:13" ht="3" customHeight="1" x14ac:dyDescent="0.35"/>
    <row r="2" spans="2:13" s="4" customFormat="1" ht="31.5" customHeight="1" thickBot="1" x14ac:dyDescent="0.4">
      <c r="B2" s="22" t="s">
        <v>4</v>
      </c>
      <c r="C2" s="22" t="s">
        <v>30</v>
      </c>
      <c r="D2" s="22" t="s">
        <v>31</v>
      </c>
      <c r="E2" s="22" t="s">
        <v>41</v>
      </c>
      <c r="F2" s="22" t="s">
        <v>32</v>
      </c>
      <c r="G2" s="22" t="s">
        <v>33</v>
      </c>
      <c r="H2" s="22" t="s">
        <v>35</v>
      </c>
      <c r="I2" s="22" t="s">
        <v>34</v>
      </c>
      <c r="J2" s="22" t="s">
        <v>36</v>
      </c>
      <c r="K2" s="22" t="s">
        <v>37</v>
      </c>
      <c r="L2" s="22" t="s">
        <v>38</v>
      </c>
      <c r="M2" s="22" t="s">
        <v>39</v>
      </c>
    </row>
    <row r="3" spans="2:13" ht="2.25" customHeight="1" x14ac:dyDescent="0.35">
      <c r="D3" s="5"/>
      <c r="E3" s="5"/>
    </row>
    <row r="4" spans="2:13" x14ac:dyDescent="0.35">
      <c r="B4" s="171"/>
      <c r="C4" s="172"/>
      <c r="D4" s="171"/>
      <c r="E4" s="171"/>
      <c r="F4" s="172"/>
      <c r="G4" s="172"/>
      <c r="H4" s="172"/>
      <c r="I4" s="172"/>
      <c r="J4" s="172"/>
      <c r="K4" s="172"/>
      <c r="L4" s="172"/>
      <c r="M4" s="172"/>
    </row>
  </sheetData>
  <sheetProtection algorithmName="SHA-512" hashValue="WtjBhzvZEA4WWQGtWUxHJ1LihLIoKo5t7mG8VgPRDXkzmbo3jmE9JeL8TMymN52dUgGFvi5mSfA+OHD1xQCzvw==" saltValue="VGbjBVVjZLqoN96iYTBOHQ==" spinCount="100000" sheet="1" objects="1" scenarios="1" formatCells="0" formatColumns="0" sort="0" autoFilter="0" pivotTables="0"/>
  <autoFilter ref="B2:M3" xr:uid="{89096624-5FEF-40A0-8BA4-377FFF2E363F}"/>
  <dataValidations count="1">
    <dataValidation allowBlank="1" showInputMessage="1" showErrorMessage="1" sqref="B3:C3 F3:G3 F2:K2 D1:E1048576" xr:uid="{00000000-0002-0000-0200-000000000000}"/>
  </dataValidation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_CentroCustos">
    <tabColor theme="7" tint="-0.249977111117893"/>
  </sheetPr>
  <dimension ref="B1:C4"/>
  <sheetViews>
    <sheetView showGridLines="0" showRowColHeaders="0" zoomScaleNormal="100" workbookViewId="0">
      <pane ySplit="3" topLeftCell="A4" activePane="bottomLeft" state="frozen"/>
      <selection activeCell="E14" sqref="E14"/>
      <selection pane="bottomLeft" activeCell="C4" sqref="C4"/>
    </sheetView>
  </sheetViews>
  <sheetFormatPr defaultColWidth="9.1796875" defaultRowHeight="14.5" x14ac:dyDescent="0.35"/>
  <cols>
    <col min="1" max="1" width="1.7265625" style="5" customWidth="1"/>
    <col min="2" max="2" width="7" style="6" hidden="1" customWidth="1"/>
    <col min="3" max="3" width="41.7265625" style="5" customWidth="1"/>
    <col min="4" max="16384" width="9.1796875" style="5"/>
  </cols>
  <sheetData>
    <row r="1" spans="2:3" ht="4.5" customHeight="1" x14ac:dyDescent="0.35"/>
    <row r="2" spans="2:3" s="4" customFormat="1" ht="27" customHeight="1" thickBot="1" x14ac:dyDescent="0.4">
      <c r="B2" s="13" t="s">
        <v>4</v>
      </c>
      <c r="C2" s="13" t="s">
        <v>6</v>
      </c>
    </row>
    <row r="3" spans="2:3" ht="0.75" customHeight="1" x14ac:dyDescent="0.35">
      <c r="B3" s="5"/>
    </row>
    <row r="4" spans="2:3" x14ac:dyDescent="0.35">
      <c r="B4"/>
      <c r="C4"/>
    </row>
  </sheetData>
  <sheetProtection algorithmName="SHA-512" hashValue="J5HhuEBMHL+1WMSx00JckoCMC60PeL4zDsMJTkDxCPVoqUrAq3GSoGgKCzKOZ2hfGanGYmQtySf9SCeJfFGvig==" saltValue="69EAsK+fUrRxYXPlYu954w==" spinCount="100000" sheet="1" objects="1" scenarios="1" formatCells="0" formatColumns="0" sort="0" autoFilter="0" pivotTables="0"/>
  <autoFilter ref="B2:C3" xr:uid="{00000000-0009-0000-0000-000003000000}"/>
  <conditionalFormatting sqref="B5:C64880">
    <cfRule type="expression" dxfId="186" priority="4">
      <formula>$B5&lt;&gt;""</formula>
    </cfRule>
  </conditionalFormatting>
  <dataValidations count="1">
    <dataValidation allowBlank="1" showInputMessage="1" showErrorMessage="1" sqref="B3:F3 G2:G3" xr:uid="{00000000-0002-0000-0300-000000000000}"/>
  </dataValidation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E03C-733D-4064-B84B-F0D990CCBC5E}">
  <sheetPr codeName="Sht_GrupoContas">
    <tabColor theme="5" tint="0.39997558519241921"/>
  </sheetPr>
  <dimension ref="B1:C4"/>
  <sheetViews>
    <sheetView showGridLines="0" showRowColHeaders="0" zoomScaleNormal="100" workbookViewId="0">
      <pane ySplit="3" topLeftCell="A4" activePane="bottomLeft" state="frozen"/>
      <selection activeCell="E14" sqref="E14"/>
      <selection pane="bottomLeft" activeCell="C4" sqref="C4"/>
    </sheetView>
  </sheetViews>
  <sheetFormatPr defaultColWidth="9.1796875" defaultRowHeight="14.5" x14ac:dyDescent="0.35"/>
  <cols>
    <col min="1" max="1" width="1.7265625" style="5" customWidth="1"/>
    <col min="2" max="2" width="7" style="6" hidden="1" customWidth="1"/>
    <col min="3" max="3" width="41.7265625" style="5" customWidth="1"/>
    <col min="4" max="16384" width="9.1796875" style="5"/>
  </cols>
  <sheetData>
    <row r="1" spans="2:3" ht="4.5" customHeight="1" x14ac:dyDescent="0.35"/>
    <row r="2" spans="2:3" s="4" customFormat="1" ht="27" customHeight="1" thickBot="1" x14ac:dyDescent="0.4">
      <c r="B2" s="54" t="s">
        <v>4</v>
      </c>
      <c r="C2" s="54" t="s">
        <v>96</v>
      </c>
    </row>
    <row r="3" spans="2:3" ht="0.75" customHeight="1" x14ac:dyDescent="0.35">
      <c r="B3" s="5"/>
    </row>
    <row r="4" spans="2:3" x14ac:dyDescent="0.35">
      <c r="B4"/>
      <c r="C4"/>
    </row>
  </sheetData>
  <sheetProtection algorithmName="SHA-512" hashValue="u+y2fIJhqm52KwkRxP8oKxIsn3QaPAbeeewiKs2SCQOHjEG8AKzAHz9TQCD2V2hyBkYnFJXjEmfUBzrZeaK2wg==" saltValue="vXyvesyTT61lX4y0OwN9Ww==" spinCount="100000" sheet="1" objects="1" scenarios="1" formatCells="0" formatColumns="0" sort="0" autoFilter="0" pivotTables="0"/>
  <autoFilter ref="B2:C3" xr:uid="{00000000-0009-0000-0000-000003000000}"/>
  <dataValidations count="1">
    <dataValidation allowBlank="1" showInputMessage="1" showErrorMessage="1" sqref="B3:F3 G2:G3" xr:uid="{FB549F83-1776-4038-8FE2-B2808D94B626}"/>
  </dataValidation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PlanoContas">
    <tabColor theme="1" tint="0.249977111117893"/>
  </sheetPr>
  <dimension ref="B1:G10"/>
  <sheetViews>
    <sheetView showGridLines="0" showRowColHeaders="0" zoomScaleNormal="100" workbookViewId="0">
      <pane ySplit="3" topLeftCell="A4" activePane="bottomLeft" state="frozen"/>
      <selection activeCell="D26" sqref="D26"/>
      <selection pane="bottomLeft" activeCell="C4" sqref="C4"/>
    </sheetView>
  </sheetViews>
  <sheetFormatPr defaultColWidth="9.1796875" defaultRowHeight="14.5" x14ac:dyDescent="0.35"/>
  <cols>
    <col min="1" max="1" width="1.7265625" style="5" customWidth="1"/>
    <col min="2" max="2" width="7" style="6" hidden="1" customWidth="1"/>
    <col min="3" max="3" width="39.453125" style="5" customWidth="1"/>
    <col min="4" max="5" width="29.1796875" style="42" customWidth="1"/>
    <col min="6" max="6" width="19" style="6" bestFit="1" customWidth="1"/>
    <col min="7" max="7" width="9.1796875" style="6" hidden="1" customWidth="1"/>
    <col min="8" max="16384" width="9.1796875" style="5"/>
  </cols>
  <sheetData>
    <row r="1" spans="2:7" ht="3.75" customHeight="1" x14ac:dyDescent="0.35"/>
    <row r="2" spans="2:7" s="4" customFormat="1" ht="25.5" customHeight="1" thickBot="1" x14ac:dyDescent="0.4">
      <c r="B2" s="35" t="s">
        <v>4</v>
      </c>
      <c r="C2" s="35" t="s">
        <v>0</v>
      </c>
      <c r="D2" s="35" t="s">
        <v>45</v>
      </c>
      <c r="E2" s="35" t="s">
        <v>97</v>
      </c>
      <c r="F2" s="35" t="s">
        <v>64</v>
      </c>
      <c r="G2" s="35" t="s">
        <v>99</v>
      </c>
    </row>
    <row r="3" spans="2:7" ht="0.75" customHeight="1" x14ac:dyDescent="0.35">
      <c r="B3" s="5"/>
    </row>
    <row r="4" spans="2:7" x14ac:dyDescent="0.35">
      <c r="B4"/>
      <c r="C4"/>
      <c r="D4"/>
      <c r="E4"/>
      <c r="F4"/>
      <c r="G4"/>
    </row>
    <row r="5" spans="2:7" x14ac:dyDescent="0.35">
      <c r="B5"/>
      <c r="C5"/>
      <c r="D5"/>
      <c r="E5"/>
      <c r="F5"/>
      <c r="G5"/>
    </row>
    <row r="6" spans="2:7" x14ac:dyDescent="0.35">
      <c r="B6"/>
      <c r="C6"/>
      <c r="D6"/>
      <c r="E6"/>
      <c r="F6"/>
      <c r="G6"/>
    </row>
    <row r="7" spans="2:7" x14ac:dyDescent="0.35">
      <c r="B7"/>
      <c r="C7"/>
      <c r="D7"/>
      <c r="E7"/>
      <c r="F7"/>
      <c r="G7"/>
    </row>
    <row r="8" spans="2:7" x14ac:dyDescent="0.35">
      <c r="B8"/>
      <c r="C8"/>
      <c r="D8"/>
      <c r="E8"/>
      <c r="F8"/>
      <c r="G8"/>
    </row>
    <row r="9" spans="2:7" x14ac:dyDescent="0.35">
      <c r="B9"/>
      <c r="C9"/>
      <c r="D9"/>
      <c r="E9"/>
      <c r="F9"/>
      <c r="G9"/>
    </row>
    <row r="10" spans="2:7" x14ac:dyDescent="0.35">
      <c r="B10"/>
      <c r="C10"/>
      <c r="D10"/>
      <c r="E10"/>
      <c r="F10"/>
      <c r="G10"/>
    </row>
  </sheetData>
  <sheetProtection algorithmName="SHA-512" hashValue="oEIIpZNegnF69dipEt0rWttL1uHgQImBrtKqe/LTPIJAt/cwH/t/yVv080ToQ8zUo2DQuEziHLS3V68smhBBqA==" saltValue="osIGrS7JEUN8hPlOjJvcRQ==" spinCount="100000" sheet="1" objects="1" scenarios="1" formatCells="0" formatColumns="0" sort="0" autoFilter="0" pivotTables="0"/>
  <autoFilter ref="B2:F3" xr:uid="{00000000-0009-0000-0000-000004000000}"/>
  <conditionalFormatting sqref="B11:E105">
    <cfRule type="expression" dxfId="185" priority="13">
      <formula>$D11="DESPESAS"</formula>
    </cfRule>
    <cfRule type="expression" dxfId="184" priority="14">
      <formula>$D11="RECEITAS"</formula>
    </cfRule>
  </conditionalFormatting>
  <conditionalFormatting sqref="F11:F105">
    <cfRule type="expression" dxfId="183" priority="4">
      <formula>$D11="DESPESAS"</formula>
    </cfRule>
    <cfRule type="expression" dxfId="182" priority="5">
      <formula>$D11="RECEITAS"</formula>
    </cfRule>
  </conditionalFormatting>
  <conditionalFormatting sqref="B11:G949">
    <cfRule type="expression" dxfId="181" priority="1">
      <formula>$D11="PAGAMENTOS"</formula>
    </cfRule>
    <cfRule type="expression" dxfId="180" priority="2">
      <formula>$D11="RECEBIMENTOS"</formula>
    </cfRule>
  </conditionalFormatting>
  <dataValidations count="1">
    <dataValidation allowBlank="1" showInputMessage="1" showErrorMessage="1" sqref="B3:C3 G3:H3 D1:F3 D11:F1048576" xr:uid="{00000000-0002-0000-04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_CCorrente">
    <tabColor rgb="FF66FF33"/>
  </sheetPr>
  <dimension ref="B1:E4"/>
  <sheetViews>
    <sheetView showGridLines="0" showRowColHeaders="0" workbookViewId="0">
      <pane ySplit="2" topLeftCell="A3" activePane="bottomLeft" state="frozen"/>
      <selection pane="bottomLeft" activeCell="B1" sqref="B1"/>
    </sheetView>
  </sheetViews>
  <sheetFormatPr defaultColWidth="9.1796875" defaultRowHeight="14.5" x14ac:dyDescent="0.35"/>
  <cols>
    <col min="1" max="1" width="1.7265625" style="5" customWidth="1"/>
    <col min="2" max="2" width="7" style="6" hidden="1" customWidth="1"/>
    <col min="3" max="3" width="40.1796875" style="5" customWidth="1"/>
    <col min="4" max="4" width="25" style="5" customWidth="1"/>
    <col min="5" max="5" width="18.7265625" style="52" bestFit="1" customWidth="1"/>
    <col min="6" max="16384" width="9.1796875" style="5"/>
  </cols>
  <sheetData>
    <row r="1" spans="2:5" ht="3" customHeight="1" x14ac:dyDescent="0.35"/>
    <row r="2" spans="2:5" s="4" customFormat="1" ht="30" customHeight="1" x14ac:dyDescent="0.35">
      <c r="B2" s="51" t="s">
        <v>4</v>
      </c>
      <c r="C2" s="51" t="s">
        <v>7</v>
      </c>
      <c r="D2" s="51" t="s">
        <v>17</v>
      </c>
      <c r="E2" s="97" t="s">
        <v>124</v>
      </c>
    </row>
    <row r="3" spans="2:5" ht="0.75" customHeight="1" x14ac:dyDescent="0.35">
      <c r="B3" s="5"/>
    </row>
    <row r="4" spans="2:5" x14ac:dyDescent="0.35">
      <c r="B4"/>
      <c r="C4"/>
      <c r="D4"/>
      <c r="E4"/>
    </row>
  </sheetData>
  <sheetProtection algorithmName="SHA-512" hashValue="CEG0gX90Jlv/vt3srBKUrx64wmMwUYk4Zdwvx8t23hCds0nD6dEXY45jZUt9Qv7BU/3j/UI0Ef37uIdaRMweJg==" saltValue="wqrrAzXYpndAAfletPzsaw==" spinCount="100000" sheet="1" objects="1" scenarios="1" formatCells="0" formatColumns="0" sort="0" autoFilter="0" pivotTables="0"/>
  <dataValidations disablePrompts="1" count="1">
    <dataValidation allowBlank="1" showInputMessage="1" showErrorMessage="1" sqref="F2:F3 B3:E3" xr:uid="{00000000-0002-0000-05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_Insumos">
    <tabColor theme="1" tint="0.249977111117893"/>
  </sheetPr>
  <dimension ref="B1:G4"/>
  <sheetViews>
    <sheetView showGridLines="0" showRowColHeaders="0" zoomScaleNormal="100" workbookViewId="0">
      <pane ySplit="3" topLeftCell="A4" activePane="bottomLeft" state="frozen"/>
      <selection activeCell="E14" sqref="E14"/>
      <selection pane="bottomLeft" activeCell="C4" sqref="C4"/>
    </sheetView>
  </sheetViews>
  <sheetFormatPr defaultColWidth="9.1796875" defaultRowHeight="14.5" x14ac:dyDescent="0.35"/>
  <cols>
    <col min="1" max="1" width="1.7265625" style="5" customWidth="1"/>
    <col min="2" max="2" width="8" style="6" hidden="1" customWidth="1"/>
    <col min="3" max="3" width="49" style="5" customWidth="1"/>
    <col min="4" max="4" width="21.81640625" style="42" customWidth="1"/>
    <col min="5" max="5" width="18.54296875" style="42" customWidth="1"/>
    <col min="6" max="6" width="21.81640625" style="42" customWidth="1"/>
    <col min="7" max="7" width="19" style="42" customWidth="1"/>
    <col min="8" max="16384" width="9.1796875" style="5"/>
  </cols>
  <sheetData>
    <row r="1" spans="2:7" ht="3.75" customHeight="1" x14ac:dyDescent="0.35"/>
    <row r="2" spans="2:7" s="4" customFormat="1" ht="27" customHeight="1" thickBot="1" x14ac:dyDescent="0.4">
      <c r="B2" s="41" t="s">
        <v>4</v>
      </c>
      <c r="C2" s="41" t="s">
        <v>90</v>
      </c>
      <c r="D2" s="41" t="s">
        <v>65</v>
      </c>
      <c r="E2" s="41" t="s">
        <v>67</v>
      </c>
      <c r="F2" s="41" t="s">
        <v>68</v>
      </c>
      <c r="G2" s="41" t="s">
        <v>66</v>
      </c>
    </row>
    <row r="3" spans="2:7" ht="0.75" customHeight="1" x14ac:dyDescent="0.35">
      <c r="B3" s="5"/>
    </row>
    <row r="4" spans="2:7" x14ac:dyDescent="0.35">
      <c r="B4"/>
      <c r="C4"/>
      <c r="D4"/>
      <c r="E4"/>
      <c r="F4"/>
      <c r="G4"/>
    </row>
  </sheetData>
  <sheetProtection algorithmName="SHA-512" hashValue="/bcShex2p+/Sj4Z2Kvg+QHHuSeHXBPlQOg+L+p+Z2lCOSgEWtUu0ve/4yhxf3CKIEeyhPThWGpF4tMBW2vmLCA==" saltValue="Wi+bJENJvnJlzTD/9raSDg==" spinCount="100000" sheet="1" objects="1" scenarios="1" formatCells="0" formatColumns="0" sort="0" autoFilter="0" pivotTables="0"/>
  <autoFilter ref="B2:G3" xr:uid="{00000000-0009-0000-0000-000006000000}"/>
  <sortState xmlns:xlrd2="http://schemas.microsoft.com/office/spreadsheetml/2017/richdata2" ref="B4:G4">
    <sortCondition ref="C4"/>
  </sortState>
  <conditionalFormatting sqref="B5:F64949 G5:G56">
    <cfRule type="expression" dxfId="179" priority="17">
      <formula>$B5&lt;&gt;""</formula>
    </cfRule>
  </conditionalFormatting>
  <conditionalFormatting sqref="B57:D163">
    <cfRule type="expression" dxfId="178" priority="15">
      <formula>$D57="DESPESAS"</formula>
    </cfRule>
    <cfRule type="expression" dxfId="177" priority="16">
      <formula>$D57="RECEITAS"</formula>
    </cfRule>
  </conditionalFormatting>
  <conditionalFormatting sqref="B5:G56">
    <cfRule type="expression" dxfId="176" priority="12">
      <formula>$D5="PAGAMENTOS"</formula>
    </cfRule>
    <cfRule type="expression" dxfId="175" priority="13">
      <formula>$D5="RECEBIMENTOS"</formula>
    </cfRule>
  </conditionalFormatting>
  <conditionalFormatting sqref="G57:G163">
    <cfRule type="expression" dxfId="174" priority="9">
      <formula>$D57="DESPESAS"</formula>
    </cfRule>
    <cfRule type="expression" dxfId="173" priority="10">
      <formula>$D57="RECEITAS"</formula>
    </cfRule>
  </conditionalFormatting>
  <conditionalFormatting sqref="E57:F163">
    <cfRule type="expression" dxfId="172" priority="3">
      <formula>$D57="DESPESAS"</formula>
    </cfRule>
    <cfRule type="expression" dxfId="171" priority="4">
      <formula>$D57="RECEITAS"</formula>
    </cfRule>
  </conditionalFormatting>
  <dataValidations count="1">
    <dataValidation allowBlank="1" showInputMessage="1" showErrorMessage="1" sqref="B3:C3 H3:I3 D1:G3 D5:G1048576" xr:uid="{00000000-0002-0000-0600-000000000000}"/>
  </dataValidation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_Lanctos">
    <tabColor rgb="FF002060"/>
    <pageSetUpPr fitToPage="1"/>
  </sheetPr>
  <dimension ref="A1:AL78"/>
  <sheetViews>
    <sheetView showGridLines="0" zoomScaleNormal="100" workbookViewId="0">
      <pane xSplit="1" ySplit="3" topLeftCell="B4" activePane="bottomRight" state="frozen"/>
      <selection activeCell="A2" sqref="A2"/>
      <selection pane="topRight" activeCell="B2" sqref="B2"/>
      <selection pane="bottomLeft" activeCell="A4" sqref="A4"/>
      <selection pane="bottomRight" activeCell="F3" sqref="F3"/>
    </sheetView>
  </sheetViews>
  <sheetFormatPr defaultColWidth="9.1796875" defaultRowHeight="14.5" x14ac:dyDescent="0.35"/>
  <cols>
    <col min="1" max="1" width="8.54296875" style="82" customWidth="1"/>
    <col min="2" max="4" width="11.453125" style="83" customWidth="1"/>
    <col min="5" max="5" width="10.54296875" style="83" customWidth="1"/>
    <col min="6" max="6" width="16.1796875" style="84" customWidth="1"/>
    <col min="7" max="7" width="13.7265625" style="38" customWidth="1"/>
    <col min="8" max="8" width="14.54296875" style="23" customWidth="1"/>
    <col min="9" max="9" width="28.7265625" style="23" customWidth="1"/>
    <col min="10" max="10" width="20.54296875" style="23" customWidth="1"/>
    <col min="11" max="11" width="23.26953125" style="23" customWidth="1"/>
    <col min="12" max="12" width="28.1796875" style="91" bestFit="1" customWidth="1"/>
    <col min="13" max="13" width="9.7265625" style="86" customWidth="1"/>
    <col min="14" max="14" width="15.1796875" style="85" customWidth="1"/>
    <col min="15" max="15" width="36" style="85" customWidth="1"/>
    <col min="16" max="16" width="31.1796875" style="38" customWidth="1"/>
    <col min="17" max="17" width="13.453125" style="86" customWidth="1"/>
    <col min="18" max="18" width="10.81640625" style="87" hidden="1" customWidth="1"/>
    <col min="19" max="19" width="8.1796875" style="86" hidden="1" customWidth="1"/>
    <col min="20" max="20" width="10.1796875" style="86" hidden="1" customWidth="1"/>
    <col min="21" max="21" width="14.54296875" style="86" hidden="1" customWidth="1"/>
    <col min="22" max="22" width="13.453125" style="86" hidden="1" customWidth="1"/>
    <col min="23" max="23" width="15.453125" style="86" hidden="1" customWidth="1"/>
    <col min="24" max="24" width="11.54296875" style="86" hidden="1" customWidth="1"/>
    <col min="25" max="25" width="13.7265625" style="140" hidden="1" customWidth="1"/>
    <col min="26" max="26" width="12.1796875" style="88" hidden="1" customWidth="1"/>
    <col min="27" max="27" width="16.1796875" style="83" hidden="1" customWidth="1"/>
    <col min="28" max="28" width="6.7265625" style="86" hidden="1" customWidth="1"/>
    <col min="29" max="29" width="10.54296875" style="87" hidden="1" customWidth="1"/>
    <col min="30" max="30" width="39" style="89" hidden="1" customWidth="1"/>
    <col min="31" max="31" width="12.26953125" style="86" hidden="1" customWidth="1"/>
    <col min="32" max="33" width="11.7265625" style="86" hidden="1" customWidth="1"/>
    <col min="34" max="34" width="13.453125" style="86" hidden="1" customWidth="1"/>
    <col min="35" max="35" width="14.453125" style="86" hidden="1" customWidth="1"/>
    <col min="36" max="36" width="12.1796875" style="86" hidden="1" customWidth="1"/>
    <col min="37" max="37" width="6.7265625" style="86" hidden="1" customWidth="1"/>
    <col min="38" max="38" width="11.7265625" style="83" hidden="1" customWidth="1"/>
    <col min="39" max="16384" width="9.1796875" style="90"/>
  </cols>
  <sheetData>
    <row r="1" spans="1:38" s="137" customFormat="1" hidden="1" x14ac:dyDescent="0.35">
      <c r="A1" s="124"/>
      <c r="B1" s="125"/>
      <c r="C1" s="125"/>
      <c r="D1" s="125"/>
      <c r="E1" s="125"/>
      <c r="F1" s="126"/>
      <c r="G1" s="127" t="e">
        <f>VLOOKUP(AH1,rng_DadosCCorrente,2,FALSE)</f>
        <v>#REF!</v>
      </c>
      <c r="H1" s="128" t="e">
        <f>VLOOKUP(AE1,rng_DadosTitular,2,FALSE)</f>
        <v>#N/A</v>
      </c>
      <c r="I1" s="127" t="e">
        <f>VLOOKUP(AI1,rng_DadosCliFor,2,FALSE)</f>
        <v>#N/A</v>
      </c>
      <c r="J1" s="129" t="e">
        <f>VLOOKUP(AG1,rng_DadosPlanoContas,2,FALSE)</f>
        <v>#REF!</v>
      </c>
      <c r="K1" s="130" t="e">
        <f>VLOOKUP(AF1,rng_DadosCentroCustos,2,FALSE)</f>
        <v>#REF!</v>
      </c>
      <c r="L1" s="128" t="e">
        <f>VLOOKUP(AG1,rng_DadosPlanoContas,3,FALSE)</f>
        <v>#REF!</v>
      </c>
      <c r="M1" s="130"/>
      <c r="N1" s="131"/>
      <c r="O1" s="131"/>
      <c r="P1" s="132"/>
      <c r="Q1" s="133"/>
      <c r="R1" s="134"/>
      <c r="S1" s="133"/>
      <c r="T1" s="133"/>
      <c r="U1" s="133"/>
      <c r="V1" s="133"/>
      <c r="W1" s="133" t="str">
        <f>IFERROR(VLOOKUP(AJ1,rng_DadosInsumos,2,FALSE),"-")</f>
        <v>-</v>
      </c>
      <c r="X1" s="133" t="str">
        <f>IFERROR(VLOOKUP(AJ1,rng_DadosInsumos,3,FALSE),"-")</f>
        <v>-</v>
      </c>
      <c r="Y1" s="139"/>
      <c r="Z1" s="135"/>
      <c r="AA1" s="125"/>
      <c r="AB1" s="133"/>
      <c r="AC1" s="134"/>
      <c r="AD1" s="136" t="e">
        <f>VLOOKUP(AK1,rng_DadosGrupoContas,2,FALSE)</f>
        <v>#REF!</v>
      </c>
      <c r="AE1" s="133"/>
      <c r="AF1" s="133"/>
      <c r="AG1" s="133"/>
      <c r="AH1" s="133"/>
      <c r="AI1" s="133"/>
      <c r="AJ1" s="133"/>
      <c r="AK1" s="133"/>
      <c r="AL1" s="125"/>
    </row>
    <row r="2" spans="1:38" s="91" customFormat="1" ht="3.75" customHeight="1" x14ac:dyDescent="0.35">
      <c r="A2" s="86"/>
      <c r="B2" s="83"/>
      <c r="C2" s="83"/>
      <c r="D2" s="83"/>
      <c r="E2" s="83"/>
      <c r="F2" s="86"/>
      <c r="G2" s="86"/>
      <c r="H2" s="86"/>
      <c r="I2" s="86"/>
      <c r="J2" s="86"/>
      <c r="K2" s="86"/>
      <c r="M2" s="86"/>
      <c r="N2" s="86"/>
      <c r="O2" s="86"/>
      <c r="P2" s="23"/>
      <c r="Q2" s="86"/>
      <c r="R2" s="86"/>
      <c r="S2" s="86"/>
      <c r="T2" s="86"/>
      <c r="U2" s="86"/>
      <c r="V2" s="86"/>
      <c r="W2" s="86"/>
      <c r="X2" s="86"/>
      <c r="Y2" s="140"/>
      <c r="Z2" s="88"/>
      <c r="AA2" s="83"/>
      <c r="AB2" s="86"/>
      <c r="AC2" s="87"/>
      <c r="AD2" s="89"/>
      <c r="AE2" s="86"/>
      <c r="AF2" s="86"/>
      <c r="AG2" s="86"/>
      <c r="AH2" s="86"/>
      <c r="AI2" s="86"/>
      <c r="AJ2" s="86"/>
      <c r="AK2" s="86"/>
      <c r="AL2" s="83"/>
    </row>
    <row r="3" spans="1:38" s="7" customFormat="1" ht="42.75" customHeight="1" x14ac:dyDescent="0.35">
      <c r="A3" s="98" t="s">
        <v>80</v>
      </c>
      <c r="B3" s="99" t="s">
        <v>46</v>
      </c>
      <c r="C3" s="99" t="s">
        <v>74</v>
      </c>
      <c r="D3" s="99" t="s">
        <v>75</v>
      </c>
      <c r="E3" s="99" t="s">
        <v>16</v>
      </c>
      <c r="F3" s="100" t="s">
        <v>52</v>
      </c>
      <c r="G3" s="101" t="s">
        <v>7</v>
      </c>
      <c r="H3" s="101" t="s">
        <v>17</v>
      </c>
      <c r="I3" s="101" t="s">
        <v>40</v>
      </c>
      <c r="J3" s="101" t="s">
        <v>0</v>
      </c>
      <c r="K3" s="101" t="s">
        <v>18</v>
      </c>
      <c r="L3" s="101" t="s">
        <v>5</v>
      </c>
      <c r="M3" s="101" t="s">
        <v>51</v>
      </c>
      <c r="N3" s="101" t="s">
        <v>49</v>
      </c>
      <c r="O3" s="101" t="s">
        <v>3</v>
      </c>
      <c r="P3" s="101" t="s">
        <v>50</v>
      </c>
      <c r="Q3" s="101" t="s">
        <v>48</v>
      </c>
      <c r="R3" s="102" t="s">
        <v>19</v>
      </c>
      <c r="S3" s="101" t="s">
        <v>1</v>
      </c>
      <c r="T3" s="101" t="s">
        <v>20</v>
      </c>
      <c r="U3" s="101" t="s">
        <v>108</v>
      </c>
      <c r="V3" s="101" t="s">
        <v>21</v>
      </c>
      <c r="W3" s="101" t="s">
        <v>69</v>
      </c>
      <c r="X3" s="101" t="s">
        <v>70</v>
      </c>
      <c r="Y3" s="138" t="s">
        <v>73</v>
      </c>
      <c r="Z3" s="103" t="s">
        <v>76</v>
      </c>
      <c r="AA3" s="99" t="s">
        <v>53</v>
      </c>
      <c r="AB3" s="101" t="s">
        <v>26</v>
      </c>
      <c r="AC3" s="102" t="s">
        <v>78</v>
      </c>
      <c r="AD3" s="102" t="s">
        <v>96</v>
      </c>
      <c r="AE3" s="101" t="s">
        <v>22</v>
      </c>
      <c r="AF3" s="101" t="s">
        <v>23</v>
      </c>
      <c r="AG3" s="101" t="s">
        <v>24</v>
      </c>
      <c r="AH3" s="101" t="s">
        <v>25</v>
      </c>
      <c r="AI3" s="101" t="s">
        <v>72</v>
      </c>
      <c r="AJ3" s="101" t="s">
        <v>71</v>
      </c>
      <c r="AK3" s="101" t="s">
        <v>98</v>
      </c>
      <c r="AL3" s="99" t="s">
        <v>95</v>
      </c>
    </row>
    <row r="4" spans="1:38" x14ac:dyDescent="0.35">
      <c r="A4"/>
      <c r="B4"/>
      <c r="C4"/>
      <c r="D4"/>
      <c r="E4"/>
      <c r="F4"/>
      <c r="G4"/>
      <c r="H4"/>
      <c r="I4"/>
      <c r="J4"/>
      <c r="K4"/>
      <c r="L4"/>
      <c r="M4"/>
      <c r="N4"/>
      <c r="O4"/>
      <c r="P4"/>
      <c r="Q4"/>
      <c r="R4"/>
      <c r="S4"/>
      <c r="T4"/>
      <c r="U4"/>
      <c r="V4"/>
      <c r="W4"/>
      <c r="X4"/>
      <c r="Y4"/>
      <c r="Z4"/>
      <c r="AA4"/>
      <c r="AB4"/>
      <c r="AC4"/>
      <c r="AD4"/>
      <c r="AE4"/>
      <c r="AF4"/>
      <c r="AG4"/>
      <c r="AH4"/>
      <c r="AI4"/>
      <c r="AJ4"/>
      <c r="AK4"/>
      <c r="AL4"/>
    </row>
    <row r="5" spans="1:38" x14ac:dyDescent="0.35">
      <c r="A5"/>
      <c r="B5"/>
      <c r="C5"/>
      <c r="D5"/>
      <c r="E5"/>
      <c r="F5"/>
      <c r="G5"/>
      <c r="H5"/>
      <c r="I5"/>
      <c r="J5"/>
      <c r="K5"/>
      <c r="L5"/>
      <c r="M5"/>
      <c r="N5"/>
      <c r="O5"/>
      <c r="P5"/>
      <c r="Q5"/>
      <c r="R5"/>
      <c r="S5"/>
      <c r="T5"/>
      <c r="U5"/>
      <c r="V5"/>
      <c r="W5"/>
      <c r="X5"/>
      <c r="Y5"/>
      <c r="Z5"/>
      <c r="AA5"/>
      <c r="AB5"/>
      <c r="AC5"/>
      <c r="AD5"/>
      <c r="AE5"/>
      <c r="AF5"/>
      <c r="AG5"/>
      <c r="AH5"/>
      <c r="AI5"/>
      <c r="AJ5"/>
      <c r="AK5"/>
      <c r="AL5"/>
    </row>
    <row r="6" spans="1:38" x14ac:dyDescent="0.35">
      <c r="A6"/>
      <c r="B6"/>
      <c r="C6"/>
      <c r="D6"/>
      <c r="E6"/>
      <c r="F6"/>
      <c r="G6"/>
      <c r="H6"/>
      <c r="I6"/>
      <c r="J6"/>
      <c r="K6"/>
      <c r="L6"/>
      <c r="M6"/>
      <c r="N6"/>
      <c r="O6"/>
      <c r="P6"/>
      <c r="Q6"/>
      <c r="R6"/>
      <c r="S6"/>
      <c r="T6"/>
      <c r="U6"/>
      <c r="V6"/>
      <c r="W6"/>
      <c r="X6"/>
      <c r="Y6"/>
      <c r="Z6"/>
      <c r="AA6"/>
      <c r="AB6"/>
      <c r="AC6"/>
      <c r="AD6"/>
      <c r="AE6"/>
      <c r="AF6"/>
      <c r="AG6"/>
      <c r="AH6"/>
      <c r="AI6"/>
      <c r="AJ6"/>
      <c r="AK6"/>
      <c r="AL6"/>
    </row>
    <row r="7" spans="1:38" x14ac:dyDescent="0.35">
      <c r="A7"/>
      <c r="B7"/>
      <c r="C7"/>
      <c r="D7"/>
      <c r="E7"/>
      <c r="F7"/>
      <c r="G7"/>
      <c r="H7"/>
      <c r="I7"/>
      <c r="J7"/>
      <c r="K7"/>
      <c r="L7"/>
      <c r="M7"/>
      <c r="N7"/>
      <c r="O7"/>
      <c r="P7"/>
      <c r="Q7"/>
      <c r="R7"/>
      <c r="S7"/>
      <c r="T7"/>
      <c r="U7"/>
      <c r="V7"/>
      <c r="W7"/>
      <c r="X7"/>
      <c r="Y7"/>
      <c r="Z7"/>
      <c r="AA7"/>
      <c r="AB7"/>
      <c r="AC7"/>
      <c r="AD7"/>
      <c r="AE7"/>
      <c r="AF7"/>
      <c r="AG7"/>
      <c r="AH7"/>
      <c r="AI7"/>
      <c r="AJ7"/>
      <c r="AK7"/>
      <c r="AL7"/>
    </row>
    <row r="8" spans="1:38" x14ac:dyDescent="0.35">
      <c r="A8"/>
      <c r="B8"/>
      <c r="C8"/>
      <c r="D8"/>
      <c r="E8"/>
      <c r="F8"/>
      <c r="G8"/>
      <c r="H8"/>
      <c r="I8"/>
      <c r="J8"/>
      <c r="K8"/>
      <c r="L8"/>
      <c r="M8"/>
      <c r="N8"/>
      <c r="O8"/>
      <c r="P8"/>
      <c r="Q8"/>
      <c r="R8"/>
      <c r="S8"/>
      <c r="T8"/>
      <c r="U8"/>
      <c r="V8"/>
      <c r="W8"/>
      <c r="X8"/>
      <c r="Y8"/>
      <c r="Z8"/>
      <c r="AA8"/>
      <c r="AB8"/>
      <c r="AC8"/>
      <c r="AD8"/>
      <c r="AE8"/>
      <c r="AF8"/>
      <c r="AG8"/>
      <c r="AH8"/>
      <c r="AI8"/>
      <c r="AJ8"/>
      <c r="AK8"/>
      <c r="AL8"/>
    </row>
    <row r="9" spans="1:38" x14ac:dyDescent="0.35">
      <c r="A9"/>
      <c r="B9"/>
      <c r="C9"/>
      <c r="D9"/>
      <c r="E9"/>
      <c r="F9"/>
      <c r="G9"/>
      <c r="H9"/>
      <c r="I9"/>
      <c r="J9"/>
      <c r="K9"/>
      <c r="L9"/>
      <c r="M9"/>
      <c r="N9"/>
      <c r="O9"/>
      <c r="P9"/>
      <c r="Q9"/>
      <c r="R9"/>
      <c r="S9"/>
      <c r="T9"/>
      <c r="U9"/>
      <c r="V9"/>
      <c r="W9"/>
      <c r="X9"/>
      <c r="Y9"/>
      <c r="Z9"/>
      <c r="AA9"/>
      <c r="AB9"/>
      <c r="AC9"/>
      <c r="AD9"/>
      <c r="AE9"/>
      <c r="AF9"/>
      <c r="AG9"/>
      <c r="AH9"/>
      <c r="AI9"/>
      <c r="AJ9"/>
      <c r="AK9"/>
      <c r="AL9"/>
    </row>
    <row r="10" spans="1:38" x14ac:dyDescent="0.3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3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3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3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3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3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3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3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3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3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3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3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3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3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3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3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3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3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3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3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3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3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3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3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3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3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3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3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3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3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3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3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3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3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3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3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3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3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3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38" x14ac:dyDescent="0.3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1:38" x14ac:dyDescent="0.3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1:38" x14ac:dyDescent="0.3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1:38" x14ac:dyDescent="0.3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x14ac:dyDescent="0.3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x14ac:dyDescent="0.3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x14ac:dyDescent="0.3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x14ac:dyDescent="0.3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x14ac:dyDescent="0.3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x14ac:dyDescent="0.3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x14ac:dyDescent="0.3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x14ac:dyDescent="0.3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x14ac:dyDescent="0.3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x14ac:dyDescent="0.3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x14ac:dyDescent="0.3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x14ac:dyDescent="0.3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x14ac:dyDescent="0.3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x14ac:dyDescent="0.3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x14ac:dyDescent="0.3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x14ac:dyDescent="0.3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x14ac:dyDescent="0.3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x14ac:dyDescent="0.3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x14ac:dyDescent="0.3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x14ac:dyDescent="0.3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x14ac:dyDescent="0.3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x14ac:dyDescent="0.3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x14ac:dyDescent="0.3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x14ac:dyDescent="0.3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x14ac:dyDescent="0.3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x14ac:dyDescent="0.3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row>
  </sheetData>
  <sheetProtection algorithmName="SHA-512" hashValue="++Ure4pv1Wqp7hNXd1JzCEnpj19bCEVexZFW3cj0FplzxDUDHgCcxZQKKKsqGGtQ6/tL17OPWoZeFE3iXLhtMw==" saltValue="/2FIQ4PoKmgorBC3YONODQ==" spinCount="100000" sheet="1" objects="1" scenarios="1" formatCells="0" formatColumns="0" sort="0" autoFilter="0" pivotTables="0"/>
  <autoFilter ref="A3:AJ73" xr:uid="{134AFEB8-E099-488A-9BA1-5AF6C2F934D3}"/>
  <pageMargins left="0.19685039370078741" right="0.19685039370078741" top="0.78740157480314965" bottom="0.78740157480314965" header="0.31496062992125984" footer="0.31496062992125984"/>
  <pageSetup paperSize="9" scale="26" orientation="landscape"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6CD0F-BA0B-4B09-AD59-1DB06128AF51}">
  <sheetPr codeName="Sht_RelFluxoDeCaixaVertical">
    <tabColor theme="8" tint="-0.249977111117893"/>
    <pageSetUpPr fitToPage="1"/>
  </sheetPr>
  <dimension ref="A1:D136"/>
  <sheetViews>
    <sheetView showGridLines="0" workbookViewId="0">
      <pane ySplit="10" topLeftCell="A11" activePane="bottomLeft" state="frozen"/>
      <selection pane="bottomLeft" activeCell="D11" sqref="D11:D12"/>
    </sheetView>
  </sheetViews>
  <sheetFormatPr defaultRowHeight="14.5" x14ac:dyDescent="0.35"/>
  <cols>
    <col min="1" max="1" width="2.81640625" customWidth="1"/>
    <col min="2" max="2" width="23" bestFit="1" customWidth="1"/>
    <col min="3" max="3" width="17.453125" bestFit="1" customWidth="1"/>
    <col min="4" max="4" width="13.1796875" style="45" customWidth="1"/>
  </cols>
  <sheetData>
    <row r="1" spans="1:4" x14ac:dyDescent="0.35">
      <c r="A1" s="8">
        <f>COUNTIF([0]!rng_DadosLanctosTD,"A REALIZAR")</f>
        <v>0</v>
      </c>
    </row>
    <row r="2" spans="1:4" x14ac:dyDescent="0.35">
      <c r="D2" s="61" t="str">
        <f>IFERROR(IF(B2="Total Geral","",IF(B2="","",D1+C2)),$D$9+$C$11)</f>
        <v/>
      </c>
    </row>
    <row r="4" spans="1:4" hidden="1" x14ac:dyDescent="0.35"/>
    <row r="5" spans="1:4" x14ac:dyDescent="0.35">
      <c r="B5" s="2" t="s">
        <v>17</v>
      </c>
      <c r="C5" t="s">
        <v>10</v>
      </c>
    </row>
    <row r="6" spans="1:4" x14ac:dyDescent="0.35">
      <c r="B6" s="2" t="s">
        <v>18</v>
      </c>
      <c r="C6" t="s">
        <v>10</v>
      </c>
    </row>
    <row r="7" spans="1:4" x14ac:dyDescent="0.35">
      <c r="B7" s="2" t="s">
        <v>7</v>
      </c>
      <c r="C7" t="s">
        <v>10</v>
      </c>
    </row>
    <row r="8" spans="1:4" hidden="1" x14ac:dyDescent="0.35">
      <c r="B8" s="2" t="s">
        <v>108</v>
      </c>
      <c r="C8" t="s">
        <v>127</v>
      </c>
    </row>
    <row r="9" spans="1:4" ht="27" customHeight="1" x14ac:dyDescent="0.35">
      <c r="C9" s="62" t="s">
        <v>107</v>
      </c>
      <c r="D9" s="63">
        <f>'Apoio TDs'!C8</f>
        <v>10000</v>
      </c>
    </row>
    <row r="10" spans="1:4" s="50" customFormat="1" ht="19.5" customHeight="1" x14ac:dyDescent="0.35">
      <c r="B10" s="47" t="s">
        <v>3</v>
      </c>
      <c r="C10" s="48" t="s">
        <v>92</v>
      </c>
      <c r="D10" s="49">
        <f t="shared" ref="D10:D12" si="0">IFERROR(IF(B10="Total Geral","",IF(B10="","",D9+C10)),$D$9+$C$11)</f>
        <v>20000</v>
      </c>
    </row>
    <row r="11" spans="1:4" x14ac:dyDescent="0.35">
      <c r="B11" s="3">
        <v>2018</v>
      </c>
      <c r="C11" s="1">
        <v>10000</v>
      </c>
      <c r="D11" s="61">
        <f t="shared" si="0"/>
        <v>30000</v>
      </c>
    </row>
    <row r="12" spans="1:4" x14ac:dyDescent="0.35">
      <c r="B12" s="3">
        <v>2019</v>
      </c>
      <c r="C12" s="1">
        <v>50000</v>
      </c>
      <c r="D12" s="61">
        <f t="shared" si="0"/>
        <v>80000</v>
      </c>
    </row>
    <row r="13" spans="1:4" x14ac:dyDescent="0.35">
      <c r="B13" s="3" t="s">
        <v>2</v>
      </c>
      <c r="C13" s="1">
        <v>60000</v>
      </c>
      <c r="D13" s="61"/>
    </row>
    <row r="14" spans="1:4" x14ac:dyDescent="0.35">
      <c r="D14" s="61"/>
    </row>
    <row r="15" spans="1:4" x14ac:dyDescent="0.35">
      <c r="D15" s="61"/>
    </row>
    <row r="16" spans="1:4" x14ac:dyDescent="0.35">
      <c r="D16" s="61"/>
    </row>
    <row r="17" spans="4:4" x14ac:dyDescent="0.35">
      <c r="D17" s="61"/>
    </row>
    <row r="18" spans="4:4" x14ac:dyDescent="0.35">
      <c r="D18" s="61"/>
    </row>
    <row r="19" spans="4:4" x14ac:dyDescent="0.35">
      <c r="D19" s="61"/>
    </row>
    <row r="20" spans="4:4" x14ac:dyDescent="0.35">
      <c r="D20" s="61"/>
    </row>
    <row r="21" spans="4:4" x14ac:dyDescent="0.35">
      <c r="D21" s="61"/>
    </row>
    <row r="22" spans="4:4" x14ac:dyDescent="0.35">
      <c r="D22" s="61"/>
    </row>
    <row r="23" spans="4:4" x14ac:dyDescent="0.35">
      <c r="D23" s="61"/>
    </row>
    <row r="24" spans="4:4" x14ac:dyDescent="0.35">
      <c r="D24" s="61"/>
    </row>
    <row r="25" spans="4:4" x14ac:dyDescent="0.35">
      <c r="D25" s="61"/>
    </row>
    <row r="26" spans="4:4" x14ac:dyDescent="0.35">
      <c r="D26" s="61"/>
    </row>
    <row r="27" spans="4:4" x14ac:dyDescent="0.35">
      <c r="D27" s="61"/>
    </row>
    <row r="28" spans="4:4" x14ac:dyDescent="0.35">
      <c r="D28" s="61"/>
    </row>
    <row r="29" spans="4:4" x14ac:dyDescent="0.35">
      <c r="D29" s="61"/>
    </row>
    <row r="30" spans="4:4" x14ac:dyDescent="0.35">
      <c r="D30" s="61"/>
    </row>
    <row r="31" spans="4:4" x14ac:dyDescent="0.35">
      <c r="D31" s="61"/>
    </row>
    <row r="32" spans="4:4" x14ac:dyDescent="0.35">
      <c r="D32" s="61"/>
    </row>
    <row r="33" spans="4:4" x14ac:dyDescent="0.35">
      <c r="D33" s="61"/>
    </row>
    <row r="34" spans="4:4" x14ac:dyDescent="0.35">
      <c r="D34" s="61"/>
    </row>
    <row r="35" spans="4:4" x14ac:dyDescent="0.35">
      <c r="D35" s="61"/>
    </row>
    <row r="36" spans="4:4" x14ac:dyDescent="0.35">
      <c r="D36" s="61"/>
    </row>
    <row r="37" spans="4:4" x14ac:dyDescent="0.35">
      <c r="D37" s="61"/>
    </row>
    <row r="38" spans="4:4" x14ac:dyDescent="0.35">
      <c r="D38" s="61"/>
    </row>
    <row r="39" spans="4:4" x14ac:dyDescent="0.35">
      <c r="D39" s="61"/>
    </row>
    <row r="40" spans="4:4" x14ac:dyDescent="0.35">
      <c r="D40" s="61"/>
    </row>
    <row r="41" spans="4:4" x14ac:dyDescent="0.35">
      <c r="D41" s="61"/>
    </row>
    <row r="42" spans="4:4" x14ac:dyDescent="0.35">
      <c r="D42" s="61"/>
    </row>
    <row r="43" spans="4:4" x14ac:dyDescent="0.35">
      <c r="D43" s="61"/>
    </row>
    <row r="44" spans="4:4" x14ac:dyDescent="0.35">
      <c r="D44" s="61"/>
    </row>
    <row r="45" spans="4:4" x14ac:dyDescent="0.35">
      <c r="D45" s="61"/>
    </row>
    <row r="46" spans="4:4" x14ac:dyDescent="0.35">
      <c r="D46" s="61"/>
    </row>
    <row r="47" spans="4:4" x14ac:dyDescent="0.35">
      <c r="D47" s="61"/>
    </row>
    <row r="48" spans="4:4" x14ac:dyDescent="0.35">
      <c r="D48" s="61"/>
    </row>
    <row r="49" spans="4:4" x14ac:dyDescent="0.35">
      <c r="D49" s="61"/>
    </row>
    <row r="50" spans="4:4" x14ac:dyDescent="0.35">
      <c r="D50" s="61"/>
    </row>
    <row r="51" spans="4:4" x14ac:dyDescent="0.35">
      <c r="D51" s="61"/>
    </row>
    <row r="52" spans="4:4" x14ac:dyDescent="0.35">
      <c r="D52" s="61"/>
    </row>
    <row r="53" spans="4:4" x14ac:dyDescent="0.35">
      <c r="D53" s="61"/>
    </row>
    <row r="54" spans="4:4" x14ac:dyDescent="0.35">
      <c r="D54" s="61"/>
    </row>
    <row r="55" spans="4:4" x14ac:dyDescent="0.35">
      <c r="D55" s="61"/>
    </row>
    <row r="56" spans="4:4" x14ac:dyDescent="0.35">
      <c r="D56" s="61"/>
    </row>
    <row r="57" spans="4:4" x14ac:dyDescent="0.35">
      <c r="D57" s="61"/>
    </row>
    <row r="58" spans="4:4" x14ac:dyDescent="0.35">
      <c r="D58" s="61"/>
    </row>
    <row r="59" spans="4:4" x14ac:dyDescent="0.35">
      <c r="D59" s="61"/>
    </row>
    <row r="60" spans="4:4" x14ac:dyDescent="0.35">
      <c r="D60" s="61"/>
    </row>
    <row r="61" spans="4:4" x14ac:dyDescent="0.35">
      <c r="D61" s="61"/>
    </row>
    <row r="62" spans="4:4" x14ac:dyDescent="0.35">
      <c r="D62" s="61"/>
    </row>
    <row r="63" spans="4:4" x14ac:dyDescent="0.35">
      <c r="D63" s="61"/>
    </row>
    <row r="64" spans="4:4" x14ac:dyDescent="0.35">
      <c r="D64" s="61"/>
    </row>
    <row r="65" spans="4:4" x14ac:dyDescent="0.35">
      <c r="D65" s="61"/>
    </row>
    <row r="66" spans="4:4" x14ac:dyDescent="0.35">
      <c r="D66" s="61"/>
    </row>
    <row r="67" spans="4:4" x14ac:dyDescent="0.35">
      <c r="D67" s="61"/>
    </row>
    <row r="68" spans="4:4" x14ac:dyDescent="0.35">
      <c r="D68" s="61"/>
    </row>
    <row r="69" spans="4:4" x14ac:dyDescent="0.35">
      <c r="D69" s="61"/>
    </row>
    <row r="70" spans="4:4" x14ac:dyDescent="0.35">
      <c r="D70" s="61"/>
    </row>
    <row r="71" spans="4:4" x14ac:dyDescent="0.35">
      <c r="D71" s="61"/>
    </row>
    <row r="72" spans="4:4" x14ac:dyDescent="0.35">
      <c r="D72" s="61"/>
    </row>
    <row r="73" spans="4:4" x14ac:dyDescent="0.35">
      <c r="D73" s="61"/>
    </row>
    <row r="74" spans="4:4" x14ac:dyDescent="0.35">
      <c r="D74" s="61"/>
    </row>
    <row r="75" spans="4:4" x14ac:dyDescent="0.35">
      <c r="D75" s="61"/>
    </row>
    <row r="76" spans="4:4" x14ac:dyDescent="0.35">
      <c r="D76" s="61"/>
    </row>
    <row r="77" spans="4:4" x14ac:dyDescent="0.35">
      <c r="D77" s="61"/>
    </row>
    <row r="78" spans="4:4" x14ac:dyDescent="0.35">
      <c r="D78" s="61"/>
    </row>
    <row r="79" spans="4:4" x14ac:dyDescent="0.35">
      <c r="D79" s="61"/>
    </row>
    <row r="80" spans="4:4" x14ac:dyDescent="0.35">
      <c r="D80" s="61"/>
    </row>
    <row r="81" spans="4:4" x14ac:dyDescent="0.35">
      <c r="D81" s="61"/>
    </row>
    <row r="82" spans="4:4" x14ac:dyDescent="0.35">
      <c r="D82" s="61"/>
    </row>
    <row r="83" spans="4:4" x14ac:dyDescent="0.35">
      <c r="D83" s="61"/>
    </row>
    <row r="84" spans="4:4" x14ac:dyDescent="0.35">
      <c r="D84" s="61"/>
    </row>
    <row r="85" spans="4:4" x14ac:dyDescent="0.35">
      <c r="D85" s="61"/>
    </row>
    <row r="86" spans="4:4" x14ac:dyDescent="0.35">
      <c r="D86" s="61"/>
    </row>
    <row r="87" spans="4:4" x14ac:dyDescent="0.35">
      <c r="D87" s="61"/>
    </row>
    <row r="88" spans="4:4" x14ac:dyDescent="0.35">
      <c r="D88" s="61"/>
    </row>
    <row r="89" spans="4:4" x14ac:dyDescent="0.35">
      <c r="D89" s="61"/>
    </row>
    <row r="90" spans="4:4" x14ac:dyDescent="0.35">
      <c r="D90" s="61"/>
    </row>
    <row r="91" spans="4:4" x14ac:dyDescent="0.35">
      <c r="D91" s="61"/>
    </row>
    <row r="92" spans="4:4" x14ac:dyDescent="0.35">
      <c r="D92" s="61"/>
    </row>
    <row r="93" spans="4:4" x14ac:dyDescent="0.35">
      <c r="D93" s="61"/>
    </row>
    <row r="94" spans="4:4" x14ac:dyDescent="0.35">
      <c r="D94" s="61"/>
    </row>
    <row r="95" spans="4:4" x14ac:dyDescent="0.35">
      <c r="D95" s="61"/>
    </row>
    <row r="96" spans="4:4" x14ac:dyDescent="0.35">
      <c r="D96" s="61"/>
    </row>
    <row r="97" spans="4:4" x14ac:dyDescent="0.35">
      <c r="D97" s="61"/>
    </row>
    <row r="98" spans="4:4" x14ac:dyDescent="0.35">
      <c r="D98" s="61"/>
    </row>
    <row r="99" spans="4:4" x14ac:dyDescent="0.35">
      <c r="D99" s="61"/>
    </row>
    <row r="100" spans="4:4" x14ac:dyDescent="0.35">
      <c r="D100" s="61"/>
    </row>
    <row r="101" spans="4:4" x14ac:dyDescent="0.35">
      <c r="D101" s="61"/>
    </row>
    <row r="102" spans="4:4" x14ac:dyDescent="0.35">
      <c r="D102" s="61"/>
    </row>
    <row r="103" spans="4:4" x14ac:dyDescent="0.35">
      <c r="D103" s="61"/>
    </row>
    <row r="104" spans="4:4" x14ac:dyDescent="0.35">
      <c r="D104" s="61"/>
    </row>
    <row r="105" spans="4:4" x14ac:dyDescent="0.35">
      <c r="D105" s="61"/>
    </row>
    <row r="106" spans="4:4" x14ac:dyDescent="0.35">
      <c r="D106" s="61"/>
    </row>
    <row r="107" spans="4:4" x14ac:dyDescent="0.35">
      <c r="D107" s="61"/>
    </row>
    <row r="108" spans="4:4" x14ac:dyDescent="0.35">
      <c r="D108" s="61"/>
    </row>
    <row r="109" spans="4:4" x14ac:dyDescent="0.35">
      <c r="D109" s="61"/>
    </row>
    <row r="110" spans="4:4" x14ac:dyDescent="0.35">
      <c r="D110" s="61"/>
    </row>
    <row r="111" spans="4:4" x14ac:dyDescent="0.35">
      <c r="D111" s="61"/>
    </row>
    <row r="112" spans="4:4" x14ac:dyDescent="0.35">
      <c r="D112" s="61"/>
    </row>
    <row r="113" spans="4:4" x14ac:dyDescent="0.35">
      <c r="D113" s="61"/>
    </row>
    <row r="114" spans="4:4" x14ac:dyDescent="0.35">
      <c r="D114" s="61"/>
    </row>
    <row r="115" spans="4:4" x14ac:dyDescent="0.35">
      <c r="D115" s="61"/>
    </row>
    <row r="116" spans="4:4" x14ac:dyDescent="0.35">
      <c r="D116" s="61"/>
    </row>
    <row r="117" spans="4:4" x14ac:dyDescent="0.35">
      <c r="D117" s="61"/>
    </row>
    <row r="118" spans="4:4" x14ac:dyDescent="0.35">
      <c r="D118" s="61"/>
    </row>
    <row r="119" spans="4:4" x14ac:dyDescent="0.35">
      <c r="D119" s="61"/>
    </row>
    <row r="120" spans="4:4" x14ac:dyDescent="0.35">
      <c r="D120" s="61"/>
    </row>
    <row r="121" spans="4:4" x14ac:dyDescent="0.35">
      <c r="D121" s="61"/>
    </row>
    <row r="122" spans="4:4" x14ac:dyDescent="0.35">
      <c r="D122" s="61"/>
    </row>
    <row r="123" spans="4:4" x14ac:dyDescent="0.35">
      <c r="D123" s="61"/>
    </row>
    <row r="124" spans="4:4" x14ac:dyDescent="0.35">
      <c r="D124" s="61"/>
    </row>
    <row r="125" spans="4:4" x14ac:dyDescent="0.35">
      <c r="D125" s="61"/>
    </row>
    <row r="126" spans="4:4" x14ac:dyDescent="0.35">
      <c r="D126" s="61"/>
    </row>
    <row r="127" spans="4:4" x14ac:dyDescent="0.35">
      <c r="D127" s="61"/>
    </row>
    <row r="128" spans="4:4" x14ac:dyDescent="0.35">
      <c r="D128" s="61"/>
    </row>
    <row r="129" spans="4:4" x14ac:dyDescent="0.35">
      <c r="D129" s="61"/>
    </row>
    <row r="130" spans="4:4" x14ac:dyDescent="0.35">
      <c r="D130" s="61"/>
    </row>
    <row r="131" spans="4:4" x14ac:dyDescent="0.35">
      <c r="D131" s="61"/>
    </row>
    <row r="132" spans="4:4" x14ac:dyDescent="0.35">
      <c r="D132" s="61"/>
    </row>
    <row r="133" spans="4:4" x14ac:dyDescent="0.35">
      <c r="D133" s="61"/>
    </row>
    <row r="134" spans="4:4" x14ac:dyDescent="0.35">
      <c r="D134" s="61"/>
    </row>
    <row r="135" spans="4:4" x14ac:dyDescent="0.35">
      <c r="D135" s="61"/>
    </row>
    <row r="136" spans="4:4" x14ac:dyDescent="0.35">
      <c r="D136" s="61"/>
    </row>
  </sheetData>
  <sheetProtection algorithmName="SHA-512" hashValue="+ld6RHrPRAE1J3OAbzKFe/2md+m++zEAn+LP8VOxpTSdpE3G/5e8uxy7M7/122wum6y6L30ADhysEPQoSd46VQ==" saltValue="uOsgAo3UJNGM9tku97zYeQ==" spinCount="100000" sheet="1" objects="1" scenarios="1" formatCells="0" formatColumns="0" sort="0" autoFilter="0" pivotTables="0"/>
  <pageMargins left="0.51181102362204722" right="0.51181102362204722" top="0.78740157480314965" bottom="0.78740157480314965" header="0.31496062992125984" footer="0.31496062992125984"/>
  <pageSetup paperSize="9" orientation="landscape" r:id="rId2"/>
  <headerFooter>
    <oddFooter>&amp;L&amp;8&amp;Z&amp;F&amp;R&amp;D / &amp;T</oddFooter>
  </headerFooter>
  <drawing r:id="rId3"/>
  <legacyDrawing r:id="rId4"/>
  <controls>
    <mc:AlternateContent xmlns:mc="http://schemas.openxmlformats.org/markup-compatibility/2006">
      <mc:Choice Requires="x14">
        <control shapeId="10242" r:id="rId5" name="ScrollBar1">
          <controlPr defaultSize="0" autoLine="0" r:id="rId6">
            <anchor moveWithCells="1">
              <from>
                <xdr:col>1</xdr:col>
                <xdr:colOff>31750</xdr:colOff>
                <xdr:row>9</xdr:row>
                <xdr:rowOff>50800</xdr:rowOff>
              </from>
              <to>
                <xdr:col>1</xdr:col>
                <xdr:colOff>762000</xdr:colOff>
                <xdr:row>9</xdr:row>
                <xdr:rowOff>215900</xdr:rowOff>
              </to>
            </anchor>
          </controlPr>
        </control>
      </mc:Choice>
      <mc:Fallback>
        <control shapeId="10242" r:id="rId5" name="ScrollBar1"/>
      </mc:Fallback>
    </mc:AlternateContent>
  </controls>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_RelPorTitular">
    <tabColor theme="4" tint="0.39997558519241921"/>
  </sheetPr>
  <dimension ref="B1:Q41"/>
  <sheetViews>
    <sheetView showGridLines="0" zoomScaleNormal="100" workbookViewId="0">
      <selection activeCell="C6" sqref="C6"/>
    </sheetView>
  </sheetViews>
  <sheetFormatPr defaultColWidth="9.1796875" defaultRowHeight="14.5" x14ac:dyDescent="0.35"/>
  <cols>
    <col min="1" max="1" width="1.7265625" style="26" customWidth="1"/>
    <col min="2" max="2" width="20.54296875" style="26" bestFit="1" customWidth="1"/>
    <col min="3" max="3" width="11.81640625" style="26" bestFit="1" customWidth="1"/>
    <col min="4" max="12" width="10.26953125" style="26" bestFit="1" customWidth="1"/>
    <col min="13" max="13" width="11.26953125" style="26" bestFit="1" customWidth="1"/>
    <col min="14" max="15" width="10.26953125" style="26" bestFit="1" customWidth="1"/>
    <col min="16" max="16" width="11.26953125" style="26" bestFit="1" customWidth="1"/>
    <col min="17" max="17" width="10.54296875" style="26" bestFit="1" customWidth="1"/>
    <col min="18" max="16384" width="9.1796875" style="26"/>
  </cols>
  <sheetData>
    <row r="1" spans="2:17" ht="3" customHeight="1" x14ac:dyDescent="0.35"/>
    <row r="2" spans="2:17" ht="17.25" customHeight="1" x14ac:dyDescent="0.35"/>
    <row r="3" spans="2:17" ht="17.25" customHeight="1" x14ac:dyDescent="0.35"/>
    <row r="4" spans="2:17" ht="17.25" hidden="1" customHeight="1" x14ac:dyDescent="0.35"/>
    <row r="5" spans="2:17" x14ac:dyDescent="0.35">
      <c r="B5" s="27" t="s">
        <v>130</v>
      </c>
      <c r="C5" s="26" t="s">
        <v>10</v>
      </c>
    </row>
    <row r="6" spans="2:17" x14ac:dyDescent="0.35">
      <c r="B6" s="141" t="s">
        <v>138</v>
      </c>
      <c r="C6" s="32">
        <v>2019</v>
      </c>
    </row>
    <row r="8" spans="2:17" x14ac:dyDescent="0.35">
      <c r="B8" s="16" t="s">
        <v>63</v>
      </c>
      <c r="C8" s="24" t="s">
        <v>43</v>
      </c>
      <c r="N8"/>
      <c r="O8"/>
      <c r="P8"/>
      <c r="Q8"/>
    </row>
    <row r="9" spans="2:17" x14ac:dyDescent="0.35">
      <c r="B9" s="24" t="s">
        <v>3</v>
      </c>
      <c r="C9" s="28">
        <v>43496</v>
      </c>
      <c r="D9" s="28">
        <v>43524</v>
      </c>
      <c r="E9" s="28">
        <v>43555</v>
      </c>
      <c r="F9" s="28">
        <v>43585</v>
      </c>
      <c r="G9" s="28">
        <v>43616</v>
      </c>
      <c r="H9" s="28">
        <v>43646</v>
      </c>
      <c r="I9" s="28">
        <v>43677</v>
      </c>
      <c r="J9" s="28">
        <v>43708</v>
      </c>
      <c r="K9" s="28">
        <v>43738</v>
      </c>
      <c r="L9" s="28">
        <v>43769</v>
      </c>
      <c r="M9" s="46" t="s">
        <v>2</v>
      </c>
      <c r="N9"/>
      <c r="O9"/>
      <c r="P9"/>
      <c r="Q9"/>
    </row>
    <row r="10" spans="2:17" x14ac:dyDescent="0.35">
      <c r="B10" s="32" t="s">
        <v>142</v>
      </c>
      <c r="C10" s="30">
        <v>20000</v>
      </c>
      <c r="D10" s="30">
        <v>20000</v>
      </c>
      <c r="E10" s="30">
        <v>20000</v>
      </c>
      <c r="F10" s="30">
        <v>20000</v>
      </c>
      <c r="G10" s="30">
        <v>20000</v>
      </c>
      <c r="H10" s="30">
        <v>20000</v>
      </c>
      <c r="I10" s="30">
        <v>20000</v>
      </c>
      <c r="J10" s="30">
        <v>20000</v>
      </c>
      <c r="K10" s="30">
        <v>20000</v>
      </c>
      <c r="L10" s="30">
        <v>20000</v>
      </c>
      <c r="M10" s="30">
        <v>200000</v>
      </c>
      <c r="N10"/>
      <c r="O10"/>
      <c r="P10"/>
      <c r="Q10"/>
    </row>
    <row r="11" spans="2:17" x14ac:dyDescent="0.35">
      <c r="B11" s="33" t="s">
        <v>175</v>
      </c>
      <c r="C11" s="30">
        <v>20000</v>
      </c>
      <c r="D11" s="30">
        <v>20000</v>
      </c>
      <c r="E11" s="30">
        <v>20000</v>
      </c>
      <c r="F11" s="30">
        <v>20000</v>
      </c>
      <c r="G11" s="30">
        <v>20000</v>
      </c>
      <c r="H11" s="30">
        <v>20000</v>
      </c>
      <c r="I11" s="30">
        <v>20000</v>
      </c>
      <c r="J11" s="30">
        <v>20000</v>
      </c>
      <c r="K11" s="30">
        <v>20000</v>
      </c>
      <c r="L11" s="30">
        <v>20000</v>
      </c>
      <c r="M11" s="30">
        <v>200000</v>
      </c>
      <c r="N11"/>
      <c r="O11"/>
      <c r="P11"/>
      <c r="Q11"/>
    </row>
    <row r="12" spans="2:17" x14ac:dyDescent="0.35">
      <c r="B12" s="34" t="s">
        <v>178</v>
      </c>
      <c r="C12" s="30">
        <v>20000</v>
      </c>
      <c r="D12" s="30">
        <v>20000</v>
      </c>
      <c r="E12" s="30">
        <v>20000</v>
      </c>
      <c r="F12" s="30">
        <v>20000</v>
      </c>
      <c r="G12" s="30">
        <v>20000</v>
      </c>
      <c r="H12" s="30">
        <v>20000</v>
      </c>
      <c r="I12" s="30">
        <v>20000</v>
      </c>
      <c r="J12" s="30">
        <v>20000</v>
      </c>
      <c r="K12" s="30">
        <v>20000</v>
      </c>
      <c r="L12" s="30">
        <v>20000</v>
      </c>
      <c r="M12" s="30">
        <v>200000</v>
      </c>
      <c r="N12"/>
      <c r="O12"/>
      <c r="P12"/>
      <c r="Q12"/>
    </row>
    <row r="13" spans="2:17" x14ac:dyDescent="0.35">
      <c r="B13" s="32" t="s">
        <v>155</v>
      </c>
      <c r="C13" s="30">
        <v>-15000</v>
      </c>
      <c r="D13" s="30">
        <v>-15000</v>
      </c>
      <c r="E13" s="30">
        <v>-15000</v>
      </c>
      <c r="F13" s="30">
        <v>-15000</v>
      </c>
      <c r="G13" s="30">
        <v>-15000</v>
      </c>
      <c r="H13" s="30">
        <v>-15000</v>
      </c>
      <c r="I13" s="30">
        <v>-15000</v>
      </c>
      <c r="J13" s="30">
        <v>-15000</v>
      </c>
      <c r="K13" s="30">
        <v>-15000</v>
      </c>
      <c r="L13" s="30">
        <v>-15000</v>
      </c>
      <c r="M13" s="30">
        <v>-150000</v>
      </c>
      <c r="N13"/>
      <c r="O13"/>
      <c r="P13"/>
      <c r="Q13"/>
    </row>
    <row r="14" spans="2:17" x14ac:dyDescent="0.35">
      <c r="B14" s="33" t="s">
        <v>175</v>
      </c>
      <c r="C14" s="30">
        <v>-15000</v>
      </c>
      <c r="D14" s="30">
        <v>-15000</v>
      </c>
      <c r="E14" s="30">
        <v>-15000</v>
      </c>
      <c r="F14" s="30">
        <v>-15000</v>
      </c>
      <c r="G14" s="30">
        <v>-15000</v>
      </c>
      <c r="H14" s="30">
        <v>-15000</v>
      </c>
      <c r="I14" s="30">
        <v>-15000</v>
      </c>
      <c r="J14" s="30">
        <v>-15000</v>
      </c>
      <c r="K14" s="30">
        <v>-15000</v>
      </c>
      <c r="L14" s="30">
        <v>-15000</v>
      </c>
      <c r="M14" s="30">
        <v>-150000</v>
      </c>
      <c r="N14"/>
      <c r="O14"/>
      <c r="P14"/>
      <c r="Q14"/>
    </row>
    <row r="15" spans="2:17" x14ac:dyDescent="0.35">
      <c r="B15" s="34" t="s">
        <v>173</v>
      </c>
      <c r="C15" s="30">
        <v>-15000</v>
      </c>
      <c r="D15" s="30">
        <v>-15000</v>
      </c>
      <c r="E15" s="30">
        <v>-15000</v>
      </c>
      <c r="F15" s="30">
        <v>-15000</v>
      </c>
      <c r="G15" s="30">
        <v>-15000</v>
      </c>
      <c r="H15" s="30">
        <v>-15000</v>
      </c>
      <c r="I15" s="30">
        <v>-15000</v>
      </c>
      <c r="J15" s="30">
        <v>-15000</v>
      </c>
      <c r="K15" s="30">
        <v>-15000</v>
      </c>
      <c r="L15" s="30">
        <v>-15000</v>
      </c>
      <c r="M15" s="30">
        <v>-150000</v>
      </c>
      <c r="N15"/>
      <c r="O15"/>
      <c r="P15"/>
      <c r="Q15"/>
    </row>
    <row r="16" spans="2:17" x14ac:dyDescent="0.35">
      <c r="B16" s="32" t="s">
        <v>2</v>
      </c>
      <c r="C16" s="30">
        <v>5000</v>
      </c>
      <c r="D16" s="30">
        <v>5000</v>
      </c>
      <c r="E16" s="30">
        <v>5000</v>
      </c>
      <c r="F16" s="30">
        <v>5000</v>
      </c>
      <c r="G16" s="30">
        <v>5000</v>
      </c>
      <c r="H16" s="30">
        <v>5000</v>
      </c>
      <c r="I16" s="30">
        <v>5000</v>
      </c>
      <c r="J16" s="30">
        <v>5000</v>
      </c>
      <c r="K16" s="30">
        <v>5000</v>
      </c>
      <c r="L16" s="30">
        <v>5000</v>
      </c>
      <c r="M16" s="30">
        <v>50000</v>
      </c>
      <c r="N16"/>
      <c r="O16"/>
      <c r="P16"/>
      <c r="Q16"/>
    </row>
    <row r="17" spans="2:17" x14ac:dyDescent="0.35">
      <c r="B17"/>
      <c r="C17"/>
      <c r="D17"/>
      <c r="E17"/>
      <c r="F17"/>
      <c r="G17"/>
      <c r="H17"/>
      <c r="I17"/>
      <c r="J17"/>
      <c r="K17"/>
      <c r="L17"/>
      <c r="M17"/>
      <c r="N17"/>
      <c r="O17"/>
      <c r="P17"/>
      <c r="Q17"/>
    </row>
    <row r="18" spans="2:17" x14ac:dyDescent="0.35">
      <c r="B18"/>
      <c r="C18"/>
      <c r="D18"/>
      <c r="E18"/>
      <c r="F18"/>
      <c r="G18"/>
      <c r="H18"/>
      <c r="I18"/>
      <c r="J18"/>
      <c r="K18"/>
      <c r="L18"/>
      <c r="M18"/>
      <c r="N18"/>
      <c r="O18"/>
      <c r="P18"/>
      <c r="Q18"/>
    </row>
    <row r="19" spans="2:17" x14ac:dyDescent="0.35">
      <c r="B19"/>
      <c r="C19"/>
      <c r="D19"/>
      <c r="E19"/>
      <c r="F19"/>
      <c r="G19"/>
      <c r="H19"/>
      <c r="I19"/>
      <c r="J19"/>
      <c r="K19"/>
      <c r="L19"/>
      <c r="M19"/>
      <c r="N19"/>
      <c r="O19"/>
      <c r="P19"/>
      <c r="Q19"/>
    </row>
    <row r="20" spans="2:17" x14ac:dyDescent="0.35">
      <c r="B20"/>
      <c r="C20"/>
      <c r="D20"/>
      <c r="E20"/>
      <c r="F20"/>
      <c r="G20"/>
      <c r="H20"/>
      <c r="I20"/>
      <c r="J20"/>
      <c r="K20"/>
      <c r="L20"/>
      <c r="M20"/>
      <c r="N20"/>
      <c r="O20"/>
      <c r="P20"/>
      <c r="Q20"/>
    </row>
    <row r="21" spans="2:17" x14ac:dyDescent="0.35">
      <c r="B21"/>
      <c r="C21"/>
      <c r="D21"/>
      <c r="E21"/>
      <c r="F21"/>
      <c r="G21"/>
      <c r="H21"/>
      <c r="I21"/>
      <c r="J21"/>
      <c r="K21"/>
      <c r="L21"/>
      <c r="M21"/>
      <c r="N21"/>
      <c r="O21"/>
      <c r="P21"/>
      <c r="Q21"/>
    </row>
    <row r="22" spans="2:17" x14ac:dyDescent="0.35">
      <c r="B22"/>
      <c r="C22"/>
      <c r="D22"/>
      <c r="E22"/>
      <c r="F22"/>
      <c r="G22"/>
      <c r="H22"/>
      <c r="I22"/>
      <c r="J22"/>
      <c r="K22"/>
      <c r="L22"/>
      <c r="M22"/>
      <c r="N22"/>
      <c r="O22"/>
      <c r="P22"/>
      <c r="Q22"/>
    </row>
    <row r="23" spans="2:17" x14ac:dyDescent="0.35">
      <c r="B23"/>
      <c r="C23"/>
      <c r="D23"/>
      <c r="E23"/>
      <c r="F23"/>
      <c r="G23"/>
      <c r="H23"/>
      <c r="I23"/>
      <c r="J23"/>
      <c r="K23"/>
      <c r="L23"/>
      <c r="M23"/>
      <c r="N23"/>
      <c r="O23"/>
      <c r="P23"/>
      <c r="Q23"/>
    </row>
    <row r="24" spans="2:17" x14ac:dyDescent="0.35">
      <c r="B24"/>
      <c r="C24"/>
      <c r="D24"/>
      <c r="E24"/>
      <c r="F24"/>
      <c r="G24"/>
      <c r="H24"/>
      <c r="I24"/>
      <c r="J24"/>
      <c r="K24"/>
      <c r="L24"/>
      <c r="M24"/>
      <c r="N24"/>
      <c r="O24"/>
      <c r="P24"/>
      <c r="Q24"/>
    </row>
    <row r="25" spans="2:17" x14ac:dyDescent="0.35">
      <c r="B25"/>
      <c r="C25"/>
      <c r="D25"/>
      <c r="E25"/>
      <c r="F25"/>
      <c r="G25"/>
      <c r="H25"/>
      <c r="I25"/>
      <c r="J25"/>
      <c r="K25"/>
      <c r="L25"/>
      <c r="M25"/>
      <c r="N25"/>
      <c r="O25"/>
      <c r="P25"/>
      <c r="Q25"/>
    </row>
    <row r="26" spans="2:17" x14ac:dyDescent="0.35">
      <c r="B26"/>
      <c r="C26"/>
      <c r="D26"/>
      <c r="E26"/>
      <c r="F26"/>
      <c r="G26"/>
      <c r="H26"/>
      <c r="I26"/>
      <c r="J26"/>
      <c r="K26"/>
      <c r="L26"/>
      <c r="M26"/>
      <c r="N26"/>
      <c r="O26"/>
      <c r="P26"/>
      <c r="Q26"/>
    </row>
    <row r="27" spans="2:17" x14ac:dyDescent="0.35">
      <c r="B27"/>
      <c r="C27"/>
      <c r="D27"/>
      <c r="E27"/>
      <c r="F27"/>
      <c r="G27"/>
      <c r="H27"/>
      <c r="I27"/>
      <c r="J27"/>
      <c r="K27"/>
      <c r="L27"/>
      <c r="M27"/>
      <c r="N27"/>
      <c r="O27"/>
      <c r="P27"/>
      <c r="Q27"/>
    </row>
    <row r="28" spans="2:17" x14ac:dyDescent="0.35">
      <c r="B28"/>
      <c r="C28"/>
      <c r="D28"/>
      <c r="E28"/>
      <c r="F28"/>
      <c r="G28"/>
      <c r="H28"/>
      <c r="I28"/>
      <c r="J28"/>
      <c r="K28"/>
      <c r="L28"/>
      <c r="M28"/>
      <c r="N28"/>
      <c r="O28"/>
      <c r="P28"/>
      <c r="Q28"/>
    </row>
    <row r="29" spans="2:17" x14ac:dyDescent="0.35">
      <c r="B29"/>
      <c r="C29"/>
      <c r="D29"/>
      <c r="E29"/>
      <c r="F29"/>
      <c r="G29"/>
      <c r="H29"/>
      <c r="I29"/>
      <c r="J29"/>
      <c r="K29"/>
      <c r="L29"/>
      <c r="M29"/>
      <c r="N29"/>
      <c r="O29"/>
      <c r="P29"/>
      <c r="Q29"/>
    </row>
    <row r="30" spans="2:17" x14ac:dyDescent="0.35">
      <c r="B30"/>
      <c r="C30"/>
      <c r="D30"/>
      <c r="E30"/>
      <c r="F30"/>
      <c r="G30"/>
      <c r="H30"/>
      <c r="I30"/>
      <c r="J30"/>
      <c r="K30"/>
      <c r="L30"/>
      <c r="M30"/>
      <c r="N30"/>
      <c r="O30"/>
      <c r="P30"/>
      <c r="Q30"/>
    </row>
    <row r="31" spans="2:17" x14ac:dyDescent="0.35">
      <c r="B31"/>
      <c r="C31"/>
      <c r="D31"/>
      <c r="E31"/>
      <c r="F31"/>
      <c r="G31"/>
      <c r="H31"/>
      <c r="I31"/>
      <c r="J31"/>
      <c r="K31"/>
      <c r="L31"/>
      <c r="M31"/>
      <c r="N31"/>
      <c r="O31"/>
      <c r="P31"/>
      <c r="Q31"/>
    </row>
    <row r="32" spans="2:17" x14ac:dyDescent="0.35">
      <c r="B32"/>
      <c r="C32"/>
      <c r="D32"/>
      <c r="E32"/>
      <c r="F32"/>
      <c r="G32"/>
      <c r="H32"/>
      <c r="I32"/>
      <c r="J32"/>
      <c r="K32"/>
      <c r="L32"/>
      <c r="M32"/>
      <c r="N32"/>
      <c r="O32"/>
    </row>
    <row r="33" spans="2:15" x14ac:dyDescent="0.35">
      <c r="B33"/>
      <c r="C33"/>
      <c r="D33"/>
      <c r="E33"/>
      <c r="F33"/>
      <c r="G33"/>
      <c r="H33"/>
      <c r="I33"/>
      <c r="J33"/>
      <c r="K33"/>
      <c r="L33"/>
      <c r="M33"/>
      <c r="N33"/>
      <c r="O33"/>
    </row>
    <row r="34" spans="2:15" x14ac:dyDescent="0.35">
      <c r="B34"/>
      <c r="C34"/>
      <c r="D34"/>
      <c r="E34"/>
      <c r="F34"/>
      <c r="G34"/>
      <c r="H34"/>
      <c r="I34"/>
      <c r="J34"/>
      <c r="K34"/>
      <c r="L34"/>
      <c r="M34"/>
      <c r="N34"/>
      <c r="O34"/>
    </row>
    <row r="35" spans="2:15" x14ac:dyDescent="0.35">
      <c r="B35"/>
      <c r="C35"/>
      <c r="D35"/>
      <c r="E35"/>
      <c r="F35"/>
      <c r="G35"/>
      <c r="H35"/>
      <c r="I35"/>
      <c r="J35"/>
      <c r="K35"/>
      <c r="L35"/>
      <c r="M35"/>
      <c r="N35"/>
      <c r="O35"/>
    </row>
    <row r="36" spans="2:15" x14ac:dyDescent="0.35">
      <c r="B36"/>
      <c r="C36"/>
      <c r="D36"/>
      <c r="E36"/>
      <c r="F36"/>
      <c r="G36"/>
      <c r="H36"/>
      <c r="I36"/>
      <c r="J36"/>
      <c r="K36"/>
      <c r="L36"/>
      <c r="M36"/>
      <c r="N36"/>
      <c r="O36"/>
    </row>
    <row r="37" spans="2:15" x14ac:dyDescent="0.35">
      <c r="B37"/>
      <c r="C37"/>
      <c r="D37"/>
      <c r="E37"/>
      <c r="F37"/>
      <c r="G37"/>
      <c r="H37"/>
      <c r="I37"/>
      <c r="J37"/>
      <c r="K37"/>
      <c r="L37"/>
      <c r="M37"/>
      <c r="N37"/>
      <c r="O37"/>
    </row>
    <row r="38" spans="2:15" x14ac:dyDescent="0.35">
      <c r="B38"/>
      <c r="C38"/>
      <c r="D38"/>
      <c r="E38"/>
      <c r="F38"/>
      <c r="G38"/>
      <c r="H38"/>
      <c r="I38"/>
      <c r="J38"/>
      <c r="K38"/>
      <c r="L38"/>
      <c r="M38"/>
      <c r="N38"/>
      <c r="O38"/>
    </row>
    <row r="39" spans="2:15" x14ac:dyDescent="0.35">
      <c r="B39"/>
      <c r="C39"/>
      <c r="D39"/>
      <c r="E39"/>
      <c r="F39"/>
      <c r="G39"/>
      <c r="H39"/>
      <c r="I39"/>
      <c r="J39"/>
      <c r="K39"/>
      <c r="L39"/>
      <c r="M39"/>
      <c r="N39"/>
      <c r="O39"/>
    </row>
    <row r="40" spans="2:15" x14ac:dyDescent="0.35">
      <c r="B40"/>
      <c r="C40"/>
      <c r="D40"/>
      <c r="E40"/>
      <c r="F40"/>
      <c r="G40"/>
      <c r="H40"/>
      <c r="I40"/>
      <c r="J40"/>
      <c r="K40"/>
      <c r="L40"/>
      <c r="M40"/>
      <c r="N40"/>
      <c r="O40"/>
    </row>
    <row r="41" spans="2:15" x14ac:dyDescent="0.35">
      <c r="B41"/>
      <c r="C41"/>
      <c r="D41"/>
      <c r="E41"/>
      <c r="F41"/>
      <c r="G41"/>
      <c r="H41"/>
      <c r="I41"/>
      <c r="J41"/>
      <c r="K41"/>
      <c r="L41"/>
      <c r="M41"/>
      <c r="N41"/>
      <c r="O41"/>
    </row>
  </sheetData>
  <sheetProtection algorithmName="SHA-512" hashValue="XMeFtG6PLRAU9m3r0xr9WjXgaBouFmcqM5cL+pBAKa/ir5dtWClnKCW2O6n3XTmqnr+CgxlVngCgOdAzgOIGXQ==" saltValue="wegeEYvDUSI7AZxDTrOcC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_RelFixoEsporadico">
    <tabColor theme="5" tint="-0.249977111117893"/>
  </sheetPr>
  <dimension ref="B1:Q30"/>
  <sheetViews>
    <sheetView showGridLines="0" zoomScaleNormal="100" workbookViewId="0">
      <selection activeCell="E4" sqref="E4"/>
    </sheetView>
  </sheetViews>
  <sheetFormatPr defaultColWidth="9.1796875" defaultRowHeight="14.5" x14ac:dyDescent="0.35"/>
  <cols>
    <col min="1" max="1" width="1.7265625" style="26" customWidth="1"/>
    <col min="2" max="2" width="15.54296875" style="26" bestFit="1" customWidth="1"/>
    <col min="3" max="3" width="12.26953125" style="26" bestFit="1" customWidth="1"/>
    <col min="4" max="12" width="10.26953125" style="26" bestFit="1" customWidth="1"/>
    <col min="13" max="13" width="11.26953125" style="26" bestFit="1" customWidth="1"/>
    <col min="14" max="15" width="10.26953125" style="26" bestFit="1" customWidth="1"/>
    <col min="16" max="16" width="11.26953125" style="26" bestFit="1" customWidth="1"/>
    <col min="17" max="17" width="10.54296875" style="26" bestFit="1" customWidth="1"/>
    <col min="18" max="16384" width="9.1796875" style="26"/>
  </cols>
  <sheetData>
    <row r="1" spans="2:17" ht="3" customHeight="1" x14ac:dyDescent="0.35"/>
    <row r="2" spans="2:17" ht="17.25" customHeight="1" x14ac:dyDescent="0.35"/>
    <row r="4" spans="2:17" x14ac:dyDescent="0.35">
      <c r="B4" s="27" t="s">
        <v>13</v>
      </c>
      <c r="C4" s="32">
        <v>2019</v>
      </c>
    </row>
    <row r="6" spans="2:17" x14ac:dyDescent="0.35">
      <c r="B6" s="16" t="s">
        <v>63</v>
      </c>
      <c r="C6" s="24" t="s">
        <v>44</v>
      </c>
      <c r="N6"/>
      <c r="O6"/>
      <c r="P6"/>
      <c r="Q6"/>
    </row>
    <row r="7" spans="2:17" x14ac:dyDescent="0.35">
      <c r="B7" s="24" t="s">
        <v>12</v>
      </c>
      <c r="C7" s="28">
        <v>43496</v>
      </c>
      <c r="D7" s="28">
        <v>43524</v>
      </c>
      <c r="E7" s="28">
        <v>43555</v>
      </c>
      <c r="F7" s="28">
        <v>43585</v>
      </c>
      <c r="G7" s="28">
        <v>43616</v>
      </c>
      <c r="H7" s="28">
        <v>43646</v>
      </c>
      <c r="I7" s="28">
        <v>43677</v>
      </c>
      <c r="J7" s="28">
        <v>43708</v>
      </c>
      <c r="K7" s="28">
        <v>43738</v>
      </c>
      <c r="L7" s="28">
        <v>43769</v>
      </c>
      <c r="M7" s="28" t="s">
        <v>2</v>
      </c>
      <c r="N7"/>
      <c r="O7"/>
      <c r="P7"/>
      <c r="Q7"/>
    </row>
    <row r="8" spans="2:17" x14ac:dyDescent="0.35">
      <c r="B8" s="29" t="s">
        <v>119</v>
      </c>
      <c r="C8" s="30">
        <v>5000</v>
      </c>
      <c r="D8" s="30">
        <v>5000</v>
      </c>
      <c r="E8" s="30">
        <v>5000</v>
      </c>
      <c r="F8" s="30">
        <v>5000</v>
      </c>
      <c r="G8" s="30">
        <v>5000</v>
      </c>
      <c r="H8" s="30">
        <v>5000</v>
      </c>
      <c r="I8" s="30">
        <v>5000</v>
      </c>
      <c r="J8" s="30">
        <v>5000</v>
      </c>
      <c r="K8" s="30">
        <v>5000</v>
      </c>
      <c r="L8" s="30">
        <v>5000</v>
      </c>
      <c r="M8" s="30">
        <v>50000</v>
      </c>
      <c r="N8"/>
      <c r="O8"/>
      <c r="P8"/>
      <c r="Q8"/>
    </row>
    <row r="9" spans="2:17" x14ac:dyDescent="0.35">
      <c r="B9" s="25" t="s">
        <v>142</v>
      </c>
      <c r="C9" s="30">
        <v>20000</v>
      </c>
      <c r="D9" s="30">
        <v>20000</v>
      </c>
      <c r="E9" s="30">
        <v>20000</v>
      </c>
      <c r="F9" s="30">
        <v>20000</v>
      </c>
      <c r="G9" s="30">
        <v>20000</v>
      </c>
      <c r="H9" s="30">
        <v>20000</v>
      </c>
      <c r="I9" s="30">
        <v>20000</v>
      </c>
      <c r="J9" s="30">
        <v>20000</v>
      </c>
      <c r="K9" s="30">
        <v>20000</v>
      </c>
      <c r="L9" s="30">
        <v>20000</v>
      </c>
      <c r="M9" s="30">
        <v>200000</v>
      </c>
      <c r="N9"/>
      <c r="O9"/>
      <c r="P9"/>
      <c r="Q9"/>
    </row>
    <row r="10" spans="2:17" x14ac:dyDescent="0.35">
      <c r="B10" s="31" t="s">
        <v>178</v>
      </c>
      <c r="C10" s="30">
        <v>20000</v>
      </c>
      <c r="D10" s="30">
        <v>20000</v>
      </c>
      <c r="E10" s="30">
        <v>20000</v>
      </c>
      <c r="F10" s="30">
        <v>20000</v>
      </c>
      <c r="G10" s="30">
        <v>20000</v>
      </c>
      <c r="H10" s="30">
        <v>20000</v>
      </c>
      <c r="I10" s="30">
        <v>20000</v>
      </c>
      <c r="J10" s="30">
        <v>20000</v>
      </c>
      <c r="K10" s="30">
        <v>20000</v>
      </c>
      <c r="L10" s="30">
        <v>20000</v>
      </c>
      <c r="M10" s="30">
        <v>200000</v>
      </c>
      <c r="N10"/>
      <c r="O10"/>
      <c r="P10"/>
      <c r="Q10"/>
    </row>
    <row r="11" spans="2:17" x14ac:dyDescent="0.35">
      <c r="B11" s="25" t="s">
        <v>155</v>
      </c>
      <c r="C11" s="30">
        <v>-15000</v>
      </c>
      <c r="D11" s="30">
        <v>-15000</v>
      </c>
      <c r="E11" s="30">
        <v>-15000</v>
      </c>
      <c r="F11" s="30">
        <v>-15000</v>
      </c>
      <c r="G11" s="30">
        <v>-15000</v>
      </c>
      <c r="H11" s="30">
        <v>-15000</v>
      </c>
      <c r="I11" s="30">
        <v>-15000</v>
      </c>
      <c r="J11" s="30">
        <v>-15000</v>
      </c>
      <c r="K11" s="30">
        <v>-15000</v>
      </c>
      <c r="L11" s="30">
        <v>-15000</v>
      </c>
      <c r="M11" s="30">
        <v>-150000</v>
      </c>
      <c r="N11"/>
      <c r="O11"/>
      <c r="P11"/>
      <c r="Q11"/>
    </row>
    <row r="12" spans="2:17" x14ac:dyDescent="0.35">
      <c r="B12" s="31" t="s">
        <v>173</v>
      </c>
      <c r="C12" s="30">
        <v>-15000</v>
      </c>
      <c r="D12" s="30">
        <v>-15000</v>
      </c>
      <c r="E12" s="30">
        <v>-15000</v>
      </c>
      <c r="F12" s="30">
        <v>-15000</v>
      </c>
      <c r="G12" s="30">
        <v>-15000</v>
      </c>
      <c r="H12" s="30">
        <v>-15000</v>
      </c>
      <c r="I12" s="30">
        <v>-15000</v>
      </c>
      <c r="J12" s="30">
        <v>-15000</v>
      </c>
      <c r="K12" s="30">
        <v>-15000</v>
      </c>
      <c r="L12" s="30">
        <v>-15000</v>
      </c>
      <c r="M12" s="30">
        <v>-150000</v>
      </c>
      <c r="N12"/>
      <c r="O12"/>
      <c r="P12"/>
      <c r="Q12"/>
    </row>
    <row r="13" spans="2:17" x14ac:dyDescent="0.35">
      <c r="B13" s="32"/>
      <c r="C13" s="30"/>
      <c r="D13" s="30"/>
      <c r="E13" s="30"/>
      <c r="F13" s="30"/>
      <c r="G13" s="30"/>
      <c r="H13" s="30"/>
      <c r="I13" s="30"/>
      <c r="J13" s="30"/>
      <c r="K13" s="30"/>
      <c r="L13" s="30"/>
      <c r="M13" s="30"/>
      <c r="N13"/>
      <c r="O13"/>
      <c r="P13"/>
      <c r="Q13"/>
    </row>
    <row r="14" spans="2:17" x14ac:dyDescent="0.35">
      <c r="B14" s="32" t="s">
        <v>2</v>
      </c>
      <c r="C14" s="30">
        <v>5000</v>
      </c>
      <c r="D14" s="30">
        <v>5000</v>
      </c>
      <c r="E14" s="30">
        <v>5000</v>
      </c>
      <c r="F14" s="30">
        <v>5000</v>
      </c>
      <c r="G14" s="30">
        <v>5000</v>
      </c>
      <c r="H14" s="30">
        <v>5000</v>
      </c>
      <c r="I14" s="30">
        <v>5000</v>
      </c>
      <c r="J14" s="30">
        <v>5000</v>
      </c>
      <c r="K14" s="30">
        <v>5000</v>
      </c>
      <c r="L14" s="30">
        <v>5000</v>
      </c>
      <c r="M14" s="30">
        <v>50000</v>
      </c>
      <c r="N14"/>
      <c r="O14"/>
      <c r="P14"/>
      <c r="Q14"/>
    </row>
    <row r="15" spans="2:17" x14ac:dyDescent="0.35">
      <c r="B15"/>
      <c r="C15"/>
      <c r="D15"/>
      <c r="E15"/>
      <c r="F15"/>
      <c r="G15"/>
      <c r="H15"/>
      <c r="I15"/>
      <c r="J15"/>
      <c r="K15"/>
      <c r="L15"/>
      <c r="M15"/>
      <c r="N15"/>
      <c r="O15"/>
      <c r="P15"/>
      <c r="Q15"/>
    </row>
    <row r="16" spans="2:17" x14ac:dyDescent="0.35">
      <c r="B16"/>
      <c r="C16"/>
      <c r="D16"/>
      <c r="E16"/>
      <c r="F16"/>
      <c r="G16"/>
      <c r="H16"/>
      <c r="I16"/>
      <c r="J16"/>
      <c r="K16"/>
      <c r="L16"/>
      <c r="M16"/>
      <c r="N16"/>
      <c r="O16"/>
      <c r="P16"/>
      <c r="Q16"/>
    </row>
    <row r="17" spans="2:17" x14ac:dyDescent="0.35">
      <c r="B17"/>
      <c r="C17"/>
      <c r="D17"/>
      <c r="E17"/>
      <c r="F17"/>
      <c r="G17"/>
      <c r="H17"/>
      <c r="I17"/>
      <c r="J17"/>
      <c r="K17"/>
      <c r="L17"/>
      <c r="M17"/>
      <c r="N17"/>
      <c r="O17"/>
      <c r="P17"/>
      <c r="Q17"/>
    </row>
    <row r="18" spans="2:17" x14ac:dyDescent="0.35">
      <c r="B18"/>
      <c r="C18"/>
      <c r="D18"/>
      <c r="E18"/>
      <c r="F18"/>
      <c r="G18"/>
      <c r="H18"/>
      <c r="I18"/>
      <c r="J18"/>
      <c r="K18"/>
      <c r="L18"/>
      <c r="M18"/>
      <c r="N18"/>
      <c r="O18"/>
      <c r="P18"/>
      <c r="Q18"/>
    </row>
    <row r="19" spans="2:17" x14ac:dyDescent="0.35">
      <c r="B19"/>
      <c r="C19"/>
      <c r="D19"/>
      <c r="E19"/>
      <c r="F19"/>
      <c r="G19"/>
      <c r="H19"/>
      <c r="I19"/>
      <c r="J19"/>
      <c r="K19"/>
      <c r="L19"/>
      <c r="M19"/>
      <c r="N19"/>
      <c r="O19"/>
      <c r="P19"/>
      <c r="Q19"/>
    </row>
    <row r="20" spans="2:17" x14ac:dyDescent="0.35">
      <c r="B20"/>
      <c r="C20"/>
      <c r="D20"/>
      <c r="E20"/>
      <c r="F20"/>
      <c r="G20"/>
      <c r="H20"/>
      <c r="I20"/>
      <c r="J20"/>
      <c r="K20"/>
      <c r="L20"/>
      <c r="M20"/>
      <c r="N20"/>
      <c r="O20"/>
      <c r="P20"/>
    </row>
    <row r="21" spans="2:17" x14ac:dyDescent="0.35">
      <c r="B21"/>
      <c r="C21"/>
      <c r="D21"/>
      <c r="E21"/>
      <c r="F21"/>
      <c r="G21"/>
      <c r="H21"/>
      <c r="I21"/>
      <c r="J21"/>
      <c r="K21"/>
      <c r="L21"/>
      <c r="M21"/>
      <c r="N21"/>
      <c r="O21"/>
      <c r="P21"/>
    </row>
    <row r="22" spans="2:17" x14ac:dyDescent="0.35">
      <c r="B22"/>
      <c r="C22"/>
      <c r="D22"/>
      <c r="E22"/>
      <c r="F22"/>
      <c r="G22"/>
      <c r="H22"/>
      <c r="I22"/>
      <c r="J22"/>
      <c r="K22"/>
      <c r="L22"/>
      <c r="M22"/>
      <c r="N22"/>
      <c r="O22"/>
      <c r="P22"/>
    </row>
    <row r="23" spans="2:17" x14ac:dyDescent="0.35">
      <c r="B23"/>
      <c r="C23"/>
      <c r="D23"/>
      <c r="E23"/>
      <c r="F23"/>
      <c r="G23"/>
      <c r="H23"/>
      <c r="I23"/>
      <c r="J23"/>
      <c r="K23"/>
      <c r="L23"/>
      <c r="M23"/>
      <c r="N23"/>
      <c r="O23"/>
    </row>
    <row r="24" spans="2:17" x14ac:dyDescent="0.35">
      <c r="B24"/>
      <c r="C24"/>
      <c r="D24"/>
      <c r="E24"/>
      <c r="F24"/>
      <c r="G24"/>
      <c r="H24"/>
      <c r="I24"/>
      <c r="J24"/>
      <c r="K24"/>
      <c r="L24"/>
      <c r="M24"/>
      <c r="N24"/>
      <c r="O24"/>
    </row>
    <row r="25" spans="2:17" x14ac:dyDescent="0.35">
      <c r="B25"/>
      <c r="C25"/>
      <c r="D25"/>
      <c r="E25"/>
      <c r="F25"/>
      <c r="G25"/>
      <c r="H25"/>
      <c r="I25"/>
      <c r="J25"/>
      <c r="K25"/>
      <c r="L25"/>
      <c r="M25"/>
      <c r="N25"/>
      <c r="O25"/>
    </row>
    <row r="26" spans="2:17" x14ac:dyDescent="0.35">
      <c r="B26"/>
      <c r="C26"/>
      <c r="D26"/>
      <c r="E26"/>
      <c r="F26"/>
      <c r="G26"/>
      <c r="H26"/>
      <c r="I26"/>
      <c r="J26"/>
      <c r="K26"/>
      <c r="L26"/>
      <c r="M26"/>
      <c r="N26"/>
      <c r="O26"/>
    </row>
    <row r="27" spans="2:17" x14ac:dyDescent="0.35">
      <c r="B27"/>
      <c r="C27"/>
      <c r="D27"/>
      <c r="E27"/>
      <c r="F27"/>
      <c r="G27"/>
      <c r="H27"/>
      <c r="I27"/>
      <c r="J27"/>
      <c r="K27"/>
      <c r="L27"/>
      <c r="M27"/>
      <c r="N27"/>
      <c r="O27"/>
    </row>
    <row r="28" spans="2:17" x14ac:dyDescent="0.35">
      <c r="B28"/>
      <c r="C28"/>
      <c r="D28"/>
      <c r="E28"/>
      <c r="F28"/>
      <c r="G28"/>
      <c r="H28"/>
      <c r="I28"/>
      <c r="J28"/>
      <c r="K28"/>
      <c r="L28"/>
      <c r="M28"/>
      <c r="N28"/>
      <c r="O28"/>
    </row>
    <row r="29" spans="2:17" x14ac:dyDescent="0.35">
      <c r="B29"/>
      <c r="C29"/>
      <c r="D29"/>
      <c r="E29"/>
      <c r="F29"/>
      <c r="G29"/>
      <c r="H29"/>
      <c r="I29"/>
      <c r="J29"/>
      <c r="K29"/>
      <c r="L29"/>
      <c r="M29"/>
      <c r="N29"/>
      <c r="O29"/>
    </row>
    <row r="30" spans="2:17" x14ac:dyDescent="0.35">
      <c r="B30"/>
      <c r="C30"/>
      <c r="D30"/>
      <c r="E30"/>
      <c r="F30"/>
      <c r="G30"/>
      <c r="H30"/>
      <c r="I30"/>
      <c r="J30"/>
      <c r="K30"/>
      <c r="L30"/>
      <c r="M30"/>
      <c r="N30"/>
      <c r="O30"/>
    </row>
  </sheetData>
  <sheetProtection algorithmName="SHA-512" hashValue="8EdYIe6nTrD3yUdFv4X0fgZcsE7MKQDBNlPiuufffjMpu111hn1e6A7BvpWOu2c2qT7xneum7oByXcP0JjR/DA==" saltValue="xRaWjTzLKl4nOo95PTlGX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_RelCriar">
    <tabColor rgb="FFCFD24A"/>
  </sheetPr>
  <dimension ref="B4:H26"/>
  <sheetViews>
    <sheetView showGridLines="0" showRowColHeaders="0" zoomScale="115" zoomScaleNormal="115" workbookViewId="0">
      <selection activeCell="C12" sqref="C12"/>
    </sheetView>
  </sheetViews>
  <sheetFormatPr defaultColWidth="9.1796875" defaultRowHeight="10.5" x14ac:dyDescent="0.25"/>
  <cols>
    <col min="1" max="1" width="2.1796875" style="9" customWidth="1"/>
    <col min="2" max="2" width="20.1796875" style="9" bestFit="1" customWidth="1"/>
    <col min="3" max="3" width="8.54296875" style="9" bestFit="1" customWidth="1"/>
    <col min="4" max="5" width="9.453125" style="9" bestFit="1" customWidth="1"/>
    <col min="6" max="6" width="8.54296875" style="9" bestFit="1" customWidth="1"/>
    <col min="7" max="7" width="8.1796875" style="9" customWidth="1"/>
    <col min="8" max="8" width="9" style="9" customWidth="1"/>
    <col min="9" max="9" width="10.7265625" style="9" bestFit="1" customWidth="1"/>
    <col min="10" max="16384" width="9.1796875" style="9"/>
  </cols>
  <sheetData>
    <row r="4" spans="2:8" ht="14.5" x14ac:dyDescent="0.35">
      <c r="B4"/>
      <c r="C4"/>
    </row>
    <row r="5" spans="2:8" x14ac:dyDescent="0.25">
      <c r="B5" s="145" t="s">
        <v>17</v>
      </c>
      <c r="C5" s="9" t="s">
        <v>10</v>
      </c>
    </row>
    <row r="6" spans="2:8" x14ac:dyDescent="0.25">
      <c r="B6" s="11"/>
    </row>
    <row r="7" spans="2:8" ht="14.5" x14ac:dyDescent="0.35">
      <c r="B7" s="146" t="s">
        <v>63</v>
      </c>
      <c r="C7" s="17" t="s">
        <v>29</v>
      </c>
      <c r="F7"/>
      <c r="G7"/>
      <c r="H7"/>
    </row>
    <row r="8" spans="2:8" ht="14.5" x14ac:dyDescent="0.35">
      <c r="B8" s="145" t="s">
        <v>93</v>
      </c>
      <c r="C8" s="14">
        <v>2018</v>
      </c>
      <c r="D8" s="14">
        <v>2019</v>
      </c>
      <c r="E8" s="9" t="s">
        <v>2</v>
      </c>
      <c r="F8"/>
      <c r="G8"/>
      <c r="H8"/>
    </row>
    <row r="9" spans="2:8" ht="14.5" x14ac:dyDescent="0.35">
      <c r="B9" s="11" t="s">
        <v>142</v>
      </c>
      <c r="C9" s="12">
        <v>40000</v>
      </c>
      <c r="D9" s="12">
        <v>200000</v>
      </c>
      <c r="E9" s="12">
        <v>240000</v>
      </c>
      <c r="F9"/>
      <c r="G9"/>
      <c r="H9"/>
    </row>
    <row r="10" spans="2:8" ht="14.5" x14ac:dyDescent="0.35">
      <c r="B10" s="11" t="s">
        <v>155</v>
      </c>
      <c r="C10" s="12">
        <v>-30000</v>
      </c>
      <c r="D10" s="12">
        <v>-150000</v>
      </c>
      <c r="E10" s="12">
        <v>-180000</v>
      </c>
      <c r="F10"/>
      <c r="G10"/>
      <c r="H10"/>
    </row>
    <row r="11" spans="2:8" ht="14.5" x14ac:dyDescent="0.35">
      <c r="B11" s="11" t="s">
        <v>176</v>
      </c>
      <c r="C11" s="12">
        <v>10000</v>
      </c>
      <c r="D11" s="12"/>
      <c r="E11" s="12">
        <v>10000</v>
      </c>
      <c r="F11"/>
      <c r="G11"/>
      <c r="H11"/>
    </row>
    <row r="12" spans="2:8" ht="14.5" x14ac:dyDescent="0.35">
      <c r="B12" s="11" t="s">
        <v>2</v>
      </c>
      <c r="C12" s="12">
        <v>20000</v>
      </c>
      <c r="D12" s="12">
        <v>50000</v>
      </c>
      <c r="E12" s="12">
        <v>70000</v>
      </c>
      <c r="F12"/>
      <c r="G12"/>
      <c r="H12"/>
    </row>
    <row r="13" spans="2:8" ht="14.5" x14ac:dyDescent="0.35">
      <c r="B13"/>
      <c r="C13"/>
      <c r="D13"/>
      <c r="E13"/>
      <c r="F13"/>
      <c r="G13"/>
      <c r="H13"/>
    </row>
    <row r="14" spans="2:8" ht="14.5" x14ac:dyDescent="0.35">
      <c r="B14"/>
      <c r="C14"/>
      <c r="D14"/>
      <c r="E14"/>
      <c r="F14"/>
      <c r="G14"/>
      <c r="H14"/>
    </row>
    <row r="15" spans="2:8" ht="14.5" x14ac:dyDescent="0.35">
      <c r="B15"/>
      <c r="C15"/>
      <c r="D15"/>
      <c r="E15"/>
      <c r="F15"/>
      <c r="G15"/>
      <c r="H15"/>
    </row>
    <row r="16" spans="2:8" ht="14.5" x14ac:dyDescent="0.35">
      <c r="B16"/>
      <c r="C16"/>
      <c r="D16"/>
      <c r="E16"/>
      <c r="F16"/>
      <c r="G16"/>
      <c r="H16"/>
    </row>
    <row r="17" spans="2:8" ht="14.5" x14ac:dyDescent="0.35">
      <c r="B17"/>
      <c r="C17"/>
      <c r="D17"/>
      <c r="E17"/>
      <c r="F17"/>
      <c r="G17"/>
      <c r="H17"/>
    </row>
    <row r="18" spans="2:8" ht="14.5" x14ac:dyDescent="0.35">
      <c r="B18"/>
      <c r="C18"/>
      <c r="D18"/>
      <c r="E18"/>
      <c r="F18"/>
      <c r="G18"/>
      <c r="H18"/>
    </row>
    <row r="19" spans="2:8" ht="14.5" x14ac:dyDescent="0.35">
      <c r="B19"/>
      <c r="C19"/>
      <c r="D19"/>
      <c r="E19"/>
      <c r="F19"/>
      <c r="G19"/>
      <c r="H19"/>
    </row>
    <row r="20" spans="2:8" ht="14.5" x14ac:dyDescent="0.35">
      <c r="B20"/>
      <c r="C20"/>
      <c r="D20"/>
      <c r="E20"/>
      <c r="F20"/>
      <c r="G20"/>
      <c r="H20"/>
    </row>
    <row r="21" spans="2:8" ht="14.5" x14ac:dyDescent="0.35">
      <c r="B21"/>
      <c r="C21"/>
      <c r="D21"/>
      <c r="E21"/>
      <c r="F21"/>
      <c r="G21"/>
      <c r="H21"/>
    </row>
    <row r="22" spans="2:8" ht="14.5" x14ac:dyDescent="0.35">
      <c r="B22"/>
      <c r="C22"/>
      <c r="D22"/>
      <c r="E22"/>
      <c r="F22"/>
      <c r="G22"/>
      <c r="H22"/>
    </row>
    <row r="23" spans="2:8" ht="14.5" x14ac:dyDescent="0.35">
      <c r="B23"/>
      <c r="C23"/>
      <c r="D23"/>
      <c r="E23"/>
      <c r="F23"/>
      <c r="G23"/>
      <c r="H23"/>
    </row>
    <row r="24" spans="2:8" ht="14.5" x14ac:dyDescent="0.35">
      <c r="B24"/>
      <c r="C24"/>
      <c r="D24"/>
      <c r="E24"/>
      <c r="F24"/>
      <c r="G24"/>
      <c r="H24"/>
    </row>
    <row r="25" spans="2:8" ht="14.5" x14ac:dyDescent="0.35">
      <c r="B25"/>
      <c r="C25"/>
      <c r="D25"/>
      <c r="E25"/>
      <c r="F25"/>
      <c r="G25"/>
      <c r="H25"/>
    </row>
    <row r="26" spans="2:8" ht="14.5" x14ac:dyDescent="0.35">
      <c r="B26"/>
      <c r="C26"/>
      <c r="D26"/>
      <c r="E26"/>
      <c r="F26"/>
      <c r="G26"/>
      <c r="H26"/>
    </row>
  </sheetData>
  <sheetProtection algorithmName="SHA-512" hashValue="5q2xPzDzFTfDKZM3mbjRdG1rut82L7vNmYjcV7nHC4YDGmdHqDScDsiOvSeQtOs6qmhqjvjCPYVi1bo+k3D9Sw==" saltValue="uSQ5sAtkQTKEFeW+M+DE4A=="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RelFluxoDeCaixa">
    <tabColor theme="8" tint="-0.249977111117893"/>
    <pageSetUpPr fitToPage="1"/>
  </sheetPr>
  <dimension ref="A1:R3000"/>
  <sheetViews>
    <sheetView showGridLines="0" workbookViewId="0">
      <pane ySplit="11" topLeftCell="A12" activePane="bottomLeft" state="frozen"/>
      <selection pane="bottomLeft" activeCell="E3000" sqref="E3000:P3000"/>
    </sheetView>
  </sheetViews>
  <sheetFormatPr defaultRowHeight="14.5" x14ac:dyDescent="0.35"/>
  <cols>
    <col min="1" max="1" width="1.7265625" customWidth="1"/>
    <col min="2" max="2" width="23" bestFit="1" customWidth="1"/>
    <col min="3" max="3" width="33" bestFit="1" customWidth="1"/>
    <col min="4" max="4" width="11.26953125" bestFit="1" customWidth="1"/>
    <col min="5" max="15" width="10.54296875" bestFit="1" customWidth="1"/>
    <col min="16" max="17" width="11.26953125" bestFit="1" customWidth="1"/>
    <col min="18" max="351" width="12.7265625" customWidth="1"/>
  </cols>
  <sheetData>
    <row r="1" spans="1:18" ht="3" customHeight="1" x14ac:dyDescent="0.35">
      <c r="A1">
        <f>COUNTIF([0]!rng_DadosLanctosTD,"A REALIZAR")</f>
        <v>0</v>
      </c>
    </row>
    <row r="2" spans="1:18" ht="17.25" customHeight="1" x14ac:dyDescent="0.35"/>
    <row r="3" spans="1:18" ht="17.25" customHeight="1" x14ac:dyDescent="0.35"/>
    <row r="4" spans="1:18" ht="17.25" customHeight="1" x14ac:dyDescent="0.35"/>
    <row r="5" spans="1:18" ht="17.25" customHeight="1" thickBot="1" x14ac:dyDescent="0.4">
      <c r="B5" s="2" t="s">
        <v>17</v>
      </c>
      <c r="C5" t="s">
        <v>10</v>
      </c>
      <c r="D5" s="158" t="s">
        <v>167</v>
      </c>
      <c r="E5" s="156">
        <v>43344</v>
      </c>
      <c r="F5" s="118"/>
    </row>
    <row r="6" spans="1:18" ht="17.25" customHeight="1" x14ac:dyDescent="0.35">
      <c r="B6" s="2" t="s">
        <v>18</v>
      </c>
      <c r="C6" t="s">
        <v>10</v>
      </c>
      <c r="D6" s="159" t="s">
        <v>168</v>
      </c>
      <c r="E6" s="157">
        <v>43465</v>
      </c>
    </row>
    <row r="7" spans="1:18" x14ac:dyDescent="0.35">
      <c r="B7" s="2" t="s">
        <v>7</v>
      </c>
      <c r="C7" t="s">
        <v>10</v>
      </c>
    </row>
    <row r="8" spans="1:18" hidden="1" x14ac:dyDescent="0.35">
      <c r="B8" s="2" t="s">
        <v>108</v>
      </c>
      <c r="C8" t="s">
        <v>127</v>
      </c>
    </row>
    <row r="9" spans="1:18" s="67" customFormat="1" ht="19.5" customHeight="1" x14ac:dyDescent="0.35">
      <c r="C9" s="68" t="s">
        <v>107</v>
      </c>
      <c r="D9" s="69">
        <f>'Apoio TDs'!C8</f>
        <v>10000</v>
      </c>
      <c r="E9" s="69">
        <f>D3000</f>
        <v>15000</v>
      </c>
      <c r="F9" s="69">
        <f t="shared" ref="F9:P9" si="0">E3000</f>
        <v>20000</v>
      </c>
      <c r="G9" s="67">
        <f t="shared" si="0"/>
        <v>25000</v>
      </c>
      <c r="H9" s="67">
        <f t="shared" si="0"/>
        <v>30000</v>
      </c>
      <c r="I9" s="67">
        <f t="shared" si="0"/>
        <v>35000</v>
      </c>
      <c r="J9" s="67">
        <f t="shared" si="0"/>
        <v>40000</v>
      </c>
      <c r="K9" s="67">
        <f t="shared" si="0"/>
        <v>45000</v>
      </c>
      <c r="L9" s="67">
        <f t="shared" si="0"/>
        <v>50000</v>
      </c>
      <c r="M9" s="67">
        <f t="shared" si="0"/>
        <v>55000</v>
      </c>
      <c r="N9" s="67">
        <f t="shared" si="0"/>
        <v>60000</v>
      </c>
      <c r="O9" s="67">
        <f t="shared" si="0"/>
        <v>65000</v>
      </c>
      <c r="P9" s="67">
        <f t="shared" si="0"/>
        <v>70000</v>
      </c>
    </row>
    <row r="10" spans="1:18" x14ac:dyDescent="0.35">
      <c r="B10" s="16" t="s">
        <v>91</v>
      </c>
      <c r="C10" s="43"/>
      <c r="D10" s="2" t="s">
        <v>11</v>
      </c>
    </row>
    <row r="11" spans="1:18" s="64" customFormat="1" x14ac:dyDescent="0.35">
      <c r="A11"/>
      <c r="B11" s="2" t="s">
        <v>106</v>
      </c>
      <c r="C11" s="2" t="s">
        <v>96</v>
      </c>
      <c r="D11" s="65">
        <v>43434</v>
      </c>
      <c r="E11" s="65">
        <v>43465</v>
      </c>
      <c r="F11" s="65">
        <v>43496</v>
      </c>
      <c r="G11" s="65">
        <v>43524</v>
      </c>
      <c r="H11" s="65">
        <v>43555</v>
      </c>
      <c r="I11" s="65">
        <v>43585</v>
      </c>
      <c r="J11" s="65">
        <v>43616</v>
      </c>
      <c r="K11" s="65">
        <v>43646</v>
      </c>
      <c r="L11" s="65">
        <v>43677</v>
      </c>
      <c r="M11" s="65">
        <v>43708</v>
      </c>
      <c r="N11" s="65">
        <v>43738</v>
      </c>
      <c r="O11" s="65">
        <v>43769</v>
      </c>
      <c r="P11" s="65" t="s">
        <v>2</v>
      </c>
      <c r="Q11"/>
      <c r="R11"/>
    </row>
    <row r="12" spans="1:18" x14ac:dyDescent="0.35">
      <c r="B12" s="3" t="s">
        <v>142</v>
      </c>
      <c r="D12" s="1">
        <v>20000</v>
      </c>
      <c r="E12" s="1">
        <v>20000</v>
      </c>
      <c r="F12" s="1">
        <v>20000</v>
      </c>
      <c r="G12" s="1">
        <v>20000</v>
      </c>
      <c r="H12" s="1">
        <v>20000</v>
      </c>
      <c r="I12" s="1">
        <v>20000</v>
      </c>
      <c r="J12" s="1">
        <v>20000</v>
      </c>
      <c r="K12" s="1">
        <v>20000</v>
      </c>
      <c r="L12" s="1">
        <v>20000</v>
      </c>
      <c r="M12" s="1">
        <v>20000</v>
      </c>
      <c r="N12" s="1">
        <v>20000</v>
      </c>
      <c r="O12" s="1">
        <v>20000</v>
      </c>
      <c r="P12" s="1">
        <v>240000</v>
      </c>
    </row>
    <row r="13" spans="1:18" x14ac:dyDescent="0.35">
      <c r="B13" s="3"/>
      <c r="D13" s="1"/>
      <c r="E13" s="1"/>
      <c r="F13" s="1"/>
      <c r="G13" s="1"/>
      <c r="H13" s="1"/>
      <c r="I13" s="1"/>
      <c r="J13" s="1"/>
      <c r="K13" s="1"/>
      <c r="L13" s="1"/>
      <c r="M13" s="1"/>
      <c r="N13" s="1"/>
      <c r="O13" s="1"/>
      <c r="P13" s="1"/>
    </row>
    <row r="14" spans="1:18" x14ac:dyDescent="0.35">
      <c r="B14" s="3" t="s">
        <v>155</v>
      </c>
      <c r="D14" s="1">
        <v>-15000</v>
      </c>
      <c r="E14" s="1">
        <v>-15000</v>
      </c>
      <c r="F14" s="1">
        <v>-15000</v>
      </c>
      <c r="G14" s="1">
        <v>-15000</v>
      </c>
      <c r="H14" s="1">
        <v>-15000</v>
      </c>
      <c r="I14" s="1">
        <v>-15000</v>
      </c>
      <c r="J14" s="1">
        <v>-15000</v>
      </c>
      <c r="K14" s="1">
        <v>-15000</v>
      </c>
      <c r="L14" s="1">
        <v>-15000</v>
      </c>
      <c r="M14" s="1">
        <v>-15000</v>
      </c>
      <c r="N14" s="1">
        <v>-15000</v>
      </c>
      <c r="O14" s="1">
        <v>-15000</v>
      </c>
      <c r="P14" s="1">
        <v>-180000</v>
      </c>
    </row>
    <row r="15" spans="1:18" x14ac:dyDescent="0.35">
      <c r="B15" s="3"/>
      <c r="D15" s="1"/>
      <c r="E15" s="1"/>
      <c r="F15" s="1"/>
      <c r="G15" s="1"/>
      <c r="H15" s="1"/>
      <c r="I15" s="1"/>
      <c r="J15" s="1"/>
      <c r="K15" s="1"/>
      <c r="L15" s="1"/>
      <c r="M15" s="1"/>
      <c r="N15" s="1"/>
      <c r="O15" s="1"/>
      <c r="P15" s="1"/>
    </row>
    <row r="16" spans="1:18" x14ac:dyDescent="0.35">
      <c r="B16" s="3" t="s">
        <v>2</v>
      </c>
      <c r="D16" s="1">
        <v>5000</v>
      </c>
      <c r="E16" s="1">
        <v>5000</v>
      </c>
      <c r="F16" s="1">
        <v>5000</v>
      </c>
      <c r="G16" s="1">
        <v>5000</v>
      </c>
      <c r="H16" s="1">
        <v>5000</v>
      </c>
      <c r="I16" s="1">
        <v>5000</v>
      </c>
      <c r="J16" s="1">
        <v>5000</v>
      </c>
      <c r="K16" s="1">
        <v>5000</v>
      </c>
      <c r="L16" s="1">
        <v>5000</v>
      </c>
      <c r="M16" s="1">
        <v>5000</v>
      </c>
      <c r="N16" s="1">
        <v>5000</v>
      </c>
      <c r="O16" s="1">
        <v>5000</v>
      </c>
      <c r="P16" s="1">
        <v>60000</v>
      </c>
    </row>
    <row r="17" hidden="1" x14ac:dyDescent="0.35"/>
    <row r="18" hidden="1" x14ac:dyDescent="0.35"/>
    <row r="19" hidden="1" x14ac:dyDescent="0.35"/>
    <row r="20" hidden="1" x14ac:dyDescent="0.35"/>
    <row r="21" hidden="1" x14ac:dyDescent="0.35"/>
    <row r="22" hidden="1" x14ac:dyDescent="0.35"/>
    <row r="23" hidden="1" x14ac:dyDescent="0.35"/>
    <row r="24" hidden="1" x14ac:dyDescent="0.35"/>
    <row r="25" hidden="1" x14ac:dyDescent="0.35"/>
    <row r="26" hidden="1" x14ac:dyDescent="0.35"/>
    <row r="27" hidden="1" x14ac:dyDescent="0.35"/>
    <row r="28" hidden="1" x14ac:dyDescent="0.35"/>
    <row r="29" hidden="1" x14ac:dyDescent="0.35"/>
    <row r="30" hidden="1" x14ac:dyDescent="0.35"/>
    <row r="31" hidden="1" x14ac:dyDescent="0.35"/>
    <row r="32" hidden="1" x14ac:dyDescent="0.35"/>
    <row r="33" hidden="1" x14ac:dyDescent="0.35"/>
    <row r="34" hidden="1" x14ac:dyDescent="0.35"/>
    <row r="35" hidden="1" x14ac:dyDescent="0.35"/>
    <row r="36" hidden="1" x14ac:dyDescent="0.35"/>
    <row r="37" hidden="1" x14ac:dyDescent="0.35"/>
    <row r="38" hidden="1" x14ac:dyDescent="0.35"/>
    <row r="39" hidden="1" x14ac:dyDescent="0.35"/>
    <row r="40" hidden="1" x14ac:dyDescent="0.35"/>
    <row r="41" hidden="1" x14ac:dyDescent="0.35"/>
    <row r="42" hidden="1" x14ac:dyDescent="0.35"/>
    <row r="43" hidden="1" x14ac:dyDescent="0.35"/>
    <row r="44" hidden="1" x14ac:dyDescent="0.35"/>
    <row r="45" hidden="1" x14ac:dyDescent="0.35"/>
    <row r="46" hidden="1" x14ac:dyDescent="0.35"/>
    <row r="47" hidden="1" x14ac:dyDescent="0.35"/>
    <row r="48"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row r="131" hidden="1" x14ac:dyDescent="0.35"/>
    <row r="132" hidden="1" x14ac:dyDescent="0.35"/>
    <row r="133" hidden="1" x14ac:dyDescent="0.35"/>
    <row r="134" hidden="1" x14ac:dyDescent="0.35"/>
    <row r="135" hidden="1" x14ac:dyDescent="0.35"/>
    <row r="136" hidden="1" x14ac:dyDescent="0.35"/>
    <row r="137" hidden="1" x14ac:dyDescent="0.35"/>
    <row r="138" hidden="1" x14ac:dyDescent="0.35"/>
    <row r="139" hidden="1" x14ac:dyDescent="0.35"/>
    <row r="140" hidden="1" x14ac:dyDescent="0.35"/>
    <row r="141" hidden="1" x14ac:dyDescent="0.35"/>
    <row r="142" hidden="1" x14ac:dyDescent="0.35"/>
    <row r="143" hidden="1" x14ac:dyDescent="0.35"/>
    <row r="144" hidden="1" x14ac:dyDescent="0.35"/>
    <row r="145" hidden="1" x14ac:dyDescent="0.35"/>
    <row r="146" hidden="1" x14ac:dyDescent="0.35"/>
    <row r="147" hidden="1" x14ac:dyDescent="0.35"/>
    <row r="148" hidden="1" x14ac:dyDescent="0.35"/>
    <row r="149" hidden="1" x14ac:dyDescent="0.35"/>
    <row r="150" hidden="1" x14ac:dyDescent="0.35"/>
    <row r="151" hidden="1" x14ac:dyDescent="0.35"/>
    <row r="152" hidden="1" x14ac:dyDescent="0.35"/>
    <row r="153" hidden="1" x14ac:dyDescent="0.35"/>
    <row r="154" hidden="1" x14ac:dyDescent="0.35"/>
    <row r="155" hidden="1" x14ac:dyDescent="0.35"/>
    <row r="156" hidden="1" x14ac:dyDescent="0.35"/>
    <row r="157" hidden="1" x14ac:dyDescent="0.35"/>
    <row r="158" hidden="1" x14ac:dyDescent="0.35"/>
    <row r="159" hidden="1" x14ac:dyDescent="0.35"/>
    <row r="160" hidden="1" x14ac:dyDescent="0.35"/>
    <row r="161" hidden="1" x14ac:dyDescent="0.35"/>
    <row r="162" hidden="1" x14ac:dyDescent="0.35"/>
    <row r="163" hidden="1" x14ac:dyDescent="0.35"/>
    <row r="164" hidden="1" x14ac:dyDescent="0.35"/>
    <row r="165" hidden="1" x14ac:dyDescent="0.35"/>
    <row r="166" hidden="1" x14ac:dyDescent="0.35"/>
    <row r="167" hidden="1" x14ac:dyDescent="0.35"/>
    <row r="168" hidden="1" x14ac:dyDescent="0.35"/>
    <row r="169" hidden="1" x14ac:dyDescent="0.35"/>
    <row r="170" hidden="1" x14ac:dyDescent="0.35"/>
    <row r="171" hidden="1" x14ac:dyDescent="0.35"/>
    <row r="172" hidden="1" x14ac:dyDescent="0.35"/>
    <row r="173" hidden="1" x14ac:dyDescent="0.35"/>
    <row r="174" hidden="1" x14ac:dyDescent="0.35"/>
    <row r="175" hidden="1" x14ac:dyDescent="0.35"/>
    <row r="176" hidden="1" x14ac:dyDescent="0.35"/>
    <row r="177" hidden="1" x14ac:dyDescent="0.35"/>
    <row r="178" hidden="1" x14ac:dyDescent="0.35"/>
    <row r="179" hidden="1" x14ac:dyDescent="0.35"/>
    <row r="180" hidden="1" x14ac:dyDescent="0.35"/>
    <row r="181" hidden="1" x14ac:dyDescent="0.35"/>
    <row r="182" hidden="1" x14ac:dyDescent="0.35"/>
    <row r="183" hidden="1" x14ac:dyDescent="0.35"/>
    <row r="184" hidden="1" x14ac:dyDescent="0.35"/>
    <row r="185" hidden="1" x14ac:dyDescent="0.35"/>
    <row r="186" hidden="1" x14ac:dyDescent="0.35"/>
    <row r="187" hidden="1" x14ac:dyDescent="0.35"/>
    <row r="188" hidden="1" x14ac:dyDescent="0.35"/>
    <row r="189" hidden="1" x14ac:dyDescent="0.35"/>
    <row r="190" hidden="1" x14ac:dyDescent="0.35"/>
    <row r="191" hidden="1" x14ac:dyDescent="0.35"/>
    <row r="192" hidden="1" x14ac:dyDescent="0.35"/>
    <row r="193" hidden="1" x14ac:dyDescent="0.35"/>
    <row r="194" hidden="1" x14ac:dyDescent="0.35"/>
    <row r="195" hidden="1" x14ac:dyDescent="0.35"/>
    <row r="196" hidden="1" x14ac:dyDescent="0.35"/>
    <row r="197" hidden="1" x14ac:dyDescent="0.35"/>
    <row r="198" hidden="1" x14ac:dyDescent="0.35"/>
    <row r="199" hidden="1" x14ac:dyDescent="0.35"/>
    <row r="200" hidden="1" x14ac:dyDescent="0.35"/>
    <row r="201" hidden="1" x14ac:dyDescent="0.35"/>
    <row r="202" hidden="1" x14ac:dyDescent="0.35"/>
    <row r="203" hidden="1" x14ac:dyDescent="0.35"/>
    <row r="204" hidden="1" x14ac:dyDescent="0.35"/>
    <row r="205" hidden="1" x14ac:dyDescent="0.35"/>
    <row r="206" hidden="1" x14ac:dyDescent="0.35"/>
    <row r="207" hidden="1" x14ac:dyDescent="0.35"/>
    <row r="208" hidden="1" x14ac:dyDescent="0.35"/>
    <row r="209" hidden="1" x14ac:dyDescent="0.35"/>
    <row r="210" hidden="1" x14ac:dyDescent="0.35"/>
    <row r="211" hidden="1" x14ac:dyDescent="0.35"/>
    <row r="212" hidden="1" x14ac:dyDescent="0.35"/>
    <row r="213" hidden="1" x14ac:dyDescent="0.35"/>
    <row r="214" hidden="1" x14ac:dyDescent="0.35"/>
    <row r="215" hidden="1" x14ac:dyDescent="0.35"/>
    <row r="216" hidden="1" x14ac:dyDescent="0.35"/>
    <row r="217" hidden="1" x14ac:dyDescent="0.35"/>
    <row r="218" hidden="1" x14ac:dyDescent="0.35"/>
    <row r="219" hidden="1" x14ac:dyDescent="0.35"/>
    <row r="220" hidden="1" x14ac:dyDescent="0.35"/>
    <row r="221" hidden="1" x14ac:dyDescent="0.35"/>
    <row r="222" hidden="1" x14ac:dyDescent="0.35"/>
    <row r="223" hidden="1" x14ac:dyDescent="0.35"/>
    <row r="224" hidden="1" x14ac:dyDescent="0.35"/>
    <row r="225" hidden="1" x14ac:dyDescent="0.35"/>
    <row r="226" hidden="1" x14ac:dyDescent="0.35"/>
    <row r="227" hidden="1" x14ac:dyDescent="0.35"/>
    <row r="228" hidden="1" x14ac:dyDescent="0.35"/>
    <row r="229" hidden="1" x14ac:dyDescent="0.35"/>
    <row r="230" hidden="1" x14ac:dyDescent="0.35"/>
    <row r="231" hidden="1" x14ac:dyDescent="0.35"/>
    <row r="232" hidden="1" x14ac:dyDescent="0.35"/>
    <row r="233" hidden="1" x14ac:dyDescent="0.35"/>
    <row r="234" hidden="1" x14ac:dyDescent="0.35"/>
    <row r="235" hidden="1" x14ac:dyDescent="0.35"/>
    <row r="236" hidden="1" x14ac:dyDescent="0.35"/>
    <row r="237" hidden="1" x14ac:dyDescent="0.35"/>
    <row r="238" hidden="1" x14ac:dyDescent="0.35"/>
    <row r="239" hidden="1" x14ac:dyDescent="0.35"/>
    <row r="240"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row r="274" hidden="1" x14ac:dyDescent="0.35"/>
    <row r="275" hidden="1" x14ac:dyDescent="0.35"/>
    <row r="276" hidden="1" x14ac:dyDescent="0.35"/>
    <row r="277" hidden="1" x14ac:dyDescent="0.35"/>
    <row r="278" hidden="1" x14ac:dyDescent="0.35"/>
    <row r="279" hidden="1" x14ac:dyDescent="0.35"/>
    <row r="280" hidden="1" x14ac:dyDescent="0.35"/>
    <row r="281" hidden="1" x14ac:dyDescent="0.35"/>
    <row r="282" hidden="1" x14ac:dyDescent="0.35"/>
    <row r="283" hidden="1" x14ac:dyDescent="0.35"/>
    <row r="284" hidden="1" x14ac:dyDescent="0.35"/>
    <row r="285" hidden="1" x14ac:dyDescent="0.35"/>
    <row r="286" hidden="1" x14ac:dyDescent="0.35"/>
    <row r="287" hidden="1" x14ac:dyDescent="0.35"/>
    <row r="288" hidden="1" x14ac:dyDescent="0.35"/>
    <row r="289" hidden="1" x14ac:dyDescent="0.35"/>
    <row r="290" hidden="1" x14ac:dyDescent="0.35"/>
    <row r="291" hidden="1" x14ac:dyDescent="0.35"/>
    <row r="292" hidden="1" x14ac:dyDescent="0.35"/>
    <row r="293" hidden="1" x14ac:dyDescent="0.35"/>
    <row r="294" hidden="1" x14ac:dyDescent="0.35"/>
    <row r="295" hidden="1" x14ac:dyDescent="0.35"/>
    <row r="296" hidden="1" x14ac:dyDescent="0.35"/>
    <row r="297" hidden="1" x14ac:dyDescent="0.35"/>
    <row r="298" hidden="1" x14ac:dyDescent="0.35"/>
    <row r="299" hidden="1" x14ac:dyDescent="0.35"/>
    <row r="300" hidden="1" x14ac:dyDescent="0.35"/>
    <row r="301" hidden="1" x14ac:dyDescent="0.35"/>
    <row r="302" hidden="1" x14ac:dyDescent="0.35"/>
    <row r="303" hidden="1" x14ac:dyDescent="0.35"/>
    <row r="304" hidden="1" x14ac:dyDescent="0.35"/>
    <row r="305" hidden="1" x14ac:dyDescent="0.35"/>
    <row r="306" hidden="1" x14ac:dyDescent="0.35"/>
    <row r="307" hidden="1" x14ac:dyDescent="0.35"/>
    <row r="308" hidden="1" x14ac:dyDescent="0.35"/>
    <row r="309" hidden="1" x14ac:dyDescent="0.35"/>
    <row r="310" hidden="1" x14ac:dyDescent="0.35"/>
    <row r="311" hidden="1" x14ac:dyDescent="0.35"/>
    <row r="312" hidden="1" x14ac:dyDescent="0.35"/>
    <row r="313" hidden="1" x14ac:dyDescent="0.35"/>
    <row r="314" hidden="1" x14ac:dyDescent="0.35"/>
    <row r="315" hidden="1" x14ac:dyDescent="0.35"/>
    <row r="316" hidden="1" x14ac:dyDescent="0.35"/>
    <row r="317" hidden="1" x14ac:dyDescent="0.35"/>
    <row r="318" hidden="1" x14ac:dyDescent="0.35"/>
    <row r="319" hidden="1" x14ac:dyDescent="0.35"/>
    <row r="320" hidden="1" x14ac:dyDescent="0.35"/>
    <row r="321" hidden="1" x14ac:dyDescent="0.35"/>
    <row r="322" hidden="1" x14ac:dyDescent="0.35"/>
    <row r="323" hidden="1" x14ac:dyDescent="0.35"/>
    <row r="324" hidden="1" x14ac:dyDescent="0.35"/>
    <row r="325" hidden="1" x14ac:dyDescent="0.35"/>
    <row r="326" hidden="1" x14ac:dyDescent="0.35"/>
    <row r="327" hidden="1" x14ac:dyDescent="0.35"/>
    <row r="328" hidden="1" x14ac:dyDescent="0.35"/>
    <row r="329" hidden="1" x14ac:dyDescent="0.35"/>
    <row r="330" hidden="1" x14ac:dyDescent="0.35"/>
    <row r="331" hidden="1" x14ac:dyDescent="0.35"/>
    <row r="332" hidden="1" x14ac:dyDescent="0.35"/>
    <row r="333" hidden="1" x14ac:dyDescent="0.35"/>
    <row r="334" hidden="1" x14ac:dyDescent="0.35"/>
    <row r="335" hidden="1" x14ac:dyDescent="0.35"/>
    <row r="336" hidden="1" x14ac:dyDescent="0.35"/>
    <row r="337" hidden="1" x14ac:dyDescent="0.35"/>
    <row r="338" hidden="1" x14ac:dyDescent="0.35"/>
    <row r="339" hidden="1" x14ac:dyDescent="0.35"/>
    <row r="340" hidden="1" x14ac:dyDescent="0.35"/>
    <row r="341" hidden="1" x14ac:dyDescent="0.35"/>
    <row r="342" hidden="1" x14ac:dyDescent="0.35"/>
    <row r="343" hidden="1" x14ac:dyDescent="0.35"/>
    <row r="344" hidden="1" x14ac:dyDescent="0.35"/>
    <row r="345" hidden="1" x14ac:dyDescent="0.35"/>
    <row r="346" hidden="1" x14ac:dyDescent="0.35"/>
    <row r="347" hidden="1" x14ac:dyDescent="0.35"/>
    <row r="348" hidden="1" x14ac:dyDescent="0.35"/>
    <row r="349" hidden="1" x14ac:dyDescent="0.35"/>
    <row r="350" hidden="1" x14ac:dyDescent="0.35"/>
    <row r="351" hidden="1" x14ac:dyDescent="0.35"/>
    <row r="352" hidden="1" x14ac:dyDescent="0.35"/>
    <row r="353" hidden="1" x14ac:dyDescent="0.35"/>
    <row r="354" hidden="1" x14ac:dyDescent="0.35"/>
    <row r="355" hidden="1" x14ac:dyDescent="0.35"/>
    <row r="356" hidden="1" x14ac:dyDescent="0.35"/>
    <row r="357" hidden="1" x14ac:dyDescent="0.35"/>
    <row r="358" hidden="1" x14ac:dyDescent="0.35"/>
    <row r="359" hidden="1" x14ac:dyDescent="0.35"/>
    <row r="360" hidden="1" x14ac:dyDescent="0.35"/>
    <row r="361" hidden="1" x14ac:dyDescent="0.35"/>
    <row r="362" hidden="1" x14ac:dyDescent="0.35"/>
    <row r="363" hidden="1" x14ac:dyDescent="0.35"/>
    <row r="364" hidden="1" x14ac:dyDescent="0.35"/>
    <row r="365" hidden="1" x14ac:dyDescent="0.35"/>
    <row r="366" hidden="1" x14ac:dyDescent="0.35"/>
    <row r="367" hidden="1" x14ac:dyDescent="0.35"/>
    <row r="368" hidden="1" x14ac:dyDescent="0.35"/>
    <row r="369" hidden="1" x14ac:dyDescent="0.35"/>
    <row r="370" hidden="1" x14ac:dyDescent="0.35"/>
    <row r="371" hidden="1" x14ac:dyDescent="0.35"/>
    <row r="372" hidden="1" x14ac:dyDescent="0.35"/>
    <row r="373" hidden="1" x14ac:dyDescent="0.35"/>
    <row r="374" hidden="1" x14ac:dyDescent="0.35"/>
    <row r="375" hidden="1" x14ac:dyDescent="0.35"/>
    <row r="376" hidden="1" x14ac:dyDescent="0.35"/>
    <row r="377" hidden="1" x14ac:dyDescent="0.35"/>
    <row r="378" hidden="1" x14ac:dyDescent="0.35"/>
    <row r="379" hidden="1" x14ac:dyDescent="0.35"/>
    <row r="380" hidden="1" x14ac:dyDescent="0.35"/>
    <row r="381" hidden="1" x14ac:dyDescent="0.35"/>
    <row r="382" hidden="1" x14ac:dyDescent="0.35"/>
    <row r="383" hidden="1" x14ac:dyDescent="0.35"/>
    <row r="384" hidden="1" x14ac:dyDescent="0.35"/>
    <row r="385" hidden="1" x14ac:dyDescent="0.35"/>
    <row r="386" hidden="1" x14ac:dyDescent="0.35"/>
    <row r="387" hidden="1" x14ac:dyDescent="0.35"/>
    <row r="388" hidden="1" x14ac:dyDescent="0.35"/>
    <row r="389" hidden="1" x14ac:dyDescent="0.35"/>
    <row r="390" hidden="1" x14ac:dyDescent="0.35"/>
    <row r="391" hidden="1" x14ac:dyDescent="0.35"/>
    <row r="392" hidden="1" x14ac:dyDescent="0.35"/>
    <row r="393" hidden="1" x14ac:dyDescent="0.35"/>
    <row r="394" hidden="1" x14ac:dyDescent="0.35"/>
    <row r="395" hidden="1" x14ac:dyDescent="0.35"/>
    <row r="396" hidden="1" x14ac:dyDescent="0.35"/>
    <row r="397" hidden="1" x14ac:dyDescent="0.35"/>
    <row r="398" hidden="1" x14ac:dyDescent="0.35"/>
    <row r="399" hidden="1" x14ac:dyDescent="0.35"/>
    <row r="400" hidden="1" x14ac:dyDescent="0.35"/>
    <row r="401" hidden="1" x14ac:dyDescent="0.35"/>
    <row r="402" hidden="1" x14ac:dyDescent="0.35"/>
    <row r="403" hidden="1" x14ac:dyDescent="0.35"/>
    <row r="404" hidden="1" x14ac:dyDescent="0.35"/>
    <row r="405" hidden="1" x14ac:dyDescent="0.35"/>
    <row r="406" hidden="1" x14ac:dyDescent="0.35"/>
    <row r="407" hidden="1" x14ac:dyDescent="0.35"/>
    <row r="408" hidden="1" x14ac:dyDescent="0.35"/>
    <row r="409" hidden="1" x14ac:dyDescent="0.35"/>
    <row r="410" hidden="1" x14ac:dyDescent="0.35"/>
    <row r="411" hidden="1" x14ac:dyDescent="0.35"/>
    <row r="412" hidden="1" x14ac:dyDescent="0.35"/>
    <row r="413" hidden="1" x14ac:dyDescent="0.35"/>
    <row r="414" hidden="1" x14ac:dyDescent="0.35"/>
    <row r="415" hidden="1" x14ac:dyDescent="0.35"/>
    <row r="416" hidden="1" x14ac:dyDescent="0.35"/>
    <row r="417" hidden="1" x14ac:dyDescent="0.35"/>
    <row r="418" hidden="1" x14ac:dyDescent="0.35"/>
    <row r="419" hidden="1" x14ac:dyDescent="0.35"/>
    <row r="420" hidden="1" x14ac:dyDescent="0.35"/>
    <row r="421" hidden="1" x14ac:dyDescent="0.35"/>
    <row r="422" hidden="1" x14ac:dyDescent="0.35"/>
    <row r="423" hidden="1" x14ac:dyDescent="0.35"/>
    <row r="424" hidden="1" x14ac:dyDescent="0.35"/>
    <row r="425" hidden="1" x14ac:dyDescent="0.35"/>
    <row r="426" hidden="1" x14ac:dyDescent="0.35"/>
    <row r="427" hidden="1" x14ac:dyDescent="0.35"/>
    <row r="428" hidden="1" x14ac:dyDescent="0.35"/>
    <row r="429" hidden="1" x14ac:dyDescent="0.35"/>
    <row r="430" hidden="1" x14ac:dyDescent="0.35"/>
    <row r="431" hidden="1" x14ac:dyDescent="0.35"/>
    <row r="432" hidden="1" x14ac:dyDescent="0.35"/>
    <row r="433" hidden="1" x14ac:dyDescent="0.35"/>
    <row r="434" hidden="1" x14ac:dyDescent="0.35"/>
    <row r="435" hidden="1" x14ac:dyDescent="0.35"/>
    <row r="436" hidden="1" x14ac:dyDescent="0.35"/>
    <row r="437" hidden="1" x14ac:dyDescent="0.35"/>
    <row r="438" hidden="1" x14ac:dyDescent="0.35"/>
    <row r="439" hidden="1" x14ac:dyDescent="0.35"/>
    <row r="440" hidden="1" x14ac:dyDescent="0.35"/>
    <row r="441" hidden="1" x14ac:dyDescent="0.35"/>
    <row r="442" hidden="1" x14ac:dyDescent="0.35"/>
    <row r="443" hidden="1" x14ac:dyDescent="0.35"/>
    <row r="444" hidden="1" x14ac:dyDescent="0.35"/>
    <row r="445" hidden="1" x14ac:dyDescent="0.35"/>
    <row r="446" hidden="1" x14ac:dyDescent="0.35"/>
    <row r="447" hidden="1" x14ac:dyDescent="0.35"/>
    <row r="448" hidden="1" x14ac:dyDescent="0.35"/>
    <row r="449" hidden="1" x14ac:dyDescent="0.35"/>
    <row r="450" hidden="1" x14ac:dyDescent="0.35"/>
    <row r="451" hidden="1" x14ac:dyDescent="0.35"/>
    <row r="452" hidden="1" x14ac:dyDescent="0.35"/>
    <row r="453" hidden="1" x14ac:dyDescent="0.35"/>
    <row r="454" hidden="1" x14ac:dyDescent="0.35"/>
    <row r="455" hidden="1" x14ac:dyDescent="0.35"/>
    <row r="456" hidden="1" x14ac:dyDescent="0.35"/>
    <row r="457" hidden="1" x14ac:dyDescent="0.35"/>
    <row r="458" hidden="1" x14ac:dyDescent="0.35"/>
    <row r="459" hidden="1" x14ac:dyDescent="0.35"/>
    <row r="460" hidden="1" x14ac:dyDescent="0.35"/>
    <row r="461" hidden="1" x14ac:dyDescent="0.35"/>
    <row r="462" hidden="1" x14ac:dyDescent="0.35"/>
    <row r="463" hidden="1" x14ac:dyDescent="0.35"/>
    <row r="464" hidden="1" x14ac:dyDescent="0.35"/>
    <row r="465" hidden="1" x14ac:dyDescent="0.35"/>
    <row r="466" hidden="1" x14ac:dyDescent="0.35"/>
    <row r="467" hidden="1" x14ac:dyDescent="0.35"/>
    <row r="468" hidden="1" x14ac:dyDescent="0.35"/>
    <row r="469" hidden="1" x14ac:dyDescent="0.35"/>
    <row r="470" hidden="1" x14ac:dyDescent="0.35"/>
    <row r="471" hidden="1" x14ac:dyDescent="0.35"/>
    <row r="472" hidden="1" x14ac:dyDescent="0.35"/>
    <row r="473" hidden="1" x14ac:dyDescent="0.35"/>
    <row r="474" hidden="1" x14ac:dyDescent="0.35"/>
    <row r="475" hidden="1" x14ac:dyDescent="0.35"/>
    <row r="476" hidden="1" x14ac:dyDescent="0.35"/>
    <row r="477" hidden="1" x14ac:dyDescent="0.35"/>
    <row r="478" hidden="1" x14ac:dyDescent="0.35"/>
    <row r="479" hidden="1" x14ac:dyDescent="0.35"/>
    <row r="480" hidden="1" x14ac:dyDescent="0.35"/>
    <row r="481" hidden="1" x14ac:dyDescent="0.35"/>
    <row r="482" hidden="1" x14ac:dyDescent="0.35"/>
    <row r="483" hidden="1" x14ac:dyDescent="0.35"/>
    <row r="484" hidden="1" x14ac:dyDescent="0.35"/>
    <row r="485" hidden="1" x14ac:dyDescent="0.35"/>
    <row r="486" hidden="1" x14ac:dyDescent="0.35"/>
    <row r="487" hidden="1" x14ac:dyDescent="0.35"/>
    <row r="488" hidden="1" x14ac:dyDescent="0.35"/>
    <row r="489" hidden="1" x14ac:dyDescent="0.35"/>
    <row r="490" hidden="1" x14ac:dyDescent="0.35"/>
    <row r="491" hidden="1" x14ac:dyDescent="0.35"/>
    <row r="492" hidden="1" x14ac:dyDescent="0.35"/>
    <row r="493" hidden="1" x14ac:dyDescent="0.35"/>
    <row r="494" hidden="1" x14ac:dyDescent="0.35"/>
    <row r="495" hidden="1" x14ac:dyDescent="0.35"/>
    <row r="496" hidden="1" x14ac:dyDescent="0.35"/>
    <row r="497" hidden="1" x14ac:dyDescent="0.35"/>
    <row r="498" hidden="1" x14ac:dyDescent="0.35"/>
    <row r="499" hidden="1" x14ac:dyDescent="0.35"/>
    <row r="500" hidden="1" x14ac:dyDescent="0.35"/>
    <row r="501" hidden="1" x14ac:dyDescent="0.35"/>
    <row r="502" hidden="1" x14ac:dyDescent="0.35"/>
    <row r="503" hidden="1" x14ac:dyDescent="0.35"/>
    <row r="504" hidden="1" x14ac:dyDescent="0.35"/>
    <row r="505" hidden="1" x14ac:dyDescent="0.35"/>
    <row r="506" hidden="1" x14ac:dyDescent="0.35"/>
    <row r="507" hidden="1" x14ac:dyDescent="0.35"/>
    <row r="508" hidden="1" x14ac:dyDescent="0.35"/>
    <row r="509" hidden="1" x14ac:dyDescent="0.35"/>
    <row r="510" hidden="1" x14ac:dyDescent="0.35"/>
    <row r="511" hidden="1" x14ac:dyDescent="0.35"/>
    <row r="512" hidden="1" x14ac:dyDescent="0.35"/>
    <row r="513" hidden="1" x14ac:dyDescent="0.35"/>
    <row r="514" hidden="1" x14ac:dyDescent="0.35"/>
    <row r="515" hidden="1" x14ac:dyDescent="0.35"/>
    <row r="516" hidden="1" x14ac:dyDescent="0.35"/>
    <row r="517" hidden="1" x14ac:dyDescent="0.35"/>
    <row r="518" hidden="1" x14ac:dyDescent="0.35"/>
    <row r="519" hidden="1" x14ac:dyDescent="0.35"/>
    <row r="520" hidden="1" x14ac:dyDescent="0.35"/>
    <row r="521" hidden="1" x14ac:dyDescent="0.35"/>
    <row r="522" hidden="1" x14ac:dyDescent="0.35"/>
    <row r="523" hidden="1" x14ac:dyDescent="0.35"/>
    <row r="524" hidden="1" x14ac:dyDescent="0.35"/>
    <row r="525" hidden="1" x14ac:dyDescent="0.35"/>
    <row r="526" hidden="1" x14ac:dyDescent="0.35"/>
    <row r="527" hidden="1" x14ac:dyDescent="0.35"/>
    <row r="528" hidden="1" x14ac:dyDescent="0.35"/>
    <row r="529" hidden="1" x14ac:dyDescent="0.35"/>
    <row r="530" hidden="1" x14ac:dyDescent="0.35"/>
    <row r="531" hidden="1" x14ac:dyDescent="0.35"/>
    <row r="532" hidden="1" x14ac:dyDescent="0.35"/>
    <row r="533" hidden="1" x14ac:dyDescent="0.35"/>
    <row r="534" hidden="1" x14ac:dyDescent="0.35"/>
    <row r="535" hidden="1" x14ac:dyDescent="0.35"/>
    <row r="536" hidden="1" x14ac:dyDescent="0.35"/>
    <row r="537" hidden="1" x14ac:dyDescent="0.35"/>
    <row r="538" hidden="1" x14ac:dyDescent="0.35"/>
    <row r="539" hidden="1" x14ac:dyDescent="0.35"/>
    <row r="540" hidden="1" x14ac:dyDescent="0.35"/>
    <row r="541" hidden="1" x14ac:dyDescent="0.35"/>
    <row r="542" hidden="1" x14ac:dyDescent="0.35"/>
    <row r="543" hidden="1" x14ac:dyDescent="0.35"/>
    <row r="544" hidden="1" x14ac:dyDescent="0.35"/>
    <row r="545" hidden="1" x14ac:dyDescent="0.35"/>
    <row r="546" hidden="1" x14ac:dyDescent="0.35"/>
    <row r="547" hidden="1" x14ac:dyDescent="0.35"/>
    <row r="548" hidden="1" x14ac:dyDescent="0.35"/>
    <row r="549" hidden="1" x14ac:dyDescent="0.35"/>
    <row r="550" hidden="1" x14ac:dyDescent="0.35"/>
    <row r="551" hidden="1" x14ac:dyDescent="0.35"/>
    <row r="552" hidden="1" x14ac:dyDescent="0.35"/>
    <row r="553" hidden="1" x14ac:dyDescent="0.35"/>
    <row r="554" hidden="1" x14ac:dyDescent="0.35"/>
    <row r="555" hidden="1" x14ac:dyDescent="0.35"/>
    <row r="556" hidden="1" x14ac:dyDescent="0.35"/>
    <row r="557" hidden="1" x14ac:dyDescent="0.35"/>
    <row r="558" hidden="1" x14ac:dyDescent="0.35"/>
    <row r="559" hidden="1" x14ac:dyDescent="0.35"/>
    <row r="560" hidden="1" x14ac:dyDescent="0.35"/>
    <row r="561" hidden="1" x14ac:dyDescent="0.35"/>
    <row r="562" hidden="1" x14ac:dyDescent="0.35"/>
    <row r="563" hidden="1" x14ac:dyDescent="0.35"/>
    <row r="564" hidden="1" x14ac:dyDescent="0.35"/>
    <row r="565" hidden="1" x14ac:dyDescent="0.35"/>
    <row r="566" hidden="1" x14ac:dyDescent="0.35"/>
    <row r="567" hidden="1" x14ac:dyDescent="0.35"/>
    <row r="568" hidden="1" x14ac:dyDescent="0.35"/>
    <row r="569" hidden="1" x14ac:dyDescent="0.35"/>
    <row r="570" hidden="1" x14ac:dyDescent="0.35"/>
    <row r="571" hidden="1" x14ac:dyDescent="0.35"/>
    <row r="572" hidden="1" x14ac:dyDescent="0.35"/>
    <row r="573" hidden="1" x14ac:dyDescent="0.35"/>
    <row r="574" hidden="1" x14ac:dyDescent="0.35"/>
    <row r="575" hidden="1" x14ac:dyDescent="0.35"/>
    <row r="576" hidden="1" x14ac:dyDescent="0.35"/>
    <row r="577" hidden="1" x14ac:dyDescent="0.35"/>
    <row r="578" hidden="1" x14ac:dyDescent="0.35"/>
    <row r="579" hidden="1" x14ac:dyDescent="0.35"/>
    <row r="580" hidden="1" x14ac:dyDescent="0.35"/>
    <row r="581" hidden="1" x14ac:dyDescent="0.35"/>
    <row r="582" hidden="1" x14ac:dyDescent="0.35"/>
    <row r="583" hidden="1" x14ac:dyDescent="0.35"/>
    <row r="584" hidden="1" x14ac:dyDescent="0.35"/>
    <row r="585" hidden="1" x14ac:dyDescent="0.35"/>
    <row r="586" hidden="1" x14ac:dyDescent="0.35"/>
    <row r="587" hidden="1" x14ac:dyDescent="0.35"/>
    <row r="588" hidden="1" x14ac:dyDescent="0.35"/>
    <row r="589" hidden="1" x14ac:dyDescent="0.35"/>
    <row r="590" hidden="1" x14ac:dyDescent="0.35"/>
    <row r="591" hidden="1" x14ac:dyDescent="0.35"/>
    <row r="592" hidden="1" x14ac:dyDescent="0.35"/>
    <row r="593" hidden="1" x14ac:dyDescent="0.35"/>
    <row r="594" hidden="1" x14ac:dyDescent="0.35"/>
    <row r="595" hidden="1" x14ac:dyDescent="0.35"/>
    <row r="596" hidden="1" x14ac:dyDescent="0.35"/>
    <row r="597" hidden="1" x14ac:dyDescent="0.35"/>
    <row r="598" hidden="1" x14ac:dyDescent="0.35"/>
    <row r="599" hidden="1" x14ac:dyDescent="0.35"/>
    <row r="600" hidden="1" x14ac:dyDescent="0.35"/>
    <row r="601" hidden="1" x14ac:dyDescent="0.35"/>
    <row r="602" hidden="1" x14ac:dyDescent="0.35"/>
    <row r="603" hidden="1" x14ac:dyDescent="0.35"/>
    <row r="604" hidden="1" x14ac:dyDescent="0.35"/>
    <row r="605" hidden="1" x14ac:dyDescent="0.35"/>
    <row r="606" hidden="1" x14ac:dyDescent="0.35"/>
    <row r="607" hidden="1" x14ac:dyDescent="0.35"/>
    <row r="608" hidden="1" x14ac:dyDescent="0.35"/>
    <row r="609" hidden="1" x14ac:dyDescent="0.35"/>
    <row r="610" hidden="1" x14ac:dyDescent="0.35"/>
    <row r="611" hidden="1" x14ac:dyDescent="0.35"/>
    <row r="612" hidden="1" x14ac:dyDescent="0.35"/>
    <row r="613" hidden="1" x14ac:dyDescent="0.35"/>
    <row r="614" hidden="1" x14ac:dyDescent="0.35"/>
    <row r="615" hidden="1" x14ac:dyDescent="0.35"/>
    <row r="616" hidden="1" x14ac:dyDescent="0.35"/>
    <row r="617" hidden="1" x14ac:dyDescent="0.35"/>
    <row r="618" hidden="1" x14ac:dyDescent="0.35"/>
    <row r="619" hidden="1" x14ac:dyDescent="0.35"/>
    <row r="620" hidden="1" x14ac:dyDescent="0.35"/>
    <row r="621" hidden="1" x14ac:dyDescent="0.35"/>
    <row r="622" hidden="1" x14ac:dyDescent="0.35"/>
    <row r="623" hidden="1" x14ac:dyDescent="0.35"/>
    <row r="624" hidden="1" x14ac:dyDescent="0.35"/>
    <row r="625" hidden="1" x14ac:dyDescent="0.35"/>
    <row r="626" hidden="1" x14ac:dyDescent="0.35"/>
    <row r="627" hidden="1" x14ac:dyDescent="0.35"/>
    <row r="628" hidden="1" x14ac:dyDescent="0.35"/>
    <row r="629" hidden="1" x14ac:dyDescent="0.35"/>
    <row r="630" hidden="1" x14ac:dyDescent="0.35"/>
    <row r="631" hidden="1" x14ac:dyDescent="0.35"/>
    <row r="632" hidden="1" x14ac:dyDescent="0.35"/>
    <row r="633" hidden="1" x14ac:dyDescent="0.35"/>
    <row r="634" hidden="1" x14ac:dyDescent="0.35"/>
    <row r="635" hidden="1" x14ac:dyDescent="0.35"/>
    <row r="636" hidden="1" x14ac:dyDescent="0.35"/>
    <row r="637" hidden="1" x14ac:dyDescent="0.35"/>
    <row r="638" hidden="1" x14ac:dyDescent="0.35"/>
    <row r="639" hidden="1" x14ac:dyDescent="0.35"/>
    <row r="640" hidden="1" x14ac:dyDescent="0.35"/>
    <row r="641" hidden="1" x14ac:dyDescent="0.35"/>
    <row r="642" hidden="1" x14ac:dyDescent="0.35"/>
    <row r="643" hidden="1" x14ac:dyDescent="0.35"/>
    <row r="644" hidden="1" x14ac:dyDescent="0.35"/>
    <row r="645" hidden="1" x14ac:dyDescent="0.35"/>
    <row r="646" hidden="1" x14ac:dyDescent="0.35"/>
    <row r="647" hidden="1" x14ac:dyDescent="0.35"/>
    <row r="648" hidden="1" x14ac:dyDescent="0.35"/>
    <row r="649" hidden="1" x14ac:dyDescent="0.35"/>
    <row r="650" hidden="1" x14ac:dyDescent="0.35"/>
    <row r="651" hidden="1" x14ac:dyDescent="0.35"/>
    <row r="652" hidden="1" x14ac:dyDescent="0.35"/>
    <row r="653" hidden="1" x14ac:dyDescent="0.35"/>
    <row r="654" hidden="1" x14ac:dyDescent="0.35"/>
    <row r="655" hidden="1" x14ac:dyDescent="0.35"/>
    <row r="656" hidden="1" x14ac:dyDescent="0.35"/>
    <row r="657" hidden="1" x14ac:dyDescent="0.35"/>
    <row r="658" hidden="1" x14ac:dyDescent="0.35"/>
    <row r="659" hidden="1" x14ac:dyDescent="0.35"/>
    <row r="660" hidden="1" x14ac:dyDescent="0.35"/>
    <row r="661" hidden="1" x14ac:dyDescent="0.35"/>
    <row r="662" hidden="1" x14ac:dyDescent="0.35"/>
    <row r="663" hidden="1" x14ac:dyDescent="0.35"/>
    <row r="664" hidden="1" x14ac:dyDescent="0.35"/>
    <row r="665" hidden="1" x14ac:dyDescent="0.35"/>
    <row r="666" hidden="1" x14ac:dyDescent="0.35"/>
    <row r="667" hidden="1" x14ac:dyDescent="0.35"/>
    <row r="668" hidden="1" x14ac:dyDescent="0.35"/>
    <row r="669" hidden="1" x14ac:dyDescent="0.35"/>
    <row r="670" hidden="1" x14ac:dyDescent="0.35"/>
    <row r="671" hidden="1" x14ac:dyDescent="0.35"/>
    <row r="672" hidden="1" x14ac:dyDescent="0.35"/>
    <row r="673" hidden="1" x14ac:dyDescent="0.35"/>
    <row r="674" hidden="1" x14ac:dyDescent="0.35"/>
    <row r="675" hidden="1" x14ac:dyDescent="0.35"/>
    <row r="676" hidden="1" x14ac:dyDescent="0.35"/>
    <row r="677" hidden="1" x14ac:dyDescent="0.35"/>
    <row r="678" hidden="1" x14ac:dyDescent="0.35"/>
    <row r="679" hidden="1" x14ac:dyDescent="0.35"/>
    <row r="680" hidden="1" x14ac:dyDescent="0.35"/>
    <row r="681" hidden="1" x14ac:dyDescent="0.35"/>
    <row r="682" hidden="1" x14ac:dyDescent="0.35"/>
    <row r="683" hidden="1" x14ac:dyDescent="0.35"/>
    <row r="684" hidden="1" x14ac:dyDescent="0.35"/>
    <row r="685" hidden="1" x14ac:dyDescent="0.35"/>
    <row r="686" hidden="1" x14ac:dyDescent="0.35"/>
    <row r="687" hidden="1" x14ac:dyDescent="0.35"/>
    <row r="688" hidden="1" x14ac:dyDescent="0.35"/>
    <row r="689" hidden="1" x14ac:dyDescent="0.35"/>
    <row r="690" hidden="1" x14ac:dyDescent="0.35"/>
    <row r="691" hidden="1" x14ac:dyDescent="0.35"/>
    <row r="692" hidden="1" x14ac:dyDescent="0.35"/>
    <row r="693" hidden="1" x14ac:dyDescent="0.35"/>
    <row r="694" hidden="1" x14ac:dyDescent="0.35"/>
    <row r="695" hidden="1" x14ac:dyDescent="0.35"/>
    <row r="696" hidden="1" x14ac:dyDescent="0.35"/>
    <row r="697" hidden="1" x14ac:dyDescent="0.35"/>
    <row r="698" hidden="1" x14ac:dyDescent="0.35"/>
    <row r="699" hidden="1" x14ac:dyDescent="0.35"/>
    <row r="700" hidden="1" x14ac:dyDescent="0.35"/>
    <row r="701" hidden="1" x14ac:dyDescent="0.35"/>
    <row r="702" hidden="1" x14ac:dyDescent="0.35"/>
    <row r="703" hidden="1" x14ac:dyDescent="0.35"/>
    <row r="704" hidden="1" x14ac:dyDescent="0.35"/>
    <row r="705" hidden="1" x14ac:dyDescent="0.35"/>
    <row r="706" hidden="1" x14ac:dyDescent="0.35"/>
    <row r="707" hidden="1" x14ac:dyDescent="0.35"/>
    <row r="708" hidden="1" x14ac:dyDescent="0.35"/>
    <row r="709" hidden="1" x14ac:dyDescent="0.35"/>
    <row r="710" hidden="1" x14ac:dyDescent="0.35"/>
    <row r="711" hidden="1" x14ac:dyDescent="0.35"/>
    <row r="712" hidden="1" x14ac:dyDescent="0.35"/>
    <row r="713" hidden="1" x14ac:dyDescent="0.35"/>
    <row r="714" hidden="1" x14ac:dyDescent="0.35"/>
    <row r="715" hidden="1" x14ac:dyDescent="0.35"/>
    <row r="716" hidden="1" x14ac:dyDescent="0.35"/>
    <row r="717" hidden="1" x14ac:dyDescent="0.35"/>
    <row r="718" hidden="1" x14ac:dyDescent="0.35"/>
    <row r="719" hidden="1" x14ac:dyDescent="0.35"/>
    <row r="720" hidden="1" x14ac:dyDescent="0.35"/>
    <row r="721" hidden="1" x14ac:dyDescent="0.35"/>
    <row r="722" hidden="1" x14ac:dyDescent="0.35"/>
    <row r="723" hidden="1" x14ac:dyDescent="0.35"/>
    <row r="724" hidden="1" x14ac:dyDescent="0.35"/>
    <row r="725" hidden="1" x14ac:dyDescent="0.35"/>
    <row r="726" hidden="1" x14ac:dyDescent="0.35"/>
    <row r="727" hidden="1" x14ac:dyDescent="0.35"/>
    <row r="728" hidden="1" x14ac:dyDescent="0.35"/>
    <row r="729" hidden="1" x14ac:dyDescent="0.35"/>
    <row r="730" hidden="1" x14ac:dyDescent="0.35"/>
    <row r="731" hidden="1" x14ac:dyDescent="0.35"/>
    <row r="732" hidden="1" x14ac:dyDescent="0.35"/>
    <row r="733" hidden="1" x14ac:dyDescent="0.35"/>
    <row r="734" hidden="1" x14ac:dyDescent="0.35"/>
    <row r="735" hidden="1" x14ac:dyDescent="0.35"/>
    <row r="736" hidden="1" x14ac:dyDescent="0.35"/>
    <row r="737" hidden="1" x14ac:dyDescent="0.35"/>
    <row r="738" hidden="1" x14ac:dyDescent="0.35"/>
    <row r="739" hidden="1" x14ac:dyDescent="0.35"/>
    <row r="740" hidden="1" x14ac:dyDescent="0.35"/>
    <row r="741" hidden="1" x14ac:dyDescent="0.35"/>
    <row r="742" hidden="1" x14ac:dyDescent="0.35"/>
    <row r="743" hidden="1" x14ac:dyDescent="0.35"/>
    <row r="744" hidden="1" x14ac:dyDescent="0.35"/>
    <row r="745" hidden="1" x14ac:dyDescent="0.35"/>
    <row r="746" hidden="1" x14ac:dyDescent="0.35"/>
    <row r="747" hidden="1" x14ac:dyDescent="0.35"/>
    <row r="748" hidden="1" x14ac:dyDescent="0.35"/>
    <row r="749" hidden="1" x14ac:dyDescent="0.35"/>
    <row r="750" hidden="1" x14ac:dyDescent="0.35"/>
    <row r="751" hidden="1" x14ac:dyDescent="0.35"/>
    <row r="752" hidden="1" x14ac:dyDescent="0.35"/>
    <row r="753" hidden="1" x14ac:dyDescent="0.35"/>
    <row r="754" hidden="1" x14ac:dyDescent="0.35"/>
    <row r="755" hidden="1" x14ac:dyDescent="0.35"/>
    <row r="756" hidden="1" x14ac:dyDescent="0.35"/>
    <row r="757" hidden="1" x14ac:dyDescent="0.35"/>
    <row r="758" hidden="1" x14ac:dyDescent="0.35"/>
    <row r="759" hidden="1" x14ac:dyDescent="0.35"/>
    <row r="760" hidden="1" x14ac:dyDescent="0.35"/>
    <row r="761" hidden="1" x14ac:dyDescent="0.35"/>
    <row r="762" hidden="1" x14ac:dyDescent="0.35"/>
    <row r="763" hidden="1" x14ac:dyDescent="0.35"/>
    <row r="764" hidden="1" x14ac:dyDescent="0.35"/>
    <row r="765" hidden="1" x14ac:dyDescent="0.35"/>
    <row r="766" hidden="1" x14ac:dyDescent="0.35"/>
    <row r="767" hidden="1" x14ac:dyDescent="0.35"/>
    <row r="768" hidden="1" x14ac:dyDescent="0.35"/>
    <row r="769" hidden="1" x14ac:dyDescent="0.35"/>
    <row r="770" hidden="1" x14ac:dyDescent="0.35"/>
    <row r="771" hidden="1" x14ac:dyDescent="0.35"/>
    <row r="772" hidden="1" x14ac:dyDescent="0.35"/>
    <row r="773" hidden="1" x14ac:dyDescent="0.35"/>
    <row r="774" hidden="1" x14ac:dyDescent="0.35"/>
    <row r="775" hidden="1" x14ac:dyDescent="0.35"/>
    <row r="776" hidden="1" x14ac:dyDescent="0.35"/>
    <row r="777" hidden="1" x14ac:dyDescent="0.35"/>
    <row r="778" hidden="1" x14ac:dyDescent="0.35"/>
    <row r="779" hidden="1" x14ac:dyDescent="0.35"/>
    <row r="780" hidden="1" x14ac:dyDescent="0.35"/>
    <row r="781" hidden="1" x14ac:dyDescent="0.35"/>
    <row r="782" hidden="1" x14ac:dyDescent="0.35"/>
    <row r="783" hidden="1" x14ac:dyDescent="0.35"/>
    <row r="784" hidden="1" x14ac:dyDescent="0.35"/>
    <row r="785" hidden="1" x14ac:dyDescent="0.35"/>
    <row r="786" hidden="1" x14ac:dyDescent="0.35"/>
    <row r="787" hidden="1" x14ac:dyDescent="0.35"/>
    <row r="788" hidden="1" x14ac:dyDescent="0.35"/>
    <row r="789" hidden="1" x14ac:dyDescent="0.35"/>
    <row r="790" hidden="1" x14ac:dyDescent="0.35"/>
    <row r="791" hidden="1" x14ac:dyDescent="0.35"/>
    <row r="792" hidden="1" x14ac:dyDescent="0.35"/>
    <row r="793" hidden="1" x14ac:dyDescent="0.35"/>
    <row r="794" hidden="1" x14ac:dyDescent="0.35"/>
    <row r="795" hidden="1" x14ac:dyDescent="0.35"/>
    <row r="796" hidden="1" x14ac:dyDescent="0.35"/>
    <row r="797" hidden="1" x14ac:dyDescent="0.35"/>
    <row r="798" hidden="1" x14ac:dyDescent="0.35"/>
    <row r="799" hidden="1" x14ac:dyDescent="0.35"/>
    <row r="800" hidden="1" x14ac:dyDescent="0.35"/>
    <row r="801" hidden="1" x14ac:dyDescent="0.35"/>
    <row r="802" hidden="1" x14ac:dyDescent="0.35"/>
    <row r="803" hidden="1" x14ac:dyDescent="0.35"/>
    <row r="804" hidden="1" x14ac:dyDescent="0.35"/>
    <row r="805" hidden="1" x14ac:dyDescent="0.35"/>
    <row r="806" hidden="1" x14ac:dyDescent="0.35"/>
    <row r="807" hidden="1" x14ac:dyDescent="0.35"/>
    <row r="808" hidden="1" x14ac:dyDescent="0.35"/>
    <row r="809" hidden="1" x14ac:dyDescent="0.35"/>
    <row r="810" hidden="1" x14ac:dyDescent="0.35"/>
    <row r="811" hidden="1" x14ac:dyDescent="0.35"/>
    <row r="812" hidden="1" x14ac:dyDescent="0.35"/>
    <row r="813" hidden="1" x14ac:dyDescent="0.35"/>
    <row r="814" hidden="1" x14ac:dyDescent="0.35"/>
    <row r="815" hidden="1" x14ac:dyDescent="0.35"/>
    <row r="816" hidden="1" x14ac:dyDescent="0.35"/>
    <row r="817" hidden="1" x14ac:dyDescent="0.35"/>
    <row r="818" hidden="1" x14ac:dyDescent="0.35"/>
    <row r="819" hidden="1" x14ac:dyDescent="0.35"/>
    <row r="820" hidden="1" x14ac:dyDescent="0.35"/>
    <row r="821" hidden="1" x14ac:dyDescent="0.35"/>
    <row r="822" hidden="1" x14ac:dyDescent="0.35"/>
    <row r="823" hidden="1" x14ac:dyDescent="0.35"/>
    <row r="824" hidden="1" x14ac:dyDescent="0.35"/>
    <row r="825" hidden="1" x14ac:dyDescent="0.35"/>
    <row r="826" hidden="1" x14ac:dyDescent="0.35"/>
    <row r="827" hidden="1" x14ac:dyDescent="0.35"/>
    <row r="828" hidden="1" x14ac:dyDescent="0.35"/>
    <row r="829" hidden="1" x14ac:dyDescent="0.35"/>
    <row r="830" hidden="1" x14ac:dyDescent="0.35"/>
    <row r="831" hidden="1" x14ac:dyDescent="0.35"/>
    <row r="832" hidden="1" x14ac:dyDescent="0.35"/>
    <row r="833" hidden="1" x14ac:dyDescent="0.35"/>
    <row r="834" hidden="1" x14ac:dyDescent="0.35"/>
    <row r="835" hidden="1" x14ac:dyDescent="0.35"/>
    <row r="836" hidden="1" x14ac:dyDescent="0.35"/>
    <row r="837" hidden="1" x14ac:dyDescent="0.35"/>
    <row r="838" hidden="1" x14ac:dyDescent="0.35"/>
    <row r="839" hidden="1" x14ac:dyDescent="0.35"/>
    <row r="840" hidden="1" x14ac:dyDescent="0.35"/>
    <row r="841" hidden="1" x14ac:dyDescent="0.35"/>
    <row r="842" hidden="1" x14ac:dyDescent="0.35"/>
    <row r="843" hidden="1" x14ac:dyDescent="0.35"/>
    <row r="844" hidden="1" x14ac:dyDescent="0.35"/>
    <row r="845" hidden="1" x14ac:dyDescent="0.35"/>
    <row r="846" hidden="1" x14ac:dyDescent="0.35"/>
    <row r="847" hidden="1" x14ac:dyDescent="0.35"/>
    <row r="848" hidden="1" x14ac:dyDescent="0.35"/>
    <row r="849" hidden="1" x14ac:dyDescent="0.35"/>
    <row r="850" hidden="1" x14ac:dyDescent="0.35"/>
    <row r="851" hidden="1" x14ac:dyDescent="0.35"/>
    <row r="852" hidden="1" x14ac:dyDescent="0.35"/>
    <row r="853" hidden="1" x14ac:dyDescent="0.35"/>
    <row r="854" hidden="1" x14ac:dyDescent="0.35"/>
    <row r="855" hidden="1" x14ac:dyDescent="0.35"/>
    <row r="856" hidden="1" x14ac:dyDescent="0.35"/>
    <row r="857" hidden="1" x14ac:dyDescent="0.35"/>
    <row r="858" hidden="1" x14ac:dyDescent="0.35"/>
    <row r="859" hidden="1" x14ac:dyDescent="0.35"/>
    <row r="860" hidden="1" x14ac:dyDescent="0.35"/>
    <row r="861" hidden="1" x14ac:dyDescent="0.35"/>
    <row r="862" hidden="1" x14ac:dyDescent="0.35"/>
    <row r="863" hidden="1" x14ac:dyDescent="0.35"/>
    <row r="864" hidden="1" x14ac:dyDescent="0.35"/>
    <row r="865" hidden="1" x14ac:dyDescent="0.35"/>
    <row r="866" hidden="1" x14ac:dyDescent="0.35"/>
    <row r="867" hidden="1" x14ac:dyDescent="0.35"/>
    <row r="868" hidden="1" x14ac:dyDescent="0.35"/>
    <row r="869" hidden="1" x14ac:dyDescent="0.35"/>
    <row r="870" hidden="1" x14ac:dyDescent="0.35"/>
    <row r="871" hidden="1" x14ac:dyDescent="0.35"/>
    <row r="872" hidden="1" x14ac:dyDescent="0.35"/>
    <row r="873" hidden="1" x14ac:dyDescent="0.35"/>
    <row r="874" hidden="1" x14ac:dyDescent="0.35"/>
    <row r="875" hidden="1" x14ac:dyDescent="0.35"/>
    <row r="876" hidden="1" x14ac:dyDescent="0.35"/>
    <row r="877" hidden="1" x14ac:dyDescent="0.35"/>
    <row r="878" hidden="1" x14ac:dyDescent="0.35"/>
    <row r="879" hidden="1" x14ac:dyDescent="0.35"/>
    <row r="880" hidden="1" x14ac:dyDescent="0.35"/>
    <row r="881" hidden="1" x14ac:dyDescent="0.35"/>
    <row r="882" hidden="1" x14ac:dyDescent="0.35"/>
    <row r="883" hidden="1" x14ac:dyDescent="0.35"/>
    <row r="884" hidden="1" x14ac:dyDescent="0.35"/>
    <row r="885" hidden="1" x14ac:dyDescent="0.35"/>
    <row r="886" hidden="1" x14ac:dyDescent="0.35"/>
    <row r="887" hidden="1" x14ac:dyDescent="0.35"/>
    <row r="888" hidden="1" x14ac:dyDescent="0.35"/>
    <row r="889" hidden="1" x14ac:dyDescent="0.35"/>
    <row r="890" hidden="1" x14ac:dyDescent="0.35"/>
    <row r="891" hidden="1" x14ac:dyDescent="0.35"/>
    <row r="892" hidden="1" x14ac:dyDescent="0.35"/>
    <row r="893" hidden="1" x14ac:dyDescent="0.35"/>
    <row r="894" hidden="1" x14ac:dyDescent="0.35"/>
    <row r="895" hidden="1" x14ac:dyDescent="0.35"/>
    <row r="896" hidden="1" x14ac:dyDescent="0.35"/>
    <row r="897" hidden="1" x14ac:dyDescent="0.35"/>
    <row r="898" hidden="1" x14ac:dyDescent="0.35"/>
    <row r="899" hidden="1" x14ac:dyDescent="0.35"/>
    <row r="900" hidden="1" x14ac:dyDescent="0.35"/>
    <row r="901" hidden="1" x14ac:dyDescent="0.35"/>
    <row r="902" hidden="1" x14ac:dyDescent="0.35"/>
    <row r="903" hidden="1" x14ac:dyDescent="0.35"/>
    <row r="904" hidden="1" x14ac:dyDescent="0.35"/>
    <row r="905" hidden="1" x14ac:dyDescent="0.35"/>
    <row r="906" hidden="1" x14ac:dyDescent="0.35"/>
    <row r="907" hidden="1" x14ac:dyDescent="0.35"/>
    <row r="908" hidden="1" x14ac:dyDescent="0.35"/>
    <row r="909" hidden="1" x14ac:dyDescent="0.35"/>
    <row r="910" hidden="1" x14ac:dyDescent="0.35"/>
    <row r="911" hidden="1" x14ac:dyDescent="0.35"/>
    <row r="912" hidden="1" x14ac:dyDescent="0.35"/>
    <row r="913" hidden="1" x14ac:dyDescent="0.35"/>
    <row r="914" hidden="1" x14ac:dyDescent="0.35"/>
    <row r="915" hidden="1" x14ac:dyDescent="0.35"/>
    <row r="916" hidden="1" x14ac:dyDescent="0.35"/>
    <row r="917" hidden="1" x14ac:dyDescent="0.35"/>
    <row r="918" hidden="1" x14ac:dyDescent="0.35"/>
    <row r="919" hidden="1" x14ac:dyDescent="0.35"/>
    <row r="920" hidden="1" x14ac:dyDescent="0.35"/>
    <row r="921" hidden="1" x14ac:dyDescent="0.35"/>
    <row r="922" hidden="1" x14ac:dyDescent="0.35"/>
    <row r="923" hidden="1" x14ac:dyDescent="0.35"/>
    <row r="924" hidden="1" x14ac:dyDescent="0.35"/>
    <row r="925" hidden="1" x14ac:dyDescent="0.35"/>
    <row r="926" hidden="1" x14ac:dyDescent="0.35"/>
    <row r="927" hidden="1" x14ac:dyDescent="0.35"/>
    <row r="928" hidden="1" x14ac:dyDescent="0.35"/>
    <row r="929" hidden="1" x14ac:dyDescent="0.35"/>
    <row r="930" hidden="1" x14ac:dyDescent="0.35"/>
    <row r="931" hidden="1" x14ac:dyDescent="0.35"/>
    <row r="932" hidden="1" x14ac:dyDescent="0.35"/>
    <row r="933" hidden="1" x14ac:dyDescent="0.35"/>
    <row r="934" hidden="1" x14ac:dyDescent="0.35"/>
    <row r="935" hidden="1" x14ac:dyDescent="0.35"/>
    <row r="936" hidden="1" x14ac:dyDescent="0.35"/>
    <row r="937" hidden="1" x14ac:dyDescent="0.35"/>
    <row r="938" hidden="1" x14ac:dyDescent="0.35"/>
    <row r="939" hidden="1" x14ac:dyDescent="0.35"/>
    <row r="940" hidden="1" x14ac:dyDescent="0.35"/>
    <row r="941" hidden="1" x14ac:dyDescent="0.35"/>
    <row r="942" hidden="1" x14ac:dyDescent="0.35"/>
    <row r="943" hidden="1" x14ac:dyDescent="0.35"/>
    <row r="944" hidden="1" x14ac:dyDescent="0.35"/>
    <row r="945" hidden="1" x14ac:dyDescent="0.35"/>
    <row r="946" hidden="1" x14ac:dyDescent="0.35"/>
    <row r="947" hidden="1" x14ac:dyDescent="0.35"/>
    <row r="948" hidden="1" x14ac:dyDescent="0.35"/>
    <row r="949" hidden="1" x14ac:dyDescent="0.35"/>
    <row r="950" hidden="1" x14ac:dyDescent="0.35"/>
    <row r="951" hidden="1" x14ac:dyDescent="0.35"/>
    <row r="952" hidden="1" x14ac:dyDescent="0.35"/>
    <row r="953" hidden="1" x14ac:dyDescent="0.35"/>
    <row r="954" hidden="1" x14ac:dyDescent="0.35"/>
    <row r="955" hidden="1" x14ac:dyDescent="0.35"/>
    <row r="956" hidden="1" x14ac:dyDescent="0.35"/>
    <row r="957" hidden="1" x14ac:dyDescent="0.35"/>
    <row r="958" hidden="1" x14ac:dyDescent="0.35"/>
    <row r="959" hidden="1" x14ac:dyDescent="0.35"/>
    <row r="960" hidden="1" x14ac:dyDescent="0.35"/>
    <row r="961" hidden="1" x14ac:dyDescent="0.35"/>
    <row r="962" hidden="1" x14ac:dyDescent="0.35"/>
    <row r="963" hidden="1" x14ac:dyDescent="0.35"/>
    <row r="964" hidden="1" x14ac:dyDescent="0.35"/>
    <row r="965" hidden="1" x14ac:dyDescent="0.35"/>
    <row r="966" hidden="1" x14ac:dyDescent="0.35"/>
    <row r="967" hidden="1" x14ac:dyDescent="0.35"/>
    <row r="968" hidden="1" x14ac:dyDescent="0.35"/>
    <row r="969" hidden="1" x14ac:dyDescent="0.35"/>
    <row r="970" hidden="1" x14ac:dyDescent="0.35"/>
    <row r="971" hidden="1" x14ac:dyDescent="0.35"/>
    <row r="972" hidden="1" x14ac:dyDescent="0.35"/>
    <row r="973" hidden="1" x14ac:dyDescent="0.35"/>
    <row r="974" hidden="1" x14ac:dyDescent="0.35"/>
    <row r="975" hidden="1" x14ac:dyDescent="0.35"/>
    <row r="976" hidden="1" x14ac:dyDescent="0.35"/>
    <row r="977" hidden="1" x14ac:dyDescent="0.35"/>
    <row r="978" hidden="1" x14ac:dyDescent="0.35"/>
    <row r="979" hidden="1" x14ac:dyDescent="0.35"/>
    <row r="980" hidden="1" x14ac:dyDescent="0.35"/>
    <row r="981" hidden="1" x14ac:dyDescent="0.35"/>
    <row r="982" hidden="1" x14ac:dyDescent="0.35"/>
    <row r="983" hidden="1" x14ac:dyDescent="0.35"/>
    <row r="984" hidden="1" x14ac:dyDescent="0.35"/>
    <row r="985" hidden="1" x14ac:dyDescent="0.35"/>
    <row r="986" hidden="1" x14ac:dyDescent="0.35"/>
    <row r="987" hidden="1" x14ac:dyDescent="0.35"/>
    <row r="988" hidden="1" x14ac:dyDescent="0.35"/>
    <row r="989" hidden="1" x14ac:dyDescent="0.35"/>
    <row r="990" hidden="1" x14ac:dyDescent="0.35"/>
    <row r="991" hidden="1" x14ac:dyDescent="0.35"/>
    <row r="992" hidden="1" x14ac:dyDescent="0.35"/>
    <row r="993" hidden="1" x14ac:dyDescent="0.35"/>
    <row r="994" hidden="1" x14ac:dyDescent="0.35"/>
    <row r="995" hidden="1" x14ac:dyDescent="0.35"/>
    <row r="996" hidden="1" x14ac:dyDescent="0.35"/>
    <row r="997" hidden="1" x14ac:dyDescent="0.35"/>
    <row r="998" hidden="1" x14ac:dyDescent="0.35"/>
    <row r="999" hidden="1" x14ac:dyDescent="0.35"/>
    <row r="1000" hidden="1" x14ac:dyDescent="0.35"/>
    <row r="1001" hidden="1" x14ac:dyDescent="0.35"/>
    <row r="1002" hidden="1" x14ac:dyDescent="0.35"/>
    <row r="1003" hidden="1" x14ac:dyDescent="0.35"/>
    <row r="1004" hidden="1" x14ac:dyDescent="0.35"/>
    <row r="1005" hidden="1" x14ac:dyDescent="0.35"/>
    <row r="1006" hidden="1" x14ac:dyDescent="0.35"/>
    <row r="1007" hidden="1" x14ac:dyDescent="0.35"/>
    <row r="1008" hidden="1" x14ac:dyDescent="0.35"/>
    <row r="1009" hidden="1" x14ac:dyDescent="0.35"/>
    <row r="1010" hidden="1" x14ac:dyDescent="0.35"/>
    <row r="1011" hidden="1" x14ac:dyDescent="0.35"/>
    <row r="1012" hidden="1" x14ac:dyDescent="0.35"/>
    <row r="1013" hidden="1" x14ac:dyDescent="0.35"/>
    <row r="1014" hidden="1" x14ac:dyDescent="0.35"/>
    <row r="1015" hidden="1" x14ac:dyDescent="0.35"/>
    <row r="1016" hidden="1" x14ac:dyDescent="0.35"/>
    <row r="1017" hidden="1" x14ac:dyDescent="0.35"/>
    <row r="1018" hidden="1" x14ac:dyDescent="0.35"/>
    <row r="1019" hidden="1" x14ac:dyDescent="0.35"/>
    <row r="1020" hidden="1" x14ac:dyDescent="0.35"/>
    <row r="1021" hidden="1" x14ac:dyDescent="0.35"/>
    <row r="1022" hidden="1" x14ac:dyDescent="0.35"/>
    <row r="1023" hidden="1" x14ac:dyDescent="0.35"/>
    <row r="1024" hidden="1" x14ac:dyDescent="0.35"/>
    <row r="1025" hidden="1" x14ac:dyDescent="0.35"/>
    <row r="1026" hidden="1" x14ac:dyDescent="0.35"/>
    <row r="1027" hidden="1" x14ac:dyDescent="0.35"/>
    <row r="1028" hidden="1" x14ac:dyDescent="0.35"/>
    <row r="1029" hidden="1" x14ac:dyDescent="0.35"/>
    <row r="1030" hidden="1" x14ac:dyDescent="0.35"/>
    <row r="1031" hidden="1" x14ac:dyDescent="0.35"/>
    <row r="1032" hidden="1" x14ac:dyDescent="0.35"/>
    <row r="1033" hidden="1" x14ac:dyDescent="0.35"/>
    <row r="1034" hidden="1" x14ac:dyDescent="0.35"/>
    <row r="1035" hidden="1" x14ac:dyDescent="0.35"/>
    <row r="1036" hidden="1" x14ac:dyDescent="0.35"/>
    <row r="1037" hidden="1" x14ac:dyDescent="0.35"/>
    <row r="1038" hidden="1" x14ac:dyDescent="0.35"/>
    <row r="1039" hidden="1" x14ac:dyDescent="0.35"/>
    <row r="1040" hidden="1" x14ac:dyDescent="0.35"/>
    <row r="1041" hidden="1" x14ac:dyDescent="0.35"/>
    <row r="1042" hidden="1" x14ac:dyDescent="0.35"/>
    <row r="1043" hidden="1" x14ac:dyDescent="0.35"/>
    <row r="1044" hidden="1" x14ac:dyDescent="0.35"/>
    <row r="1045" hidden="1" x14ac:dyDescent="0.35"/>
    <row r="1046" hidden="1" x14ac:dyDescent="0.35"/>
    <row r="1047" hidden="1" x14ac:dyDescent="0.35"/>
    <row r="1048" hidden="1" x14ac:dyDescent="0.35"/>
    <row r="1049" hidden="1" x14ac:dyDescent="0.35"/>
    <row r="1050" hidden="1" x14ac:dyDescent="0.35"/>
    <row r="1051" hidden="1" x14ac:dyDescent="0.35"/>
    <row r="1052" hidden="1" x14ac:dyDescent="0.35"/>
    <row r="1053" hidden="1" x14ac:dyDescent="0.35"/>
    <row r="1054" hidden="1" x14ac:dyDescent="0.35"/>
    <row r="1055" hidden="1" x14ac:dyDescent="0.35"/>
    <row r="1056" hidden="1" x14ac:dyDescent="0.35"/>
    <row r="1057" hidden="1" x14ac:dyDescent="0.35"/>
    <row r="1058" hidden="1" x14ac:dyDescent="0.35"/>
    <row r="1059" hidden="1" x14ac:dyDescent="0.35"/>
    <row r="1060" hidden="1" x14ac:dyDescent="0.35"/>
    <row r="1061" hidden="1" x14ac:dyDescent="0.35"/>
    <row r="1062" hidden="1" x14ac:dyDescent="0.35"/>
    <row r="1063" hidden="1" x14ac:dyDescent="0.35"/>
    <row r="1064" hidden="1" x14ac:dyDescent="0.35"/>
    <row r="1065" hidden="1" x14ac:dyDescent="0.35"/>
    <row r="1066" hidden="1" x14ac:dyDescent="0.35"/>
    <row r="1067" hidden="1" x14ac:dyDescent="0.35"/>
    <row r="1068" hidden="1" x14ac:dyDescent="0.35"/>
    <row r="1069" hidden="1" x14ac:dyDescent="0.35"/>
    <row r="1070" hidden="1" x14ac:dyDescent="0.35"/>
    <row r="1071" hidden="1" x14ac:dyDescent="0.35"/>
    <row r="1072" hidden="1" x14ac:dyDescent="0.35"/>
    <row r="1073" hidden="1" x14ac:dyDescent="0.35"/>
    <row r="1074" hidden="1" x14ac:dyDescent="0.35"/>
    <row r="1075" hidden="1" x14ac:dyDescent="0.35"/>
    <row r="1076" hidden="1" x14ac:dyDescent="0.35"/>
    <row r="1077" hidden="1" x14ac:dyDescent="0.35"/>
    <row r="1078" hidden="1" x14ac:dyDescent="0.35"/>
    <row r="1079" hidden="1" x14ac:dyDescent="0.35"/>
    <row r="1080" hidden="1" x14ac:dyDescent="0.35"/>
    <row r="1081" hidden="1" x14ac:dyDescent="0.35"/>
    <row r="1082" hidden="1" x14ac:dyDescent="0.35"/>
    <row r="1083" hidden="1" x14ac:dyDescent="0.35"/>
    <row r="1084" hidden="1" x14ac:dyDescent="0.35"/>
    <row r="1085" hidden="1" x14ac:dyDescent="0.35"/>
    <row r="1086" hidden="1" x14ac:dyDescent="0.35"/>
    <row r="1087" hidden="1" x14ac:dyDescent="0.35"/>
    <row r="1088" hidden="1" x14ac:dyDescent="0.35"/>
    <row r="1089" hidden="1" x14ac:dyDescent="0.35"/>
    <row r="1090" hidden="1" x14ac:dyDescent="0.35"/>
    <row r="1091" hidden="1" x14ac:dyDescent="0.35"/>
    <row r="1092" hidden="1" x14ac:dyDescent="0.35"/>
    <row r="1093" hidden="1" x14ac:dyDescent="0.35"/>
    <row r="1094" hidden="1" x14ac:dyDescent="0.35"/>
    <row r="1095" hidden="1" x14ac:dyDescent="0.35"/>
    <row r="1096" hidden="1" x14ac:dyDescent="0.35"/>
    <row r="1097" hidden="1" x14ac:dyDescent="0.35"/>
    <row r="1098" hidden="1" x14ac:dyDescent="0.35"/>
    <row r="1099" hidden="1" x14ac:dyDescent="0.35"/>
    <row r="1100" hidden="1" x14ac:dyDescent="0.35"/>
    <row r="1101" hidden="1" x14ac:dyDescent="0.35"/>
    <row r="1102" hidden="1" x14ac:dyDescent="0.35"/>
    <row r="1103" hidden="1" x14ac:dyDescent="0.35"/>
    <row r="1104" hidden="1" x14ac:dyDescent="0.35"/>
    <row r="1105" hidden="1" x14ac:dyDescent="0.35"/>
    <row r="1106" hidden="1" x14ac:dyDescent="0.35"/>
    <row r="1107" hidden="1" x14ac:dyDescent="0.35"/>
    <row r="1108" hidden="1" x14ac:dyDescent="0.35"/>
    <row r="1109" hidden="1" x14ac:dyDescent="0.35"/>
    <row r="1110" hidden="1" x14ac:dyDescent="0.35"/>
    <row r="1111" hidden="1" x14ac:dyDescent="0.35"/>
    <row r="1112" hidden="1" x14ac:dyDescent="0.35"/>
    <row r="1113" hidden="1" x14ac:dyDescent="0.35"/>
    <row r="1114" hidden="1" x14ac:dyDescent="0.35"/>
    <row r="1115" hidden="1" x14ac:dyDescent="0.35"/>
    <row r="1116" hidden="1" x14ac:dyDescent="0.35"/>
    <row r="1117" hidden="1" x14ac:dyDescent="0.35"/>
    <row r="1118" hidden="1" x14ac:dyDescent="0.35"/>
    <row r="1119" hidden="1" x14ac:dyDescent="0.35"/>
    <row r="1120" hidden="1" x14ac:dyDescent="0.35"/>
    <row r="1121" hidden="1" x14ac:dyDescent="0.35"/>
    <row r="1122" hidden="1" x14ac:dyDescent="0.35"/>
    <row r="1123" hidden="1" x14ac:dyDescent="0.35"/>
    <row r="1124" hidden="1" x14ac:dyDescent="0.35"/>
    <row r="1125" hidden="1" x14ac:dyDescent="0.35"/>
    <row r="1126" hidden="1" x14ac:dyDescent="0.35"/>
    <row r="1127" hidden="1" x14ac:dyDescent="0.35"/>
    <row r="1128" hidden="1" x14ac:dyDescent="0.35"/>
    <row r="1129" hidden="1" x14ac:dyDescent="0.35"/>
    <row r="1130" hidden="1" x14ac:dyDescent="0.35"/>
    <row r="1131" hidden="1" x14ac:dyDescent="0.35"/>
    <row r="1132" hidden="1" x14ac:dyDescent="0.35"/>
    <row r="1133" hidden="1" x14ac:dyDescent="0.35"/>
    <row r="1134" hidden="1" x14ac:dyDescent="0.35"/>
    <row r="1135" hidden="1" x14ac:dyDescent="0.35"/>
    <row r="1136" hidden="1" x14ac:dyDescent="0.35"/>
    <row r="1137" hidden="1" x14ac:dyDescent="0.35"/>
    <row r="1138" hidden="1" x14ac:dyDescent="0.35"/>
    <row r="1139" hidden="1" x14ac:dyDescent="0.35"/>
    <row r="1140" hidden="1" x14ac:dyDescent="0.35"/>
    <row r="1141" hidden="1" x14ac:dyDescent="0.35"/>
    <row r="1142" hidden="1" x14ac:dyDescent="0.35"/>
    <row r="1143" hidden="1" x14ac:dyDescent="0.35"/>
    <row r="1144" hidden="1" x14ac:dyDescent="0.35"/>
    <row r="1145" hidden="1" x14ac:dyDescent="0.35"/>
    <row r="1146" hidden="1" x14ac:dyDescent="0.35"/>
    <row r="1147" hidden="1" x14ac:dyDescent="0.35"/>
    <row r="1148" hidden="1" x14ac:dyDescent="0.35"/>
    <row r="1149" hidden="1" x14ac:dyDescent="0.35"/>
    <row r="1150" hidden="1" x14ac:dyDescent="0.35"/>
    <row r="1151" hidden="1" x14ac:dyDescent="0.35"/>
    <row r="1152" hidden="1" x14ac:dyDescent="0.35"/>
    <row r="1153" hidden="1" x14ac:dyDescent="0.35"/>
    <row r="1154" hidden="1" x14ac:dyDescent="0.35"/>
    <row r="1155" hidden="1" x14ac:dyDescent="0.35"/>
    <row r="1156" hidden="1" x14ac:dyDescent="0.35"/>
    <row r="1157" hidden="1" x14ac:dyDescent="0.35"/>
    <row r="1158" hidden="1" x14ac:dyDescent="0.35"/>
    <row r="1159" hidden="1" x14ac:dyDescent="0.35"/>
    <row r="1160" hidden="1" x14ac:dyDescent="0.35"/>
    <row r="1161" hidden="1" x14ac:dyDescent="0.35"/>
    <row r="1162" hidden="1" x14ac:dyDescent="0.35"/>
    <row r="1163" hidden="1" x14ac:dyDescent="0.35"/>
    <row r="1164" hidden="1" x14ac:dyDescent="0.35"/>
    <row r="1165" hidden="1" x14ac:dyDescent="0.35"/>
    <row r="1166" hidden="1" x14ac:dyDescent="0.35"/>
    <row r="1167" hidden="1" x14ac:dyDescent="0.35"/>
    <row r="1168" hidden="1" x14ac:dyDescent="0.35"/>
    <row r="1169" hidden="1" x14ac:dyDescent="0.35"/>
    <row r="1170" hidden="1" x14ac:dyDescent="0.35"/>
    <row r="1171" hidden="1" x14ac:dyDescent="0.35"/>
    <row r="1172" hidden="1" x14ac:dyDescent="0.35"/>
    <row r="1173" hidden="1" x14ac:dyDescent="0.35"/>
    <row r="1174" hidden="1" x14ac:dyDescent="0.35"/>
    <row r="1175" hidden="1" x14ac:dyDescent="0.35"/>
    <row r="1176" hidden="1" x14ac:dyDescent="0.35"/>
    <row r="1177" hidden="1" x14ac:dyDescent="0.35"/>
    <row r="1178" hidden="1" x14ac:dyDescent="0.35"/>
    <row r="1179" hidden="1" x14ac:dyDescent="0.35"/>
    <row r="1180" hidden="1" x14ac:dyDescent="0.35"/>
    <row r="1181" hidden="1" x14ac:dyDescent="0.35"/>
    <row r="1182" hidden="1" x14ac:dyDescent="0.35"/>
    <row r="1183" hidden="1" x14ac:dyDescent="0.35"/>
    <row r="1184" hidden="1" x14ac:dyDescent="0.35"/>
    <row r="1185" hidden="1" x14ac:dyDescent="0.35"/>
    <row r="1186" hidden="1" x14ac:dyDescent="0.35"/>
    <row r="1187" hidden="1" x14ac:dyDescent="0.35"/>
    <row r="1188" hidden="1" x14ac:dyDescent="0.35"/>
    <row r="1189" hidden="1" x14ac:dyDescent="0.35"/>
    <row r="1190" hidden="1" x14ac:dyDescent="0.35"/>
    <row r="1191" hidden="1" x14ac:dyDescent="0.35"/>
    <row r="1192" hidden="1" x14ac:dyDescent="0.35"/>
    <row r="1193" hidden="1" x14ac:dyDescent="0.35"/>
    <row r="1194" hidden="1" x14ac:dyDescent="0.35"/>
    <row r="1195" hidden="1" x14ac:dyDescent="0.35"/>
    <row r="1196" hidden="1" x14ac:dyDescent="0.35"/>
    <row r="1197" hidden="1" x14ac:dyDescent="0.35"/>
    <row r="1198" hidden="1" x14ac:dyDescent="0.35"/>
    <row r="1199" hidden="1" x14ac:dyDescent="0.35"/>
    <row r="1200" hidden="1" x14ac:dyDescent="0.35"/>
    <row r="1201" hidden="1" x14ac:dyDescent="0.35"/>
    <row r="1202" hidden="1" x14ac:dyDescent="0.35"/>
    <row r="1203" hidden="1" x14ac:dyDescent="0.35"/>
    <row r="1204" hidden="1" x14ac:dyDescent="0.35"/>
    <row r="1205" hidden="1" x14ac:dyDescent="0.35"/>
    <row r="1206" hidden="1" x14ac:dyDescent="0.35"/>
    <row r="1207" hidden="1" x14ac:dyDescent="0.35"/>
    <row r="1208" hidden="1" x14ac:dyDescent="0.35"/>
    <row r="1209" hidden="1" x14ac:dyDescent="0.35"/>
    <row r="1210" hidden="1" x14ac:dyDescent="0.35"/>
    <row r="1211" hidden="1" x14ac:dyDescent="0.35"/>
    <row r="1212" hidden="1" x14ac:dyDescent="0.35"/>
    <row r="1213" hidden="1" x14ac:dyDescent="0.35"/>
    <row r="1214" hidden="1" x14ac:dyDescent="0.35"/>
    <row r="1215" hidden="1" x14ac:dyDescent="0.35"/>
    <row r="1216" hidden="1" x14ac:dyDescent="0.35"/>
    <row r="1217" hidden="1" x14ac:dyDescent="0.35"/>
    <row r="1218" hidden="1" x14ac:dyDescent="0.35"/>
    <row r="1219" hidden="1" x14ac:dyDescent="0.35"/>
    <row r="1220" hidden="1" x14ac:dyDescent="0.35"/>
    <row r="1221" hidden="1" x14ac:dyDescent="0.35"/>
    <row r="1222" hidden="1" x14ac:dyDescent="0.35"/>
    <row r="1223" hidden="1" x14ac:dyDescent="0.35"/>
    <row r="1224" hidden="1" x14ac:dyDescent="0.35"/>
    <row r="1225" hidden="1" x14ac:dyDescent="0.35"/>
    <row r="1226" hidden="1" x14ac:dyDescent="0.35"/>
    <row r="1227" hidden="1" x14ac:dyDescent="0.35"/>
    <row r="1228" hidden="1" x14ac:dyDescent="0.35"/>
    <row r="1229" hidden="1" x14ac:dyDescent="0.35"/>
    <row r="1230" hidden="1" x14ac:dyDescent="0.35"/>
    <row r="1231" hidden="1" x14ac:dyDescent="0.35"/>
    <row r="1232" hidden="1" x14ac:dyDescent="0.35"/>
    <row r="1233" hidden="1" x14ac:dyDescent="0.35"/>
    <row r="1234" hidden="1" x14ac:dyDescent="0.35"/>
    <row r="1235" hidden="1" x14ac:dyDescent="0.35"/>
    <row r="1236" hidden="1" x14ac:dyDescent="0.35"/>
    <row r="1237" hidden="1" x14ac:dyDescent="0.35"/>
    <row r="1238" hidden="1" x14ac:dyDescent="0.35"/>
    <row r="1239" hidden="1" x14ac:dyDescent="0.35"/>
    <row r="1240" hidden="1" x14ac:dyDescent="0.35"/>
    <row r="1241" hidden="1" x14ac:dyDescent="0.35"/>
    <row r="1242" hidden="1" x14ac:dyDescent="0.35"/>
    <row r="1243" hidden="1" x14ac:dyDescent="0.35"/>
    <row r="1244" hidden="1" x14ac:dyDescent="0.35"/>
    <row r="1245" hidden="1" x14ac:dyDescent="0.35"/>
    <row r="1246" hidden="1" x14ac:dyDescent="0.35"/>
    <row r="1247" hidden="1" x14ac:dyDescent="0.35"/>
    <row r="1248" hidden="1" x14ac:dyDescent="0.35"/>
    <row r="1249" hidden="1" x14ac:dyDescent="0.35"/>
    <row r="1250" hidden="1" x14ac:dyDescent="0.35"/>
    <row r="1251" hidden="1" x14ac:dyDescent="0.35"/>
    <row r="1252" hidden="1" x14ac:dyDescent="0.35"/>
    <row r="1253" hidden="1" x14ac:dyDescent="0.35"/>
    <row r="1254" hidden="1" x14ac:dyDescent="0.35"/>
    <row r="1255" hidden="1" x14ac:dyDescent="0.35"/>
    <row r="1256" hidden="1" x14ac:dyDescent="0.35"/>
    <row r="1257" hidden="1" x14ac:dyDescent="0.35"/>
    <row r="1258" hidden="1" x14ac:dyDescent="0.35"/>
    <row r="1259" hidden="1" x14ac:dyDescent="0.35"/>
    <row r="1260" hidden="1" x14ac:dyDescent="0.35"/>
    <row r="1261" hidden="1" x14ac:dyDescent="0.35"/>
    <row r="1262" hidden="1" x14ac:dyDescent="0.35"/>
    <row r="1263" hidden="1" x14ac:dyDescent="0.35"/>
    <row r="1264" hidden="1" x14ac:dyDescent="0.35"/>
    <row r="1265" hidden="1" x14ac:dyDescent="0.35"/>
    <row r="1266" hidden="1" x14ac:dyDescent="0.35"/>
    <row r="1267" hidden="1" x14ac:dyDescent="0.35"/>
    <row r="1268" hidden="1" x14ac:dyDescent="0.35"/>
    <row r="1269" hidden="1" x14ac:dyDescent="0.35"/>
    <row r="1270" hidden="1" x14ac:dyDescent="0.35"/>
    <row r="1271" hidden="1" x14ac:dyDescent="0.35"/>
    <row r="1272" hidden="1" x14ac:dyDescent="0.35"/>
    <row r="1273" hidden="1" x14ac:dyDescent="0.35"/>
    <row r="1274" hidden="1" x14ac:dyDescent="0.35"/>
    <row r="1275" hidden="1" x14ac:dyDescent="0.35"/>
    <row r="1276" hidden="1" x14ac:dyDescent="0.35"/>
    <row r="1277" hidden="1" x14ac:dyDescent="0.35"/>
    <row r="1278" hidden="1" x14ac:dyDescent="0.35"/>
    <row r="1279" hidden="1" x14ac:dyDescent="0.35"/>
    <row r="1280" hidden="1" x14ac:dyDescent="0.35"/>
    <row r="1281" hidden="1" x14ac:dyDescent="0.35"/>
    <row r="1282" hidden="1" x14ac:dyDescent="0.35"/>
    <row r="1283" hidden="1" x14ac:dyDescent="0.35"/>
    <row r="1284" hidden="1" x14ac:dyDescent="0.35"/>
    <row r="1285" hidden="1" x14ac:dyDescent="0.35"/>
    <row r="1286" hidden="1" x14ac:dyDescent="0.35"/>
    <row r="1287" hidden="1" x14ac:dyDescent="0.35"/>
    <row r="1288" hidden="1" x14ac:dyDescent="0.35"/>
    <row r="1289" hidden="1" x14ac:dyDescent="0.35"/>
    <row r="1290" hidden="1" x14ac:dyDescent="0.35"/>
    <row r="1291" hidden="1" x14ac:dyDescent="0.35"/>
    <row r="1292" hidden="1" x14ac:dyDescent="0.35"/>
    <row r="1293" hidden="1" x14ac:dyDescent="0.35"/>
    <row r="1294" hidden="1" x14ac:dyDescent="0.35"/>
    <row r="1295" hidden="1" x14ac:dyDescent="0.35"/>
    <row r="1296" hidden="1" x14ac:dyDescent="0.35"/>
    <row r="1297" hidden="1" x14ac:dyDescent="0.35"/>
    <row r="1298" hidden="1" x14ac:dyDescent="0.35"/>
    <row r="1299" hidden="1" x14ac:dyDescent="0.35"/>
    <row r="1300" hidden="1" x14ac:dyDescent="0.35"/>
    <row r="1301" hidden="1" x14ac:dyDescent="0.35"/>
    <row r="1302" hidden="1" x14ac:dyDescent="0.35"/>
    <row r="1303" hidden="1" x14ac:dyDescent="0.35"/>
    <row r="1304" hidden="1" x14ac:dyDescent="0.35"/>
    <row r="1305" hidden="1" x14ac:dyDescent="0.35"/>
    <row r="1306" hidden="1" x14ac:dyDescent="0.35"/>
    <row r="1307" hidden="1" x14ac:dyDescent="0.35"/>
    <row r="1308" hidden="1" x14ac:dyDescent="0.35"/>
    <row r="1309" hidden="1" x14ac:dyDescent="0.35"/>
    <row r="1310" hidden="1" x14ac:dyDescent="0.35"/>
    <row r="1311" hidden="1" x14ac:dyDescent="0.35"/>
    <row r="1312" hidden="1" x14ac:dyDescent="0.35"/>
    <row r="1313" hidden="1" x14ac:dyDescent="0.35"/>
    <row r="1314" hidden="1" x14ac:dyDescent="0.35"/>
    <row r="1315" hidden="1" x14ac:dyDescent="0.35"/>
    <row r="1316" hidden="1" x14ac:dyDescent="0.35"/>
    <row r="1317" hidden="1" x14ac:dyDescent="0.35"/>
    <row r="1318" hidden="1" x14ac:dyDescent="0.35"/>
    <row r="1319" hidden="1" x14ac:dyDescent="0.35"/>
    <row r="1320" hidden="1" x14ac:dyDescent="0.35"/>
    <row r="1321" hidden="1" x14ac:dyDescent="0.35"/>
    <row r="1322" hidden="1" x14ac:dyDescent="0.35"/>
    <row r="1323" hidden="1" x14ac:dyDescent="0.35"/>
    <row r="1324" hidden="1" x14ac:dyDescent="0.35"/>
    <row r="1325" hidden="1" x14ac:dyDescent="0.35"/>
    <row r="1326" hidden="1" x14ac:dyDescent="0.35"/>
    <row r="1327" hidden="1" x14ac:dyDescent="0.35"/>
    <row r="1328" hidden="1" x14ac:dyDescent="0.35"/>
    <row r="1329" hidden="1" x14ac:dyDescent="0.35"/>
    <row r="1330" hidden="1" x14ac:dyDescent="0.35"/>
    <row r="1331" hidden="1" x14ac:dyDescent="0.35"/>
    <row r="1332" hidden="1" x14ac:dyDescent="0.35"/>
    <row r="1333" hidden="1" x14ac:dyDescent="0.35"/>
    <row r="1334" hidden="1" x14ac:dyDescent="0.35"/>
    <row r="1335" hidden="1" x14ac:dyDescent="0.35"/>
    <row r="1336" hidden="1" x14ac:dyDescent="0.35"/>
    <row r="1337" hidden="1" x14ac:dyDescent="0.35"/>
    <row r="1338" hidden="1" x14ac:dyDescent="0.35"/>
    <row r="1339" hidden="1" x14ac:dyDescent="0.35"/>
    <row r="1340" hidden="1" x14ac:dyDescent="0.35"/>
    <row r="1341" hidden="1" x14ac:dyDescent="0.35"/>
    <row r="1342" hidden="1" x14ac:dyDescent="0.35"/>
    <row r="1343" hidden="1" x14ac:dyDescent="0.35"/>
    <row r="1344" hidden="1" x14ac:dyDescent="0.35"/>
    <row r="1345" hidden="1" x14ac:dyDescent="0.35"/>
    <row r="1346" hidden="1" x14ac:dyDescent="0.35"/>
    <row r="1347" hidden="1" x14ac:dyDescent="0.35"/>
    <row r="1348" hidden="1" x14ac:dyDescent="0.35"/>
    <row r="1349" hidden="1" x14ac:dyDescent="0.35"/>
    <row r="1350" hidden="1" x14ac:dyDescent="0.35"/>
    <row r="1351" hidden="1" x14ac:dyDescent="0.35"/>
    <row r="1352" hidden="1" x14ac:dyDescent="0.35"/>
    <row r="1353" hidden="1" x14ac:dyDescent="0.35"/>
    <row r="1354" hidden="1" x14ac:dyDescent="0.35"/>
    <row r="1355" hidden="1" x14ac:dyDescent="0.35"/>
    <row r="1356" hidden="1" x14ac:dyDescent="0.35"/>
    <row r="1357" hidden="1" x14ac:dyDescent="0.35"/>
    <row r="1358" hidden="1" x14ac:dyDescent="0.35"/>
    <row r="1359" hidden="1" x14ac:dyDescent="0.35"/>
    <row r="1360" hidden="1" x14ac:dyDescent="0.35"/>
    <row r="1361" hidden="1" x14ac:dyDescent="0.35"/>
    <row r="1362" hidden="1" x14ac:dyDescent="0.35"/>
    <row r="1363" hidden="1" x14ac:dyDescent="0.35"/>
    <row r="1364" hidden="1" x14ac:dyDescent="0.35"/>
    <row r="1365" hidden="1" x14ac:dyDescent="0.35"/>
    <row r="1366" hidden="1" x14ac:dyDescent="0.35"/>
    <row r="1367" hidden="1" x14ac:dyDescent="0.35"/>
    <row r="1368" hidden="1" x14ac:dyDescent="0.35"/>
    <row r="1369" hidden="1" x14ac:dyDescent="0.35"/>
    <row r="1370" hidden="1" x14ac:dyDescent="0.35"/>
    <row r="1371" hidden="1" x14ac:dyDescent="0.35"/>
    <row r="1372" hidden="1" x14ac:dyDescent="0.35"/>
    <row r="1373" hidden="1" x14ac:dyDescent="0.35"/>
    <row r="1374" hidden="1" x14ac:dyDescent="0.35"/>
    <row r="1375" hidden="1" x14ac:dyDescent="0.35"/>
    <row r="1376" hidden="1" x14ac:dyDescent="0.35"/>
    <row r="1377" hidden="1" x14ac:dyDescent="0.35"/>
    <row r="1378" hidden="1" x14ac:dyDescent="0.35"/>
    <row r="1379" hidden="1" x14ac:dyDescent="0.35"/>
    <row r="1380" hidden="1" x14ac:dyDescent="0.35"/>
    <row r="1381" hidden="1" x14ac:dyDescent="0.35"/>
    <row r="1382" hidden="1" x14ac:dyDescent="0.35"/>
    <row r="1383" hidden="1" x14ac:dyDescent="0.35"/>
    <row r="1384" hidden="1" x14ac:dyDescent="0.35"/>
    <row r="1385" hidden="1" x14ac:dyDescent="0.35"/>
    <row r="1386" hidden="1" x14ac:dyDescent="0.35"/>
    <row r="1387" hidden="1" x14ac:dyDescent="0.35"/>
    <row r="1388" hidden="1" x14ac:dyDescent="0.35"/>
    <row r="1389" hidden="1" x14ac:dyDescent="0.35"/>
    <row r="1390" hidden="1" x14ac:dyDescent="0.35"/>
    <row r="1391" hidden="1" x14ac:dyDescent="0.35"/>
    <row r="1392" hidden="1" x14ac:dyDescent="0.35"/>
    <row r="1393" hidden="1" x14ac:dyDescent="0.35"/>
    <row r="1394" hidden="1" x14ac:dyDescent="0.35"/>
    <row r="1395" hidden="1" x14ac:dyDescent="0.35"/>
    <row r="1396" hidden="1" x14ac:dyDescent="0.35"/>
    <row r="1397" hidden="1" x14ac:dyDescent="0.35"/>
    <row r="1398" hidden="1" x14ac:dyDescent="0.35"/>
    <row r="1399" hidden="1" x14ac:dyDescent="0.35"/>
    <row r="1400" hidden="1" x14ac:dyDescent="0.35"/>
    <row r="1401" hidden="1" x14ac:dyDescent="0.35"/>
    <row r="1402" hidden="1" x14ac:dyDescent="0.35"/>
    <row r="1403" hidden="1" x14ac:dyDescent="0.35"/>
    <row r="1404" hidden="1" x14ac:dyDescent="0.35"/>
    <row r="1405" hidden="1" x14ac:dyDescent="0.35"/>
    <row r="1406" hidden="1" x14ac:dyDescent="0.35"/>
    <row r="1407" hidden="1" x14ac:dyDescent="0.35"/>
    <row r="1408" hidden="1" x14ac:dyDescent="0.35"/>
    <row r="1409" hidden="1" x14ac:dyDescent="0.35"/>
    <row r="1410" hidden="1" x14ac:dyDescent="0.35"/>
    <row r="1411" hidden="1" x14ac:dyDescent="0.35"/>
    <row r="1412" hidden="1" x14ac:dyDescent="0.35"/>
    <row r="1413" hidden="1" x14ac:dyDescent="0.35"/>
    <row r="1414" hidden="1" x14ac:dyDescent="0.35"/>
    <row r="1415" hidden="1" x14ac:dyDescent="0.35"/>
    <row r="1416" hidden="1" x14ac:dyDescent="0.35"/>
    <row r="1417" hidden="1" x14ac:dyDescent="0.35"/>
    <row r="1418" hidden="1" x14ac:dyDescent="0.35"/>
    <row r="1419" hidden="1" x14ac:dyDescent="0.35"/>
    <row r="1420" hidden="1" x14ac:dyDescent="0.35"/>
    <row r="1421" hidden="1" x14ac:dyDescent="0.35"/>
    <row r="1422" hidden="1" x14ac:dyDescent="0.35"/>
    <row r="1423" hidden="1" x14ac:dyDescent="0.35"/>
    <row r="1424" hidden="1" x14ac:dyDescent="0.35"/>
    <row r="1425" hidden="1" x14ac:dyDescent="0.35"/>
    <row r="1426" hidden="1" x14ac:dyDescent="0.35"/>
    <row r="1427" hidden="1" x14ac:dyDescent="0.35"/>
    <row r="1428" hidden="1" x14ac:dyDescent="0.35"/>
    <row r="1429" hidden="1" x14ac:dyDescent="0.35"/>
    <row r="1430" hidden="1" x14ac:dyDescent="0.35"/>
    <row r="1431" hidden="1" x14ac:dyDescent="0.35"/>
    <row r="1432" hidden="1" x14ac:dyDescent="0.35"/>
    <row r="1433" hidden="1" x14ac:dyDescent="0.35"/>
    <row r="1434" hidden="1" x14ac:dyDescent="0.35"/>
    <row r="1435" hidden="1" x14ac:dyDescent="0.35"/>
    <row r="1436" hidden="1" x14ac:dyDescent="0.35"/>
    <row r="1437" hidden="1" x14ac:dyDescent="0.35"/>
    <row r="1438" hidden="1" x14ac:dyDescent="0.35"/>
    <row r="1439" hidden="1" x14ac:dyDescent="0.35"/>
    <row r="1440" hidden="1" x14ac:dyDescent="0.35"/>
    <row r="1441" hidden="1" x14ac:dyDescent="0.35"/>
    <row r="1442" hidden="1" x14ac:dyDescent="0.35"/>
    <row r="1443" hidden="1" x14ac:dyDescent="0.35"/>
    <row r="1444" hidden="1" x14ac:dyDescent="0.35"/>
    <row r="1445" hidden="1" x14ac:dyDescent="0.35"/>
    <row r="1446" hidden="1" x14ac:dyDescent="0.35"/>
    <row r="1447" hidden="1" x14ac:dyDescent="0.35"/>
    <row r="1448" hidden="1" x14ac:dyDescent="0.35"/>
    <row r="1449" hidden="1" x14ac:dyDescent="0.35"/>
    <row r="1450" hidden="1" x14ac:dyDescent="0.35"/>
    <row r="1451" hidden="1" x14ac:dyDescent="0.35"/>
    <row r="1452" hidden="1" x14ac:dyDescent="0.35"/>
    <row r="1453" hidden="1" x14ac:dyDescent="0.35"/>
    <row r="1454" hidden="1" x14ac:dyDescent="0.35"/>
    <row r="1455" hidden="1" x14ac:dyDescent="0.35"/>
    <row r="1456" hidden="1" x14ac:dyDescent="0.35"/>
    <row r="1457" hidden="1" x14ac:dyDescent="0.35"/>
    <row r="1458" hidden="1" x14ac:dyDescent="0.35"/>
    <row r="1459" hidden="1" x14ac:dyDescent="0.35"/>
    <row r="1460" hidden="1" x14ac:dyDescent="0.35"/>
    <row r="1461" hidden="1" x14ac:dyDescent="0.35"/>
    <row r="1462" hidden="1" x14ac:dyDescent="0.35"/>
    <row r="1463" hidden="1" x14ac:dyDescent="0.35"/>
    <row r="1464" hidden="1" x14ac:dyDescent="0.35"/>
    <row r="1465" hidden="1" x14ac:dyDescent="0.35"/>
    <row r="1466" hidden="1" x14ac:dyDescent="0.35"/>
    <row r="1467" hidden="1" x14ac:dyDescent="0.35"/>
    <row r="1468" hidden="1" x14ac:dyDescent="0.35"/>
    <row r="1469" hidden="1" x14ac:dyDescent="0.35"/>
    <row r="1470" hidden="1" x14ac:dyDescent="0.35"/>
    <row r="1471" hidden="1" x14ac:dyDescent="0.35"/>
    <row r="1472" hidden="1" x14ac:dyDescent="0.35"/>
    <row r="1473" hidden="1" x14ac:dyDescent="0.35"/>
    <row r="1474" hidden="1" x14ac:dyDescent="0.35"/>
    <row r="1475" hidden="1" x14ac:dyDescent="0.35"/>
    <row r="1476" hidden="1" x14ac:dyDescent="0.35"/>
    <row r="1477" hidden="1" x14ac:dyDescent="0.35"/>
    <row r="1478" hidden="1" x14ac:dyDescent="0.35"/>
    <row r="1479" hidden="1" x14ac:dyDescent="0.35"/>
    <row r="1480" hidden="1" x14ac:dyDescent="0.35"/>
    <row r="1481" hidden="1" x14ac:dyDescent="0.35"/>
    <row r="1482" hidden="1" x14ac:dyDescent="0.35"/>
    <row r="1483" hidden="1" x14ac:dyDescent="0.35"/>
    <row r="1484" hidden="1" x14ac:dyDescent="0.35"/>
    <row r="1485" hidden="1" x14ac:dyDescent="0.35"/>
    <row r="1486" hidden="1" x14ac:dyDescent="0.35"/>
    <row r="1487" hidden="1" x14ac:dyDescent="0.35"/>
    <row r="1488" hidden="1" x14ac:dyDescent="0.35"/>
    <row r="1489" hidden="1" x14ac:dyDescent="0.35"/>
    <row r="1490" hidden="1" x14ac:dyDescent="0.35"/>
    <row r="1491" hidden="1" x14ac:dyDescent="0.35"/>
    <row r="1492" hidden="1" x14ac:dyDescent="0.35"/>
    <row r="1493" hidden="1" x14ac:dyDescent="0.35"/>
    <row r="1494" hidden="1" x14ac:dyDescent="0.35"/>
    <row r="1495" hidden="1" x14ac:dyDescent="0.35"/>
    <row r="1496" hidden="1" x14ac:dyDescent="0.35"/>
    <row r="1497" hidden="1" x14ac:dyDescent="0.35"/>
    <row r="1498" hidden="1" x14ac:dyDescent="0.35"/>
    <row r="1499" hidden="1" x14ac:dyDescent="0.35"/>
    <row r="1500" hidden="1" x14ac:dyDescent="0.35"/>
    <row r="1501" hidden="1" x14ac:dyDescent="0.35"/>
    <row r="1502" hidden="1" x14ac:dyDescent="0.35"/>
    <row r="1503" hidden="1" x14ac:dyDescent="0.35"/>
    <row r="1504" hidden="1" x14ac:dyDescent="0.35"/>
    <row r="1505" hidden="1" x14ac:dyDescent="0.35"/>
    <row r="1506" hidden="1" x14ac:dyDescent="0.35"/>
    <row r="1507" hidden="1" x14ac:dyDescent="0.35"/>
    <row r="1508" hidden="1" x14ac:dyDescent="0.35"/>
    <row r="1509" hidden="1" x14ac:dyDescent="0.35"/>
    <row r="1510" hidden="1" x14ac:dyDescent="0.35"/>
    <row r="1511" hidden="1" x14ac:dyDescent="0.35"/>
    <row r="1512" hidden="1" x14ac:dyDescent="0.35"/>
    <row r="1513" hidden="1" x14ac:dyDescent="0.35"/>
    <row r="1514" hidden="1" x14ac:dyDescent="0.35"/>
    <row r="1515" hidden="1" x14ac:dyDescent="0.35"/>
    <row r="1516" hidden="1" x14ac:dyDescent="0.35"/>
    <row r="1517" hidden="1" x14ac:dyDescent="0.35"/>
    <row r="1518" hidden="1" x14ac:dyDescent="0.35"/>
    <row r="1519" hidden="1" x14ac:dyDescent="0.35"/>
    <row r="1520" hidden="1" x14ac:dyDescent="0.35"/>
    <row r="1521" hidden="1" x14ac:dyDescent="0.35"/>
    <row r="1522" hidden="1" x14ac:dyDescent="0.35"/>
    <row r="1523" hidden="1" x14ac:dyDescent="0.35"/>
    <row r="1524" hidden="1" x14ac:dyDescent="0.35"/>
    <row r="1525" hidden="1" x14ac:dyDescent="0.35"/>
    <row r="1526" hidden="1" x14ac:dyDescent="0.35"/>
    <row r="1527" hidden="1" x14ac:dyDescent="0.35"/>
    <row r="1528" hidden="1" x14ac:dyDescent="0.35"/>
    <row r="1529" hidden="1" x14ac:dyDescent="0.35"/>
    <row r="1530" hidden="1" x14ac:dyDescent="0.35"/>
    <row r="1531" hidden="1" x14ac:dyDescent="0.35"/>
    <row r="1532" hidden="1" x14ac:dyDescent="0.35"/>
    <row r="1533" hidden="1" x14ac:dyDescent="0.35"/>
    <row r="1534" hidden="1" x14ac:dyDescent="0.35"/>
    <row r="1535" hidden="1" x14ac:dyDescent="0.35"/>
    <row r="1536" hidden="1" x14ac:dyDescent="0.35"/>
    <row r="1537" hidden="1" x14ac:dyDescent="0.35"/>
    <row r="1538" hidden="1" x14ac:dyDescent="0.35"/>
    <row r="1539" hidden="1" x14ac:dyDescent="0.35"/>
    <row r="1540" hidden="1" x14ac:dyDescent="0.35"/>
    <row r="1541" hidden="1" x14ac:dyDescent="0.35"/>
    <row r="1542" hidden="1" x14ac:dyDescent="0.35"/>
    <row r="1543" hidden="1" x14ac:dyDescent="0.35"/>
    <row r="1544" hidden="1" x14ac:dyDescent="0.35"/>
    <row r="1545" hidden="1" x14ac:dyDescent="0.35"/>
    <row r="1546" hidden="1" x14ac:dyDescent="0.35"/>
    <row r="1547" hidden="1" x14ac:dyDescent="0.35"/>
    <row r="1548" hidden="1" x14ac:dyDescent="0.35"/>
    <row r="1549" hidden="1" x14ac:dyDescent="0.35"/>
    <row r="1550" hidden="1" x14ac:dyDescent="0.35"/>
    <row r="1551" hidden="1" x14ac:dyDescent="0.35"/>
    <row r="1552" hidden="1" x14ac:dyDescent="0.35"/>
    <row r="1553" hidden="1" x14ac:dyDescent="0.35"/>
    <row r="1554" hidden="1" x14ac:dyDescent="0.35"/>
    <row r="1555" hidden="1" x14ac:dyDescent="0.35"/>
    <row r="1556" hidden="1" x14ac:dyDescent="0.35"/>
    <row r="1557" hidden="1" x14ac:dyDescent="0.35"/>
    <row r="1558" hidden="1" x14ac:dyDescent="0.35"/>
    <row r="1559" hidden="1" x14ac:dyDescent="0.35"/>
    <row r="1560" hidden="1" x14ac:dyDescent="0.35"/>
    <row r="1561" hidden="1" x14ac:dyDescent="0.35"/>
    <row r="1562" hidden="1" x14ac:dyDescent="0.35"/>
    <row r="1563" hidden="1" x14ac:dyDescent="0.35"/>
    <row r="1564" hidden="1" x14ac:dyDescent="0.35"/>
    <row r="1565" hidden="1" x14ac:dyDescent="0.35"/>
    <row r="1566" hidden="1" x14ac:dyDescent="0.35"/>
    <row r="1567" hidden="1" x14ac:dyDescent="0.35"/>
    <row r="1568" hidden="1" x14ac:dyDescent="0.35"/>
    <row r="1569" hidden="1" x14ac:dyDescent="0.35"/>
    <row r="1570" hidden="1" x14ac:dyDescent="0.35"/>
    <row r="1571" hidden="1" x14ac:dyDescent="0.35"/>
    <row r="1572" hidden="1" x14ac:dyDescent="0.35"/>
    <row r="1573" hidden="1" x14ac:dyDescent="0.35"/>
    <row r="1574" hidden="1" x14ac:dyDescent="0.35"/>
    <row r="1575" hidden="1" x14ac:dyDescent="0.35"/>
    <row r="1576" hidden="1" x14ac:dyDescent="0.35"/>
    <row r="1577" hidden="1" x14ac:dyDescent="0.35"/>
    <row r="1578" hidden="1" x14ac:dyDescent="0.35"/>
    <row r="1579" hidden="1" x14ac:dyDescent="0.35"/>
    <row r="1580" hidden="1" x14ac:dyDescent="0.35"/>
    <row r="1581" hidden="1" x14ac:dyDescent="0.35"/>
    <row r="1582" hidden="1" x14ac:dyDescent="0.35"/>
    <row r="1583" hidden="1" x14ac:dyDescent="0.35"/>
    <row r="1584" hidden="1" x14ac:dyDescent="0.35"/>
    <row r="1585" hidden="1" x14ac:dyDescent="0.35"/>
    <row r="1586" hidden="1" x14ac:dyDescent="0.35"/>
    <row r="1587" hidden="1" x14ac:dyDescent="0.35"/>
    <row r="1588" hidden="1" x14ac:dyDescent="0.35"/>
    <row r="1589" hidden="1" x14ac:dyDescent="0.35"/>
    <row r="1590" hidden="1" x14ac:dyDescent="0.35"/>
    <row r="1591" hidden="1" x14ac:dyDescent="0.35"/>
    <row r="1592" hidden="1" x14ac:dyDescent="0.35"/>
    <row r="1593" hidden="1" x14ac:dyDescent="0.35"/>
    <row r="1594" hidden="1" x14ac:dyDescent="0.35"/>
    <row r="1595" hidden="1" x14ac:dyDescent="0.35"/>
    <row r="1596" hidden="1" x14ac:dyDescent="0.35"/>
    <row r="1597" hidden="1" x14ac:dyDescent="0.35"/>
    <row r="1598" hidden="1" x14ac:dyDescent="0.35"/>
    <row r="1599" hidden="1" x14ac:dyDescent="0.35"/>
    <row r="1600" hidden="1" x14ac:dyDescent="0.35"/>
    <row r="1601" hidden="1" x14ac:dyDescent="0.35"/>
    <row r="1602" hidden="1" x14ac:dyDescent="0.35"/>
    <row r="1603" hidden="1" x14ac:dyDescent="0.35"/>
    <row r="1604" hidden="1" x14ac:dyDescent="0.35"/>
    <row r="1605" hidden="1" x14ac:dyDescent="0.35"/>
    <row r="1606" hidden="1" x14ac:dyDescent="0.35"/>
    <row r="1607" hidden="1" x14ac:dyDescent="0.35"/>
    <row r="1608" hidden="1" x14ac:dyDescent="0.35"/>
    <row r="1609" hidden="1" x14ac:dyDescent="0.35"/>
    <row r="1610" hidden="1" x14ac:dyDescent="0.35"/>
    <row r="1611" hidden="1" x14ac:dyDescent="0.35"/>
    <row r="1612" hidden="1" x14ac:dyDescent="0.35"/>
    <row r="1613" hidden="1" x14ac:dyDescent="0.35"/>
    <row r="1614" hidden="1" x14ac:dyDescent="0.35"/>
    <row r="1615" hidden="1" x14ac:dyDescent="0.35"/>
    <row r="1616" hidden="1" x14ac:dyDescent="0.35"/>
    <row r="1617" hidden="1" x14ac:dyDescent="0.35"/>
    <row r="1618" hidden="1" x14ac:dyDescent="0.35"/>
    <row r="1619" hidden="1" x14ac:dyDescent="0.35"/>
    <row r="1620" hidden="1" x14ac:dyDescent="0.35"/>
    <row r="1621" hidden="1" x14ac:dyDescent="0.35"/>
    <row r="1622" hidden="1" x14ac:dyDescent="0.35"/>
    <row r="1623" hidden="1" x14ac:dyDescent="0.35"/>
    <row r="1624" hidden="1" x14ac:dyDescent="0.35"/>
    <row r="1625" hidden="1" x14ac:dyDescent="0.35"/>
    <row r="1626" hidden="1" x14ac:dyDescent="0.35"/>
    <row r="1627" hidden="1" x14ac:dyDescent="0.35"/>
    <row r="1628" hidden="1" x14ac:dyDescent="0.35"/>
    <row r="1629" hidden="1" x14ac:dyDescent="0.35"/>
    <row r="1630" hidden="1" x14ac:dyDescent="0.35"/>
    <row r="1631" hidden="1" x14ac:dyDescent="0.35"/>
    <row r="1632" hidden="1" x14ac:dyDescent="0.35"/>
    <row r="1633" hidden="1" x14ac:dyDescent="0.35"/>
    <row r="1634" hidden="1" x14ac:dyDescent="0.35"/>
    <row r="1635" hidden="1" x14ac:dyDescent="0.35"/>
    <row r="1636" hidden="1" x14ac:dyDescent="0.35"/>
    <row r="1637" hidden="1" x14ac:dyDescent="0.35"/>
    <row r="1638" hidden="1" x14ac:dyDescent="0.35"/>
    <row r="1639" hidden="1" x14ac:dyDescent="0.35"/>
    <row r="1640" hidden="1" x14ac:dyDescent="0.35"/>
    <row r="1641" hidden="1" x14ac:dyDescent="0.35"/>
    <row r="1642" hidden="1" x14ac:dyDescent="0.35"/>
    <row r="1643" hidden="1" x14ac:dyDescent="0.35"/>
    <row r="1644" hidden="1" x14ac:dyDescent="0.35"/>
    <row r="1645" hidden="1" x14ac:dyDescent="0.35"/>
    <row r="1646" hidden="1" x14ac:dyDescent="0.35"/>
    <row r="1647" hidden="1" x14ac:dyDescent="0.35"/>
    <row r="1648" hidden="1" x14ac:dyDescent="0.35"/>
    <row r="1649" hidden="1" x14ac:dyDescent="0.35"/>
    <row r="1650" hidden="1" x14ac:dyDescent="0.35"/>
    <row r="1651" hidden="1" x14ac:dyDescent="0.35"/>
    <row r="1652" hidden="1" x14ac:dyDescent="0.35"/>
    <row r="1653" hidden="1" x14ac:dyDescent="0.35"/>
    <row r="1654" hidden="1" x14ac:dyDescent="0.35"/>
    <row r="1655" hidden="1" x14ac:dyDescent="0.35"/>
    <row r="1656" hidden="1" x14ac:dyDescent="0.35"/>
    <row r="1657" hidden="1" x14ac:dyDescent="0.35"/>
    <row r="1658" hidden="1" x14ac:dyDescent="0.35"/>
    <row r="1659" hidden="1" x14ac:dyDescent="0.35"/>
    <row r="1660" hidden="1" x14ac:dyDescent="0.35"/>
    <row r="1661" hidden="1" x14ac:dyDescent="0.35"/>
    <row r="1662" hidden="1" x14ac:dyDescent="0.35"/>
    <row r="1663" hidden="1" x14ac:dyDescent="0.35"/>
    <row r="1664" hidden="1" x14ac:dyDescent="0.35"/>
    <row r="1665" hidden="1" x14ac:dyDescent="0.35"/>
    <row r="1666" hidden="1" x14ac:dyDescent="0.35"/>
    <row r="1667" hidden="1" x14ac:dyDescent="0.35"/>
    <row r="1668" hidden="1" x14ac:dyDescent="0.35"/>
    <row r="1669" hidden="1" x14ac:dyDescent="0.35"/>
    <row r="1670" hidden="1" x14ac:dyDescent="0.35"/>
    <row r="1671" hidden="1" x14ac:dyDescent="0.35"/>
    <row r="1672" hidden="1" x14ac:dyDescent="0.35"/>
    <row r="1673" hidden="1" x14ac:dyDescent="0.35"/>
    <row r="1674" hidden="1" x14ac:dyDescent="0.35"/>
    <row r="1675" hidden="1" x14ac:dyDescent="0.35"/>
    <row r="1676" hidden="1" x14ac:dyDescent="0.35"/>
    <row r="1677" hidden="1" x14ac:dyDescent="0.35"/>
    <row r="1678" hidden="1" x14ac:dyDescent="0.35"/>
    <row r="1679" hidden="1" x14ac:dyDescent="0.35"/>
    <row r="1680" hidden="1" x14ac:dyDescent="0.35"/>
    <row r="1681" hidden="1" x14ac:dyDescent="0.35"/>
    <row r="1682" hidden="1" x14ac:dyDescent="0.35"/>
    <row r="1683" hidden="1" x14ac:dyDescent="0.35"/>
    <row r="1684" hidden="1" x14ac:dyDescent="0.35"/>
    <row r="1685" hidden="1" x14ac:dyDescent="0.35"/>
    <row r="1686" hidden="1" x14ac:dyDescent="0.35"/>
    <row r="1687" hidden="1" x14ac:dyDescent="0.35"/>
    <row r="1688" hidden="1" x14ac:dyDescent="0.35"/>
    <row r="1689" hidden="1" x14ac:dyDescent="0.35"/>
    <row r="1690" hidden="1" x14ac:dyDescent="0.35"/>
    <row r="1691" hidden="1" x14ac:dyDescent="0.35"/>
    <row r="1692" hidden="1" x14ac:dyDescent="0.35"/>
    <row r="1693" hidden="1" x14ac:dyDescent="0.35"/>
    <row r="1694" hidden="1" x14ac:dyDescent="0.35"/>
    <row r="1695" hidden="1" x14ac:dyDescent="0.35"/>
    <row r="1696" hidden="1" x14ac:dyDescent="0.35"/>
    <row r="1697" hidden="1" x14ac:dyDescent="0.35"/>
    <row r="1698" hidden="1" x14ac:dyDescent="0.35"/>
    <row r="1699" hidden="1" x14ac:dyDescent="0.35"/>
    <row r="1700" hidden="1" x14ac:dyDescent="0.35"/>
    <row r="1701" hidden="1" x14ac:dyDescent="0.35"/>
    <row r="1702" hidden="1" x14ac:dyDescent="0.35"/>
    <row r="1703" hidden="1" x14ac:dyDescent="0.35"/>
    <row r="1704" hidden="1" x14ac:dyDescent="0.35"/>
    <row r="1705" hidden="1" x14ac:dyDescent="0.35"/>
    <row r="1706" hidden="1" x14ac:dyDescent="0.35"/>
    <row r="1707" hidden="1" x14ac:dyDescent="0.35"/>
    <row r="1708" hidden="1" x14ac:dyDescent="0.35"/>
    <row r="1709" hidden="1" x14ac:dyDescent="0.35"/>
    <row r="1710" hidden="1" x14ac:dyDescent="0.35"/>
    <row r="1711" hidden="1" x14ac:dyDescent="0.35"/>
    <row r="1712" hidden="1" x14ac:dyDescent="0.35"/>
    <row r="1713" hidden="1" x14ac:dyDescent="0.35"/>
    <row r="1714" hidden="1" x14ac:dyDescent="0.35"/>
    <row r="1715" hidden="1" x14ac:dyDescent="0.35"/>
    <row r="1716" hidden="1" x14ac:dyDescent="0.35"/>
    <row r="1717" hidden="1" x14ac:dyDescent="0.35"/>
    <row r="1718" hidden="1" x14ac:dyDescent="0.35"/>
    <row r="1719" hidden="1" x14ac:dyDescent="0.35"/>
    <row r="1720" hidden="1" x14ac:dyDescent="0.35"/>
    <row r="1721" hidden="1" x14ac:dyDescent="0.35"/>
    <row r="1722" hidden="1" x14ac:dyDescent="0.35"/>
    <row r="1723" hidden="1" x14ac:dyDescent="0.35"/>
    <row r="1724" hidden="1" x14ac:dyDescent="0.35"/>
    <row r="1725" hidden="1" x14ac:dyDescent="0.35"/>
    <row r="1726" hidden="1" x14ac:dyDescent="0.35"/>
    <row r="1727" hidden="1" x14ac:dyDescent="0.35"/>
    <row r="1728" hidden="1" x14ac:dyDescent="0.35"/>
    <row r="1729" hidden="1" x14ac:dyDescent="0.35"/>
    <row r="1730" hidden="1" x14ac:dyDescent="0.35"/>
    <row r="1731" hidden="1" x14ac:dyDescent="0.35"/>
    <row r="1732" hidden="1" x14ac:dyDescent="0.35"/>
    <row r="1733" hidden="1" x14ac:dyDescent="0.35"/>
    <row r="1734" hidden="1" x14ac:dyDescent="0.35"/>
    <row r="1735" hidden="1" x14ac:dyDescent="0.35"/>
    <row r="1736" hidden="1" x14ac:dyDescent="0.35"/>
    <row r="1737" hidden="1" x14ac:dyDescent="0.35"/>
    <row r="1738" hidden="1" x14ac:dyDescent="0.35"/>
    <row r="1739" hidden="1" x14ac:dyDescent="0.35"/>
    <row r="1740" hidden="1" x14ac:dyDescent="0.35"/>
    <row r="1741" hidden="1" x14ac:dyDescent="0.35"/>
    <row r="1742" hidden="1" x14ac:dyDescent="0.35"/>
    <row r="1743" hidden="1" x14ac:dyDescent="0.35"/>
    <row r="1744" hidden="1" x14ac:dyDescent="0.35"/>
    <row r="1745" hidden="1" x14ac:dyDescent="0.35"/>
    <row r="1746" hidden="1" x14ac:dyDescent="0.35"/>
    <row r="1747" hidden="1" x14ac:dyDescent="0.35"/>
    <row r="1748" hidden="1" x14ac:dyDescent="0.35"/>
    <row r="1749" hidden="1" x14ac:dyDescent="0.35"/>
    <row r="1750" hidden="1" x14ac:dyDescent="0.35"/>
    <row r="1751" hidden="1" x14ac:dyDescent="0.35"/>
    <row r="1752" hidden="1" x14ac:dyDescent="0.35"/>
    <row r="1753" hidden="1" x14ac:dyDescent="0.35"/>
    <row r="1754" hidden="1" x14ac:dyDescent="0.35"/>
    <row r="1755" hidden="1" x14ac:dyDescent="0.35"/>
    <row r="1756" hidden="1" x14ac:dyDescent="0.35"/>
    <row r="1757" hidden="1" x14ac:dyDescent="0.35"/>
    <row r="1758" hidden="1" x14ac:dyDescent="0.35"/>
    <row r="1759" hidden="1" x14ac:dyDescent="0.35"/>
    <row r="1760" hidden="1" x14ac:dyDescent="0.35"/>
    <row r="1761" hidden="1" x14ac:dyDescent="0.35"/>
    <row r="1762" hidden="1" x14ac:dyDescent="0.35"/>
    <row r="1763" hidden="1" x14ac:dyDescent="0.35"/>
    <row r="1764" hidden="1" x14ac:dyDescent="0.35"/>
    <row r="1765" hidden="1" x14ac:dyDescent="0.35"/>
    <row r="1766" hidden="1" x14ac:dyDescent="0.35"/>
    <row r="1767" hidden="1" x14ac:dyDescent="0.35"/>
    <row r="1768" hidden="1" x14ac:dyDescent="0.35"/>
    <row r="1769" hidden="1" x14ac:dyDescent="0.35"/>
    <row r="1770" hidden="1" x14ac:dyDescent="0.35"/>
    <row r="1771" hidden="1" x14ac:dyDescent="0.35"/>
    <row r="1772" hidden="1" x14ac:dyDescent="0.35"/>
    <row r="1773" hidden="1" x14ac:dyDescent="0.35"/>
    <row r="1774" hidden="1" x14ac:dyDescent="0.35"/>
    <row r="1775" hidden="1" x14ac:dyDescent="0.35"/>
    <row r="1776" hidden="1" x14ac:dyDescent="0.35"/>
    <row r="1777" hidden="1" x14ac:dyDescent="0.35"/>
    <row r="1778" hidden="1" x14ac:dyDescent="0.35"/>
    <row r="1779" hidden="1" x14ac:dyDescent="0.35"/>
    <row r="1780" hidden="1" x14ac:dyDescent="0.35"/>
    <row r="1781" hidden="1" x14ac:dyDescent="0.35"/>
    <row r="1782" hidden="1" x14ac:dyDescent="0.35"/>
    <row r="1783" hidden="1" x14ac:dyDescent="0.35"/>
    <row r="1784" hidden="1" x14ac:dyDescent="0.35"/>
    <row r="1785" hidden="1" x14ac:dyDescent="0.35"/>
    <row r="1786" hidden="1" x14ac:dyDescent="0.35"/>
    <row r="1787" hidden="1" x14ac:dyDescent="0.35"/>
    <row r="1788" hidden="1" x14ac:dyDescent="0.35"/>
    <row r="1789" hidden="1" x14ac:dyDescent="0.35"/>
    <row r="1790" hidden="1" x14ac:dyDescent="0.35"/>
    <row r="1791" hidden="1" x14ac:dyDescent="0.35"/>
    <row r="1792" hidden="1" x14ac:dyDescent="0.35"/>
    <row r="1793" hidden="1" x14ac:dyDescent="0.35"/>
    <row r="1794" hidden="1" x14ac:dyDescent="0.35"/>
    <row r="1795" hidden="1" x14ac:dyDescent="0.35"/>
    <row r="1796" hidden="1" x14ac:dyDescent="0.35"/>
    <row r="1797" hidden="1" x14ac:dyDescent="0.35"/>
    <row r="1798" hidden="1" x14ac:dyDescent="0.35"/>
    <row r="1799" hidden="1" x14ac:dyDescent="0.35"/>
    <row r="1800" hidden="1" x14ac:dyDescent="0.35"/>
    <row r="1801" hidden="1" x14ac:dyDescent="0.35"/>
    <row r="1802" hidden="1" x14ac:dyDescent="0.35"/>
    <row r="1803" hidden="1" x14ac:dyDescent="0.35"/>
    <row r="1804" hidden="1" x14ac:dyDescent="0.35"/>
    <row r="1805" hidden="1" x14ac:dyDescent="0.35"/>
    <row r="1806" hidden="1" x14ac:dyDescent="0.35"/>
    <row r="1807" hidden="1" x14ac:dyDescent="0.35"/>
    <row r="1808" hidden="1" x14ac:dyDescent="0.35"/>
    <row r="1809" hidden="1" x14ac:dyDescent="0.35"/>
    <row r="1810" hidden="1" x14ac:dyDescent="0.35"/>
    <row r="1811" hidden="1" x14ac:dyDescent="0.35"/>
    <row r="1812" hidden="1" x14ac:dyDescent="0.35"/>
    <row r="1813" hidden="1" x14ac:dyDescent="0.35"/>
    <row r="1814" hidden="1" x14ac:dyDescent="0.35"/>
    <row r="1815" hidden="1" x14ac:dyDescent="0.35"/>
    <row r="1816" hidden="1" x14ac:dyDescent="0.35"/>
    <row r="1817" hidden="1" x14ac:dyDescent="0.35"/>
    <row r="1818" hidden="1" x14ac:dyDescent="0.35"/>
    <row r="1819" hidden="1" x14ac:dyDescent="0.35"/>
    <row r="1820" hidden="1" x14ac:dyDescent="0.35"/>
    <row r="1821" hidden="1" x14ac:dyDescent="0.35"/>
    <row r="1822" hidden="1" x14ac:dyDescent="0.35"/>
    <row r="1823" hidden="1" x14ac:dyDescent="0.35"/>
    <row r="1824" hidden="1" x14ac:dyDescent="0.35"/>
    <row r="1825" hidden="1" x14ac:dyDescent="0.35"/>
    <row r="1826" hidden="1" x14ac:dyDescent="0.35"/>
    <row r="1827" hidden="1" x14ac:dyDescent="0.35"/>
    <row r="1828" hidden="1" x14ac:dyDescent="0.35"/>
    <row r="1829" hidden="1" x14ac:dyDescent="0.35"/>
    <row r="1830" hidden="1" x14ac:dyDescent="0.35"/>
    <row r="1831" hidden="1" x14ac:dyDescent="0.35"/>
    <row r="1832" hidden="1" x14ac:dyDescent="0.35"/>
    <row r="1833" hidden="1" x14ac:dyDescent="0.35"/>
    <row r="1834" hidden="1" x14ac:dyDescent="0.35"/>
    <row r="1835" hidden="1" x14ac:dyDescent="0.35"/>
    <row r="1836" hidden="1" x14ac:dyDescent="0.35"/>
    <row r="1837" hidden="1" x14ac:dyDescent="0.35"/>
    <row r="1838" hidden="1" x14ac:dyDescent="0.35"/>
    <row r="1839" hidden="1" x14ac:dyDescent="0.35"/>
    <row r="1840" hidden="1" x14ac:dyDescent="0.35"/>
    <row r="1841" hidden="1" x14ac:dyDescent="0.35"/>
    <row r="1842" hidden="1" x14ac:dyDescent="0.35"/>
    <row r="1843" hidden="1" x14ac:dyDescent="0.35"/>
    <row r="1844" hidden="1" x14ac:dyDescent="0.35"/>
    <row r="1845" hidden="1" x14ac:dyDescent="0.35"/>
    <row r="1846" hidden="1" x14ac:dyDescent="0.35"/>
    <row r="1847" hidden="1" x14ac:dyDescent="0.35"/>
    <row r="1848" hidden="1" x14ac:dyDescent="0.35"/>
    <row r="1849" hidden="1" x14ac:dyDescent="0.35"/>
    <row r="1850" hidden="1" x14ac:dyDescent="0.35"/>
    <row r="1851" hidden="1" x14ac:dyDescent="0.35"/>
    <row r="1852" hidden="1" x14ac:dyDescent="0.35"/>
    <row r="1853" hidden="1" x14ac:dyDescent="0.35"/>
    <row r="1854" hidden="1" x14ac:dyDescent="0.35"/>
    <row r="1855" hidden="1" x14ac:dyDescent="0.35"/>
    <row r="1856" hidden="1" x14ac:dyDescent="0.35"/>
    <row r="1857" hidden="1" x14ac:dyDescent="0.35"/>
    <row r="1858" hidden="1" x14ac:dyDescent="0.35"/>
    <row r="1859" hidden="1" x14ac:dyDescent="0.35"/>
    <row r="1860" hidden="1" x14ac:dyDescent="0.35"/>
    <row r="1861" hidden="1" x14ac:dyDescent="0.35"/>
    <row r="1862" hidden="1" x14ac:dyDescent="0.35"/>
    <row r="1863" hidden="1" x14ac:dyDescent="0.35"/>
    <row r="1864" hidden="1" x14ac:dyDescent="0.35"/>
    <row r="1865" hidden="1" x14ac:dyDescent="0.35"/>
    <row r="1866" hidden="1" x14ac:dyDescent="0.35"/>
    <row r="1867" hidden="1" x14ac:dyDescent="0.35"/>
    <row r="1868" hidden="1" x14ac:dyDescent="0.35"/>
    <row r="1869" hidden="1" x14ac:dyDescent="0.35"/>
    <row r="1870" hidden="1" x14ac:dyDescent="0.35"/>
    <row r="1871" hidden="1" x14ac:dyDescent="0.35"/>
    <row r="1872" hidden="1" x14ac:dyDescent="0.35"/>
    <row r="1873" hidden="1" x14ac:dyDescent="0.35"/>
    <row r="1874" hidden="1" x14ac:dyDescent="0.35"/>
    <row r="1875" hidden="1" x14ac:dyDescent="0.35"/>
    <row r="1876" hidden="1" x14ac:dyDescent="0.35"/>
    <row r="1877" hidden="1" x14ac:dyDescent="0.35"/>
    <row r="1878" hidden="1" x14ac:dyDescent="0.35"/>
    <row r="1879" hidden="1" x14ac:dyDescent="0.35"/>
    <row r="1880" hidden="1" x14ac:dyDescent="0.35"/>
    <row r="1881" hidden="1" x14ac:dyDescent="0.35"/>
    <row r="1882" hidden="1" x14ac:dyDescent="0.35"/>
    <row r="1883" hidden="1" x14ac:dyDescent="0.35"/>
    <row r="1884" hidden="1" x14ac:dyDescent="0.35"/>
    <row r="1885" hidden="1" x14ac:dyDescent="0.35"/>
    <row r="1886" hidden="1" x14ac:dyDescent="0.35"/>
    <row r="1887" hidden="1" x14ac:dyDescent="0.35"/>
    <row r="1888" hidden="1" x14ac:dyDescent="0.35"/>
    <row r="1889" hidden="1" x14ac:dyDescent="0.35"/>
    <row r="1890" hidden="1" x14ac:dyDescent="0.35"/>
    <row r="1891" hidden="1" x14ac:dyDescent="0.35"/>
    <row r="1892" hidden="1" x14ac:dyDescent="0.35"/>
    <row r="1893" hidden="1" x14ac:dyDescent="0.35"/>
    <row r="1894" hidden="1" x14ac:dyDescent="0.35"/>
    <row r="1895" hidden="1" x14ac:dyDescent="0.35"/>
    <row r="1896" hidden="1" x14ac:dyDescent="0.35"/>
    <row r="1897" hidden="1" x14ac:dyDescent="0.35"/>
    <row r="1898" hidden="1" x14ac:dyDescent="0.35"/>
    <row r="1899" hidden="1" x14ac:dyDescent="0.35"/>
    <row r="1900" hidden="1" x14ac:dyDescent="0.35"/>
    <row r="1901" hidden="1" x14ac:dyDescent="0.35"/>
    <row r="1902" hidden="1" x14ac:dyDescent="0.35"/>
    <row r="1903" hidden="1" x14ac:dyDescent="0.35"/>
    <row r="1904" hidden="1" x14ac:dyDescent="0.35"/>
    <row r="1905" hidden="1" x14ac:dyDescent="0.35"/>
    <row r="1906" hidden="1" x14ac:dyDescent="0.35"/>
    <row r="1907" hidden="1" x14ac:dyDescent="0.35"/>
    <row r="1908" hidden="1" x14ac:dyDescent="0.35"/>
    <row r="1909" hidden="1" x14ac:dyDescent="0.35"/>
    <row r="1910" hidden="1" x14ac:dyDescent="0.35"/>
    <row r="1911" hidden="1" x14ac:dyDescent="0.35"/>
    <row r="1912" hidden="1" x14ac:dyDescent="0.35"/>
    <row r="1913" hidden="1" x14ac:dyDescent="0.35"/>
    <row r="1914" hidden="1" x14ac:dyDescent="0.35"/>
    <row r="1915" hidden="1" x14ac:dyDescent="0.35"/>
    <row r="1916" hidden="1" x14ac:dyDescent="0.35"/>
    <row r="1917" hidden="1" x14ac:dyDescent="0.35"/>
    <row r="1918" hidden="1" x14ac:dyDescent="0.35"/>
    <row r="1919" hidden="1" x14ac:dyDescent="0.35"/>
    <row r="1920" hidden="1" x14ac:dyDescent="0.35"/>
    <row r="1921" hidden="1" x14ac:dyDescent="0.35"/>
    <row r="1922" hidden="1" x14ac:dyDescent="0.35"/>
    <row r="1923" hidden="1" x14ac:dyDescent="0.35"/>
    <row r="1924" hidden="1" x14ac:dyDescent="0.35"/>
    <row r="1925" hidden="1" x14ac:dyDescent="0.35"/>
    <row r="1926" hidden="1" x14ac:dyDescent="0.35"/>
    <row r="1927" hidden="1" x14ac:dyDescent="0.35"/>
    <row r="1928" hidden="1" x14ac:dyDescent="0.35"/>
    <row r="1929" hidden="1" x14ac:dyDescent="0.35"/>
    <row r="1930" hidden="1" x14ac:dyDescent="0.35"/>
    <row r="1931" hidden="1" x14ac:dyDescent="0.35"/>
    <row r="1932" hidden="1" x14ac:dyDescent="0.35"/>
    <row r="1933" hidden="1" x14ac:dyDescent="0.35"/>
    <row r="1934" hidden="1" x14ac:dyDescent="0.35"/>
    <row r="1935" hidden="1" x14ac:dyDescent="0.35"/>
    <row r="1936" hidden="1" x14ac:dyDescent="0.35"/>
    <row r="1937" hidden="1" x14ac:dyDescent="0.35"/>
    <row r="1938" hidden="1" x14ac:dyDescent="0.35"/>
    <row r="1939" hidden="1" x14ac:dyDescent="0.35"/>
    <row r="1940" hidden="1" x14ac:dyDescent="0.35"/>
    <row r="1941" hidden="1" x14ac:dyDescent="0.35"/>
    <row r="1942" hidden="1" x14ac:dyDescent="0.35"/>
    <row r="1943" hidden="1" x14ac:dyDescent="0.35"/>
    <row r="1944" hidden="1" x14ac:dyDescent="0.35"/>
    <row r="1945" hidden="1" x14ac:dyDescent="0.35"/>
    <row r="1946" hidden="1" x14ac:dyDescent="0.35"/>
    <row r="1947" hidden="1" x14ac:dyDescent="0.35"/>
    <row r="1948" hidden="1" x14ac:dyDescent="0.35"/>
    <row r="1949" hidden="1" x14ac:dyDescent="0.35"/>
    <row r="1950" hidden="1" x14ac:dyDescent="0.35"/>
    <row r="1951" hidden="1" x14ac:dyDescent="0.35"/>
    <row r="1952" hidden="1" x14ac:dyDescent="0.35"/>
    <row r="1953" hidden="1" x14ac:dyDescent="0.35"/>
    <row r="1954" hidden="1" x14ac:dyDescent="0.35"/>
    <row r="1955" hidden="1" x14ac:dyDescent="0.35"/>
    <row r="1956" hidden="1" x14ac:dyDescent="0.35"/>
    <row r="1957" hidden="1" x14ac:dyDescent="0.35"/>
    <row r="1958" hidden="1" x14ac:dyDescent="0.35"/>
    <row r="1959" hidden="1" x14ac:dyDescent="0.35"/>
    <row r="1960" hidden="1" x14ac:dyDescent="0.35"/>
    <row r="1961" hidden="1" x14ac:dyDescent="0.35"/>
    <row r="1962" hidden="1" x14ac:dyDescent="0.35"/>
    <row r="1963" hidden="1" x14ac:dyDescent="0.35"/>
    <row r="1964" hidden="1" x14ac:dyDescent="0.35"/>
    <row r="1965" hidden="1" x14ac:dyDescent="0.35"/>
    <row r="1966" hidden="1" x14ac:dyDescent="0.35"/>
    <row r="1967" hidden="1" x14ac:dyDescent="0.35"/>
    <row r="1968" hidden="1" x14ac:dyDescent="0.35"/>
    <row r="1969" hidden="1" x14ac:dyDescent="0.35"/>
    <row r="1970" hidden="1" x14ac:dyDescent="0.35"/>
    <row r="1971" hidden="1" x14ac:dyDescent="0.35"/>
    <row r="1972" hidden="1" x14ac:dyDescent="0.35"/>
    <row r="1973" hidden="1" x14ac:dyDescent="0.35"/>
    <row r="1974" hidden="1" x14ac:dyDescent="0.35"/>
    <row r="1975" hidden="1" x14ac:dyDescent="0.35"/>
    <row r="1976" hidden="1" x14ac:dyDescent="0.35"/>
    <row r="1977" hidden="1" x14ac:dyDescent="0.35"/>
    <row r="1978" hidden="1" x14ac:dyDescent="0.35"/>
    <row r="1979" hidden="1" x14ac:dyDescent="0.35"/>
    <row r="1980" hidden="1" x14ac:dyDescent="0.35"/>
    <row r="1981" hidden="1" x14ac:dyDescent="0.35"/>
    <row r="1982" hidden="1" x14ac:dyDescent="0.35"/>
    <row r="1983" hidden="1" x14ac:dyDescent="0.35"/>
    <row r="1984" hidden="1" x14ac:dyDescent="0.35"/>
    <row r="1985" hidden="1" x14ac:dyDescent="0.35"/>
    <row r="1986" hidden="1" x14ac:dyDescent="0.35"/>
    <row r="1987" hidden="1" x14ac:dyDescent="0.35"/>
    <row r="1988" hidden="1" x14ac:dyDescent="0.35"/>
    <row r="1989" hidden="1" x14ac:dyDescent="0.35"/>
    <row r="1990" hidden="1" x14ac:dyDescent="0.35"/>
    <row r="1991" hidden="1" x14ac:dyDescent="0.35"/>
    <row r="1992" hidden="1" x14ac:dyDescent="0.35"/>
    <row r="1993" hidden="1" x14ac:dyDescent="0.35"/>
    <row r="1994" hidden="1" x14ac:dyDescent="0.35"/>
    <row r="1995" hidden="1" x14ac:dyDescent="0.35"/>
    <row r="1996" hidden="1" x14ac:dyDescent="0.35"/>
    <row r="1997" hidden="1" x14ac:dyDescent="0.35"/>
    <row r="1998" hidden="1" x14ac:dyDescent="0.35"/>
    <row r="1999" hidden="1" x14ac:dyDescent="0.35"/>
    <row r="2000" hidden="1" x14ac:dyDescent="0.35"/>
    <row r="2001" hidden="1" x14ac:dyDescent="0.35"/>
    <row r="2002" hidden="1" x14ac:dyDescent="0.35"/>
    <row r="2003" hidden="1" x14ac:dyDescent="0.35"/>
    <row r="2004" hidden="1" x14ac:dyDescent="0.35"/>
    <row r="2005" hidden="1" x14ac:dyDescent="0.35"/>
    <row r="2006" hidden="1" x14ac:dyDescent="0.35"/>
    <row r="2007" hidden="1" x14ac:dyDescent="0.35"/>
    <row r="2008" hidden="1" x14ac:dyDescent="0.35"/>
    <row r="2009" hidden="1" x14ac:dyDescent="0.35"/>
    <row r="2010" hidden="1" x14ac:dyDescent="0.35"/>
    <row r="2011" hidden="1" x14ac:dyDescent="0.35"/>
    <row r="2012" hidden="1" x14ac:dyDescent="0.35"/>
    <row r="2013" hidden="1" x14ac:dyDescent="0.35"/>
    <row r="2014" hidden="1" x14ac:dyDescent="0.35"/>
    <row r="2015" hidden="1" x14ac:dyDescent="0.35"/>
    <row r="2016" hidden="1" x14ac:dyDescent="0.35"/>
    <row r="2017" hidden="1" x14ac:dyDescent="0.35"/>
    <row r="2018" hidden="1" x14ac:dyDescent="0.35"/>
    <row r="2019" hidden="1" x14ac:dyDescent="0.35"/>
    <row r="2020" hidden="1" x14ac:dyDescent="0.35"/>
    <row r="2021" hidden="1" x14ac:dyDescent="0.35"/>
    <row r="2022" hidden="1" x14ac:dyDescent="0.35"/>
    <row r="2023" hidden="1" x14ac:dyDescent="0.35"/>
    <row r="2024" hidden="1" x14ac:dyDescent="0.35"/>
    <row r="2025" hidden="1" x14ac:dyDescent="0.35"/>
    <row r="2026" hidden="1" x14ac:dyDescent="0.35"/>
    <row r="2027" hidden="1" x14ac:dyDescent="0.35"/>
    <row r="2028" hidden="1" x14ac:dyDescent="0.35"/>
    <row r="2029" hidden="1" x14ac:dyDescent="0.35"/>
    <row r="2030" hidden="1" x14ac:dyDescent="0.35"/>
    <row r="2031" hidden="1" x14ac:dyDescent="0.35"/>
    <row r="2032" hidden="1" x14ac:dyDescent="0.35"/>
    <row r="2033" hidden="1" x14ac:dyDescent="0.35"/>
    <row r="2034" hidden="1" x14ac:dyDescent="0.35"/>
    <row r="2035" hidden="1" x14ac:dyDescent="0.35"/>
    <row r="2036" hidden="1" x14ac:dyDescent="0.35"/>
    <row r="2037" hidden="1" x14ac:dyDescent="0.35"/>
    <row r="2038" hidden="1" x14ac:dyDescent="0.35"/>
    <row r="2039" hidden="1" x14ac:dyDescent="0.35"/>
    <row r="2040" hidden="1" x14ac:dyDescent="0.35"/>
    <row r="2041" hidden="1" x14ac:dyDescent="0.35"/>
    <row r="2042" hidden="1" x14ac:dyDescent="0.35"/>
    <row r="2043" hidden="1" x14ac:dyDescent="0.35"/>
    <row r="2044" hidden="1" x14ac:dyDescent="0.35"/>
    <row r="2045" hidden="1" x14ac:dyDescent="0.35"/>
    <row r="2046" hidden="1" x14ac:dyDescent="0.35"/>
    <row r="2047" hidden="1" x14ac:dyDescent="0.35"/>
    <row r="2048" hidden="1" x14ac:dyDescent="0.35"/>
    <row r="2049" hidden="1" x14ac:dyDescent="0.35"/>
    <row r="2050" hidden="1" x14ac:dyDescent="0.35"/>
    <row r="2051" hidden="1" x14ac:dyDescent="0.35"/>
    <row r="2052" hidden="1" x14ac:dyDescent="0.35"/>
    <row r="2053" hidden="1" x14ac:dyDescent="0.35"/>
    <row r="2054" hidden="1" x14ac:dyDescent="0.35"/>
    <row r="2055" hidden="1" x14ac:dyDescent="0.35"/>
    <row r="2056" hidden="1" x14ac:dyDescent="0.35"/>
    <row r="2057" hidden="1" x14ac:dyDescent="0.35"/>
    <row r="2058" hidden="1" x14ac:dyDescent="0.35"/>
    <row r="2059" hidden="1" x14ac:dyDescent="0.35"/>
    <row r="2060" hidden="1" x14ac:dyDescent="0.35"/>
    <row r="2061" hidden="1" x14ac:dyDescent="0.35"/>
    <row r="2062" hidden="1" x14ac:dyDescent="0.35"/>
    <row r="2063" hidden="1" x14ac:dyDescent="0.35"/>
    <row r="2064" hidden="1" x14ac:dyDescent="0.35"/>
    <row r="2065" hidden="1" x14ac:dyDescent="0.35"/>
    <row r="2066" hidden="1" x14ac:dyDescent="0.35"/>
    <row r="2067" hidden="1" x14ac:dyDescent="0.35"/>
    <row r="2068" hidden="1" x14ac:dyDescent="0.35"/>
    <row r="2069" hidden="1" x14ac:dyDescent="0.35"/>
    <row r="2070" hidden="1" x14ac:dyDescent="0.35"/>
    <row r="2071" hidden="1" x14ac:dyDescent="0.35"/>
    <row r="2072" hidden="1" x14ac:dyDescent="0.35"/>
    <row r="2073" hidden="1" x14ac:dyDescent="0.35"/>
    <row r="2074" hidden="1" x14ac:dyDescent="0.35"/>
    <row r="2075" hidden="1" x14ac:dyDescent="0.35"/>
    <row r="2076" hidden="1" x14ac:dyDescent="0.35"/>
    <row r="2077" hidden="1" x14ac:dyDescent="0.35"/>
    <row r="2078" hidden="1" x14ac:dyDescent="0.35"/>
    <row r="2079" hidden="1" x14ac:dyDescent="0.35"/>
    <row r="2080" hidden="1" x14ac:dyDescent="0.35"/>
    <row r="2081" hidden="1" x14ac:dyDescent="0.35"/>
    <row r="2082" hidden="1" x14ac:dyDescent="0.35"/>
    <row r="2083" hidden="1" x14ac:dyDescent="0.35"/>
    <row r="2084" hidden="1" x14ac:dyDescent="0.35"/>
    <row r="2085" hidden="1" x14ac:dyDescent="0.35"/>
    <row r="2086" hidden="1" x14ac:dyDescent="0.35"/>
    <row r="2087" hidden="1" x14ac:dyDescent="0.35"/>
    <row r="2088" hidden="1" x14ac:dyDescent="0.35"/>
    <row r="2089" hidden="1" x14ac:dyDescent="0.35"/>
    <row r="2090" hidden="1" x14ac:dyDescent="0.35"/>
    <row r="2091" hidden="1" x14ac:dyDescent="0.35"/>
    <row r="2092" hidden="1" x14ac:dyDescent="0.35"/>
    <row r="2093" hidden="1" x14ac:dyDescent="0.35"/>
    <row r="2094" hidden="1" x14ac:dyDescent="0.35"/>
    <row r="2095" hidden="1" x14ac:dyDescent="0.35"/>
    <row r="2096" hidden="1" x14ac:dyDescent="0.35"/>
    <row r="2097" hidden="1" x14ac:dyDescent="0.35"/>
    <row r="2098" hidden="1" x14ac:dyDescent="0.35"/>
    <row r="2099" hidden="1" x14ac:dyDescent="0.35"/>
    <row r="2100" hidden="1" x14ac:dyDescent="0.35"/>
    <row r="2101" hidden="1" x14ac:dyDescent="0.35"/>
    <row r="2102" hidden="1" x14ac:dyDescent="0.35"/>
    <row r="2103" hidden="1" x14ac:dyDescent="0.35"/>
    <row r="2104" hidden="1" x14ac:dyDescent="0.35"/>
    <row r="2105" hidden="1" x14ac:dyDescent="0.35"/>
    <row r="2106" hidden="1" x14ac:dyDescent="0.35"/>
    <row r="2107" hidden="1" x14ac:dyDescent="0.35"/>
    <row r="2108" hidden="1" x14ac:dyDescent="0.35"/>
    <row r="2109" hidden="1" x14ac:dyDescent="0.35"/>
    <row r="2110" hidden="1" x14ac:dyDescent="0.35"/>
    <row r="2111" hidden="1" x14ac:dyDescent="0.35"/>
    <row r="2112" hidden="1" x14ac:dyDescent="0.35"/>
    <row r="2113" hidden="1" x14ac:dyDescent="0.35"/>
    <row r="2114" hidden="1" x14ac:dyDescent="0.35"/>
    <row r="2115" hidden="1" x14ac:dyDescent="0.35"/>
    <row r="2116" hidden="1" x14ac:dyDescent="0.35"/>
    <row r="2117" hidden="1" x14ac:dyDescent="0.35"/>
    <row r="2118" hidden="1" x14ac:dyDescent="0.35"/>
    <row r="2119" hidden="1" x14ac:dyDescent="0.35"/>
    <row r="2120" hidden="1" x14ac:dyDescent="0.35"/>
    <row r="2121" hidden="1" x14ac:dyDescent="0.35"/>
    <row r="2122" hidden="1" x14ac:dyDescent="0.35"/>
    <row r="2123" hidden="1" x14ac:dyDescent="0.35"/>
    <row r="2124" hidden="1" x14ac:dyDescent="0.35"/>
    <row r="2125" hidden="1" x14ac:dyDescent="0.35"/>
    <row r="2126" hidden="1" x14ac:dyDescent="0.35"/>
    <row r="2127" hidden="1" x14ac:dyDescent="0.35"/>
    <row r="2128" hidden="1" x14ac:dyDescent="0.35"/>
    <row r="2129" hidden="1" x14ac:dyDescent="0.35"/>
    <row r="2130" hidden="1" x14ac:dyDescent="0.35"/>
    <row r="2131" hidden="1" x14ac:dyDescent="0.35"/>
    <row r="2132" hidden="1" x14ac:dyDescent="0.35"/>
    <row r="2133" hidden="1" x14ac:dyDescent="0.35"/>
    <row r="2134" hidden="1" x14ac:dyDescent="0.35"/>
    <row r="2135" hidden="1" x14ac:dyDescent="0.35"/>
    <row r="2136" hidden="1" x14ac:dyDescent="0.35"/>
    <row r="2137" hidden="1" x14ac:dyDescent="0.35"/>
    <row r="2138" hidden="1" x14ac:dyDescent="0.35"/>
    <row r="2139" hidden="1" x14ac:dyDescent="0.35"/>
    <row r="2140" hidden="1" x14ac:dyDescent="0.35"/>
    <row r="2141" hidden="1" x14ac:dyDescent="0.35"/>
    <row r="2142" hidden="1" x14ac:dyDescent="0.35"/>
    <row r="2143" hidden="1" x14ac:dyDescent="0.35"/>
    <row r="2144" hidden="1" x14ac:dyDescent="0.35"/>
    <row r="2145" hidden="1" x14ac:dyDescent="0.35"/>
    <row r="2146" hidden="1" x14ac:dyDescent="0.35"/>
    <row r="2147" hidden="1" x14ac:dyDescent="0.35"/>
    <row r="2148" hidden="1" x14ac:dyDescent="0.35"/>
    <row r="2149" hidden="1" x14ac:dyDescent="0.35"/>
    <row r="2150" hidden="1" x14ac:dyDescent="0.35"/>
    <row r="2151" hidden="1" x14ac:dyDescent="0.35"/>
    <row r="2152" hidden="1" x14ac:dyDescent="0.35"/>
    <row r="2153" hidden="1" x14ac:dyDescent="0.35"/>
    <row r="2154" hidden="1" x14ac:dyDescent="0.35"/>
    <row r="2155" hidden="1" x14ac:dyDescent="0.35"/>
    <row r="2156" hidden="1" x14ac:dyDescent="0.35"/>
    <row r="2157" hidden="1" x14ac:dyDescent="0.35"/>
    <row r="2158" hidden="1" x14ac:dyDescent="0.35"/>
    <row r="2159" hidden="1" x14ac:dyDescent="0.35"/>
    <row r="2160" hidden="1" x14ac:dyDescent="0.35"/>
    <row r="2161" hidden="1" x14ac:dyDescent="0.35"/>
    <row r="2162" hidden="1" x14ac:dyDescent="0.35"/>
    <row r="2163" hidden="1" x14ac:dyDescent="0.35"/>
    <row r="2164" hidden="1" x14ac:dyDescent="0.35"/>
    <row r="2165" hidden="1" x14ac:dyDescent="0.35"/>
    <row r="2166" hidden="1" x14ac:dyDescent="0.35"/>
    <row r="2167" hidden="1" x14ac:dyDescent="0.35"/>
    <row r="2168" hidden="1" x14ac:dyDescent="0.35"/>
    <row r="2169" hidden="1" x14ac:dyDescent="0.35"/>
    <row r="2170" hidden="1" x14ac:dyDescent="0.35"/>
    <row r="2171" hidden="1" x14ac:dyDescent="0.35"/>
    <row r="2172" hidden="1" x14ac:dyDescent="0.35"/>
    <row r="2173" hidden="1" x14ac:dyDescent="0.35"/>
    <row r="2174" hidden="1" x14ac:dyDescent="0.35"/>
    <row r="2175" hidden="1" x14ac:dyDescent="0.35"/>
    <row r="2176" hidden="1" x14ac:dyDescent="0.35"/>
    <row r="2177" hidden="1" x14ac:dyDescent="0.35"/>
    <row r="2178" hidden="1" x14ac:dyDescent="0.35"/>
    <row r="2179" hidden="1" x14ac:dyDescent="0.35"/>
    <row r="2180" hidden="1" x14ac:dyDescent="0.35"/>
    <row r="2181" hidden="1" x14ac:dyDescent="0.35"/>
    <row r="2182" hidden="1" x14ac:dyDescent="0.35"/>
    <row r="2183" hidden="1" x14ac:dyDescent="0.35"/>
    <row r="2184" hidden="1" x14ac:dyDescent="0.35"/>
    <row r="2185" hidden="1" x14ac:dyDescent="0.35"/>
    <row r="2186" hidden="1" x14ac:dyDescent="0.35"/>
    <row r="2187" hidden="1" x14ac:dyDescent="0.35"/>
    <row r="2188" hidden="1" x14ac:dyDescent="0.35"/>
    <row r="2189" hidden="1" x14ac:dyDescent="0.35"/>
    <row r="2190" hidden="1" x14ac:dyDescent="0.35"/>
    <row r="2191" hidden="1" x14ac:dyDescent="0.35"/>
    <row r="2192" hidden="1" x14ac:dyDescent="0.35"/>
    <row r="2193" hidden="1" x14ac:dyDescent="0.35"/>
    <row r="2194" hidden="1" x14ac:dyDescent="0.35"/>
    <row r="2195" hidden="1" x14ac:dyDescent="0.35"/>
    <row r="2196" hidden="1" x14ac:dyDescent="0.35"/>
    <row r="2197" hidden="1" x14ac:dyDescent="0.35"/>
    <row r="2198" hidden="1" x14ac:dyDescent="0.35"/>
    <row r="2199" hidden="1" x14ac:dyDescent="0.35"/>
    <row r="2200" hidden="1" x14ac:dyDescent="0.35"/>
    <row r="2201" hidden="1" x14ac:dyDescent="0.35"/>
    <row r="2202" hidden="1" x14ac:dyDescent="0.35"/>
    <row r="2203" hidden="1" x14ac:dyDescent="0.35"/>
    <row r="2204" hidden="1" x14ac:dyDescent="0.35"/>
    <row r="2205" hidden="1" x14ac:dyDescent="0.35"/>
    <row r="2206" hidden="1" x14ac:dyDescent="0.35"/>
    <row r="2207" hidden="1" x14ac:dyDescent="0.35"/>
    <row r="2208" hidden="1" x14ac:dyDescent="0.35"/>
    <row r="2209" hidden="1" x14ac:dyDescent="0.35"/>
    <row r="2210" hidden="1" x14ac:dyDescent="0.35"/>
    <row r="2211" hidden="1" x14ac:dyDescent="0.35"/>
    <row r="2212" hidden="1" x14ac:dyDescent="0.35"/>
    <row r="2213" hidden="1" x14ac:dyDescent="0.35"/>
    <row r="2214" hidden="1" x14ac:dyDescent="0.35"/>
    <row r="2215" hidden="1" x14ac:dyDescent="0.35"/>
    <row r="2216" hidden="1" x14ac:dyDescent="0.35"/>
    <row r="2217" hidden="1" x14ac:dyDescent="0.35"/>
    <row r="2218" hidden="1" x14ac:dyDescent="0.35"/>
    <row r="2219" hidden="1" x14ac:dyDescent="0.35"/>
    <row r="2220" hidden="1" x14ac:dyDescent="0.35"/>
    <row r="2221" hidden="1" x14ac:dyDescent="0.35"/>
    <row r="2222" hidden="1" x14ac:dyDescent="0.35"/>
    <row r="2223" hidden="1" x14ac:dyDescent="0.35"/>
    <row r="2224" hidden="1" x14ac:dyDescent="0.35"/>
    <row r="2225" hidden="1" x14ac:dyDescent="0.35"/>
    <row r="2226" hidden="1" x14ac:dyDescent="0.35"/>
    <row r="2227" hidden="1" x14ac:dyDescent="0.35"/>
    <row r="2228" hidden="1" x14ac:dyDescent="0.35"/>
    <row r="2229" hidden="1" x14ac:dyDescent="0.35"/>
    <row r="2230" hidden="1" x14ac:dyDescent="0.35"/>
    <row r="2231" hidden="1" x14ac:dyDescent="0.35"/>
    <row r="2232" hidden="1" x14ac:dyDescent="0.35"/>
    <row r="2233" hidden="1" x14ac:dyDescent="0.35"/>
    <row r="2234" hidden="1" x14ac:dyDescent="0.35"/>
    <row r="2235" hidden="1" x14ac:dyDescent="0.35"/>
    <row r="2236" hidden="1" x14ac:dyDescent="0.35"/>
    <row r="2237" hidden="1" x14ac:dyDescent="0.35"/>
    <row r="2238" hidden="1" x14ac:dyDescent="0.35"/>
    <row r="2239" hidden="1" x14ac:dyDescent="0.35"/>
    <row r="2240" hidden="1" x14ac:dyDescent="0.35"/>
    <row r="2241" hidden="1" x14ac:dyDescent="0.35"/>
    <row r="2242" hidden="1" x14ac:dyDescent="0.35"/>
    <row r="2243" hidden="1" x14ac:dyDescent="0.35"/>
    <row r="2244" hidden="1" x14ac:dyDescent="0.35"/>
    <row r="2245" hidden="1" x14ac:dyDescent="0.35"/>
    <row r="2246" hidden="1" x14ac:dyDescent="0.35"/>
    <row r="2247" hidden="1" x14ac:dyDescent="0.35"/>
    <row r="2248" hidden="1" x14ac:dyDescent="0.35"/>
    <row r="2249" hidden="1" x14ac:dyDescent="0.35"/>
    <row r="2250" hidden="1" x14ac:dyDescent="0.35"/>
    <row r="2251" hidden="1" x14ac:dyDescent="0.35"/>
    <row r="2252" hidden="1" x14ac:dyDescent="0.35"/>
    <row r="2253" hidden="1" x14ac:dyDescent="0.35"/>
    <row r="2254" hidden="1" x14ac:dyDescent="0.35"/>
    <row r="2255" hidden="1" x14ac:dyDescent="0.35"/>
    <row r="2256" hidden="1" x14ac:dyDescent="0.35"/>
    <row r="2257" hidden="1" x14ac:dyDescent="0.35"/>
    <row r="2258" hidden="1" x14ac:dyDescent="0.35"/>
    <row r="2259" hidden="1" x14ac:dyDescent="0.35"/>
    <row r="2260" hidden="1" x14ac:dyDescent="0.35"/>
    <row r="2261" hidden="1" x14ac:dyDescent="0.35"/>
    <row r="2262" hidden="1" x14ac:dyDescent="0.35"/>
    <row r="2263" hidden="1" x14ac:dyDescent="0.35"/>
    <row r="2264" hidden="1" x14ac:dyDescent="0.35"/>
    <row r="2265" hidden="1" x14ac:dyDescent="0.35"/>
    <row r="2266" hidden="1" x14ac:dyDescent="0.35"/>
    <row r="2267" hidden="1" x14ac:dyDescent="0.35"/>
    <row r="2268" hidden="1" x14ac:dyDescent="0.35"/>
    <row r="2269" hidden="1" x14ac:dyDescent="0.35"/>
    <row r="2270" hidden="1" x14ac:dyDescent="0.35"/>
    <row r="2271" hidden="1" x14ac:dyDescent="0.35"/>
    <row r="2272" hidden="1" x14ac:dyDescent="0.35"/>
    <row r="2273" hidden="1" x14ac:dyDescent="0.35"/>
    <row r="2274" hidden="1" x14ac:dyDescent="0.35"/>
    <row r="2275" hidden="1" x14ac:dyDescent="0.35"/>
    <row r="2276" hidden="1" x14ac:dyDescent="0.35"/>
    <row r="2277" hidden="1" x14ac:dyDescent="0.35"/>
    <row r="2278" hidden="1" x14ac:dyDescent="0.35"/>
    <row r="2279" hidden="1" x14ac:dyDescent="0.35"/>
    <row r="2280" hidden="1" x14ac:dyDescent="0.35"/>
    <row r="2281" hidden="1" x14ac:dyDescent="0.35"/>
    <row r="2282" hidden="1" x14ac:dyDescent="0.35"/>
    <row r="2283" hidden="1" x14ac:dyDescent="0.35"/>
    <row r="2284" hidden="1" x14ac:dyDescent="0.35"/>
    <row r="2285" hidden="1" x14ac:dyDescent="0.35"/>
    <row r="2286" hidden="1" x14ac:dyDescent="0.35"/>
    <row r="2287" hidden="1" x14ac:dyDescent="0.35"/>
    <row r="2288" hidden="1" x14ac:dyDescent="0.35"/>
    <row r="2289" hidden="1" x14ac:dyDescent="0.35"/>
    <row r="2290" hidden="1" x14ac:dyDescent="0.35"/>
    <row r="2291" hidden="1" x14ac:dyDescent="0.35"/>
    <row r="2292" hidden="1" x14ac:dyDescent="0.35"/>
    <row r="2293" hidden="1" x14ac:dyDescent="0.35"/>
    <row r="2294" hidden="1" x14ac:dyDescent="0.35"/>
    <row r="2295" hidden="1" x14ac:dyDescent="0.35"/>
    <row r="2296" hidden="1" x14ac:dyDescent="0.35"/>
    <row r="2297" hidden="1" x14ac:dyDescent="0.35"/>
    <row r="2298" hidden="1" x14ac:dyDescent="0.35"/>
    <row r="2299" hidden="1" x14ac:dyDescent="0.35"/>
    <row r="2300" hidden="1" x14ac:dyDescent="0.35"/>
    <row r="2301" hidden="1" x14ac:dyDescent="0.35"/>
    <row r="2302" hidden="1" x14ac:dyDescent="0.35"/>
    <row r="2303" hidden="1" x14ac:dyDescent="0.35"/>
    <row r="2304" hidden="1" x14ac:dyDescent="0.35"/>
    <row r="2305" hidden="1" x14ac:dyDescent="0.35"/>
    <row r="2306" hidden="1" x14ac:dyDescent="0.35"/>
    <row r="2307" hidden="1" x14ac:dyDescent="0.35"/>
    <row r="2308" hidden="1" x14ac:dyDescent="0.35"/>
    <row r="2309" hidden="1" x14ac:dyDescent="0.35"/>
    <row r="2310" hidden="1" x14ac:dyDescent="0.35"/>
    <row r="2311" hidden="1" x14ac:dyDescent="0.35"/>
    <row r="2312" hidden="1" x14ac:dyDescent="0.35"/>
    <row r="2313" hidden="1" x14ac:dyDescent="0.35"/>
    <row r="2314" hidden="1" x14ac:dyDescent="0.35"/>
    <row r="2315" hidden="1" x14ac:dyDescent="0.35"/>
    <row r="2316" hidden="1" x14ac:dyDescent="0.35"/>
    <row r="2317" hidden="1" x14ac:dyDescent="0.35"/>
    <row r="2318" hidden="1" x14ac:dyDescent="0.35"/>
    <row r="2319" hidden="1" x14ac:dyDescent="0.35"/>
    <row r="2320" hidden="1" x14ac:dyDescent="0.35"/>
    <row r="2321" hidden="1" x14ac:dyDescent="0.35"/>
    <row r="2322" hidden="1" x14ac:dyDescent="0.35"/>
    <row r="2323" hidden="1" x14ac:dyDescent="0.35"/>
    <row r="2324" hidden="1" x14ac:dyDescent="0.35"/>
    <row r="2325" hidden="1" x14ac:dyDescent="0.35"/>
    <row r="2326" hidden="1" x14ac:dyDescent="0.35"/>
    <row r="2327" hidden="1" x14ac:dyDescent="0.35"/>
    <row r="2328" hidden="1" x14ac:dyDescent="0.35"/>
    <row r="2329" hidden="1" x14ac:dyDescent="0.35"/>
    <row r="2330" hidden="1" x14ac:dyDescent="0.35"/>
    <row r="2331" hidden="1" x14ac:dyDescent="0.35"/>
    <row r="2332" hidden="1" x14ac:dyDescent="0.35"/>
    <row r="2333" hidden="1" x14ac:dyDescent="0.35"/>
    <row r="2334" hidden="1" x14ac:dyDescent="0.35"/>
    <row r="2335" hidden="1" x14ac:dyDescent="0.35"/>
    <row r="2336" hidden="1" x14ac:dyDescent="0.35"/>
    <row r="2337" hidden="1" x14ac:dyDescent="0.35"/>
    <row r="2338" hidden="1" x14ac:dyDescent="0.35"/>
    <row r="2339" hidden="1" x14ac:dyDescent="0.35"/>
    <row r="2340" hidden="1" x14ac:dyDescent="0.35"/>
    <row r="2341" hidden="1" x14ac:dyDescent="0.35"/>
    <row r="2342" hidden="1" x14ac:dyDescent="0.35"/>
    <row r="2343" hidden="1" x14ac:dyDescent="0.35"/>
    <row r="2344" hidden="1" x14ac:dyDescent="0.35"/>
    <row r="2345" hidden="1" x14ac:dyDescent="0.35"/>
    <row r="2346" hidden="1" x14ac:dyDescent="0.35"/>
    <row r="2347" hidden="1" x14ac:dyDescent="0.35"/>
    <row r="2348" hidden="1" x14ac:dyDescent="0.35"/>
    <row r="2349" hidden="1" x14ac:dyDescent="0.35"/>
    <row r="2350" hidden="1" x14ac:dyDescent="0.35"/>
    <row r="2351" hidden="1" x14ac:dyDescent="0.35"/>
    <row r="2352" hidden="1" x14ac:dyDescent="0.35"/>
    <row r="2353" hidden="1" x14ac:dyDescent="0.35"/>
    <row r="2354" hidden="1" x14ac:dyDescent="0.35"/>
    <row r="2355" hidden="1" x14ac:dyDescent="0.35"/>
    <row r="2356" hidden="1" x14ac:dyDescent="0.35"/>
    <row r="2357" hidden="1" x14ac:dyDescent="0.35"/>
    <row r="2358" hidden="1" x14ac:dyDescent="0.35"/>
    <row r="2359" hidden="1" x14ac:dyDescent="0.35"/>
    <row r="2360" hidden="1" x14ac:dyDescent="0.35"/>
    <row r="2361" hidden="1" x14ac:dyDescent="0.35"/>
    <row r="2362" hidden="1" x14ac:dyDescent="0.35"/>
    <row r="2363" hidden="1" x14ac:dyDescent="0.35"/>
    <row r="2364" hidden="1" x14ac:dyDescent="0.35"/>
    <row r="2365" hidden="1" x14ac:dyDescent="0.35"/>
    <row r="2366" hidden="1" x14ac:dyDescent="0.35"/>
    <row r="2367" hidden="1" x14ac:dyDescent="0.35"/>
    <row r="2368" hidden="1" x14ac:dyDescent="0.35"/>
    <row r="2369" hidden="1" x14ac:dyDescent="0.35"/>
    <row r="2370" hidden="1" x14ac:dyDescent="0.35"/>
    <row r="2371" hidden="1" x14ac:dyDescent="0.35"/>
    <row r="2372" hidden="1" x14ac:dyDescent="0.35"/>
    <row r="2373" hidden="1" x14ac:dyDescent="0.35"/>
    <row r="2374" hidden="1" x14ac:dyDescent="0.35"/>
    <row r="2375" hidden="1" x14ac:dyDescent="0.35"/>
    <row r="2376" hidden="1" x14ac:dyDescent="0.35"/>
    <row r="2377" hidden="1" x14ac:dyDescent="0.35"/>
    <row r="2378" hidden="1" x14ac:dyDescent="0.35"/>
    <row r="2379" hidden="1" x14ac:dyDescent="0.35"/>
    <row r="2380" hidden="1" x14ac:dyDescent="0.35"/>
    <row r="2381" hidden="1" x14ac:dyDescent="0.35"/>
    <row r="2382" hidden="1" x14ac:dyDescent="0.35"/>
    <row r="2383" hidden="1" x14ac:dyDescent="0.35"/>
    <row r="2384" hidden="1" x14ac:dyDescent="0.35"/>
    <row r="2385" hidden="1" x14ac:dyDescent="0.35"/>
    <row r="2386" hidden="1" x14ac:dyDescent="0.35"/>
    <row r="2387" hidden="1" x14ac:dyDescent="0.35"/>
    <row r="2388" hidden="1" x14ac:dyDescent="0.35"/>
    <row r="2389" hidden="1" x14ac:dyDescent="0.35"/>
    <row r="2390" hidden="1" x14ac:dyDescent="0.35"/>
    <row r="2391" hidden="1" x14ac:dyDescent="0.35"/>
    <row r="2392" hidden="1" x14ac:dyDescent="0.35"/>
    <row r="2393" hidden="1" x14ac:dyDescent="0.35"/>
    <row r="2394" hidden="1" x14ac:dyDescent="0.35"/>
    <row r="2395" hidden="1" x14ac:dyDescent="0.35"/>
    <row r="2396" hidden="1" x14ac:dyDescent="0.35"/>
    <row r="2397" hidden="1" x14ac:dyDescent="0.35"/>
    <row r="2398" hidden="1" x14ac:dyDescent="0.35"/>
    <row r="2399" hidden="1" x14ac:dyDescent="0.35"/>
    <row r="2400" hidden="1" x14ac:dyDescent="0.35"/>
    <row r="2401" hidden="1" x14ac:dyDescent="0.35"/>
    <row r="2402" hidden="1" x14ac:dyDescent="0.35"/>
    <row r="2403" hidden="1" x14ac:dyDescent="0.35"/>
    <row r="2404" hidden="1" x14ac:dyDescent="0.35"/>
    <row r="2405" hidden="1" x14ac:dyDescent="0.35"/>
    <row r="2406" hidden="1" x14ac:dyDescent="0.35"/>
    <row r="2407" hidden="1" x14ac:dyDescent="0.35"/>
    <row r="2408" hidden="1" x14ac:dyDescent="0.35"/>
    <row r="2409" hidden="1" x14ac:dyDescent="0.35"/>
    <row r="2410" hidden="1" x14ac:dyDescent="0.35"/>
    <row r="2411" hidden="1" x14ac:dyDescent="0.35"/>
    <row r="2412" hidden="1" x14ac:dyDescent="0.35"/>
    <row r="2413" hidden="1" x14ac:dyDescent="0.35"/>
    <row r="2414" hidden="1" x14ac:dyDescent="0.35"/>
    <row r="2415" hidden="1" x14ac:dyDescent="0.35"/>
    <row r="2416" hidden="1" x14ac:dyDescent="0.35"/>
    <row r="2417" hidden="1" x14ac:dyDescent="0.35"/>
    <row r="2418" hidden="1" x14ac:dyDescent="0.35"/>
    <row r="2419" hidden="1" x14ac:dyDescent="0.35"/>
    <row r="2420" hidden="1" x14ac:dyDescent="0.35"/>
    <row r="2421" hidden="1" x14ac:dyDescent="0.35"/>
    <row r="2422" hidden="1" x14ac:dyDescent="0.35"/>
    <row r="2423" hidden="1" x14ac:dyDescent="0.35"/>
    <row r="2424" hidden="1" x14ac:dyDescent="0.35"/>
    <row r="2425" hidden="1" x14ac:dyDescent="0.35"/>
    <row r="2426" hidden="1" x14ac:dyDescent="0.35"/>
    <row r="2427" hidden="1" x14ac:dyDescent="0.35"/>
    <row r="2428" hidden="1" x14ac:dyDescent="0.35"/>
    <row r="2429" hidden="1" x14ac:dyDescent="0.35"/>
    <row r="2430" hidden="1" x14ac:dyDescent="0.35"/>
    <row r="2431" hidden="1" x14ac:dyDescent="0.35"/>
    <row r="2432" hidden="1" x14ac:dyDescent="0.35"/>
    <row r="2433" hidden="1" x14ac:dyDescent="0.35"/>
    <row r="2434" hidden="1" x14ac:dyDescent="0.35"/>
    <row r="2435" hidden="1" x14ac:dyDescent="0.35"/>
    <row r="2436" hidden="1" x14ac:dyDescent="0.35"/>
    <row r="2437" hidden="1" x14ac:dyDescent="0.35"/>
    <row r="2438" hidden="1" x14ac:dyDescent="0.35"/>
    <row r="2439" hidden="1" x14ac:dyDescent="0.35"/>
    <row r="2440" hidden="1" x14ac:dyDescent="0.35"/>
    <row r="2441" hidden="1" x14ac:dyDescent="0.35"/>
    <row r="2442" hidden="1" x14ac:dyDescent="0.35"/>
    <row r="2443" hidden="1" x14ac:dyDescent="0.35"/>
    <row r="2444" hidden="1" x14ac:dyDescent="0.35"/>
    <row r="2445" hidden="1" x14ac:dyDescent="0.35"/>
    <row r="2446" hidden="1" x14ac:dyDescent="0.35"/>
    <row r="2447" hidden="1" x14ac:dyDescent="0.35"/>
    <row r="2448" hidden="1" x14ac:dyDescent="0.35"/>
    <row r="2449" hidden="1" x14ac:dyDescent="0.35"/>
    <row r="2450" hidden="1" x14ac:dyDescent="0.35"/>
    <row r="2451" hidden="1" x14ac:dyDescent="0.35"/>
    <row r="2452" hidden="1" x14ac:dyDescent="0.35"/>
    <row r="2453" hidden="1" x14ac:dyDescent="0.35"/>
    <row r="2454" hidden="1" x14ac:dyDescent="0.35"/>
    <row r="2455" hidden="1" x14ac:dyDescent="0.35"/>
    <row r="2456" hidden="1" x14ac:dyDescent="0.35"/>
    <row r="2457" hidden="1" x14ac:dyDescent="0.35"/>
    <row r="2458" hidden="1" x14ac:dyDescent="0.35"/>
    <row r="2459" hidden="1" x14ac:dyDescent="0.35"/>
    <row r="2460" hidden="1" x14ac:dyDescent="0.35"/>
    <row r="2461" hidden="1" x14ac:dyDescent="0.35"/>
    <row r="2462" hidden="1" x14ac:dyDescent="0.35"/>
    <row r="2463" hidden="1" x14ac:dyDescent="0.35"/>
    <row r="2464" hidden="1" x14ac:dyDescent="0.35"/>
    <row r="2465" hidden="1" x14ac:dyDescent="0.35"/>
    <row r="2466" hidden="1" x14ac:dyDescent="0.35"/>
    <row r="2467" hidden="1" x14ac:dyDescent="0.35"/>
    <row r="2468" hidden="1" x14ac:dyDescent="0.35"/>
    <row r="2469" hidden="1" x14ac:dyDescent="0.35"/>
    <row r="2470" hidden="1" x14ac:dyDescent="0.35"/>
    <row r="2471" hidden="1" x14ac:dyDescent="0.35"/>
    <row r="2472" hidden="1" x14ac:dyDescent="0.35"/>
    <row r="2473" hidden="1" x14ac:dyDescent="0.35"/>
    <row r="2474" hidden="1" x14ac:dyDescent="0.35"/>
    <row r="2475" hidden="1" x14ac:dyDescent="0.35"/>
    <row r="2476" hidden="1" x14ac:dyDescent="0.35"/>
    <row r="2477" hidden="1" x14ac:dyDescent="0.35"/>
    <row r="2478" hidden="1" x14ac:dyDescent="0.35"/>
    <row r="2479" hidden="1" x14ac:dyDescent="0.35"/>
    <row r="2480" hidden="1" x14ac:dyDescent="0.35"/>
    <row r="2481" hidden="1" x14ac:dyDescent="0.35"/>
    <row r="2482" hidden="1" x14ac:dyDescent="0.35"/>
    <row r="2483" hidden="1" x14ac:dyDescent="0.35"/>
    <row r="2484" hidden="1" x14ac:dyDescent="0.35"/>
    <row r="2485" hidden="1" x14ac:dyDescent="0.35"/>
    <row r="2486" hidden="1" x14ac:dyDescent="0.35"/>
    <row r="2487" hidden="1" x14ac:dyDescent="0.35"/>
    <row r="2488" hidden="1" x14ac:dyDescent="0.35"/>
    <row r="2489" hidden="1" x14ac:dyDescent="0.35"/>
    <row r="2490" hidden="1" x14ac:dyDescent="0.35"/>
    <row r="2491" hidden="1" x14ac:dyDescent="0.35"/>
    <row r="2492" hidden="1" x14ac:dyDescent="0.35"/>
    <row r="2493" hidden="1" x14ac:dyDescent="0.35"/>
    <row r="2494" hidden="1" x14ac:dyDescent="0.35"/>
    <row r="2495" hidden="1" x14ac:dyDescent="0.35"/>
    <row r="2496" hidden="1" x14ac:dyDescent="0.35"/>
    <row r="2497" hidden="1" x14ac:dyDescent="0.35"/>
    <row r="2498" hidden="1" x14ac:dyDescent="0.35"/>
    <row r="2499" hidden="1" x14ac:dyDescent="0.35"/>
    <row r="2500" hidden="1" x14ac:dyDescent="0.35"/>
    <row r="2501" hidden="1" x14ac:dyDescent="0.35"/>
    <row r="2502" hidden="1" x14ac:dyDescent="0.35"/>
    <row r="2503" hidden="1" x14ac:dyDescent="0.35"/>
    <row r="2504" hidden="1" x14ac:dyDescent="0.35"/>
    <row r="2505" hidden="1" x14ac:dyDescent="0.35"/>
    <row r="2506" hidden="1" x14ac:dyDescent="0.35"/>
    <row r="2507" hidden="1" x14ac:dyDescent="0.35"/>
    <row r="2508" hidden="1" x14ac:dyDescent="0.35"/>
    <row r="2509" hidden="1" x14ac:dyDescent="0.35"/>
    <row r="2510" hidden="1" x14ac:dyDescent="0.35"/>
    <row r="2511" hidden="1" x14ac:dyDescent="0.35"/>
    <row r="2512" hidden="1" x14ac:dyDescent="0.35"/>
    <row r="2513" hidden="1" x14ac:dyDescent="0.35"/>
    <row r="2514" hidden="1" x14ac:dyDescent="0.35"/>
    <row r="2515" hidden="1" x14ac:dyDescent="0.35"/>
    <row r="2516" hidden="1" x14ac:dyDescent="0.35"/>
    <row r="2517" hidden="1" x14ac:dyDescent="0.35"/>
    <row r="2518" hidden="1" x14ac:dyDescent="0.35"/>
    <row r="2519" hidden="1" x14ac:dyDescent="0.35"/>
    <row r="2520" hidden="1" x14ac:dyDescent="0.35"/>
    <row r="2521" hidden="1" x14ac:dyDescent="0.35"/>
    <row r="2522" hidden="1" x14ac:dyDescent="0.35"/>
    <row r="2523" hidden="1" x14ac:dyDescent="0.35"/>
    <row r="2524" hidden="1" x14ac:dyDescent="0.35"/>
    <row r="2525" hidden="1" x14ac:dyDescent="0.35"/>
    <row r="2526" hidden="1" x14ac:dyDescent="0.35"/>
    <row r="2527" hidden="1" x14ac:dyDescent="0.35"/>
    <row r="2528" hidden="1" x14ac:dyDescent="0.35"/>
    <row r="2529" hidden="1" x14ac:dyDescent="0.35"/>
    <row r="2530" hidden="1" x14ac:dyDescent="0.35"/>
    <row r="2531" hidden="1" x14ac:dyDescent="0.35"/>
    <row r="2532" hidden="1" x14ac:dyDescent="0.35"/>
    <row r="2533" hidden="1" x14ac:dyDescent="0.35"/>
    <row r="2534" hidden="1" x14ac:dyDescent="0.35"/>
    <row r="2535" hidden="1" x14ac:dyDescent="0.35"/>
    <row r="2536" hidden="1" x14ac:dyDescent="0.35"/>
    <row r="2537" hidden="1" x14ac:dyDescent="0.35"/>
    <row r="2538" hidden="1" x14ac:dyDescent="0.35"/>
    <row r="2539" hidden="1" x14ac:dyDescent="0.35"/>
    <row r="2540" hidden="1" x14ac:dyDescent="0.35"/>
    <row r="2541" hidden="1" x14ac:dyDescent="0.35"/>
    <row r="2542" hidden="1" x14ac:dyDescent="0.35"/>
    <row r="2543" hidden="1" x14ac:dyDescent="0.35"/>
    <row r="2544" hidden="1" x14ac:dyDescent="0.35"/>
    <row r="2545" hidden="1" x14ac:dyDescent="0.35"/>
    <row r="2546" hidden="1" x14ac:dyDescent="0.35"/>
    <row r="2547" hidden="1" x14ac:dyDescent="0.35"/>
    <row r="2548" hidden="1" x14ac:dyDescent="0.35"/>
    <row r="2549" hidden="1" x14ac:dyDescent="0.35"/>
    <row r="2550" hidden="1" x14ac:dyDescent="0.35"/>
    <row r="2551" hidden="1" x14ac:dyDescent="0.35"/>
    <row r="2552" hidden="1" x14ac:dyDescent="0.35"/>
    <row r="2553" hidden="1" x14ac:dyDescent="0.35"/>
    <row r="2554" hidden="1" x14ac:dyDescent="0.35"/>
    <row r="2555" hidden="1" x14ac:dyDescent="0.35"/>
    <row r="2556" hidden="1" x14ac:dyDescent="0.35"/>
    <row r="2557" hidden="1" x14ac:dyDescent="0.35"/>
    <row r="2558" hidden="1" x14ac:dyDescent="0.35"/>
    <row r="2559" hidden="1" x14ac:dyDescent="0.35"/>
    <row r="2560" hidden="1" x14ac:dyDescent="0.35"/>
    <row r="2561" hidden="1" x14ac:dyDescent="0.35"/>
    <row r="2562" hidden="1" x14ac:dyDescent="0.35"/>
    <row r="2563" hidden="1" x14ac:dyDescent="0.35"/>
    <row r="2564" hidden="1" x14ac:dyDescent="0.35"/>
    <row r="2565" hidden="1" x14ac:dyDescent="0.35"/>
    <row r="2566" hidden="1" x14ac:dyDescent="0.35"/>
    <row r="2567" hidden="1" x14ac:dyDescent="0.35"/>
    <row r="2568" hidden="1" x14ac:dyDescent="0.35"/>
    <row r="2569" hidden="1" x14ac:dyDescent="0.35"/>
    <row r="2570" hidden="1" x14ac:dyDescent="0.35"/>
    <row r="2571" hidden="1" x14ac:dyDescent="0.35"/>
    <row r="2572" hidden="1" x14ac:dyDescent="0.35"/>
    <row r="2573" hidden="1" x14ac:dyDescent="0.35"/>
    <row r="2574" hidden="1" x14ac:dyDescent="0.35"/>
    <row r="2575" hidden="1" x14ac:dyDescent="0.35"/>
    <row r="2576" hidden="1" x14ac:dyDescent="0.35"/>
    <row r="2577" hidden="1" x14ac:dyDescent="0.35"/>
    <row r="2578" hidden="1" x14ac:dyDescent="0.35"/>
    <row r="2579" hidden="1" x14ac:dyDescent="0.35"/>
    <row r="2580" hidden="1" x14ac:dyDescent="0.35"/>
    <row r="2581" hidden="1" x14ac:dyDescent="0.35"/>
    <row r="2582" hidden="1" x14ac:dyDescent="0.35"/>
    <row r="2583" hidden="1" x14ac:dyDescent="0.35"/>
    <row r="2584" hidden="1" x14ac:dyDescent="0.35"/>
    <row r="2585" hidden="1" x14ac:dyDescent="0.35"/>
    <row r="2586" hidden="1" x14ac:dyDescent="0.35"/>
    <row r="2587" hidden="1" x14ac:dyDescent="0.35"/>
    <row r="2588" hidden="1" x14ac:dyDescent="0.35"/>
    <row r="2589" hidden="1" x14ac:dyDescent="0.35"/>
    <row r="2590" hidden="1" x14ac:dyDescent="0.35"/>
    <row r="2591" hidden="1" x14ac:dyDescent="0.35"/>
    <row r="2592" hidden="1" x14ac:dyDescent="0.35"/>
    <row r="2593" hidden="1" x14ac:dyDescent="0.35"/>
    <row r="2594" hidden="1" x14ac:dyDescent="0.35"/>
    <row r="2595" hidden="1" x14ac:dyDescent="0.35"/>
    <row r="2596" hidden="1" x14ac:dyDescent="0.35"/>
    <row r="2597" hidden="1" x14ac:dyDescent="0.35"/>
    <row r="2598" hidden="1" x14ac:dyDescent="0.35"/>
    <row r="2599" hidden="1" x14ac:dyDescent="0.35"/>
    <row r="2600" hidden="1" x14ac:dyDescent="0.35"/>
    <row r="2601" hidden="1" x14ac:dyDescent="0.35"/>
    <row r="2602" hidden="1" x14ac:dyDescent="0.35"/>
    <row r="2603" hidden="1" x14ac:dyDescent="0.35"/>
    <row r="2604" hidden="1" x14ac:dyDescent="0.35"/>
    <row r="2605" hidden="1" x14ac:dyDescent="0.35"/>
    <row r="2606" hidden="1" x14ac:dyDescent="0.35"/>
    <row r="2607" hidden="1" x14ac:dyDescent="0.35"/>
    <row r="2608" hidden="1" x14ac:dyDescent="0.35"/>
    <row r="2609" hidden="1" x14ac:dyDescent="0.35"/>
    <row r="2610" hidden="1" x14ac:dyDescent="0.35"/>
    <row r="2611" hidden="1" x14ac:dyDescent="0.35"/>
    <row r="2612" hidden="1" x14ac:dyDescent="0.35"/>
    <row r="2613" hidden="1" x14ac:dyDescent="0.35"/>
    <row r="2614" hidden="1" x14ac:dyDescent="0.35"/>
    <row r="2615" hidden="1" x14ac:dyDescent="0.35"/>
    <row r="2616" hidden="1" x14ac:dyDescent="0.35"/>
    <row r="2617" hidden="1" x14ac:dyDescent="0.35"/>
    <row r="2618" hidden="1" x14ac:dyDescent="0.35"/>
    <row r="2619" hidden="1" x14ac:dyDescent="0.35"/>
    <row r="2620" hidden="1" x14ac:dyDescent="0.35"/>
    <row r="2621" hidden="1" x14ac:dyDescent="0.35"/>
    <row r="2622" hidden="1" x14ac:dyDescent="0.35"/>
    <row r="2623" hidden="1" x14ac:dyDescent="0.35"/>
    <row r="2624" hidden="1" x14ac:dyDescent="0.35"/>
    <row r="2625" hidden="1" x14ac:dyDescent="0.35"/>
    <row r="2626" hidden="1" x14ac:dyDescent="0.35"/>
    <row r="2627" hidden="1" x14ac:dyDescent="0.35"/>
    <row r="2628" hidden="1" x14ac:dyDescent="0.35"/>
    <row r="2629" hidden="1" x14ac:dyDescent="0.35"/>
    <row r="2630" hidden="1" x14ac:dyDescent="0.35"/>
    <row r="2631" hidden="1" x14ac:dyDescent="0.35"/>
    <row r="2632" hidden="1" x14ac:dyDescent="0.35"/>
    <row r="2633" hidden="1" x14ac:dyDescent="0.35"/>
    <row r="2634" hidden="1" x14ac:dyDescent="0.35"/>
    <row r="2635" hidden="1" x14ac:dyDescent="0.35"/>
    <row r="2636" hidden="1" x14ac:dyDescent="0.35"/>
    <row r="2637" hidden="1" x14ac:dyDescent="0.35"/>
    <row r="2638" hidden="1" x14ac:dyDescent="0.35"/>
    <row r="2639" hidden="1" x14ac:dyDescent="0.35"/>
    <row r="2640" hidden="1" x14ac:dyDescent="0.35"/>
    <row r="2641" hidden="1" x14ac:dyDescent="0.35"/>
    <row r="2642" hidden="1" x14ac:dyDescent="0.35"/>
    <row r="2643" hidden="1" x14ac:dyDescent="0.35"/>
    <row r="2644" hidden="1" x14ac:dyDescent="0.35"/>
    <row r="2645" hidden="1" x14ac:dyDescent="0.35"/>
    <row r="2646" hidden="1" x14ac:dyDescent="0.35"/>
    <row r="2647" hidden="1" x14ac:dyDescent="0.35"/>
    <row r="2648" hidden="1" x14ac:dyDescent="0.35"/>
    <row r="2649" hidden="1" x14ac:dyDescent="0.35"/>
    <row r="2650" hidden="1" x14ac:dyDescent="0.35"/>
    <row r="2651" hidden="1" x14ac:dyDescent="0.35"/>
    <row r="2652" hidden="1" x14ac:dyDescent="0.35"/>
    <row r="2653" hidden="1" x14ac:dyDescent="0.35"/>
    <row r="2654" hidden="1" x14ac:dyDescent="0.35"/>
    <row r="2655" hidden="1" x14ac:dyDescent="0.35"/>
    <row r="2656" hidden="1" x14ac:dyDescent="0.35"/>
    <row r="2657" hidden="1" x14ac:dyDescent="0.35"/>
    <row r="2658" hidden="1" x14ac:dyDescent="0.35"/>
    <row r="2659" hidden="1" x14ac:dyDescent="0.35"/>
    <row r="2660" hidden="1" x14ac:dyDescent="0.35"/>
    <row r="2661" hidden="1" x14ac:dyDescent="0.35"/>
    <row r="2662" hidden="1" x14ac:dyDescent="0.35"/>
    <row r="2663" hidden="1" x14ac:dyDescent="0.35"/>
    <row r="2664" hidden="1" x14ac:dyDescent="0.35"/>
    <row r="2665" hidden="1" x14ac:dyDescent="0.35"/>
    <row r="2666" hidden="1" x14ac:dyDescent="0.35"/>
    <row r="2667" hidden="1" x14ac:dyDescent="0.35"/>
    <row r="2668" hidden="1" x14ac:dyDescent="0.35"/>
    <row r="2669" hidden="1" x14ac:dyDescent="0.35"/>
    <row r="2670" hidden="1" x14ac:dyDescent="0.35"/>
    <row r="2671" hidden="1" x14ac:dyDescent="0.35"/>
    <row r="2672" hidden="1" x14ac:dyDescent="0.35"/>
    <row r="2673" hidden="1" x14ac:dyDescent="0.35"/>
    <row r="2674" hidden="1" x14ac:dyDescent="0.35"/>
    <row r="2675" hidden="1" x14ac:dyDescent="0.35"/>
    <row r="2676" hidden="1" x14ac:dyDescent="0.35"/>
    <row r="2677" hidden="1" x14ac:dyDescent="0.35"/>
    <row r="2678" hidden="1" x14ac:dyDescent="0.35"/>
    <row r="2679" hidden="1" x14ac:dyDescent="0.35"/>
    <row r="2680" hidden="1" x14ac:dyDescent="0.35"/>
    <row r="2681" hidden="1" x14ac:dyDescent="0.35"/>
    <row r="2682" hidden="1" x14ac:dyDescent="0.35"/>
    <row r="2683" hidden="1" x14ac:dyDescent="0.35"/>
    <row r="2684" hidden="1" x14ac:dyDescent="0.35"/>
    <row r="2685" hidden="1" x14ac:dyDescent="0.35"/>
    <row r="2686" hidden="1" x14ac:dyDescent="0.35"/>
    <row r="2687" hidden="1" x14ac:dyDescent="0.35"/>
    <row r="2688" hidden="1" x14ac:dyDescent="0.35"/>
    <row r="2689" hidden="1" x14ac:dyDescent="0.35"/>
    <row r="2690" hidden="1" x14ac:dyDescent="0.35"/>
    <row r="2691" hidden="1" x14ac:dyDescent="0.35"/>
    <row r="2692" hidden="1" x14ac:dyDescent="0.35"/>
    <row r="2693" hidden="1" x14ac:dyDescent="0.35"/>
    <row r="2694" hidden="1" x14ac:dyDescent="0.35"/>
    <row r="2695" hidden="1" x14ac:dyDescent="0.35"/>
    <row r="2696" hidden="1" x14ac:dyDescent="0.35"/>
    <row r="2697" hidden="1" x14ac:dyDescent="0.35"/>
    <row r="2698" hidden="1" x14ac:dyDescent="0.35"/>
    <row r="2699" hidden="1" x14ac:dyDescent="0.35"/>
    <row r="2700" hidden="1" x14ac:dyDescent="0.35"/>
    <row r="2701" hidden="1" x14ac:dyDescent="0.35"/>
    <row r="2702" hidden="1" x14ac:dyDescent="0.35"/>
    <row r="2703" hidden="1" x14ac:dyDescent="0.35"/>
    <row r="2704" hidden="1" x14ac:dyDescent="0.35"/>
    <row r="2705" hidden="1" x14ac:dyDescent="0.35"/>
    <row r="2706" hidden="1" x14ac:dyDescent="0.35"/>
    <row r="2707" hidden="1" x14ac:dyDescent="0.35"/>
    <row r="2708" hidden="1" x14ac:dyDescent="0.35"/>
    <row r="2709" hidden="1" x14ac:dyDescent="0.35"/>
    <row r="2710" hidden="1" x14ac:dyDescent="0.35"/>
    <row r="2711" hidden="1" x14ac:dyDescent="0.35"/>
    <row r="2712" hidden="1" x14ac:dyDescent="0.35"/>
    <row r="2713" hidden="1" x14ac:dyDescent="0.35"/>
    <row r="2714" hidden="1" x14ac:dyDescent="0.35"/>
    <row r="2715" hidden="1" x14ac:dyDescent="0.35"/>
    <row r="2716" hidden="1" x14ac:dyDescent="0.35"/>
    <row r="2717" hidden="1" x14ac:dyDescent="0.35"/>
    <row r="2718" hidden="1" x14ac:dyDescent="0.35"/>
    <row r="2719" hidden="1" x14ac:dyDescent="0.35"/>
    <row r="2720" hidden="1" x14ac:dyDescent="0.35"/>
    <row r="2721" hidden="1" x14ac:dyDescent="0.35"/>
    <row r="2722" hidden="1" x14ac:dyDescent="0.35"/>
    <row r="2723" hidden="1" x14ac:dyDescent="0.35"/>
    <row r="2724" hidden="1" x14ac:dyDescent="0.35"/>
    <row r="2725" hidden="1" x14ac:dyDescent="0.35"/>
    <row r="2726" hidden="1" x14ac:dyDescent="0.35"/>
    <row r="2727" hidden="1" x14ac:dyDescent="0.35"/>
    <row r="2728" hidden="1" x14ac:dyDescent="0.35"/>
    <row r="2729" hidden="1" x14ac:dyDescent="0.35"/>
    <row r="2730" hidden="1" x14ac:dyDescent="0.35"/>
    <row r="2731" hidden="1" x14ac:dyDescent="0.35"/>
    <row r="2732" hidden="1" x14ac:dyDescent="0.35"/>
    <row r="2733" hidden="1" x14ac:dyDescent="0.35"/>
    <row r="2734" hidden="1" x14ac:dyDescent="0.35"/>
    <row r="2735" hidden="1" x14ac:dyDescent="0.35"/>
    <row r="2736" hidden="1" x14ac:dyDescent="0.35"/>
    <row r="2737" hidden="1" x14ac:dyDescent="0.35"/>
    <row r="2738" hidden="1" x14ac:dyDescent="0.35"/>
    <row r="2739" hidden="1" x14ac:dyDescent="0.35"/>
    <row r="2740" hidden="1" x14ac:dyDescent="0.35"/>
    <row r="2741" hidden="1" x14ac:dyDescent="0.35"/>
    <row r="2742" hidden="1" x14ac:dyDescent="0.35"/>
    <row r="2743" hidden="1" x14ac:dyDescent="0.35"/>
    <row r="2744" hidden="1" x14ac:dyDescent="0.35"/>
    <row r="2745" hidden="1" x14ac:dyDescent="0.35"/>
    <row r="2746" hidden="1" x14ac:dyDescent="0.35"/>
    <row r="2747" hidden="1" x14ac:dyDescent="0.35"/>
    <row r="2748" hidden="1" x14ac:dyDescent="0.35"/>
    <row r="2749" hidden="1" x14ac:dyDescent="0.35"/>
    <row r="2750" hidden="1" x14ac:dyDescent="0.35"/>
    <row r="2751" hidden="1" x14ac:dyDescent="0.35"/>
    <row r="2752" hidden="1" x14ac:dyDescent="0.35"/>
    <row r="2753" hidden="1" x14ac:dyDescent="0.35"/>
    <row r="2754" hidden="1" x14ac:dyDescent="0.35"/>
    <row r="2755" hidden="1" x14ac:dyDescent="0.35"/>
    <row r="2756" hidden="1" x14ac:dyDescent="0.35"/>
    <row r="2757" hidden="1" x14ac:dyDescent="0.35"/>
    <row r="2758" hidden="1" x14ac:dyDescent="0.35"/>
    <row r="2759" hidden="1" x14ac:dyDescent="0.35"/>
    <row r="2760" hidden="1" x14ac:dyDescent="0.35"/>
    <row r="2761" hidden="1" x14ac:dyDescent="0.35"/>
    <row r="2762" hidden="1" x14ac:dyDescent="0.35"/>
    <row r="2763" hidden="1" x14ac:dyDescent="0.35"/>
    <row r="2764" hidden="1" x14ac:dyDescent="0.35"/>
    <row r="2765" hidden="1" x14ac:dyDescent="0.35"/>
    <row r="2766" hidden="1" x14ac:dyDescent="0.35"/>
    <row r="2767" hidden="1" x14ac:dyDescent="0.35"/>
    <row r="2768" hidden="1" x14ac:dyDescent="0.35"/>
    <row r="2769" hidden="1" x14ac:dyDescent="0.35"/>
    <row r="2770" hidden="1" x14ac:dyDescent="0.35"/>
    <row r="2771" hidden="1" x14ac:dyDescent="0.35"/>
    <row r="2772" hidden="1" x14ac:dyDescent="0.35"/>
    <row r="2773" hidden="1" x14ac:dyDescent="0.35"/>
    <row r="2774" hidden="1" x14ac:dyDescent="0.35"/>
    <row r="2775" hidden="1" x14ac:dyDescent="0.35"/>
    <row r="2776" hidden="1" x14ac:dyDescent="0.35"/>
    <row r="2777" hidden="1" x14ac:dyDescent="0.35"/>
    <row r="2778" hidden="1" x14ac:dyDescent="0.35"/>
    <row r="2779" hidden="1" x14ac:dyDescent="0.35"/>
    <row r="2780" hidden="1" x14ac:dyDescent="0.35"/>
    <row r="2781" hidden="1" x14ac:dyDescent="0.35"/>
    <row r="2782" hidden="1" x14ac:dyDescent="0.35"/>
    <row r="2783" hidden="1" x14ac:dyDescent="0.35"/>
    <row r="2784" hidden="1" x14ac:dyDescent="0.35"/>
    <row r="2785" hidden="1" x14ac:dyDescent="0.35"/>
    <row r="2786" hidden="1" x14ac:dyDescent="0.35"/>
    <row r="2787" hidden="1" x14ac:dyDescent="0.35"/>
    <row r="2788" hidden="1" x14ac:dyDescent="0.35"/>
    <row r="2789" hidden="1" x14ac:dyDescent="0.35"/>
    <row r="2790" hidden="1" x14ac:dyDescent="0.35"/>
    <row r="2791" hidden="1" x14ac:dyDescent="0.35"/>
    <row r="2792" hidden="1" x14ac:dyDescent="0.35"/>
    <row r="2793" hidden="1" x14ac:dyDescent="0.35"/>
    <row r="2794" hidden="1" x14ac:dyDescent="0.35"/>
    <row r="2795" hidden="1" x14ac:dyDescent="0.35"/>
    <row r="2796" hidden="1" x14ac:dyDescent="0.35"/>
    <row r="2797" hidden="1" x14ac:dyDescent="0.35"/>
    <row r="2798" hidden="1" x14ac:dyDescent="0.35"/>
    <row r="2799" hidden="1" x14ac:dyDescent="0.35"/>
    <row r="2800" hidden="1" x14ac:dyDescent="0.35"/>
    <row r="2801" hidden="1" x14ac:dyDescent="0.35"/>
    <row r="2802" hidden="1" x14ac:dyDescent="0.35"/>
    <row r="2803" hidden="1" x14ac:dyDescent="0.35"/>
    <row r="2804" hidden="1" x14ac:dyDescent="0.35"/>
    <row r="2805" hidden="1" x14ac:dyDescent="0.35"/>
    <row r="2806" hidden="1" x14ac:dyDescent="0.35"/>
    <row r="2807" hidden="1" x14ac:dyDescent="0.35"/>
    <row r="2808" hidden="1" x14ac:dyDescent="0.35"/>
    <row r="2809" hidden="1" x14ac:dyDescent="0.35"/>
    <row r="2810" hidden="1" x14ac:dyDescent="0.35"/>
    <row r="2811" hidden="1" x14ac:dyDescent="0.35"/>
    <row r="2812" hidden="1" x14ac:dyDescent="0.35"/>
    <row r="2813" hidden="1" x14ac:dyDescent="0.35"/>
    <row r="2814" hidden="1" x14ac:dyDescent="0.35"/>
    <row r="2815" hidden="1" x14ac:dyDescent="0.35"/>
    <row r="2816" hidden="1" x14ac:dyDescent="0.35"/>
    <row r="2817" hidden="1" x14ac:dyDescent="0.35"/>
    <row r="2818" hidden="1" x14ac:dyDescent="0.35"/>
    <row r="2819" hidden="1" x14ac:dyDescent="0.35"/>
    <row r="2820" hidden="1" x14ac:dyDescent="0.35"/>
    <row r="2821" hidden="1" x14ac:dyDescent="0.35"/>
    <row r="2822" hidden="1" x14ac:dyDescent="0.35"/>
    <row r="2823" hidden="1" x14ac:dyDescent="0.35"/>
    <row r="2824" hidden="1" x14ac:dyDescent="0.35"/>
    <row r="2825" hidden="1" x14ac:dyDescent="0.35"/>
    <row r="2826" hidden="1" x14ac:dyDescent="0.35"/>
    <row r="2827" hidden="1" x14ac:dyDescent="0.35"/>
    <row r="2828" hidden="1" x14ac:dyDescent="0.35"/>
    <row r="2829" hidden="1" x14ac:dyDescent="0.35"/>
    <row r="2830" hidden="1" x14ac:dyDescent="0.35"/>
    <row r="2831" hidden="1" x14ac:dyDescent="0.35"/>
    <row r="2832" hidden="1" x14ac:dyDescent="0.35"/>
    <row r="2833" hidden="1" x14ac:dyDescent="0.35"/>
    <row r="2834" hidden="1" x14ac:dyDescent="0.35"/>
    <row r="2835" hidden="1" x14ac:dyDescent="0.35"/>
    <row r="2836" hidden="1" x14ac:dyDescent="0.35"/>
    <row r="2837" hidden="1" x14ac:dyDescent="0.35"/>
    <row r="2838" hidden="1" x14ac:dyDescent="0.35"/>
    <row r="2839" hidden="1" x14ac:dyDescent="0.35"/>
    <row r="2840" hidden="1" x14ac:dyDescent="0.35"/>
    <row r="2841" hidden="1" x14ac:dyDescent="0.35"/>
    <row r="2842" hidden="1" x14ac:dyDescent="0.35"/>
    <row r="2843" hidden="1" x14ac:dyDescent="0.35"/>
    <row r="2844" hidden="1" x14ac:dyDescent="0.35"/>
    <row r="2845" hidden="1" x14ac:dyDescent="0.35"/>
    <row r="2846" hidden="1" x14ac:dyDescent="0.35"/>
    <row r="2847" hidden="1" x14ac:dyDescent="0.35"/>
    <row r="2848" hidden="1" x14ac:dyDescent="0.35"/>
    <row r="2849" hidden="1" x14ac:dyDescent="0.35"/>
    <row r="2850" hidden="1" x14ac:dyDescent="0.35"/>
    <row r="2851" hidden="1" x14ac:dyDescent="0.35"/>
    <row r="2852" hidden="1" x14ac:dyDescent="0.35"/>
    <row r="2853" hidden="1" x14ac:dyDescent="0.35"/>
    <row r="2854" hidden="1" x14ac:dyDescent="0.35"/>
    <row r="2855" hidden="1" x14ac:dyDescent="0.35"/>
    <row r="2856" hidden="1" x14ac:dyDescent="0.35"/>
    <row r="2857" hidden="1" x14ac:dyDescent="0.35"/>
    <row r="2858" hidden="1" x14ac:dyDescent="0.35"/>
    <row r="2859" hidden="1" x14ac:dyDescent="0.35"/>
    <row r="2860" hidden="1" x14ac:dyDescent="0.35"/>
    <row r="2861" hidden="1" x14ac:dyDescent="0.35"/>
    <row r="2862" hidden="1" x14ac:dyDescent="0.35"/>
    <row r="2863" hidden="1" x14ac:dyDescent="0.35"/>
    <row r="2864" hidden="1" x14ac:dyDescent="0.35"/>
    <row r="2865" hidden="1" x14ac:dyDescent="0.35"/>
    <row r="2866" hidden="1" x14ac:dyDescent="0.35"/>
    <row r="2867" hidden="1" x14ac:dyDescent="0.35"/>
    <row r="2868" hidden="1" x14ac:dyDescent="0.35"/>
    <row r="2869" hidden="1" x14ac:dyDescent="0.35"/>
    <row r="2870" hidden="1" x14ac:dyDescent="0.35"/>
    <row r="2871" hidden="1" x14ac:dyDescent="0.35"/>
    <row r="2872" hidden="1" x14ac:dyDescent="0.35"/>
    <row r="2873" hidden="1" x14ac:dyDescent="0.35"/>
    <row r="2874" hidden="1" x14ac:dyDescent="0.35"/>
    <row r="2875" hidden="1" x14ac:dyDescent="0.35"/>
    <row r="2876" hidden="1" x14ac:dyDescent="0.35"/>
    <row r="2877" hidden="1" x14ac:dyDescent="0.35"/>
    <row r="2878" hidden="1" x14ac:dyDescent="0.35"/>
    <row r="2879" hidden="1" x14ac:dyDescent="0.35"/>
    <row r="2880" hidden="1" x14ac:dyDescent="0.35"/>
    <row r="2881" hidden="1" x14ac:dyDescent="0.35"/>
    <row r="2882" hidden="1" x14ac:dyDescent="0.35"/>
    <row r="2883" hidden="1" x14ac:dyDescent="0.35"/>
    <row r="2884" hidden="1" x14ac:dyDescent="0.35"/>
    <row r="2885" hidden="1" x14ac:dyDescent="0.35"/>
    <row r="2886" hidden="1" x14ac:dyDescent="0.35"/>
    <row r="2887" hidden="1" x14ac:dyDescent="0.35"/>
    <row r="2888" hidden="1" x14ac:dyDescent="0.35"/>
    <row r="2889" hidden="1" x14ac:dyDescent="0.35"/>
    <row r="2890" hidden="1" x14ac:dyDescent="0.35"/>
    <row r="2891" hidden="1" x14ac:dyDescent="0.35"/>
    <row r="2892" hidden="1" x14ac:dyDescent="0.35"/>
    <row r="2893" hidden="1" x14ac:dyDescent="0.35"/>
    <row r="2894" hidden="1" x14ac:dyDescent="0.35"/>
    <row r="2895" hidden="1" x14ac:dyDescent="0.35"/>
    <row r="2896" hidden="1" x14ac:dyDescent="0.35"/>
    <row r="2897" hidden="1" x14ac:dyDescent="0.35"/>
    <row r="2898" hidden="1" x14ac:dyDescent="0.35"/>
    <row r="2899" hidden="1" x14ac:dyDescent="0.35"/>
    <row r="2900" hidden="1" x14ac:dyDescent="0.35"/>
    <row r="2901" hidden="1" x14ac:dyDescent="0.35"/>
    <row r="2902" hidden="1" x14ac:dyDescent="0.35"/>
    <row r="2903" hidden="1" x14ac:dyDescent="0.35"/>
    <row r="2904" hidden="1" x14ac:dyDescent="0.35"/>
    <row r="2905" hidden="1" x14ac:dyDescent="0.35"/>
    <row r="2906" hidden="1" x14ac:dyDescent="0.35"/>
    <row r="2907" hidden="1" x14ac:dyDescent="0.35"/>
    <row r="2908" hidden="1" x14ac:dyDescent="0.35"/>
    <row r="2909" hidden="1" x14ac:dyDescent="0.35"/>
    <row r="2910" hidden="1" x14ac:dyDescent="0.35"/>
    <row r="2911" hidden="1" x14ac:dyDescent="0.35"/>
    <row r="2912" hidden="1" x14ac:dyDescent="0.35"/>
    <row r="2913" hidden="1" x14ac:dyDescent="0.35"/>
    <row r="2914" hidden="1" x14ac:dyDescent="0.35"/>
    <row r="2915" hidden="1" x14ac:dyDescent="0.35"/>
    <row r="2916" hidden="1" x14ac:dyDescent="0.35"/>
    <row r="2917" hidden="1" x14ac:dyDescent="0.35"/>
    <row r="2918" hidden="1" x14ac:dyDescent="0.35"/>
    <row r="2919" hidden="1" x14ac:dyDescent="0.35"/>
    <row r="2920" hidden="1" x14ac:dyDescent="0.35"/>
    <row r="2921" hidden="1" x14ac:dyDescent="0.35"/>
    <row r="2922" hidden="1" x14ac:dyDescent="0.35"/>
    <row r="2923" hidden="1" x14ac:dyDescent="0.35"/>
    <row r="2924" hidden="1" x14ac:dyDescent="0.35"/>
    <row r="2925" hidden="1" x14ac:dyDescent="0.35"/>
    <row r="2926" hidden="1" x14ac:dyDescent="0.35"/>
    <row r="2927" hidden="1" x14ac:dyDescent="0.35"/>
    <row r="2928" hidden="1" x14ac:dyDescent="0.35"/>
    <row r="2929" hidden="1" x14ac:dyDescent="0.35"/>
    <row r="2930" hidden="1" x14ac:dyDescent="0.35"/>
    <row r="2931" hidden="1" x14ac:dyDescent="0.35"/>
    <row r="2932" hidden="1" x14ac:dyDescent="0.35"/>
    <row r="2933" hidden="1" x14ac:dyDescent="0.35"/>
    <row r="2934" hidden="1" x14ac:dyDescent="0.35"/>
    <row r="2935" hidden="1" x14ac:dyDescent="0.35"/>
    <row r="2936" hidden="1" x14ac:dyDescent="0.35"/>
    <row r="2937" hidden="1" x14ac:dyDescent="0.35"/>
    <row r="2938" hidden="1" x14ac:dyDescent="0.35"/>
    <row r="2939" hidden="1" x14ac:dyDescent="0.35"/>
    <row r="2940" hidden="1" x14ac:dyDescent="0.35"/>
    <row r="2941" hidden="1" x14ac:dyDescent="0.35"/>
    <row r="2942" hidden="1" x14ac:dyDescent="0.35"/>
    <row r="2943" hidden="1" x14ac:dyDescent="0.35"/>
    <row r="2944" hidden="1" x14ac:dyDescent="0.35"/>
    <row r="2945" hidden="1" x14ac:dyDescent="0.35"/>
    <row r="2946" hidden="1" x14ac:dyDescent="0.35"/>
    <row r="2947" hidden="1" x14ac:dyDescent="0.35"/>
    <row r="2948" hidden="1" x14ac:dyDescent="0.35"/>
    <row r="2949" hidden="1" x14ac:dyDescent="0.35"/>
    <row r="2950" hidden="1" x14ac:dyDescent="0.35"/>
    <row r="2951" hidden="1" x14ac:dyDescent="0.35"/>
    <row r="2952" hidden="1" x14ac:dyDescent="0.35"/>
    <row r="2953" hidden="1" x14ac:dyDescent="0.35"/>
    <row r="2954" hidden="1" x14ac:dyDescent="0.35"/>
    <row r="2955" hidden="1" x14ac:dyDescent="0.35"/>
    <row r="2956" hidden="1" x14ac:dyDescent="0.35"/>
    <row r="2957" hidden="1" x14ac:dyDescent="0.35"/>
    <row r="2958" hidden="1" x14ac:dyDescent="0.35"/>
    <row r="2959" hidden="1" x14ac:dyDescent="0.35"/>
    <row r="2960" hidden="1" x14ac:dyDescent="0.35"/>
    <row r="2961" hidden="1" x14ac:dyDescent="0.35"/>
    <row r="2962" hidden="1" x14ac:dyDescent="0.35"/>
    <row r="2963" hidden="1" x14ac:dyDescent="0.35"/>
    <row r="2964" hidden="1" x14ac:dyDescent="0.35"/>
    <row r="2965" hidden="1" x14ac:dyDescent="0.35"/>
    <row r="2966" hidden="1" x14ac:dyDescent="0.35"/>
    <row r="2967" hidden="1" x14ac:dyDescent="0.35"/>
    <row r="2968" hidden="1" x14ac:dyDescent="0.35"/>
    <row r="2969" hidden="1" x14ac:dyDescent="0.35"/>
    <row r="2970" hidden="1" x14ac:dyDescent="0.35"/>
    <row r="2971" hidden="1" x14ac:dyDescent="0.35"/>
    <row r="2972" hidden="1" x14ac:dyDescent="0.35"/>
    <row r="2973" hidden="1" x14ac:dyDescent="0.35"/>
    <row r="2974" hidden="1" x14ac:dyDescent="0.35"/>
    <row r="2975" hidden="1" x14ac:dyDescent="0.35"/>
    <row r="2976" hidden="1" x14ac:dyDescent="0.35"/>
    <row r="2977" hidden="1" x14ac:dyDescent="0.35"/>
    <row r="2978" hidden="1" x14ac:dyDescent="0.35"/>
    <row r="2979" hidden="1" x14ac:dyDescent="0.35"/>
    <row r="2980" hidden="1" x14ac:dyDescent="0.35"/>
    <row r="2981" hidden="1" x14ac:dyDescent="0.35"/>
    <row r="2982" hidden="1" x14ac:dyDescent="0.35"/>
    <row r="2983" hidden="1" x14ac:dyDescent="0.35"/>
    <row r="2984" hidden="1" x14ac:dyDescent="0.35"/>
    <row r="2985" hidden="1" x14ac:dyDescent="0.35"/>
    <row r="2986" hidden="1" x14ac:dyDescent="0.35"/>
    <row r="2987" hidden="1" x14ac:dyDescent="0.35"/>
    <row r="2988" hidden="1" x14ac:dyDescent="0.35"/>
    <row r="2989" hidden="1" x14ac:dyDescent="0.35"/>
    <row r="2990" hidden="1" x14ac:dyDescent="0.35"/>
    <row r="2991" hidden="1" x14ac:dyDescent="0.35"/>
    <row r="2992" hidden="1" x14ac:dyDescent="0.35"/>
    <row r="2993" spans="3:16" hidden="1" x14ac:dyDescent="0.35"/>
    <row r="2994" spans="3:16" hidden="1" x14ac:dyDescent="0.35"/>
    <row r="2995" spans="3:16" hidden="1" x14ac:dyDescent="0.35"/>
    <row r="2996" spans="3:16" hidden="1" x14ac:dyDescent="0.35"/>
    <row r="2997" spans="3:16" hidden="1" x14ac:dyDescent="0.35"/>
    <row r="2998" spans="3:16" hidden="1" x14ac:dyDescent="0.35"/>
    <row r="2999" spans="3:16" hidden="1" x14ac:dyDescent="0.35"/>
    <row r="3000" spans="3:16" s="67" customFormat="1" ht="19.5" customHeight="1" x14ac:dyDescent="0.35">
      <c r="C3000" s="66" t="s">
        <v>109</v>
      </c>
      <c r="D3000" s="67">
        <f>IFERROR(IF(D11="Total Geral",D9,D9+GETPIVOTDATA("VALOR",$B$10,"MÊS",DATE(YEAR(D11),MONTH(D11),DAY(D11)))),C3000)</f>
        <v>15000</v>
      </c>
      <c r="E3000" s="67">
        <f t="shared" ref="E3000:P3000" si="1">IFERROR(IF(E11="Total Geral",E9,E9+GETPIVOTDATA("VALOR",$B$10,"MÊS",DATE(YEAR(E11),MONTH(E11),DAY(E11)))),D3000)</f>
        <v>20000</v>
      </c>
      <c r="F3000" s="67">
        <f t="shared" si="1"/>
        <v>25000</v>
      </c>
      <c r="G3000" s="67">
        <f t="shared" si="1"/>
        <v>30000</v>
      </c>
      <c r="H3000" s="67">
        <f t="shared" si="1"/>
        <v>35000</v>
      </c>
      <c r="I3000" s="67">
        <f t="shared" si="1"/>
        <v>40000</v>
      </c>
      <c r="J3000" s="67">
        <f t="shared" si="1"/>
        <v>45000</v>
      </c>
      <c r="K3000" s="67">
        <f t="shared" si="1"/>
        <v>50000</v>
      </c>
      <c r="L3000" s="67">
        <f t="shared" si="1"/>
        <v>55000</v>
      </c>
      <c r="M3000" s="67">
        <f t="shared" si="1"/>
        <v>60000</v>
      </c>
      <c r="N3000" s="67">
        <f t="shared" si="1"/>
        <v>65000</v>
      </c>
      <c r="O3000" s="67">
        <f t="shared" si="1"/>
        <v>70000</v>
      </c>
      <c r="P3000" s="67">
        <f t="shared" si="1"/>
        <v>70000</v>
      </c>
    </row>
  </sheetData>
  <sheetProtection algorithmName="SHA-512" hashValue="SNYU0h9Qzqp12PsNyVD65llgSkvboRh7j7WW/FBkCkosFiZDb6m5EHWOmCeaSp5OyQabSyCXCHKmNisH11Xv7Q==" saltValue="EcLN9j5Yc8f92GN3Bmv86g==" spinCount="100000" sheet="1" objects="1" scenarios="1" formatCells="0" formatColumns="0" sort="0" autoFilter="0" pivotTables="0"/>
  <conditionalFormatting sqref="C9:BZ9 C3000:BZ3000">
    <cfRule type="expression" dxfId="125" priority="1">
      <formula>C$9&lt;&gt;""</formula>
    </cfRule>
  </conditionalFormatting>
  <pageMargins left="0.51181102362204722" right="0.51181102362204722" top="0.78740157480314965" bottom="0.78740157480314965" header="0.31496062992125984" footer="0.31496062992125984"/>
  <pageSetup paperSize="9" scale="71" orientation="landscape" r:id="rId2"/>
  <headerFooter>
    <oddFooter>&amp;L&amp;8&amp;Z&amp;F&amp;R&amp;D / &amp;T</oddFooter>
  </headerFooter>
  <drawing r:id="rId3"/>
  <legacyDrawing r:id="rId4"/>
  <controls>
    <mc:AlternateContent xmlns:mc="http://schemas.openxmlformats.org/markup-compatibility/2006">
      <mc:Choice Requires="x14">
        <control shapeId="14337" r:id="rId5" name="ScrollBar1">
          <controlPr defaultSize="0" autoLine="0" r:id="rId6">
            <anchor moveWithCells="1">
              <from>
                <xdr:col>1</xdr:col>
                <xdr:colOff>31750</xdr:colOff>
                <xdr:row>9</xdr:row>
                <xdr:rowOff>19050</xdr:rowOff>
              </from>
              <to>
                <xdr:col>1</xdr:col>
                <xdr:colOff>615950</xdr:colOff>
                <xdr:row>10</xdr:row>
                <xdr:rowOff>19050</xdr:rowOff>
              </to>
            </anchor>
          </controlPr>
        </control>
      </mc:Choice>
      <mc:Fallback>
        <control shapeId="14337" r:id="rId5" name="ScrollBar1"/>
      </mc:Fallback>
    </mc:AlternateContent>
  </controls>
  <extLst>
    <ext xmlns:x14="http://schemas.microsoft.com/office/spreadsheetml/2009/9/main" uri="{A8765BA9-456A-4dab-B4F3-ACF838C121DE}">
      <x14:slicerList>
        <x14:slicer r:id="rId7"/>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2C47D-4681-4A50-9E17-AA7CBB2B3094}">
  <sheetPr codeName="Sht_ApoioTDs"/>
  <dimension ref="B1:G20"/>
  <sheetViews>
    <sheetView workbookViewId="0">
      <selection activeCell="I20" sqref="I20"/>
    </sheetView>
  </sheetViews>
  <sheetFormatPr defaultRowHeight="14.5" x14ac:dyDescent="0.35"/>
  <cols>
    <col min="1" max="1" width="1.7265625" customWidth="1"/>
    <col min="2" max="2" width="23" bestFit="1" customWidth="1"/>
    <col min="3" max="3" width="13.1796875" bestFit="1" customWidth="1"/>
    <col min="6" max="6" width="12.1796875" bestFit="1" customWidth="1"/>
    <col min="7" max="7" width="13.81640625" bestFit="1" customWidth="1"/>
  </cols>
  <sheetData>
    <row r="1" spans="2:7" ht="6" customHeight="1" x14ac:dyDescent="0.35"/>
    <row r="2" spans="2:7" x14ac:dyDescent="0.35">
      <c r="B2" s="2" t="s">
        <v>17</v>
      </c>
      <c r="C2" t="s">
        <v>10</v>
      </c>
      <c r="F2" s="73" t="s">
        <v>17</v>
      </c>
      <c r="G2" s="72" t="s">
        <v>10</v>
      </c>
    </row>
    <row r="3" spans="2:7" x14ac:dyDescent="0.35">
      <c r="B3" s="2" t="s">
        <v>18</v>
      </c>
      <c r="C3" t="s">
        <v>10</v>
      </c>
      <c r="F3" s="73" t="s">
        <v>18</v>
      </c>
      <c r="G3" s="72" t="s">
        <v>10</v>
      </c>
    </row>
    <row r="4" spans="2:7" x14ac:dyDescent="0.35">
      <c r="B4" s="2" t="s">
        <v>7</v>
      </c>
      <c r="C4" t="s">
        <v>10</v>
      </c>
      <c r="F4" s="73" t="s">
        <v>1</v>
      </c>
      <c r="G4" s="72" t="s">
        <v>10</v>
      </c>
    </row>
    <row r="5" spans="2:7" x14ac:dyDescent="0.35">
      <c r="B5" s="2" t="s">
        <v>108</v>
      </c>
      <c r="C5" t="s">
        <v>165</v>
      </c>
      <c r="F5" s="73" t="s">
        <v>5</v>
      </c>
      <c r="G5" s="72" t="s">
        <v>187</v>
      </c>
    </row>
    <row r="6" spans="2:7" s="94" customFormat="1" x14ac:dyDescent="0.35">
      <c r="C6" s="95"/>
      <c r="F6" s="72"/>
      <c r="G6" s="72"/>
    </row>
    <row r="7" spans="2:7" x14ac:dyDescent="0.35">
      <c r="B7" s="48" t="s">
        <v>92</v>
      </c>
      <c r="F7" s="73" t="s">
        <v>3</v>
      </c>
      <c r="G7" s="72" t="s">
        <v>105</v>
      </c>
    </row>
    <row r="8" spans="2:7" x14ac:dyDescent="0.35">
      <c r="B8" s="1">
        <v>10000</v>
      </c>
      <c r="C8" s="61">
        <f>IF(C5="REALIZADO",GETPIVOTDATA("VALOR",$B$7),0)</f>
        <v>10000</v>
      </c>
      <c r="F8" s="81">
        <v>43434</v>
      </c>
      <c r="G8" s="79">
        <v>5000</v>
      </c>
    </row>
    <row r="9" spans="2:7" x14ac:dyDescent="0.35">
      <c r="F9" s="81">
        <v>43465</v>
      </c>
      <c r="G9" s="79">
        <v>5000</v>
      </c>
    </row>
    <row r="10" spans="2:7" x14ac:dyDescent="0.35">
      <c r="F10" s="81">
        <v>43496</v>
      </c>
      <c r="G10" s="79">
        <v>5000</v>
      </c>
    </row>
    <row r="11" spans="2:7" x14ac:dyDescent="0.35">
      <c r="F11" s="81">
        <v>43524</v>
      </c>
      <c r="G11" s="79">
        <v>5000</v>
      </c>
    </row>
    <row r="12" spans="2:7" x14ac:dyDescent="0.35">
      <c r="F12" s="81">
        <v>43555</v>
      </c>
      <c r="G12" s="79">
        <v>5000</v>
      </c>
    </row>
    <row r="13" spans="2:7" x14ac:dyDescent="0.35">
      <c r="F13" s="81">
        <v>43585</v>
      </c>
      <c r="G13" s="79">
        <v>5000</v>
      </c>
    </row>
    <row r="14" spans="2:7" x14ac:dyDescent="0.35">
      <c r="F14" s="81">
        <v>43616</v>
      </c>
      <c r="G14" s="79">
        <v>5000</v>
      </c>
    </row>
    <row r="15" spans="2:7" x14ac:dyDescent="0.35">
      <c r="F15" s="81">
        <v>43646</v>
      </c>
      <c r="G15" s="79">
        <v>5000</v>
      </c>
    </row>
    <row r="16" spans="2:7" x14ac:dyDescent="0.35">
      <c r="F16" s="81">
        <v>43677</v>
      </c>
      <c r="G16" s="79">
        <v>5000</v>
      </c>
    </row>
    <row r="17" spans="6:7" x14ac:dyDescent="0.35">
      <c r="F17" s="81">
        <v>43708</v>
      </c>
      <c r="G17" s="79">
        <v>5000</v>
      </c>
    </row>
    <row r="18" spans="6:7" x14ac:dyDescent="0.35">
      <c r="F18" s="81">
        <v>43738</v>
      </c>
      <c r="G18" s="79">
        <v>5000</v>
      </c>
    </row>
    <row r="19" spans="6:7" x14ac:dyDescent="0.35">
      <c r="F19" s="81">
        <v>43769</v>
      </c>
      <c r="G19" s="79">
        <v>5000</v>
      </c>
    </row>
    <row r="20" spans="6:7" x14ac:dyDescent="0.35">
      <c r="F20" s="81" t="s">
        <v>2</v>
      </c>
      <c r="G20" s="79">
        <v>60000</v>
      </c>
    </row>
  </sheetData>
  <pageMargins left="0.511811024" right="0.511811024" top="0.78740157499999996" bottom="0.78740157499999996" header="0.31496062000000002" footer="0.31496062000000002"/>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08381-7960-4293-8719-D57F0E184873}">
  <sheetPr codeName="Sht_RelRealizado">
    <tabColor theme="8" tint="-0.249977111117893"/>
    <pageSetUpPr fitToPage="1"/>
  </sheetPr>
  <dimension ref="A1:K86"/>
  <sheetViews>
    <sheetView showGridLines="0" workbookViewId="0">
      <pane ySplit="11" topLeftCell="A12" activePane="bottomLeft" state="frozen"/>
      <selection pane="bottomLeft" activeCell="K12" sqref="K12"/>
    </sheetView>
  </sheetViews>
  <sheetFormatPr defaultColWidth="9.1796875" defaultRowHeight="14.5" x14ac:dyDescent="0.35"/>
  <cols>
    <col min="1" max="1" width="1" style="50" customWidth="1"/>
    <col min="2" max="2" width="13.54296875" style="50" customWidth="1"/>
    <col min="3" max="3" width="28" style="50" customWidth="1"/>
    <col min="4" max="4" width="28.1796875" style="49" customWidth="1"/>
    <col min="5" max="5" width="23.81640625" style="50" customWidth="1"/>
    <col min="6" max="6" width="20.54296875" style="50" customWidth="1"/>
    <col min="7" max="7" width="11.26953125" style="50" customWidth="1"/>
    <col min="8" max="8" width="15" style="50" bestFit="1" customWidth="1"/>
    <col min="9" max="9" width="13.54296875" style="50" bestFit="1" customWidth="1"/>
    <col min="10" max="10" width="16" style="50" customWidth="1"/>
    <col min="11" max="11" width="13.1796875" style="110" bestFit="1" customWidth="1"/>
    <col min="12" max="16384" width="9.1796875" style="50"/>
  </cols>
  <sheetData>
    <row r="1" spans="1:11" ht="6" customHeight="1" x14ac:dyDescent="0.35">
      <c r="A1" s="109">
        <f>COUNTIF([0]!rng_DadosLanctosTD,"A REALIZAR")</f>
        <v>0</v>
      </c>
    </row>
    <row r="2" spans="1:11" ht="15" hidden="1" customHeight="1" x14ac:dyDescent="0.35">
      <c r="D2" s="111" t="str">
        <f>IFERROR(IF(B2="Total Geral","",IF(B2="","",D1+C2)),$D$11+$C$13)</f>
        <v/>
      </c>
    </row>
    <row r="3" spans="1:11" ht="15" hidden="1" customHeight="1" x14ac:dyDescent="0.35">
      <c r="D3" s="111"/>
    </row>
    <row r="4" spans="1:11" ht="15" hidden="1" customHeight="1" x14ac:dyDescent="0.35">
      <c r="D4" s="111"/>
    </row>
    <row r="5" spans="1:11" ht="15" customHeight="1" x14ac:dyDescent="0.35">
      <c r="B5" s="47" t="s">
        <v>130</v>
      </c>
      <c r="C5" s="50" t="s">
        <v>10</v>
      </c>
    </row>
    <row r="6" spans="1:11" ht="15" customHeight="1" x14ac:dyDescent="0.35">
      <c r="B6" s="47" t="s">
        <v>136</v>
      </c>
      <c r="C6" s="50" t="s">
        <v>10</v>
      </c>
      <c r="I6" s="49"/>
      <c r="J6" s="115" t="s">
        <v>140</v>
      </c>
      <c r="K6" s="114"/>
    </row>
    <row r="7" spans="1:11" ht="15" thickBot="1" x14ac:dyDescent="0.4">
      <c r="B7" s="47" t="s">
        <v>129</v>
      </c>
      <c r="C7" s="50" t="s">
        <v>127</v>
      </c>
      <c r="I7" s="169" t="s">
        <v>132</v>
      </c>
      <c r="J7" s="170">
        <v>43388</v>
      </c>
      <c r="K7" s="50"/>
    </row>
    <row r="8" spans="1:11" x14ac:dyDescent="0.35">
      <c r="B8" s="113" t="s">
        <v>138</v>
      </c>
      <c r="C8" s="50" t="s">
        <v>10</v>
      </c>
      <c r="I8" s="168" t="s">
        <v>133</v>
      </c>
      <c r="J8" s="167">
        <v>43393</v>
      </c>
      <c r="K8" s="50"/>
    </row>
    <row r="9" spans="1:11" x14ac:dyDescent="0.35">
      <c r="B9" s="113" t="s">
        <v>139</v>
      </c>
      <c r="C9" s="50" t="s">
        <v>10</v>
      </c>
    </row>
    <row r="10" spans="1:11" s="112" customFormat="1" ht="20.25" customHeight="1" x14ac:dyDescent="0.35">
      <c r="C10" s="95"/>
      <c r="D10" s="96"/>
      <c r="I10" s="174" t="s">
        <v>135</v>
      </c>
      <c r="J10" s="174"/>
      <c r="K10" s="116">
        <f>IF(C7="A REALIZAR",'Apoio TDs'!C8,0)</f>
        <v>10000</v>
      </c>
    </row>
    <row r="11" spans="1:11" s="48" customFormat="1" x14ac:dyDescent="0.35">
      <c r="B11" s="108" t="s">
        <v>166</v>
      </c>
      <c r="C11" s="108" t="s">
        <v>0</v>
      </c>
      <c r="D11" s="108" t="s">
        <v>40</v>
      </c>
      <c r="E11" s="108" t="s">
        <v>3</v>
      </c>
      <c r="F11" s="108" t="s">
        <v>7</v>
      </c>
      <c r="G11" s="108" t="s">
        <v>137</v>
      </c>
      <c r="H11" s="108" t="s">
        <v>49</v>
      </c>
      <c r="I11" s="108" t="s">
        <v>80</v>
      </c>
      <c r="J11" s="48" t="s">
        <v>92</v>
      </c>
      <c r="K11" s="148" t="s">
        <v>134</v>
      </c>
    </row>
    <row r="12" spans="1:11" x14ac:dyDescent="0.35">
      <c r="B12" s="50" t="s">
        <v>2</v>
      </c>
      <c r="D12" s="50"/>
      <c r="J12" s="110"/>
      <c r="K12" s="149">
        <f>IF(AND(ROW(B12)=12,B12="Total Geral"),$K$10,IF(J12="","",IF(B12="Total Geral",K11,IF(ROW(K11)=11,$K$9+J12,K11+J12))))</f>
        <v>10000</v>
      </c>
    </row>
    <row r="13" spans="1:11" x14ac:dyDescent="0.35">
      <c r="B13"/>
      <c r="C13"/>
      <c r="D13"/>
      <c r="E13"/>
      <c r="F13"/>
      <c r="G13"/>
      <c r="H13"/>
      <c r="I13"/>
      <c r="J13"/>
    </row>
    <row r="14" spans="1:11" x14ac:dyDescent="0.35">
      <c r="B14"/>
      <c r="C14"/>
      <c r="D14"/>
      <c r="E14"/>
      <c r="F14"/>
      <c r="G14"/>
      <c r="H14"/>
      <c r="I14"/>
      <c r="J14"/>
    </row>
    <row r="15" spans="1:11" x14ac:dyDescent="0.35">
      <c r="B15"/>
      <c r="C15"/>
      <c r="D15"/>
      <c r="E15"/>
      <c r="F15"/>
      <c r="G15"/>
      <c r="H15"/>
      <c r="I15"/>
      <c r="J15"/>
    </row>
    <row r="16" spans="1:11" x14ac:dyDescent="0.35">
      <c r="B16"/>
      <c r="C16"/>
      <c r="D16"/>
      <c r="E16"/>
      <c r="F16"/>
      <c r="G16"/>
      <c r="H16"/>
      <c r="I16"/>
      <c r="J16"/>
    </row>
    <row r="17" spans="2:10" x14ac:dyDescent="0.35">
      <c r="B17"/>
      <c r="C17"/>
      <c r="D17"/>
      <c r="E17"/>
      <c r="F17"/>
      <c r="G17"/>
      <c r="H17"/>
      <c r="I17"/>
      <c r="J17"/>
    </row>
    <row r="18" spans="2:10" x14ac:dyDescent="0.35">
      <c r="B18"/>
      <c r="C18"/>
      <c r="D18"/>
      <c r="E18"/>
      <c r="F18"/>
      <c r="G18"/>
      <c r="H18"/>
      <c r="I18"/>
      <c r="J18"/>
    </row>
    <row r="19" spans="2:10" x14ac:dyDescent="0.35">
      <c r="B19"/>
      <c r="C19"/>
      <c r="D19"/>
      <c r="E19"/>
      <c r="F19"/>
      <c r="G19"/>
      <c r="H19"/>
      <c r="I19"/>
      <c r="J19"/>
    </row>
    <row r="20" spans="2:10" x14ac:dyDescent="0.35">
      <c r="B20"/>
      <c r="C20"/>
      <c r="D20"/>
      <c r="E20"/>
      <c r="F20"/>
      <c r="G20"/>
      <c r="H20"/>
      <c r="I20"/>
      <c r="J20"/>
    </row>
    <row r="21" spans="2:10" x14ac:dyDescent="0.35">
      <c r="B21"/>
      <c r="C21"/>
      <c r="D21"/>
      <c r="E21"/>
      <c r="F21"/>
      <c r="G21"/>
      <c r="H21"/>
      <c r="I21"/>
      <c r="J21"/>
    </row>
    <row r="22" spans="2:10" x14ac:dyDescent="0.35">
      <c r="B22"/>
      <c r="C22"/>
      <c r="D22"/>
      <c r="E22"/>
      <c r="F22"/>
      <c r="G22"/>
      <c r="H22"/>
      <c r="I22"/>
      <c r="J22"/>
    </row>
    <row r="23" spans="2:10" x14ac:dyDescent="0.35">
      <c r="B23"/>
      <c r="C23"/>
      <c r="D23"/>
      <c r="E23"/>
      <c r="F23"/>
      <c r="G23"/>
      <c r="H23"/>
      <c r="I23"/>
      <c r="J23"/>
    </row>
    <row r="24" spans="2:10" x14ac:dyDescent="0.35">
      <c r="B24"/>
      <c r="C24"/>
      <c r="D24"/>
      <c r="E24"/>
      <c r="F24"/>
      <c r="G24"/>
      <c r="H24"/>
      <c r="I24"/>
      <c r="J24"/>
    </row>
    <row r="25" spans="2:10" x14ac:dyDescent="0.35">
      <c r="B25"/>
      <c r="C25"/>
      <c r="D25"/>
      <c r="E25"/>
      <c r="F25"/>
      <c r="G25"/>
      <c r="H25"/>
      <c r="I25"/>
      <c r="J25"/>
    </row>
    <row r="26" spans="2:10" x14ac:dyDescent="0.35">
      <c r="B26"/>
      <c r="C26"/>
      <c r="D26"/>
      <c r="E26"/>
      <c r="F26"/>
      <c r="G26"/>
      <c r="H26"/>
      <c r="I26"/>
      <c r="J26"/>
    </row>
    <row r="27" spans="2:10" x14ac:dyDescent="0.35">
      <c r="B27"/>
      <c r="C27"/>
      <c r="D27"/>
      <c r="E27"/>
      <c r="F27"/>
      <c r="G27"/>
      <c r="H27"/>
      <c r="I27"/>
      <c r="J27"/>
    </row>
    <row r="28" spans="2:10" x14ac:dyDescent="0.35">
      <c r="B28"/>
      <c r="C28"/>
      <c r="D28"/>
      <c r="E28"/>
      <c r="F28"/>
      <c r="G28"/>
      <c r="H28"/>
      <c r="I28"/>
      <c r="J28"/>
    </row>
    <row r="29" spans="2:10" x14ac:dyDescent="0.35">
      <c r="B29"/>
      <c r="C29"/>
      <c r="D29"/>
      <c r="E29"/>
      <c r="F29"/>
      <c r="G29"/>
      <c r="H29"/>
      <c r="I29"/>
      <c r="J29"/>
    </row>
    <row r="30" spans="2:10" x14ac:dyDescent="0.35">
      <c r="B30"/>
      <c r="C30"/>
      <c r="D30"/>
      <c r="E30"/>
      <c r="F30"/>
      <c r="G30"/>
      <c r="H30"/>
      <c r="I30"/>
      <c r="J30"/>
    </row>
    <row r="31" spans="2:10" x14ac:dyDescent="0.35">
      <c r="B31"/>
      <c r="C31"/>
      <c r="D31"/>
      <c r="E31"/>
      <c r="F31"/>
      <c r="G31"/>
      <c r="H31"/>
      <c r="I31"/>
      <c r="J31"/>
    </row>
    <row r="32" spans="2:10" x14ac:dyDescent="0.35">
      <c r="B32"/>
      <c r="C32"/>
      <c r="D32"/>
      <c r="E32"/>
      <c r="F32"/>
      <c r="G32"/>
      <c r="H32"/>
      <c r="I32"/>
      <c r="J32"/>
    </row>
    <row r="33" spans="2:10" x14ac:dyDescent="0.35">
      <c r="B33"/>
      <c r="C33"/>
      <c r="D33"/>
      <c r="E33"/>
      <c r="F33"/>
      <c r="G33"/>
      <c r="H33"/>
      <c r="I33"/>
      <c r="J33"/>
    </row>
    <row r="34" spans="2:10" x14ac:dyDescent="0.35">
      <c r="B34"/>
      <c r="C34"/>
      <c r="D34"/>
      <c r="E34"/>
      <c r="F34"/>
      <c r="G34"/>
      <c r="H34"/>
      <c r="I34"/>
      <c r="J34"/>
    </row>
    <row r="35" spans="2:10" x14ac:dyDescent="0.35">
      <c r="B35"/>
      <c r="C35"/>
      <c r="D35"/>
      <c r="E35"/>
      <c r="F35"/>
      <c r="G35"/>
      <c r="H35"/>
      <c r="I35"/>
      <c r="J35"/>
    </row>
    <row r="36" spans="2:10" x14ac:dyDescent="0.35">
      <c r="B36"/>
      <c r="C36"/>
      <c r="D36"/>
      <c r="E36"/>
      <c r="F36"/>
      <c r="G36"/>
      <c r="H36"/>
      <c r="I36"/>
      <c r="J36"/>
    </row>
    <row r="37" spans="2:10" x14ac:dyDescent="0.35">
      <c r="B37"/>
      <c r="C37"/>
      <c r="D37"/>
      <c r="E37"/>
      <c r="F37"/>
      <c r="G37"/>
      <c r="H37"/>
      <c r="I37"/>
      <c r="J37"/>
    </row>
    <row r="38" spans="2:10" x14ac:dyDescent="0.35">
      <c r="B38"/>
      <c r="C38"/>
      <c r="D38"/>
      <c r="E38"/>
      <c r="F38"/>
      <c r="G38"/>
      <c r="H38"/>
      <c r="I38"/>
      <c r="J38"/>
    </row>
    <row r="39" spans="2:10" x14ac:dyDescent="0.35">
      <c r="B39"/>
      <c r="C39"/>
      <c r="D39"/>
      <c r="E39"/>
      <c r="F39"/>
      <c r="G39"/>
      <c r="H39"/>
      <c r="I39"/>
      <c r="J39"/>
    </row>
    <row r="40" spans="2:10" x14ac:dyDescent="0.35">
      <c r="B40"/>
      <c r="C40"/>
      <c r="D40"/>
      <c r="E40"/>
      <c r="F40"/>
      <c r="G40"/>
      <c r="H40"/>
      <c r="I40"/>
      <c r="J40"/>
    </row>
    <row r="41" spans="2:10" x14ac:dyDescent="0.35">
      <c r="B41"/>
      <c r="C41"/>
      <c r="D41"/>
      <c r="E41"/>
      <c r="F41"/>
      <c r="G41"/>
      <c r="H41"/>
      <c r="I41"/>
      <c r="J41"/>
    </row>
    <row r="42" spans="2:10" x14ac:dyDescent="0.35">
      <c r="B42"/>
      <c r="C42"/>
      <c r="D42"/>
      <c r="E42"/>
      <c r="F42"/>
      <c r="G42"/>
      <c r="H42"/>
      <c r="I42"/>
      <c r="J42"/>
    </row>
    <row r="43" spans="2:10" x14ac:dyDescent="0.35">
      <c r="B43"/>
      <c r="C43"/>
      <c r="D43"/>
      <c r="E43"/>
      <c r="F43"/>
      <c r="G43"/>
      <c r="H43"/>
      <c r="I43"/>
      <c r="J43"/>
    </row>
    <row r="44" spans="2:10" x14ac:dyDescent="0.35">
      <c r="B44"/>
      <c r="C44"/>
      <c r="D44"/>
      <c r="E44"/>
      <c r="F44"/>
      <c r="G44"/>
      <c r="H44"/>
      <c r="I44"/>
      <c r="J44"/>
    </row>
    <row r="45" spans="2:10" x14ac:dyDescent="0.35">
      <c r="B45"/>
      <c r="C45"/>
      <c r="D45"/>
      <c r="E45"/>
      <c r="F45"/>
      <c r="G45"/>
      <c r="H45"/>
      <c r="I45"/>
      <c r="J45"/>
    </row>
    <row r="46" spans="2:10" x14ac:dyDescent="0.35">
      <c r="B46"/>
      <c r="C46"/>
      <c r="D46"/>
      <c r="E46"/>
      <c r="F46"/>
      <c r="G46"/>
      <c r="H46"/>
      <c r="I46"/>
      <c r="J46"/>
    </row>
    <row r="47" spans="2:10" x14ac:dyDescent="0.35">
      <c r="B47"/>
      <c r="C47"/>
      <c r="D47"/>
      <c r="E47"/>
      <c r="F47"/>
      <c r="G47"/>
      <c r="H47"/>
      <c r="I47"/>
      <c r="J47"/>
    </row>
    <row r="48" spans="2:10" x14ac:dyDescent="0.35">
      <c r="B48"/>
      <c r="C48"/>
      <c r="D48"/>
      <c r="E48"/>
      <c r="F48"/>
      <c r="G48"/>
      <c r="H48"/>
      <c r="I48"/>
      <c r="J48"/>
    </row>
    <row r="49" spans="2:10" x14ac:dyDescent="0.35">
      <c r="B49"/>
      <c r="C49"/>
      <c r="D49"/>
      <c r="E49"/>
      <c r="F49"/>
      <c r="G49"/>
      <c r="H49"/>
      <c r="I49"/>
      <c r="J49"/>
    </row>
    <row r="50" spans="2:10" x14ac:dyDescent="0.35">
      <c r="B50"/>
      <c r="C50"/>
      <c r="D50"/>
      <c r="E50"/>
      <c r="F50"/>
      <c r="G50"/>
      <c r="H50"/>
      <c r="I50"/>
      <c r="J50"/>
    </row>
    <row r="51" spans="2:10" x14ac:dyDescent="0.35">
      <c r="B51"/>
      <c r="C51"/>
      <c r="D51"/>
      <c r="E51"/>
      <c r="F51"/>
      <c r="G51"/>
      <c r="H51"/>
      <c r="I51"/>
      <c r="J51"/>
    </row>
    <row r="52" spans="2:10" x14ac:dyDescent="0.35">
      <c r="B52"/>
      <c r="C52"/>
      <c r="D52"/>
      <c r="E52"/>
      <c r="F52"/>
      <c r="G52"/>
      <c r="H52"/>
      <c r="I52"/>
      <c r="J52"/>
    </row>
    <row r="53" spans="2:10" x14ac:dyDescent="0.35">
      <c r="B53"/>
      <c r="C53"/>
      <c r="D53"/>
      <c r="E53"/>
      <c r="F53"/>
      <c r="G53"/>
      <c r="H53"/>
      <c r="I53"/>
      <c r="J53"/>
    </row>
    <row r="54" spans="2:10" x14ac:dyDescent="0.35">
      <c r="B54"/>
      <c r="C54"/>
      <c r="D54"/>
      <c r="E54"/>
      <c r="F54"/>
      <c r="G54"/>
      <c r="H54"/>
      <c r="I54"/>
      <c r="J54"/>
    </row>
    <row r="55" spans="2:10" x14ac:dyDescent="0.35">
      <c r="B55"/>
      <c r="C55"/>
      <c r="D55"/>
      <c r="E55"/>
      <c r="F55"/>
      <c r="G55"/>
      <c r="H55"/>
      <c r="I55"/>
      <c r="J55"/>
    </row>
    <row r="56" spans="2:10" x14ac:dyDescent="0.35">
      <c r="B56"/>
      <c r="C56"/>
      <c r="D56"/>
      <c r="E56"/>
      <c r="F56"/>
      <c r="G56"/>
      <c r="H56"/>
      <c r="I56"/>
      <c r="J56"/>
    </row>
    <row r="57" spans="2:10" x14ac:dyDescent="0.35">
      <c r="B57"/>
      <c r="C57"/>
      <c r="D57"/>
      <c r="E57"/>
      <c r="F57"/>
      <c r="G57"/>
      <c r="H57"/>
      <c r="I57"/>
      <c r="J57"/>
    </row>
    <row r="58" spans="2:10" x14ac:dyDescent="0.35">
      <c r="B58"/>
      <c r="C58"/>
      <c r="D58"/>
      <c r="E58"/>
      <c r="F58"/>
      <c r="G58"/>
      <c r="H58"/>
      <c r="I58"/>
      <c r="J58"/>
    </row>
    <row r="59" spans="2:10" x14ac:dyDescent="0.35">
      <c r="B59"/>
      <c r="C59"/>
      <c r="D59"/>
      <c r="E59"/>
      <c r="F59"/>
      <c r="G59"/>
      <c r="H59"/>
      <c r="I59"/>
      <c r="J59"/>
    </row>
    <row r="60" spans="2:10" x14ac:dyDescent="0.35">
      <c r="B60"/>
      <c r="C60"/>
      <c r="D60"/>
      <c r="E60"/>
      <c r="F60"/>
      <c r="G60"/>
      <c r="H60"/>
      <c r="I60"/>
      <c r="J60"/>
    </row>
    <row r="61" spans="2:10" x14ac:dyDescent="0.35">
      <c r="B61"/>
      <c r="C61"/>
      <c r="D61"/>
      <c r="E61"/>
      <c r="F61"/>
      <c r="G61"/>
      <c r="H61"/>
      <c r="I61"/>
      <c r="J61"/>
    </row>
    <row r="62" spans="2:10" x14ac:dyDescent="0.35">
      <c r="B62"/>
      <c r="C62"/>
      <c r="D62"/>
      <c r="E62"/>
      <c r="F62"/>
      <c r="G62"/>
      <c r="H62"/>
      <c r="I62"/>
      <c r="J62"/>
    </row>
    <row r="63" spans="2:10" x14ac:dyDescent="0.35">
      <c r="B63"/>
      <c r="C63"/>
      <c r="D63"/>
      <c r="E63"/>
      <c r="F63"/>
      <c r="G63"/>
      <c r="H63"/>
      <c r="I63"/>
      <c r="J63"/>
    </row>
    <row r="64" spans="2:10" x14ac:dyDescent="0.35">
      <c r="B64"/>
      <c r="C64"/>
      <c r="D64"/>
      <c r="E64"/>
      <c r="F64"/>
      <c r="G64"/>
      <c r="H64"/>
      <c r="I64"/>
      <c r="J64"/>
    </row>
    <row r="65" spans="2:10" x14ac:dyDescent="0.35">
      <c r="B65"/>
      <c r="C65"/>
      <c r="D65"/>
      <c r="E65"/>
      <c r="F65"/>
      <c r="G65"/>
      <c r="H65"/>
      <c r="I65"/>
      <c r="J65"/>
    </row>
    <row r="66" spans="2:10" x14ac:dyDescent="0.35">
      <c r="B66"/>
      <c r="C66"/>
      <c r="D66"/>
      <c r="E66"/>
      <c r="F66"/>
      <c r="G66"/>
      <c r="H66"/>
      <c r="I66"/>
      <c r="J66"/>
    </row>
    <row r="67" spans="2:10" x14ac:dyDescent="0.35">
      <c r="B67"/>
      <c r="C67"/>
      <c r="D67"/>
      <c r="E67"/>
      <c r="F67"/>
      <c r="G67"/>
      <c r="H67"/>
      <c r="I67"/>
      <c r="J67"/>
    </row>
    <row r="68" spans="2:10" x14ac:dyDescent="0.35">
      <c r="B68"/>
      <c r="C68"/>
      <c r="D68"/>
      <c r="E68"/>
      <c r="F68"/>
      <c r="G68"/>
      <c r="H68"/>
      <c r="I68"/>
      <c r="J68"/>
    </row>
    <row r="69" spans="2:10" x14ac:dyDescent="0.35">
      <c r="B69"/>
      <c r="C69"/>
      <c r="D69"/>
      <c r="E69"/>
      <c r="F69"/>
      <c r="G69"/>
      <c r="H69"/>
      <c r="I69"/>
      <c r="J69"/>
    </row>
    <row r="70" spans="2:10" x14ac:dyDescent="0.35">
      <c r="B70"/>
      <c r="C70"/>
      <c r="D70"/>
      <c r="E70"/>
      <c r="F70"/>
      <c r="G70"/>
      <c r="H70"/>
      <c r="I70"/>
      <c r="J70"/>
    </row>
    <row r="71" spans="2:10" x14ac:dyDescent="0.35">
      <c r="B71"/>
      <c r="C71"/>
      <c r="D71"/>
      <c r="E71"/>
      <c r="F71"/>
      <c r="G71"/>
      <c r="H71"/>
      <c r="I71"/>
      <c r="J71"/>
    </row>
    <row r="72" spans="2:10" x14ac:dyDescent="0.35">
      <c r="B72"/>
      <c r="C72"/>
      <c r="D72"/>
      <c r="E72"/>
      <c r="F72"/>
      <c r="G72"/>
      <c r="H72"/>
      <c r="I72"/>
      <c r="J72"/>
    </row>
    <row r="73" spans="2:10" x14ac:dyDescent="0.35">
      <c r="B73"/>
      <c r="C73"/>
      <c r="D73"/>
      <c r="E73"/>
      <c r="F73"/>
      <c r="G73"/>
      <c r="H73"/>
      <c r="I73"/>
      <c r="J73"/>
    </row>
    <row r="74" spans="2:10" x14ac:dyDescent="0.35">
      <c r="B74"/>
      <c r="C74"/>
      <c r="D74"/>
      <c r="E74"/>
      <c r="F74"/>
      <c r="G74"/>
      <c r="H74"/>
      <c r="I74"/>
      <c r="J74"/>
    </row>
    <row r="75" spans="2:10" x14ac:dyDescent="0.35">
      <c r="B75"/>
      <c r="C75"/>
      <c r="D75"/>
      <c r="E75"/>
      <c r="F75"/>
      <c r="G75"/>
      <c r="H75"/>
      <c r="I75"/>
      <c r="J75"/>
    </row>
    <row r="76" spans="2:10" x14ac:dyDescent="0.35">
      <c r="B76"/>
      <c r="C76"/>
      <c r="D76"/>
      <c r="E76"/>
      <c r="F76"/>
      <c r="G76"/>
      <c r="H76"/>
      <c r="I76"/>
      <c r="J76"/>
    </row>
    <row r="77" spans="2:10" x14ac:dyDescent="0.35">
      <c r="B77"/>
      <c r="C77"/>
      <c r="D77"/>
      <c r="E77"/>
      <c r="F77"/>
      <c r="G77"/>
      <c r="H77"/>
      <c r="I77"/>
      <c r="J77"/>
    </row>
    <row r="78" spans="2:10" x14ac:dyDescent="0.35">
      <c r="B78"/>
      <c r="C78"/>
      <c r="D78"/>
      <c r="E78"/>
      <c r="F78"/>
      <c r="G78"/>
      <c r="H78"/>
      <c r="I78"/>
      <c r="J78"/>
    </row>
    <row r="79" spans="2:10" x14ac:dyDescent="0.35">
      <c r="B79"/>
      <c r="C79"/>
      <c r="D79"/>
      <c r="E79"/>
      <c r="F79"/>
      <c r="G79"/>
      <c r="H79"/>
      <c r="I79"/>
      <c r="J79"/>
    </row>
    <row r="80" spans="2:10" x14ac:dyDescent="0.35">
      <c r="B80"/>
      <c r="C80"/>
      <c r="D80"/>
      <c r="E80"/>
      <c r="F80"/>
      <c r="G80"/>
      <c r="H80"/>
      <c r="I80"/>
      <c r="J80"/>
    </row>
    <row r="81" spans="2:10" x14ac:dyDescent="0.35">
      <c r="B81"/>
      <c r="C81"/>
      <c r="D81"/>
      <c r="E81"/>
      <c r="F81"/>
      <c r="G81"/>
      <c r="H81"/>
      <c r="I81"/>
      <c r="J81"/>
    </row>
    <row r="82" spans="2:10" x14ac:dyDescent="0.35">
      <c r="B82"/>
      <c r="C82"/>
      <c r="D82"/>
      <c r="E82"/>
      <c r="F82"/>
      <c r="G82"/>
      <c r="H82"/>
      <c r="I82"/>
      <c r="J82"/>
    </row>
    <row r="83" spans="2:10" x14ac:dyDescent="0.35">
      <c r="B83"/>
      <c r="C83"/>
      <c r="D83"/>
      <c r="E83"/>
      <c r="F83"/>
      <c r="G83"/>
      <c r="H83"/>
      <c r="I83"/>
      <c r="J83"/>
    </row>
    <row r="84" spans="2:10" x14ac:dyDescent="0.35">
      <c r="B84"/>
      <c r="C84"/>
      <c r="D84"/>
      <c r="E84"/>
      <c r="F84"/>
      <c r="G84"/>
      <c r="H84"/>
      <c r="I84"/>
      <c r="J84"/>
    </row>
    <row r="85" spans="2:10" x14ac:dyDescent="0.35">
      <c r="B85"/>
      <c r="C85"/>
      <c r="D85"/>
      <c r="E85"/>
      <c r="F85"/>
      <c r="G85"/>
      <c r="H85"/>
      <c r="I85"/>
      <c r="J85"/>
    </row>
    <row r="86" spans="2:10" x14ac:dyDescent="0.35">
      <c r="B86"/>
      <c r="C86"/>
      <c r="D86"/>
      <c r="E86"/>
      <c r="F86"/>
      <c r="G86"/>
      <c r="H86"/>
      <c r="I86"/>
      <c r="J86"/>
    </row>
  </sheetData>
  <sheetProtection algorithmName="SHA-512" hashValue="mgA74meWlmGzgqwTHmR/Ze6L2UxEVYJAN2NwIGT/Rra+vE3qtvO4V6XGh24J+Qs9f4kIb4RSHd23tNqZ+lBsaA==" saltValue="dkV0WvW5tsonJfP0t1O83A==" spinCount="100000" sheet="1" objects="1" scenarios="1" formatCells="0" formatColumns="0" sort="0" autoFilter="0" pivotTables="0"/>
  <mergeCells count="1">
    <mergeCell ref="I10:J10"/>
  </mergeCells>
  <conditionalFormatting sqref="K11:M11 L12:M28">
    <cfRule type="expression" dxfId="109" priority="666">
      <formula>$L10&lt;&gt;""</formula>
    </cfRule>
  </conditionalFormatting>
  <conditionalFormatting sqref="K11:M11">
    <cfRule type="expression" dxfId="108" priority="665">
      <formula>$L10&lt;&gt;""</formula>
    </cfRule>
  </conditionalFormatting>
  <conditionalFormatting sqref="K11:M11">
    <cfRule type="expression" dxfId="107" priority="664">
      <formula>$L10&lt;&gt;""</formula>
    </cfRule>
  </conditionalFormatting>
  <conditionalFormatting sqref="K11:M11">
    <cfRule type="expression" dxfId="106" priority="663">
      <formula>$L10&lt;&gt;""</formula>
    </cfRule>
  </conditionalFormatting>
  <conditionalFormatting sqref="K11:M11">
    <cfRule type="expression" dxfId="105" priority="662">
      <formula>$L10&lt;&gt;""</formula>
    </cfRule>
  </conditionalFormatting>
  <conditionalFormatting sqref="K11:M11 L12:M27">
    <cfRule type="expression" dxfId="104" priority="661">
      <formula>$L10&lt;&gt;""</formula>
    </cfRule>
  </conditionalFormatting>
  <conditionalFormatting sqref="K11:M11 L12:M27">
    <cfRule type="expression" dxfId="103" priority="660">
      <formula>$L10&lt;&gt;""</formula>
    </cfRule>
  </conditionalFormatting>
  <conditionalFormatting sqref="K11:M11 L12:M12">
    <cfRule type="expression" dxfId="102" priority="659">
      <formula>$L10&lt;&gt;""</formula>
    </cfRule>
  </conditionalFormatting>
  <conditionalFormatting sqref="K11:M11 L12:M12">
    <cfRule type="expression" dxfId="101" priority="658">
      <formula>$L10&lt;&gt;""</formula>
    </cfRule>
  </conditionalFormatting>
  <conditionalFormatting sqref="K12">
    <cfRule type="expression" dxfId="100" priority="1">
      <formula>$J12&lt;&gt;""</formula>
    </cfRule>
  </conditionalFormatting>
  <printOptions horizontalCentered="1"/>
  <pageMargins left="0.51181102362204722" right="0.51181102362204722" top="0.78740157480314965" bottom="0.78740157480314965" header="0.31496062992125984" footer="0.31496062992125984"/>
  <pageSetup paperSize="9" scale="73" fitToHeight="10" orientation="landscape" r:id="rId2"/>
  <headerFooter>
    <oddHeader>&amp;C&amp;"-,Negrito"&amp;14RELATÓRIO DOS TÍTULOS BAIXADOS / A BAIXAR&amp;R&amp;P /&amp;N</oddHeader>
    <oddFooter>&amp;L&amp;8&amp;Z&amp;F&amp;R&amp;D / &amp;T</oddFooter>
  </headerFooter>
  <drawing r:id="rId3"/>
  <legacyDrawing r:id="rId4"/>
  <extLst>
    <ext xmlns:x14="http://schemas.microsoft.com/office/spreadsheetml/2009/9/main" uri="{A8765BA9-456A-4dab-B4F3-ACF838C121DE}">
      <x14:slicerList>
        <x14:slicer r:id="rId5"/>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29C7E-E589-4D65-B30F-7A97B20ABEBF}">
  <sheetPr codeName="Sht_RelSaldos">
    <tabColor theme="8" tint="-0.249977111117893"/>
    <pageSetUpPr fitToPage="1"/>
  </sheetPr>
  <dimension ref="A1:C10"/>
  <sheetViews>
    <sheetView showGridLines="0" workbookViewId="0">
      <pane ySplit="7" topLeftCell="A8" activePane="bottomLeft" state="frozen"/>
      <selection pane="bottomLeft" activeCell="C5" sqref="C5"/>
    </sheetView>
  </sheetViews>
  <sheetFormatPr defaultRowHeight="14.5" x14ac:dyDescent="0.35"/>
  <cols>
    <col min="1" max="1" width="2.81640625" customWidth="1"/>
    <col min="2" max="2" width="18.54296875" bestFit="1" customWidth="1"/>
    <col min="3" max="3" width="13.1796875" bestFit="1" customWidth="1"/>
  </cols>
  <sheetData>
    <row r="1" spans="1:3" x14ac:dyDescent="0.35">
      <c r="A1" s="8">
        <f>COUNTIF([0]!rng_DadosLanctosTD,"A REALIZAR")</f>
        <v>0</v>
      </c>
    </row>
    <row r="4" spans="1:3" hidden="1" x14ac:dyDescent="0.35"/>
    <row r="5" spans="1:3" x14ac:dyDescent="0.35">
      <c r="B5" s="122" t="s">
        <v>129</v>
      </c>
      <c r="C5" t="s">
        <v>165</v>
      </c>
    </row>
    <row r="6" spans="1:3" s="112" customFormat="1" ht="23.25" customHeight="1" x14ac:dyDescent="0.35">
      <c r="B6" s="123" t="s">
        <v>141</v>
      </c>
      <c r="C6" s="117">
        <v>43388</v>
      </c>
    </row>
    <row r="7" spans="1:3" s="50" customFormat="1" ht="19.5" customHeight="1" x14ac:dyDescent="0.35">
      <c r="B7" s="47" t="s">
        <v>128</v>
      </c>
      <c r="C7" s="48" t="s">
        <v>92</v>
      </c>
    </row>
    <row r="8" spans="1:3" x14ac:dyDescent="0.35">
      <c r="B8" s="3" t="s">
        <v>174</v>
      </c>
      <c r="C8" s="1">
        <v>10000</v>
      </c>
    </row>
    <row r="9" spans="1:3" x14ac:dyDescent="0.35">
      <c r="B9" s="104" t="s">
        <v>123</v>
      </c>
      <c r="C9" s="1">
        <v>10000</v>
      </c>
    </row>
    <row r="10" spans="1:3" x14ac:dyDescent="0.35">
      <c r="B10" s="3" t="s">
        <v>2</v>
      </c>
      <c r="C10" s="1">
        <v>10000</v>
      </c>
    </row>
  </sheetData>
  <sheetProtection algorithmName="SHA-512" hashValue="1Bw7NKUkGHpgKUWDhvvW1b6CuHVGy/dqGIHsjqSYyWVkS9crZ2DR4nPQRGZEOgSXcSZrEPd75lrSA7asAdzdlQ==" saltValue="d0IqkdeUAgbrGgbPrNw0bQ==" spinCount="100000" sheet="1" objects="1" scenarios="1" formatCells="0" formatColumns="0" sort="0" autoFilter="0" pivotTables="0"/>
  <printOptions horizontalCentered="1"/>
  <pageMargins left="0.51181102362204722" right="0.51181102362204722" top="0.78740157480314965" bottom="0.78740157480314965" header="0.31496062992125984" footer="0.31496062992125984"/>
  <pageSetup paperSize="9" scale="98" fitToHeight="2" orientation="portrait" r:id="rId2"/>
  <headerFooter>
    <oddHeader>&amp;R&amp;P / &amp;N</oddHeader>
    <oddFooter>&amp;L&amp;8&amp;Z&amp;F&amp;R&amp;D / &amp;T</oddFooter>
  </headerFooter>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C4103-E8F9-4D42-B3EA-8A42CE0ED903}">
  <sheetPr codeName="Sht_RelAnaliseResultados">
    <tabColor theme="9" tint="-0.499984740745262"/>
  </sheetPr>
  <dimension ref="A1:Q51"/>
  <sheetViews>
    <sheetView showGridLines="0" showRowColHeaders="0" zoomScaleNormal="100" workbookViewId="0">
      <selection activeCell="M6" sqref="M6:N6"/>
    </sheetView>
  </sheetViews>
  <sheetFormatPr defaultColWidth="9.1796875" defaultRowHeight="12" x14ac:dyDescent="0.3"/>
  <cols>
    <col min="1" max="1" width="2" style="72" customWidth="1"/>
    <col min="2" max="2" width="13" style="72" bestFit="1" customWidth="1"/>
    <col min="3" max="3" width="9.54296875" style="72" bestFit="1" customWidth="1"/>
    <col min="4" max="6" width="9.453125" style="72" bestFit="1" customWidth="1"/>
    <col min="7" max="8" width="9.7265625" style="72" bestFit="1" customWidth="1"/>
    <col min="9" max="14" width="10.26953125" style="72" bestFit="1" customWidth="1"/>
    <col min="15" max="17" width="9.7265625" style="72" bestFit="1" customWidth="1"/>
    <col min="18" max="16384" width="9.1796875" style="72"/>
  </cols>
  <sheetData>
    <row r="1" spans="1:17" s="153" customFormat="1" ht="2.25" customHeight="1" x14ac:dyDescent="0.3">
      <c r="A1" s="150">
        <f>COUNTA(B20:TY20)+1</f>
        <v>15</v>
      </c>
      <c r="B1" s="70"/>
      <c r="C1" s="151">
        <f>IF(OR(C20="",C20="Total Geral"),"",DATE(YEAR(C20),MONTH(C20),DAY(C20)))</f>
        <v>43434</v>
      </c>
      <c r="D1" s="151">
        <f t="shared" ref="D1:O1" si="0">IF(OR(D20="",D20="Total Geral"),"",DATE(YEAR(D20),MONTH(D20),DAY(D20)))</f>
        <v>43465</v>
      </c>
      <c r="E1" s="151">
        <f t="shared" si="0"/>
        <v>43496</v>
      </c>
      <c r="F1" s="151">
        <f t="shared" si="0"/>
        <v>43524</v>
      </c>
      <c r="G1" s="151">
        <f t="shared" si="0"/>
        <v>43555</v>
      </c>
      <c r="H1" s="151">
        <f t="shared" si="0"/>
        <v>43585</v>
      </c>
      <c r="I1" s="151">
        <f t="shared" si="0"/>
        <v>43616</v>
      </c>
      <c r="J1" s="151">
        <f t="shared" si="0"/>
        <v>43646</v>
      </c>
      <c r="K1" s="151">
        <f t="shared" si="0"/>
        <v>43677</v>
      </c>
      <c r="L1" s="151">
        <f t="shared" si="0"/>
        <v>43708</v>
      </c>
      <c r="M1" s="151">
        <f t="shared" si="0"/>
        <v>43738</v>
      </c>
      <c r="N1" s="151">
        <f t="shared" si="0"/>
        <v>43769</v>
      </c>
      <c r="O1" s="153" t="str">
        <f t="shared" si="0"/>
        <v/>
      </c>
    </row>
    <row r="2" spans="1:17" s="70" customFormat="1" ht="2.25" customHeight="1" x14ac:dyDescent="0.3">
      <c r="C2" s="71">
        <f>IF(OR(C20="",C20="Total Geral"),"",GETPIVOTDATA("Valor",'REL. ANÁLISE DE RESULTADOS '!$B$19,"MÊS",DATE(YEAR('REL. ANÁLISE DE RESULTADOS '!C20),MONTH('REL. ANÁLISE DE RESULTADOS '!C20),DAY('REL. ANÁLISE DE RESULTADOS '!C20))))</f>
        <v>5000</v>
      </c>
      <c r="D2" s="71">
        <f>IF(OR(D20="",D20="Total Geral"),"",GETPIVOTDATA("Valor",'REL. ANÁLISE DE RESULTADOS '!$B$19,"MÊS",DATE(YEAR('REL. ANÁLISE DE RESULTADOS '!D20),MONTH('REL. ANÁLISE DE RESULTADOS '!D20),DAY('REL. ANÁLISE DE RESULTADOS '!D20))))</f>
        <v>5000</v>
      </c>
      <c r="E2" s="71">
        <f>IF(OR(E20="",E20="Total Geral"),"",GETPIVOTDATA("Valor",'REL. ANÁLISE DE RESULTADOS '!$B$19,"MÊS",DATE(YEAR('REL. ANÁLISE DE RESULTADOS '!E20),MONTH('REL. ANÁLISE DE RESULTADOS '!E20),DAY('REL. ANÁLISE DE RESULTADOS '!E20))))</f>
        <v>5000</v>
      </c>
      <c r="F2" s="71">
        <f>IF(OR(F20="",F20="Total Geral"),"",GETPIVOTDATA("Valor",'REL. ANÁLISE DE RESULTADOS '!$B$19,"MÊS",DATE(YEAR('REL. ANÁLISE DE RESULTADOS '!F20),MONTH('REL. ANÁLISE DE RESULTADOS '!F20),DAY('REL. ANÁLISE DE RESULTADOS '!F20))))</f>
        <v>5000</v>
      </c>
      <c r="G2" s="71">
        <f>IF(OR(G20="",G20="Total Geral"),"",GETPIVOTDATA("Valor",'REL. ANÁLISE DE RESULTADOS '!$B$19,"MÊS",DATE(YEAR('REL. ANÁLISE DE RESULTADOS '!G20),MONTH('REL. ANÁLISE DE RESULTADOS '!G20),DAY('REL. ANÁLISE DE RESULTADOS '!G20))))</f>
        <v>5000</v>
      </c>
      <c r="H2" s="71">
        <f>IF(OR(H20="",H20="Total Geral"),"",GETPIVOTDATA("Valor",'REL. ANÁLISE DE RESULTADOS '!$B$19,"MÊS",DATE(YEAR('REL. ANÁLISE DE RESULTADOS '!H20),MONTH('REL. ANÁLISE DE RESULTADOS '!H20),DAY('REL. ANÁLISE DE RESULTADOS '!H20))))</f>
        <v>5000</v>
      </c>
      <c r="I2" s="71">
        <f>IF(OR(I20="",I20="Total Geral"),"",GETPIVOTDATA("Valor",'REL. ANÁLISE DE RESULTADOS '!$B$19,"MÊS",DATE(YEAR('REL. ANÁLISE DE RESULTADOS '!I20),MONTH('REL. ANÁLISE DE RESULTADOS '!I20),DAY('REL. ANÁLISE DE RESULTADOS '!I20))))</f>
        <v>5000</v>
      </c>
      <c r="J2" s="71">
        <f>IF(OR(J20="",J20="Total Geral"),"",GETPIVOTDATA("Valor",'REL. ANÁLISE DE RESULTADOS '!$B$19,"MÊS",DATE(YEAR('REL. ANÁLISE DE RESULTADOS '!J20),MONTH('REL. ANÁLISE DE RESULTADOS '!J20),DAY('REL. ANÁLISE DE RESULTADOS '!J20))))</f>
        <v>5000</v>
      </c>
      <c r="K2" s="71">
        <f>IF(OR(K20="",K20="Total Geral"),"",GETPIVOTDATA("Valor",'REL. ANÁLISE DE RESULTADOS '!$B$19,"MÊS",DATE(YEAR('REL. ANÁLISE DE RESULTADOS '!K20),MONTH('REL. ANÁLISE DE RESULTADOS '!K20),DAY('REL. ANÁLISE DE RESULTADOS '!K20))))</f>
        <v>5000</v>
      </c>
      <c r="L2" s="71">
        <f>IF(OR(L20="",L20="Total Geral"),"",GETPIVOTDATA("Valor",'REL. ANÁLISE DE RESULTADOS '!$B$19,"MÊS",DATE(YEAR('REL. ANÁLISE DE RESULTADOS '!L20),MONTH('REL. ANÁLISE DE RESULTADOS '!L20),DAY('REL. ANÁLISE DE RESULTADOS '!L20))))</f>
        <v>5000</v>
      </c>
      <c r="M2" s="71">
        <f>IF(OR(M20="",M20="Total Geral"),"",GETPIVOTDATA("Valor",'REL. ANÁLISE DE RESULTADOS '!$B$19,"MÊS",DATE(YEAR('REL. ANÁLISE DE RESULTADOS '!M20),MONTH('REL. ANÁLISE DE RESULTADOS '!M20),DAY('REL. ANÁLISE DE RESULTADOS '!M20))))</f>
        <v>5000</v>
      </c>
      <c r="N2" s="71">
        <f>IF(OR(N20="",N20="Total Geral"),"",GETPIVOTDATA("Valor",'REL. ANÁLISE DE RESULTADOS '!$B$19,"MÊS",DATE(YEAR('REL. ANÁLISE DE RESULTADOS '!N20),MONTH('REL. ANÁLISE DE RESULTADOS '!N20),DAY('REL. ANÁLISE DE RESULTADOS '!N20))))</f>
        <v>5000</v>
      </c>
      <c r="O2" s="71" t="str">
        <f>IF(OR(O20="",O20="Total Geral"),"",GETPIVOTDATA("Valor",'REL. ANÁLISE DE RESULTADOS '!$B$19,"MÊS",DATE(YEAR('REL. ANÁLISE DE RESULTADOS '!O20),MONTH('REL. ANÁLISE DE RESULTADOS '!O20),DAY('REL. ANÁLISE DE RESULTADOS '!O20))))</f>
        <v/>
      </c>
      <c r="P2" s="71"/>
      <c r="Q2" s="71"/>
    </row>
    <row r="3" spans="1:17" s="70" customFormat="1" ht="2.25" customHeight="1" x14ac:dyDescent="0.3">
      <c r="C3" s="152">
        <f>B3+C2</f>
        <v>5000</v>
      </c>
      <c r="D3" s="152">
        <f t="shared" ref="D3:O3" si="1">C3+D2</f>
        <v>10000</v>
      </c>
      <c r="E3" s="152">
        <f t="shared" si="1"/>
        <v>15000</v>
      </c>
      <c r="F3" s="152">
        <f t="shared" si="1"/>
        <v>20000</v>
      </c>
      <c r="G3" s="152">
        <f t="shared" si="1"/>
        <v>25000</v>
      </c>
      <c r="H3" s="152">
        <f t="shared" si="1"/>
        <v>30000</v>
      </c>
      <c r="I3" s="152">
        <f t="shared" si="1"/>
        <v>35000</v>
      </c>
      <c r="J3" s="152">
        <f t="shared" si="1"/>
        <v>40000</v>
      </c>
      <c r="K3" s="152">
        <f t="shared" si="1"/>
        <v>45000</v>
      </c>
      <c r="L3" s="152">
        <f t="shared" si="1"/>
        <v>50000</v>
      </c>
      <c r="M3" s="152">
        <f t="shared" si="1"/>
        <v>55000</v>
      </c>
      <c r="N3" s="152">
        <f t="shared" si="1"/>
        <v>60000</v>
      </c>
      <c r="O3" s="70" t="e">
        <f t="shared" si="1"/>
        <v>#VALUE!</v>
      </c>
    </row>
    <row r="4" spans="1:17" s="147" customFormat="1" ht="16.5" customHeight="1" thickBot="1" x14ac:dyDescent="0.35">
      <c r="I4" s="161" t="s">
        <v>167</v>
      </c>
      <c r="J4" s="155">
        <v>43405</v>
      </c>
      <c r="L4" s="177" t="s">
        <v>112</v>
      </c>
      <c r="M4" s="177"/>
      <c r="N4" s="177"/>
      <c r="O4" s="120" t="s">
        <v>116</v>
      </c>
    </row>
    <row r="5" spans="1:17" ht="16.5" customHeight="1" x14ac:dyDescent="0.3">
      <c r="I5" s="162" t="s">
        <v>168</v>
      </c>
      <c r="J5" s="154">
        <v>43800</v>
      </c>
      <c r="L5" s="119" t="s">
        <v>113</v>
      </c>
      <c r="M5" s="176">
        <v>0.01</v>
      </c>
      <c r="N5" s="176"/>
      <c r="O5" s="143" t="e">
        <f>IRR(C2:TZ2)</f>
        <v>#NUM!</v>
      </c>
    </row>
    <row r="6" spans="1:17" ht="16.5" customHeight="1" x14ac:dyDescent="0.3">
      <c r="I6" s="118"/>
      <c r="J6" s="118"/>
      <c r="L6" s="120" t="s">
        <v>114</v>
      </c>
      <c r="M6" s="175">
        <f>C2+NPV(M5,D2:TZ2)</f>
        <v>56838.141241097386</v>
      </c>
      <c r="N6" s="175"/>
      <c r="O6" s="144" t="e">
        <f>(1+O5)^12-1</f>
        <v>#NUM!</v>
      </c>
    </row>
    <row r="7" spans="1:17" ht="16.5" customHeight="1" x14ac:dyDescent="0.3"/>
    <row r="8" spans="1:17" ht="17.25" hidden="1" customHeight="1" x14ac:dyDescent="0.3">
      <c r="F8" s="70"/>
      <c r="G8" s="70"/>
    </row>
    <row r="9" spans="1:17" ht="17.25" hidden="1" customHeight="1" x14ac:dyDescent="0.3"/>
    <row r="10" spans="1:17" ht="17.25" hidden="1" customHeight="1" x14ac:dyDescent="0.3"/>
    <row r="11" spans="1:17" ht="17.25" customHeight="1" x14ac:dyDescent="0.3"/>
    <row r="12" spans="1:17" ht="22.5" customHeight="1" x14ac:dyDescent="0.3"/>
    <row r="13" spans="1:17" ht="22.5" customHeight="1" x14ac:dyDescent="0.3"/>
    <row r="14" spans="1:17" s="118" customFormat="1" ht="14.5" x14ac:dyDescent="0.35">
      <c r="B14" s="50"/>
      <c r="C14" s="50"/>
    </row>
    <row r="15" spans="1:17" s="118" customFormat="1" x14ac:dyDescent="0.3">
      <c r="A15" s="121">
        <f>DATE(YEAR(InicioRelAnResultado),MONTH(InicioRelAnResultado),1)</f>
        <v>43405</v>
      </c>
      <c r="B15" s="73" t="s">
        <v>17</v>
      </c>
      <c r="C15" s="72" t="s">
        <v>10</v>
      </c>
    </row>
    <row r="16" spans="1:17" s="118" customFormat="1" x14ac:dyDescent="0.3">
      <c r="A16" s="121">
        <f>EOMONTH(FimRelAnResultado,0)</f>
        <v>43830</v>
      </c>
      <c r="B16" s="73" t="s">
        <v>18</v>
      </c>
      <c r="C16" s="72" t="s">
        <v>10</v>
      </c>
    </row>
    <row r="17" spans="2:17" s="118" customFormat="1" x14ac:dyDescent="0.3">
      <c r="B17" s="73" t="s">
        <v>169</v>
      </c>
      <c r="C17" s="72" t="s">
        <v>10</v>
      </c>
    </row>
    <row r="18" spans="2:17" s="70" customFormat="1" ht="9.75" customHeight="1" x14ac:dyDescent="0.35">
      <c r="C18" s="71">
        <f>IF(OR(C20="",C20="Total Geral"),"",GETPIVOTDATA("Valor",$B$19,"MÊS",DATE(YEAR(C20),MONTH(C20),DAY(C20))))</f>
        <v>5000</v>
      </c>
      <c r="E18"/>
      <c r="F18"/>
    </row>
    <row r="19" spans="2:17" ht="14.5" x14ac:dyDescent="0.35">
      <c r="B19" s="74"/>
      <c r="C19" s="73" t="s">
        <v>115</v>
      </c>
      <c r="P19"/>
      <c r="Q19"/>
    </row>
    <row r="20" spans="2:17" s="77" customFormat="1" ht="14.5" x14ac:dyDescent="0.35">
      <c r="B20" s="75" t="s">
        <v>3</v>
      </c>
      <c r="C20" s="76">
        <v>43434</v>
      </c>
      <c r="D20" s="76">
        <v>43465</v>
      </c>
      <c r="E20" s="76">
        <v>43496</v>
      </c>
      <c r="F20" s="76">
        <v>43524</v>
      </c>
      <c r="G20" s="76">
        <v>43555</v>
      </c>
      <c r="H20" s="76">
        <v>43585</v>
      </c>
      <c r="I20" s="76">
        <v>43616</v>
      </c>
      <c r="J20" s="76">
        <v>43646</v>
      </c>
      <c r="K20" s="76">
        <v>43677</v>
      </c>
      <c r="L20" s="76">
        <v>43708</v>
      </c>
      <c r="M20" s="76">
        <v>43738</v>
      </c>
      <c r="N20" s="76">
        <v>43769</v>
      </c>
      <c r="O20" s="76" t="s">
        <v>2</v>
      </c>
      <c r="P20"/>
      <c r="Q20"/>
    </row>
    <row r="21" spans="2:17" ht="14.5" x14ac:dyDescent="0.35">
      <c r="B21" s="78" t="s">
        <v>142</v>
      </c>
      <c r="C21" s="79"/>
      <c r="D21" s="79"/>
      <c r="E21" s="79"/>
      <c r="F21" s="79"/>
      <c r="G21" s="79"/>
      <c r="H21" s="79"/>
      <c r="I21" s="79"/>
      <c r="J21" s="79"/>
      <c r="K21" s="79"/>
      <c r="L21" s="79"/>
      <c r="M21" s="79"/>
      <c r="N21" s="79"/>
      <c r="O21" s="79"/>
      <c r="P21"/>
      <c r="Q21"/>
    </row>
    <row r="22" spans="2:17" ht="14.5" x14ac:dyDescent="0.35">
      <c r="B22" s="92" t="s">
        <v>91</v>
      </c>
      <c r="C22" s="79">
        <v>20000</v>
      </c>
      <c r="D22" s="79">
        <v>20000</v>
      </c>
      <c r="E22" s="79">
        <v>20000</v>
      </c>
      <c r="F22" s="79">
        <v>20000</v>
      </c>
      <c r="G22" s="79">
        <v>20000</v>
      </c>
      <c r="H22" s="79">
        <v>20000</v>
      </c>
      <c r="I22" s="79">
        <v>20000</v>
      </c>
      <c r="J22" s="79">
        <v>20000</v>
      </c>
      <c r="K22" s="79">
        <v>20000</v>
      </c>
      <c r="L22" s="79">
        <v>20000</v>
      </c>
      <c r="M22" s="79">
        <v>20000</v>
      </c>
      <c r="N22" s="79">
        <v>20000</v>
      </c>
      <c r="O22" s="79">
        <v>240000</v>
      </c>
      <c r="P22"/>
      <c r="Q22"/>
    </row>
    <row r="23" spans="2:17" ht="14.5" x14ac:dyDescent="0.35">
      <c r="B23" s="93" t="s">
        <v>122</v>
      </c>
      <c r="C23" s="80">
        <v>20000</v>
      </c>
      <c r="D23" s="80">
        <v>40000</v>
      </c>
      <c r="E23" s="80">
        <v>60000</v>
      </c>
      <c r="F23" s="80">
        <v>80000</v>
      </c>
      <c r="G23" s="80">
        <v>100000</v>
      </c>
      <c r="H23" s="80">
        <v>120000</v>
      </c>
      <c r="I23" s="80">
        <v>140000</v>
      </c>
      <c r="J23" s="80">
        <v>160000</v>
      </c>
      <c r="K23" s="80">
        <v>180000</v>
      </c>
      <c r="L23" s="80">
        <v>200000</v>
      </c>
      <c r="M23" s="80">
        <v>220000</v>
      </c>
      <c r="N23" s="80">
        <v>240000</v>
      </c>
      <c r="O23" s="80"/>
      <c r="P23"/>
      <c r="Q23"/>
    </row>
    <row r="24" spans="2:17" ht="14.5" x14ac:dyDescent="0.35">
      <c r="B24" s="78"/>
      <c r="C24" s="79"/>
      <c r="D24" s="79"/>
      <c r="E24" s="79"/>
      <c r="F24" s="79"/>
      <c r="G24" s="79"/>
      <c r="H24" s="79"/>
      <c r="I24" s="79"/>
      <c r="J24" s="79"/>
      <c r="K24" s="79"/>
      <c r="L24" s="79"/>
      <c r="M24" s="79"/>
      <c r="N24" s="79"/>
      <c r="O24" s="79"/>
      <c r="P24"/>
      <c r="Q24"/>
    </row>
    <row r="25" spans="2:17" ht="14.5" x14ac:dyDescent="0.35">
      <c r="B25" s="78" t="s">
        <v>155</v>
      </c>
      <c r="C25" s="79"/>
      <c r="D25" s="79"/>
      <c r="E25" s="79"/>
      <c r="F25" s="79"/>
      <c r="G25" s="79"/>
      <c r="H25" s="79"/>
      <c r="I25" s="79"/>
      <c r="J25" s="79"/>
      <c r="K25" s="79"/>
      <c r="L25" s="79"/>
      <c r="M25" s="79"/>
      <c r="N25" s="79"/>
      <c r="O25" s="79"/>
      <c r="P25"/>
      <c r="Q25"/>
    </row>
    <row r="26" spans="2:17" ht="14.5" x14ac:dyDescent="0.35">
      <c r="B26" s="92" t="s">
        <v>91</v>
      </c>
      <c r="C26" s="79">
        <v>-15000</v>
      </c>
      <c r="D26" s="79">
        <v>-15000</v>
      </c>
      <c r="E26" s="79">
        <v>-15000</v>
      </c>
      <c r="F26" s="79">
        <v>-15000</v>
      </c>
      <c r="G26" s="79">
        <v>-15000</v>
      </c>
      <c r="H26" s="79">
        <v>-15000</v>
      </c>
      <c r="I26" s="79">
        <v>-15000</v>
      </c>
      <c r="J26" s="79">
        <v>-15000</v>
      </c>
      <c r="K26" s="79">
        <v>-15000</v>
      </c>
      <c r="L26" s="79">
        <v>-15000</v>
      </c>
      <c r="M26" s="79">
        <v>-15000</v>
      </c>
      <c r="N26" s="79">
        <v>-15000</v>
      </c>
      <c r="O26" s="79">
        <v>-180000</v>
      </c>
      <c r="P26"/>
      <c r="Q26"/>
    </row>
    <row r="27" spans="2:17" ht="14.5" x14ac:dyDescent="0.35">
      <c r="B27" s="93" t="s">
        <v>122</v>
      </c>
      <c r="C27" s="80">
        <v>-15000</v>
      </c>
      <c r="D27" s="80">
        <v>-30000</v>
      </c>
      <c r="E27" s="80">
        <v>-45000</v>
      </c>
      <c r="F27" s="80">
        <v>-60000</v>
      </c>
      <c r="G27" s="80">
        <v>-75000</v>
      </c>
      <c r="H27" s="80">
        <v>-90000</v>
      </c>
      <c r="I27" s="80">
        <v>-105000</v>
      </c>
      <c r="J27" s="80">
        <v>-120000</v>
      </c>
      <c r="K27" s="80">
        <v>-135000</v>
      </c>
      <c r="L27" s="80">
        <v>-150000</v>
      </c>
      <c r="M27" s="80">
        <v>-165000</v>
      </c>
      <c r="N27" s="80">
        <v>-180000</v>
      </c>
      <c r="O27" s="80"/>
      <c r="P27"/>
      <c r="Q27"/>
    </row>
    <row r="28" spans="2:17" ht="14.5" x14ac:dyDescent="0.35">
      <c r="B28" s="78"/>
      <c r="C28" s="79"/>
      <c r="D28" s="79"/>
      <c r="E28" s="79"/>
      <c r="F28" s="79"/>
      <c r="G28" s="79"/>
      <c r="H28" s="79"/>
      <c r="I28" s="79"/>
      <c r="J28" s="79"/>
      <c r="K28" s="79"/>
      <c r="L28" s="79"/>
      <c r="M28" s="79"/>
      <c r="N28" s="79"/>
      <c r="O28" s="79"/>
      <c r="P28"/>
      <c r="Q28"/>
    </row>
    <row r="29" spans="2:17" ht="14.5" x14ac:dyDescent="0.35">
      <c r="B29" s="78" t="s">
        <v>120</v>
      </c>
      <c r="C29" s="79">
        <v>5000</v>
      </c>
      <c r="D29" s="79">
        <v>5000</v>
      </c>
      <c r="E29" s="79">
        <v>5000</v>
      </c>
      <c r="F29" s="79">
        <v>5000</v>
      </c>
      <c r="G29" s="79">
        <v>5000</v>
      </c>
      <c r="H29" s="79">
        <v>5000</v>
      </c>
      <c r="I29" s="79">
        <v>5000</v>
      </c>
      <c r="J29" s="79">
        <v>5000</v>
      </c>
      <c r="K29" s="79">
        <v>5000</v>
      </c>
      <c r="L29" s="79">
        <v>5000</v>
      </c>
      <c r="M29" s="79">
        <v>5000</v>
      </c>
      <c r="N29" s="79">
        <v>5000</v>
      </c>
      <c r="O29" s="79">
        <v>60000</v>
      </c>
      <c r="P29"/>
      <c r="Q29"/>
    </row>
    <row r="30" spans="2:17" ht="14.5" x14ac:dyDescent="0.35">
      <c r="B30" s="78" t="s">
        <v>121</v>
      </c>
      <c r="C30" s="80">
        <v>5000</v>
      </c>
      <c r="D30" s="80">
        <v>10000</v>
      </c>
      <c r="E30" s="80">
        <v>15000</v>
      </c>
      <c r="F30" s="80">
        <v>20000</v>
      </c>
      <c r="G30" s="80">
        <v>25000</v>
      </c>
      <c r="H30" s="80">
        <v>30000</v>
      </c>
      <c r="I30" s="80">
        <v>35000</v>
      </c>
      <c r="J30" s="80">
        <v>40000</v>
      </c>
      <c r="K30" s="80">
        <v>45000</v>
      </c>
      <c r="L30" s="80">
        <v>50000</v>
      </c>
      <c r="M30" s="80">
        <v>55000</v>
      </c>
      <c r="N30" s="80">
        <v>60000</v>
      </c>
      <c r="O30" s="80"/>
      <c r="P30"/>
      <c r="Q30"/>
    </row>
    <row r="31" spans="2:17" ht="14.5" x14ac:dyDescent="0.35">
      <c r="B31"/>
      <c r="C31"/>
      <c r="D31"/>
      <c r="E31"/>
      <c r="F31"/>
      <c r="G31"/>
      <c r="H31"/>
      <c r="I31"/>
      <c r="J31"/>
      <c r="K31"/>
      <c r="L31"/>
      <c r="M31"/>
      <c r="N31"/>
      <c r="O31"/>
      <c r="P31"/>
    </row>
    <row r="32" spans="2:17" ht="14.5" x14ac:dyDescent="0.35">
      <c r="B32"/>
      <c r="C32"/>
      <c r="D32"/>
      <c r="E32"/>
      <c r="F32"/>
      <c r="G32"/>
      <c r="H32"/>
      <c r="I32"/>
      <c r="J32"/>
      <c r="K32"/>
      <c r="L32"/>
      <c r="M32"/>
      <c r="N32"/>
      <c r="O32"/>
      <c r="P32"/>
    </row>
    <row r="33" spans="2:16" ht="14.5" x14ac:dyDescent="0.35">
      <c r="B33"/>
      <c r="C33"/>
      <c r="D33"/>
      <c r="E33"/>
      <c r="F33"/>
      <c r="G33"/>
      <c r="H33"/>
      <c r="I33"/>
      <c r="J33"/>
      <c r="K33"/>
      <c r="L33"/>
      <c r="M33"/>
      <c r="N33"/>
      <c r="O33"/>
      <c r="P33"/>
    </row>
    <row r="34" spans="2:16" ht="14.5" x14ac:dyDescent="0.35">
      <c r="B34"/>
      <c r="C34"/>
      <c r="D34"/>
      <c r="E34"/>
      <c r="F34"/>
      <c r="G34"/>
      <c r="H34"/>
      <c r="I34"/>
      <c r="J34"/>
      <c r="K34"/>
      <c r="L34"/>
      <c r="M34"/>
      <c r="N34"/>
      <c r="O34"/>
      <c r="P34"/>
    </row>
    <row r="35" spans="2:16" ht="14.5" x14ac:dyDescent="0.35">
      <c r="B35"/>
      <c r="C35"/>
      <c r="D35"/>
      <c r="E35"/>
      <c r="F35"/>
      <c r="G35"/>
      <c r="H35"/>
      <c r="I35"/>
      <c r="J35"/>
      <c r="K35"/>
      <c r="L35"/>
      <c r="M35"/>
      <c r="N35"/>
      <c r="O35"/>
      <c r="P35"/>
    </row>
    <row r="36" spans="2:16" ht="14.5" x14ac:dyDescent="0.35">
      <c r="B36"/>
      <c r="C36"/>
      <c r="D36"/>
      <c r="E36"/>
      <c r="F36"/>
      <c r="G36"/>
      <c r="H36"/>
      <c r="I36"/>
      <c r="J36"/>
      <c r="K36"/>
      <c r="L36"/>
      <c r="M36"/>
      <c r="N36"/>
      <c r="O36"/>
      <c r="P36"/>
    </row>
    <row r="37" spans="2:16" ht="14.5" x14ac:dyDescent="0.35">
      <c r="B37"/>
      <c r="C37"/>
      <c r="D37"/>
      <c r="E37"/>
      <c r="F37"/>
      <c r="G37"/>
      <c r="H37"/>
      <c r="I37"/>
      <c r="J37"/>
      <c r="K37"/>
      <c r="L37"/>
      <c r="M37"/>
      <c r="N37"/>
      <c r="O37"/>
      <c r="P37"/>
    </row>
    <row r="38" spans="2:16" ht="14.5" x14ac:dyDescent="0.35">
      <c r="B38"/>
      <c r="C38"/>
      <c r="D38"/>
      <c r="E38"/>
      <c r="F38"/>
      <c r="G38"/>
      <c r="H38"/>
      <c r="I38"/>
      <c r="J38"/>
      <c r="K38"/>
      <c r="L38"/>
      <c r="M38"/>
      <c r="N38"/>
      <c r="O38"/>
      <c r="P38"/>
    </row>
    <row r="39" spans="2:16" ht="14.5" x14ac:dyDescent="0.35">
      <c r="B39"/>
      <c r="C39"/>
      <c r="D39"/>
      <c r="E39"/>
      <c r="F39"/>
      <c r="G39"/>
      <c r="H39"/>
      <c r="I39"/>
      <c r="J39"/>
      <c r="K39"/>
      <c r="L39"/>
      <c r="M39"/>
      <c r="N39"/>
      <c r="O39"/>
      <c r="P39"/>
    </row>
    <row r="40" spans="2:16" ht="14.5" x14ac:dyDescent="0.35">
      <c r="B40"/>
      <c r="C40"/>
      <c r="D40"/>
      <c r="E40"/>
      <c r="F40"/>
      <c r="G40"/>
      <c r="H40"/>
      <c r="I40"/>
      <c r="J40"/>
      <c r="K40"/>
      <c r="L40"/>
      <c r="M40"/>
      <c r="N40"/>
      <c r="O40"/>
      <c r="P40"/>
    </row>
    <row r="41" spans="2:16" ht="14.5" x14ac:dyDescent="0.35">
      <c r="B41"/>
      <c r="C41"/>
      <c r="D41"/>
      <c r="E41"/>
      <c r="F41"/>
      <c r="G41"/>
      <c r="H41"/>
      <c r="I41"/>
      <c r="J41"/>
      <c r="K41"/>
      <c r="L41"/>
      <c r="M41"/>
      <c r="N41"/>
      <c r="O41"/>
      <c r="P41"/>
    </row>
    <row r="42" spans="2:16" ht="14.5" x14ac:dyDescent="0.35">
      <c r="B42"/>
      <c r="C42"/>
      <c r="D42"/>
      <c r="E42"/>
      <c r="F42"/>
      <c r="G42"/>
      <c r="H42"/>
      <c r="I42"/>
      <c r="J42"/>
      <c r="K42"/>
      <c r="L42"/>
      <c r="M42"/>
      <c r="N42"/>
      <c r="O42"/>
      <c r="P42"/>
    </row>
    <row r="43" spans="2:16" ht="14.5" x14ac:dyDescent="0.35">
      <c r="B43"/>
      <c r="C43"/>
      <c r="D43"/>
      <c r="E43"/>
      <c r="F43"/>
      <c r="G43"/>
      <c r="H43"/>
      <c r="I43"/>
      <c r="J43"/>
      <c r="K43"/>
      <c r="L43"/>
      <c r="M43"/>
      <c r="N43"/>
      <c r="O43"/>
      <c r="P43"/>
    </row>
    <row r="44" spans="2:16" ht="14.5" x14ac:dyDescent="0.35">
      <c r="B44"/>
      <c r="C44"/>
      <c r="D44"/>
      <c r="E44"/>
      <c r="F44"/>
      <c r="G44"/>
      <c r="H44"/>
      <c r="I44"/>
      <c r="J44"/>
      <c r="K44"/>
      <c r="L44"/>
      <c r="M44"/>
      <c r="N44"/>
      <c r="O44"/>
      <c r="P44"/>
    </row>
    <row r="45" spans="2:16" ht="14.5" x14ac:dyDescent="0.35">
      <c r="B45"/>
      <c r="C45"/>
      <c r="D45"/>
      <c r="E45"/>
      <c r="F45"/>
      <c r="G45"/>
      <c r="H45"/>
      <c r="I45"/>
      <c r="J45"/>
      <c r="K45"/>
      <c r="L45"/>
      <c r="M45"/>
      <c r="N45"/>
      <c r="O45"/>
      <c r="P45"/>
    </row>
    <row r="46" spans="2:16" ht="14.5" x14ac:dyDescent="0.35">
      <c r="B46"/>
      <c r="C46"/>
      <c r="D46"/>
      <c r="E46"/>
      <c r="F46"/>
      <c r="G46"/>
      <c r="H46"/>
      <c r="I46"/>
      <c r="J46"/>
      <c r="K46"/>
      <c r="L46"/>
      <c r="M46"/>
      <c r="N46"/>
      <c r="O46"/>
      <c r="P46"/>
    </row>
    <row r="47" spans="2:16" ht="14.5" x14ac:dyDescent="0.35">
      <c r="B47"/>
      <c r="C47"/>
      <c r="D47"/>
      <c r="E47"/>
      <c r="F47"/>
      <c r="G47"/>
      <c r="H47"/>
      <c r="I47"/>
      <c r="J47"/>
      <c r="K47"/>
      <c r="L47"/>
      <c r="M47"/>
      <c r="N47"/>
      <c r="O47"/>
      <c r="P47"/>
    </row>
    <row r="48" spans="2:16" ht="14.5" x14ac:dyDescent="0.35">
      <c r="B48"/>
      <c r="C48"/>
      <c r="D48"/>
      <c r="E48"/>
      <c r="F48"/>
      <c r="G48"/>
      <c r="H48"/>
      <c r="I48"/>
      <c r="J48"/>
      <c r="K48"/>
      <c r="L48"/>
      <c r="M48"/>
      <c r="N48"/>
      <c r="O48"/>
      <c r="P48"/>
    </row>
    <row r="49" spans="2:15" ht="14.5" x14ac:dyDescent="0.35">
      <c r="B49"/>
      <c r="C49"/>
      <c r="D49"/>
      <c r="E49"/>
      <c r="F49"/>
      <c r="G49"/>
      <c r="H49"/>
      <c r="I49"/>
      <c r="J49"/>
      <c r="K49"/>
      <c r="L49"/>
      <c r="M49"/>
      <c r="N49"/>
      <c r="O49"/>
    </row>
    <row r="50" spans="2:15" ht="14.5" x14ac:dyDescent="0.35">
      <c r="B50"/>
      <c r="C50"/>
      <c r="D50"/>
      <c r="E50"/>
      <c r="F50"/>
      <c r="G50"/>
      <c r="H50"/>
      <c r="I50"/>
      <c r="J50"/>
      <c r="K50"/>
      <c r="L50"/>
      <c r="M50"/>
      <c r="N50"/>
      <c r="O50"/>
    </row>
    <row r="51" spans="2:15" ht="14.5" x14ac:dyDescent="0.35">
      <c r="B51"/>
      <c r="C51"/>
      <c r="D51"/>
      <c r="E51"/>
      <c r="F51"/>
      <c r="G51"/>
      <c r="H51"/>
      <c r="I51"/>
      <c r="J51"/>
      <c r="K51"/>
      <c r="L51"/>
      <c r="M51"/>
      <c r="N51"/>
      <c r="O51"/>
    </row>
  </sheetData>
  <sheetProtection algorithmName="SHA-512" hashValue="Cte1Im/oN/kid80Q/nvqSU6bS8OXdiFjyj3bzrwrW3obaBhQX6EVof63CQmYkodODWKhVn46/UJ32INreLDLIA==" saltValue="bjw/5IpvCsVJ7KCwPimfeQ==" spinCount="100000" sheet="1" objects="1" scenarios="1" formatCells="0" formatColumns="0" sort="0" autoFilter="0" pivotTables="0"/>
  <mergeCells count="3">
    <mergeCell ref="M6:N6"/>
    <mergeCell ref="M5:N5"/>
    <mergeCell ref="L4:N4"/>
  </mergeCells>
  <pageMargins left="0.511811024" right="0.511811024" top="0.78740157499999996" bottom="0.78740157499999996" header="0.31496062000000002" footer="0.31496062000000002"/>
  <pageSetup paperSize="9" orientation="portrait" r:id="rId2"/>
  <drawing r:id="rId3"/>
  <legacyDrawing r:id="rId4"/>
  <controls>
    <mc:AlternateContent xmlns:mc="http://schemas.openxmlformats.org/markup-compatibility/2006">
      <mc:Choice Requires="x14">
        <control shapeId="15361" r:id="rId5" name="ScrollBar1">
          <controlPr defaultSize="0" autoLine="0" r:id="rId6">
            <anchor moveWithCells="1">
              <from>
                <xdr:col>1</xdr:col>
                <xdr:colOff>31750</xdr:colOff>
                <xdr:row>18</xdr:row>
                <xdr:rowOff>19050</xdr:rowOff>
              </from>
              <to>
                <xdr:col>1</xdr:col>
                <xdr:colOff>692150</xdr:colOff>
                <xdr:row>18</xdr:row>
                <xdr:rowOff>165100</xdr:rowOff>
              </to>
            </anchor>
          </controlPr>
        </control>
      </mc:Choice>
      <mc:Fallback>
        <control shapeId="15361" r:id="rId5" name="ScrollBar1"/>
      </mc:Fallback>
    </mc:AlternateContent>
  </controls>
  <extLst>
    <ext xmlns:x14="http://schemas.microsoft.com/office/spreadsheetml/2009/9/main" uri="{A8765BA9-456A-4dab-B4F3-ACF838C121DE}">
      <x14:slicerList>
        <x14:slicer r:id="rId7"/>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_Gráficos">
    <tabColor rgb="FFC00000"/>
  </sheetPr>
  <dimension ref="B1:AP72"/>
  <sheetViews>
    <sheetView showGridLines="0" showRowColHeaders="0" zoomScale="85" zoomScaleNormal="85" workbookViewId="0">
      <selection activeCell="B27" sqref="B27"/>
    </sheetView>
  </sheetViews>
  <sheetFormatPr defaultColWidth="9.1796875" defaultRowHeight="10.5" x14ac:dyDescent="0.25"/>
  <cols>
    <col min="1" max="1" width="1.453125" style="9" customWidth="1"/>
    <col min="2" max="2" width="38.453125" style="9" customWidth="1"/>
    <col min="3" max="3" width="2.7265625" style="9" customWidth="1"/>
    <col min="4" max="4" width="11.81640625" style="9" customWidth="1"/>
    <col min="5" max="5" width="15.7265625" style="9" bestFit="1" customWidth="1"/>
    <col min="6" max="6" width="11.7265625" style="9" bestFit="1" customWidth="1"/>
    <col min="7" max="7" width="0.453125" style="9" customWidth="1"/>
    <col min="8" max="8" width="11.453125" style="9" customWidth="1"/>
    <col min="9" max="9" width="7" style="9" customWidth="1"/>
    <col min="10" max="10" width="9.26953125" style="9" bestFit="1" customWidth="1"/>
    <col min="11" max="11" width="3.7265625" style="9" customWidth="1"/>
    <col min="12" max="12" width="3.26953125" style="9" customWidth="1"/>
    <col min="13" max="13" width="8.1796875" style="9" customWidth="1"/>
    <col min="14" max="14" width="1" style="9" customWidth="1"/>
    <col min="15" max="15" width="11.54296875" style="9" bestFit="1" customWidth="1"/>
    <col min="16" max="16" width="8.1796875" style="9" bestFit="1" customWidth="1"/>
    <col min="17" max="18" width="10.26953125" style="9" bestFit="1" customWidth="1"/>
    <col min="19" max="19" width="10.7265625" style="9" bestFit="1" customWidth="1"/>
    <col min="20" max="16384" width="9.1796875" style="9"/>
  </cols>
  <sheetData>
    <row r="1" spans="2:42" ht="6" customHeight="1" x14ac:dyDescent="0.25"/>
    <row r="2" spans="2:42" ht="14.5" x14ac:dyDescent="0.35">
      <c r="N2"/>
    </row>
    <row r="4" spans="2:42" x14ac:dyDescent="0.25">
      <c r="M4" s="14"/>
      <c r="AF4" s="10" t="s">
        <v>1</v>
      </c>
      <c r="AG4" s="9" t="s">
        <v>10</v>
      </c>
    </row>
    <row r="5" spans="2:42" x14ac:dyDescent="0.25">
      <c r="M5" s="14"/>
      <c r="AF5" s="10" t="s">
        <v>19</v>
      </c>
      <c r="AG5" s="9" t="s">
        <v>10</v>
      </c>
    </row>
    <row r="6" spans="2:42" x14ac:dyDescent="0.25">
      <c r="M6" s="12"/>
      <c r="N6" s="12"/>
      <c r="AF6" s="10" t="s">
        <v>5</v>
      </c>
      <c r="AG6" s="9" t="s">
        <v>142</v>
      </c>
    </row>
    <row r="7" spans="2:42" x14ac:dyDescent="0.25">
      <c r="M7" s="12"/>
      <c r="N7" s="12"/>
    </row>
    <row r="8" spans="2:42" ht="14.5" x14ac:dyDescent="0.35">
      <c r="M8" s="12"/>
      <c r="N8" s="12"/>
      <c r="U8"/>
      <c r="V8"/>
      <c r="AF8" s="10" t="s">
        <v>3</v>
      </c>
      <c r="AG8" s="9" t="s">
        <v>63</v>
      </c>
    </row>
    <row r="9" spans="2:42" ht="14.5" x14ac:dyDescent="0.35">
      <c r="K9"/>
      <c r="L9"/>
      <c r="M9" s="12"/>
      <c r="N9" s="12"/>
      <c r="U9"/>
      <c r="V9"/>
      <c r="AF9" s="11" t="s">
        <v>178</v>
      </c>
      <c r="AG9" s="12">
        <v>240000</v>
      </c>
      <c r="AO9"/>
      <c r="AP9"/>
    </row>
    <row r="10" spans="2:42" ht="14.5" x14ac:dyDescent="0.35">
      <c r="I10" s="11"/>
      <c r="K10"/>
      <c r="L10"/>
      <c r="M10" s="12"/>
      <c r="N10" s="12"/>
      <c r="AF10" s="11" t="s">
        <v>2</v>
      </c>
      <c r="AG10" s="12">
        <v>240000</v>
      </c>
      <c r="AO10"/>
      <c r="AP10"/>
    </row>
    <row r="11" spans="2:42" ht="14.5" x14ac:dyDescent="0.35">
      <c r="H11"/>
      <c r="I11" s="11"/>
      <c r="K11"/>
      <c r="L11"/>
      <c r="M11" s="12"/>
      <c r="N11" s="12"/>
      <c r="AF11"/>
      <c r="AG11"/>
    </row>
    <row r="12" spans="2:42" ht="14.5" x14ac:dyDescent="0.35">
      <c r="H12"/>
      <c r="AF12"/>
      <c r="AG12"/>
    </row>
    <row r="13" spans="2:42" ht="14.5" x14ac:dyDescent="0.35">
      <c r="B13"/>
      <c r="C13"/>
      <c r="D13"/>
      <c r="H13"/>
      <c r="I13"/>
      <c r="L13"/>
      <c r="M13"/>
      <c r="AF13"/>
      <c r="AG13"/>
    </row>
    <row r="14" spans="2:42" ht="14.5" x14ac:dyDescent="0.35">
      <c r="B14"/>
      <c r="C14"/>
      <c r="D14"/>
      <c r="H14"/>
      <c r="I14"/>
      <c r="L14"/>
      <c r="M14"/>
      <c r="AF14"/>
      <c r="AG14"/>
    </row>
    <row r="15" spans="2:42" ht="14.5" x14ac:dyDescent="0.35">
      <c r="H15"/>
      <c r="L15"/>
      <c r="M15"/>
      <c r="AF15"/>
      <c r="AG15"/>
    </row>
    <row r="16" spans="2:42" ht="14.5" x14ac:dyDescent="0.35">
      <c r="H16"/>
      <c r="L16"/>
      <c r="M16"/>
      <c r="AF16"/>
      <c r="AG16"/>
    </row>
    <row r="17" spans="2:18" ht="14.5" x14ac:dyDescent="0.35">
      <c r="H17"/>
      <c r="L17"/>
      <c r="M17"/>
    </row>
    <row r="19" spans="2:18" x14ac:dyDescent="0.25">
      <c r="D19" s="10" t="s">
        <v>1</v>
      </c>
      <c r="E19" s="9" t="s">
        <v>10</v>
      </c>
      <c r="Q19" s="10" t="s">
        <v>1</v>
      </c>
      <c r="R19" s="9" t="s">
        <v>10</v>
      </c>
    </row>
    <row r="20" spans="2:18" ht="14.5" x14ac:dyDescent="0.35">
      <c r="B20"/>
      <c r="C20"/>
      <c r="D20" s="10" t="s">
        <v>19</v>
      </c>
      <c r="E20" s="9" t="s">
        <v>10</v>
      </c>
      <c r="Q20" s="10" t="s">
        <v>19</v>
      </c>
      <c r="R20" s="9" t="s">
        <v>10</v>
      </c>
    </row>
    <row r="21" spans="2:18" ht="14.5" x14ac:dyDescent="0.35">
      <c r="B21"/>
      <c r="C21"/>
      <c r="Q21" s="10" t="s">
        <v>5</v>
      </c>
      <c r="R21" s="9" t="s">
        <v>155</v>
      </c>
    </row>
    <row r="22" spans="2:18" ht="14.5" x14ac:dyDescent="0.35">
      <c r="B22"/>
      <c r="C22"/>
      <c r="D22" s="10" t="s">
        <v>3</v>
      </c>
      <c r="E22" s="9" t="s">
        <v>63</v>
      </c>
    </row>
    <row r="23" spans="2:18" x14ac:dyDescent="0.25">
      <c r="D23" s="11" t="s">
        <v>174</v>
      </c>
      <c r="E23" s="12">
        <v>70000</v>
      </c>
      <c r="Q23" s="10" t="s">
        <v>3</v>
      </c>
      <c r="R23" s="9" t="s">
        <v>63</v>
      </c>
    </row>
    <row r="24" spans="2:18" ht="14.5" x14ac:dyDescent="0.35">
      <c r="D24" s="11" t="s">
        <v>2</v>
      </c>
      <c r="E24" s="12">
        <v>70000</v>
      </c>
      <c r="K24"/>
      <c r="L24"/>
      <c r="Q24" s="11" t="s">
        <v>173</v>
      </c>
      <c r="R24" s="12">
        <v>-180000</v>
      </c>
    </row>
    <row r="25" spans="2:18" x14ac:dyDescent="0.25">
      <c r="Q25" s="11" t="s">
        <v>2</v>
      </c>
      <c r="R25" s="12">
        <v>-180000</v>
      </c>
    </row>
    <row r="26" spans="2:18" ht="14.5" x14ac:dyDescent="0.35">
      <c r="B26"/>
      <c r="C26"/>
      <c r="D26"/>
      <c r="Q26"/>
      <c r="R26"/>
    </row>
    <row r="27" spans="2:18" ht="14.5" x14ac:dyDescent="0.35">
      <c r="F27" s="37" t="s">
        <v>28</v>
      </c>
      <c r="G27" s="37"/>
      <c r="Q27"/>
      <c r="R27"/>
    </row>
    <row r="28" spans="2:18" ht="14.5" x14ac:dyDescent="0.35">
      <c r="N28"/>
      <c r="O28"/>
      <c r="Q28"/>
      <c r="R28"/>
    </row>
    <row r="29" spans="2:18" ht="14.5" x14ac:dyDescent="0.35">
      <c r="N29"/>
      <c r="O29"/>
      <c r="Q29"/>
      <c r="R29"/>
    </row>
    <row r="30" spans="2:18" ht="14.5" x14ac:dyDescent="0.35">
      <c r="Q30"/>
      <c r="R30"/>
    </row>
    <row r="31" spans="2:18" ht="14.5" x14ac:dyDescent="0.35">
      <c r="Q31"/>
      <c r="R31"/>
    </row>
    <row r="32" spans="2:18" ht="14.5" x14ac:dyDescent="0.35">
      <c r="K32"/>
      <c r="L32"/>
      <c r="N32"/>
      <c r="O32"/>
    </row>
    <row r="33" spans="11:15" ht="14.5" x14ac:dyDescent="0.35">
      <c r="K33"/>
      <c r="L33"/>
      <c r="N33"/>
      <c r="O33"/>
    </row>
    <row r="34" spans="11:15" ht="14.5" x14ac:dyDescent="0.35">
      <c r="K34"/>
      <c r="L34"/>
      <c r="N34"/>
      <c r="O34"/>
    </row>
    <row r="51" spans="4:15" ht="14.5" x14ac:dyDescent="0.35">
      <c r="K51"/>
      <c r="L51"/>
    </row>
    <row r="52" spans="4:15" ht="14.5" x14ac:dyDescent="0.35">
      <c r="K52"/>
      <c r="L52"/>
      <c r="N52"/>
      <c r="O52"/>
    </row>
    <row r="53" spans="4:15" ht="14.5" x14ac:dyDescent="0.35">
      <c r="K53"/>
      <c r="L53"/>
      <c r="N53"/>
      <c r="O53"/>
    </row>
    <row r="54" spans="4:15" ht="14.5" x14ac:dyDescent="0.35">
      <c r="K54"/>
      <c r="L54"/>
      <c r="N54"/>
      <c r="O54"/>
    </row>
    <row r="55" spans="4:15" ht="14.5" x14ac:dyDescent="0.35">
      <c r="D55" s="10" t="s">
        <v>1</v>
      </c>
      <c r="E55" s="9" t="s">
        <v>10</v>
      </c>
      <c r="H55" s="10" t="s">
        <v>1</v>
      </c>
      <c r="I55" s="9" t="s">
        <v>10</v>
      </c>
      <c r="K55"/>
      <c r="L55"/>
      <c r="N55"/>
      <c r="O55"/>
    </row>
    <row r="56" spans="4:15" ht="14.5" x14ac:dyDescent="0.35">
      <c r="D56" s="10" t="s">
        <v>5</v>
      </c>
      <c r="E56" s="9" t="s">
        <v>187</v>
      </c>
      <c r="H56" s="10" t="s">
        <v>19</v>
      </c>
      <c r="I56" s="9" t="s">
        <v>10</v>
      </c>
      <c r="K56"/>
      <c r="L56"/>
      <c r="N56"/>
      <c r="O56"/>
    </row>
    <row r="57" spans="4:15" ht="14.5" x14ac:dyDescent="0.35">
      <c r="H57" s="10" t="s">
        <v>5</v>
      </c>
      <c r="I57" s="9" t="s">
        <v>10</v>
      </c>
      <c r="K57"/>
      <c r="L57"/>
      <c r="N57"/>
      <c r="O57"/>
    </row>
    <row r="58" spans="4:15" ht="14.5" x14ac:dyDescent="0.35">
      <c r="D58" s="10" t="s">
        <v>3</v>
      </c>
      <c r="E58" s="9" t="s">
        <v>63</v>
      </c>
      <c r="F58"/>
      <c r="G58"/>
      <c r="J58" s="10"/>
      <c r="K58" s="2"/>
      <c r="L58" s="2"/>
      <c r="M58" s="10"/>
      <c r="N58" s="2"/>
      <c r="O58" s="2"/>
    </row>
    <row r="59" spans="4:15" ht="14.5" x14ac:dyDescent="0.35">
      <c r="D59" s="160">
        <v>43434</v>
      </c>
      <c r="E59" s="12">
        <v>5000</v>
      </c>
      <c r="F59"/>
      <c r="G59"/>
      <c r="H59" s="10" t="s">
        <v>3</v>
      </c>
      <c r="I59" s="9" t="s">
        <v>63</v>
      </c>
      <c r="K59"/>
      <c r="L59"/>
      <c r="N59"/>
      <c r="O59"/>
    </row>
    <row r="60" spans="4:15" ht="14.5" x14ac:dyDescent="0.35">
      <c r="D60" s="160">
        <v>43465</v>
      </c>
      <c r="E60" s="12">
        <v>5000</v>
      </c>
      <c r="F60"/>
      <c r="G60"/>
      <c r="H60" s="11" t="s">
        <v>175</v>
      </c>
      <c r="I60" s="12">
        <v>70000</v>
      </c>
      <c r="K60"/>
      <c r="L60"/>
      <c r="N60"/>
      <c r="O60"/>
    </row>
    <row r="61" spans="4:15" ht="14.5" x14ac:dyDescent="0.35">
      <c r="D61" s="160">
        <v>43496</v>
      </c>
      <c r="E61" s="12">
        <v>5000</v>
      </c>
      <c r="F61"/>
      <c r="G61"/>
      <c r="H61" s="11" t="s">
        <v>2</v>
      </c>
      <c r="I61" s="12">
        <v>70000</v>
      </c>
      <c r="K61"/>
      <c r="L61"/>
      <c r="N61"/>
      <c r="O61"/>
    </row>
    <row r="62" spans="4:15" ht="14.5" x14ac:dyDescent="0.35">
      <c r="D62" s="160">
        <v>43524</v>
      </c>
      <c r="E62" s="12">
        <v>5000</v>
      </c>
      <c r="F62"/>
      <c r="G62"/>
      <c r="H62"/>
      <c r="I62"/>
      <c r="K62"/>
      <c r="L62"/>
      <c r="N62"/>
      <c r="O62"/>
    </row>
    <row r="63" spans="4:15" ht="14.5" x14ac:dyDescent="0.35">
      <c r="D63" s="160">
        <v>43555</v>
      </c>
      <c r="E63" s="12">
        <v>5000</v>
      </c>
      <c r="F63"/>
      <c r="G63"/>
      <c r="H63"/>
      <c r="I63"/>
      <c r="K63"/>
      <c r="L63"/>
      <c r="N63"/>
      <c r="O63"/>
    </row>
    <row r="64" spans="4:15" ht="14.5" x14ac:dyDescent="0.35">
      <c r="D64" s="160">
        <v>43585</v>
      </c>
      <c r="E64" s="12">
        <v>5000</v>
      </c>
      <c r="F64"/>
      <c r="G64"/>
      <c r="H64"/>
      <c r="I64"/>
      <c r="K64"/>
      <c r="L64"/>
      <c r="N64"/>
      <c r="O64"/>
    </row>
    <row r="65" spans="4:15" ht="14.5" x14ac:dyDescent="0.35">
      <c r="D65" s="160">
        <v>43616</v>
      </c>
      <c r="E65" s="12">
        <v>5000</v>
      </c>
      <c r="F65"/>
      <c r="G65"/>
      <c r="H65"/>
      <c r="I65"/>
      <c r="K65"/>
      <c r="L65"/>
      <c r="N65"/>
      <c r="O65"/>
    </row>
    <row r="66" spans="4:15" ht="14.5" x14ac:dyDescent="0.35">
      <c r="D66" s="160">
        <v>43646</v>
      </c>
      <c r="E66" s="12">
        <v>5000</v>
      </c>
      <c r="F66"/>
      <c r="G66"/>
      <c r="H66"/>
      <c r="I66"/>
      <c r="K66"/>
      <c r="L66"/>
      <c r="N66"/>
      <c r="O66"/>
    </row>
    <row r="67" spans="4:15" ht="14.5" x14ac:dyDescent="0.35">
      <c r="D67" s="160">
        <v>43677</v>
      </c>
      <c r="E67" s="12">
        <v>5000</v>
      </c>
      <c r="F67"/>
      <c r="G67"/>
      <c r="H67"/>
      <c r="I67"/>
      <c r="K67"/>
      <c r="L67"/>
      <c r="N67"/>
      <c r="O67"/>
    </row>
    <row r="68" spans="4:15" ht="14.5" x14ac:dyDescent="0.35">
      <c r="D68" s="160">
        <v>43708</v>
      </c>
      <c r="E68" s="12">
        <v>5000</v>
      </c>
      <c r="F68"/>
      <c r="G68"/>
      <c r="H68"/>
      <c r="I68"/>
      <c r="K68"/>
      <c r="L68"/>
      <c r="N68"/>
      <c r="O68"/>
    </row>
    <row r="69" spans="4:15" ht="14.5" x14ac:dyDescent="0.35">
      <c r="D69" s="160">
        <v>43738</v>
      </c>
      <c r="E69" s="12">
        <v>5000</v>
      </c>
      <c r="F69"/>
      <c r="G69"/>
      <c r="H69"/>
      <c r="I69"/>
    </row>
    <row r="70" spans="4:15" ht="14.5" x14ac:dyDescent="0.35">
      <c r="D70" s="160">
        <v>43769</v>
      </c>
      <c r="E70" s="12">
        <v>5000</v>
      </c>
      <c r="F70"/>
      <c r="G70"/>
      <c r="H70"/>
    </row>
    <row r="71" spans="4:15" x14ac:dyDescent="0.25">
      <c r="D71" s="160" t="s">
        <v>2</v>
      </c>
      <c r="E71" s="12">
        <v>60000</v>
      </c>
    </row>
    <row r="72" spans="4:15" ht="14.5" x14ac:dyDescent="0.35">
      <c r="D72"/>
      <c r="E72"/>
    </row>
  </sheetData>
  <sheetProtection algorithmName="SHA-512" hashValue="RbLFESAw69lZMWB4wmk54ZFO7acHmtVsmh8SehU1nxlVkvni4+fslogtryWxq0dWNJNsEj6t+UK4q94+O/eDPw==" saltValue="UVXH+l8IEKMgSSi7d0vRM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horizontalDpi="300" verticalDpi="300" r:id="rId6"/>
  <drawing r:id="rId7"/>
  <extLst>
    <ext xmlns:x14="http://schemas.microsoft.com/office/spreadsheetml/2009/9/main" uri="{A8765BA9-456A-4dab-B4F3-ACF838C121DE}">
      <x14:slicerList>
        <x14:slicer r:id="rId8"/>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_RelControleEstoque">
    <tabColor theme="4" tint="0.39997558519241921"/>
  </sheetPr>
  <dimension ref="B1:M24"/>
  <sheetViews>
    <sheetView showGridLines="0" zoomScaleNormal="100" workbookViewId="0">
      <selection activeCell="I4" sqref="I4"/>
    </sheetView>
  </sheetViews>
  <sheetFormatPr defaultColWidth="9.1796875" defaultRowHeight="14.5" x14ac:dyDescent="0.35"/>
  <cols>
    <col min="1" max="1" width="1.7265625" style="166" customWidth="1"/>
    <col min="2" max="2" width="10.7265625" style="166" bestFit="1" customWidth="1"/>
    <col min="3" max="3" width="11.81640625" style="166" bestFit="1" customWidth="1"/>
    <col min="4" max="4" width="7" style="166" bestFit="1" customWidth="1"/>
    <col min="5" max="5" width="6.453125" style="166" bestFit="1" customWidth="1"/>
    <col min="6" max="6" width="7" style="166" bestFit="1" customWidth="1"/>
    <col min="7" max="7" width="28.1796875" style="166" bestFit="1" customWidth="1"/>
    <col min="8" max="8" width="7" style="166" bestFit="1" customWidth="1"/>
    <col min="9" max="9" width="10.1796875" style="166" bestFit="1" customWidth="1"/>
    <col min="10" max="10" width="11.81640625" style="166" bestFit="1" customWidth="1"/>
    <col min="11" max="12" width="9.26953125" style="166" customWidth="1"/>
    <col min="13" max="13" width="10.54296875" style="166" customWidth="1"/>
    <col min="14" max="16384" width="9.1796875" style="166"/>
  </cols>
  <sheetData>
    <row r="1" spans="2:13" ht="3" customHeight="1" x14ac:dyDescent="0.35"/>
    <row r="2" spans="2:13" ht="17.25" customHeight="1" x14ac:dyDescent="0.35"/>
    <row r="3" spans="2:13" ht="17.25" customHeight="1" x14ac:dyDescent="0.35"/>
    <row r="4" spans="2:13" x14ac:dyDescent="0.35">
      <c r="B4" s="163"/>
      <c r="C4" s="163"/>
    </row>
    <row r="5" spans="2:13" x14ac:dyDescent="0.35">
      <c r="B5" s="24" t="s">
        <v>158</v>
      </c>
      <c r="C5" s="26" t="s">
        <v>10</v>
      </c>
    </row>
    <row r="7" spans="2:13" x14ac:dyDescent="0.35">
      <c r="B7" s="43"/>
      <c r="C7" s="24" t="s">
        <v>43</v>
      </c>
      <c r="D7" s="26"/>
      <c r="E7" s="26"/>
      <c r="F7" s="26"/>
      <c r="G7" s="26"/>
      <c r="H7" s="26"/>
      <c r="I7" s="26"/>
      <c r="J7" s="26"/>
      <c r="K7" s="163"/>
      <c r="L7" s="163"/>
      <c r="M7" s="163"/>
    </row>
    <row r="8" spans="2:13" x14ac:dyDescent="0.35">
      <c r="B8" s="43"/>
      <c r="C8" s="44" t="s">
        <v>170</v>
      </c>
      <c r="D8" s="44"/>
      <c r="E8" s="44" t="s">
        <v>157</v>
      </c>
      <c r="F8" s="44"/>
      <c r="G8" s="44" t="s">
        <v>176</v>
      </c>
      <c r="H8" s="44"/>
      <c r="I8" s="164" t="s">
        <v>85</v>
      </c>
      <c r="J8" s="164" t="s">
        <v>87</v>
      </c>
      <c r="K8" s="163"/>
      <c r="L8" s="163"/>
      <c r="M8" s="163"/>
    </row>
    <row r="9" spans="2:13" x14ac:dyDescent="0.35">
      <c r="B9" s="24" t="s">
        <v>89</v>
      </c>
      <c r="C9" s="26" t="s">
        <v>86</v>
      </c>
      <c r="D9" s="26" t="s">
        <v>88</v>
      </c>
      <c r="E9" s="44" t="s">
        <v>86</v>
      </c>
      <c r="F9" s="44" t="s">
        <v>88</v>
      </c>
      <c r="G9" s="26" t="s">
        <v>86</v>
      </c>
      <c r="H9" s="26" t="s">
        <v>88</v>
      </c>
      <c r="I9" s="164"/>
      <c r="J9" s="164"/>
      <c r="K9" s="163"/>
      <c r="L9" s="163"/>
      <c r="M9" s="163"/>
    </row>
    <row r="10" spans="2:13" x14ac:dyDescent="0.35">
      <c r="B10" s="53">
        <v>43388</v>
      </c>
      <c r="C10" s="30"/>
      <c r="D10" s="30">
        <v>0</v>
      </c>
      <c r="E10" s="30"/>
      <c r="F10" s="30">
        <v>0</v>
      </c>
      <c r="G10" s="30"/>
      <c r="H10" s="30">
        <v>0</v>
      </c>
      <c r="I10" s="165"/>
      <c r="J10" s="165">
        <v>0</v>
      </c>
      <c r="K10" s="163"/>
      <c r="L10" s="163"/>
      <c r="M10" s="163"/>
    </row>
    <row r="11" spans="2:13" x14ac:dyDescent="0.35">
      <c r="B11" s="53" t="s">
        <v>2</v>
      </c>
      <c r="C11" s="30"/>
      <c r="D11" s="30"/>
      <c r="E11" s="30"/>
      <c r="F11" s="30"/>
      <c r="G11" s="30"/>
      <c r="H11" s="30"/>
      <c r="I11" s="165"/>
      <c r="J11" s="165"/>
      <c r="K11" s="163"/>
      <c r="L11" s="163"/>
      <c r="M11" s="163"/>
    </row>
    <row r="12" spans="2:13" x14ac:dyDescent="0.35">
      <c r="B12"/>
      <c r="C12"/>
      <c r="D12"/>
      <c r="E12"/>
      <c r="F12"/>
      <c r="G12"/>
      <c r="H12"/>
      <c r="I12" s="163"/>
      <c r="J12" s="163"/>
      <c r="K12" s="163"/>
      <c r="L12" s="163"/>
      <c r="M12" s="163"/>
    </row>
    <row r="13" spans="2:13" x14ac:dyDescent="0.35">
      <c r="B13"/>
      <c r="C13"/>
      <c r="D13"/>
      <c r="E13"/>
      <c r="F13"/>
      <c r="G13"/>
      <c r="H13"/>
      <c r="I13" s="163"/>
      <c r="J13" s="163"/>
      <c r="K13" s="163"/>
      <c r="L13" s="163"/>
      <c r="M13" s="163"/>
    </row>
    <row r="14" spans="2:13" x14ac:dyDescent="0.35">
      <c r="B14" s="163"/>
      <c r="C14" s="163"/>
      <c r="D14" s="163"/>
      <c r="E14" s="163"/>
      <c r="F14" s="163"/>
      <c r="G14" s="163"/>
      <c r="H14" s="163"/>
      <c r="I14" s="163"/>
      <c r="J14" s="163"/>
    </row>
    <row r="15" spans="2:13" x14ac:dyDescent="0.35">
      <c r="B15" s="163"/>
      <c r="C15" s="163"/>
      <c r="D15" s="163"/>
      <c r="E15" s="163"/>
      <c r="F15" s="163"/>
      <c r="G15" s="163"/>
      <c r="H15" s="163"/>
      <c r="I15" s="163"/>
      <c r="J15" s="163"/>
    </row>
    <row r="16" spans="2:13" x14ac:dyDescent="0.35">
      <c r="B16" s="163"/>
      <c r="C16" s="163"/>
      <c r="D16" s="163"/>
      <c r="E16" s="163"/>
      <c r="F16" s="163"/>
      <c r="G16" s="163"/>
      <c r="H16" s="163"/>
      <c r="I16" s="163"/>
      <c r="J16" s="163"/>
    </row>
    <row r="17" spans="2:10" x14ac:dyDescent="0.35">
      <c r="B17" s="163"/>
      <c r="C17" s="163"/>
      <c r="D17" s="163"/>
      <c r="E17" s="163"/>
      <c r="F17" s="163"/>
      <c r="G17" s="163"/>
      <c r="H17" s="163"/>
      <c r="I17" s="163"/>
      <c r="J17" s="163"/>
    </row>
    <row r="18" spans="2:10" x14ac:dyDescent="0.35">
      <c r="B18" s="163"/>
      <c r="C18" s="163"/>
      <c r="D18" s="163"/>
      <c r="E18" s="163"/>
      <c r="F18" s="163"/>
      <c r="G18" s="163"/>
      <c r="H18" s="163"/>
    </row>
    <row r="19" spans="2:10" x14ac:dyDescent="0.35">
      <c r="B19" s="163"/>
      <c r="C19" s="163"/>
      <c r="D19" s="163"/>
      <c r="E19" s="163"/>
      <c r="F19" s="163"/>
      <c r="G19" s="163"/>
      <c r="H19" s="163"/>
    </row>
    <row r="20" spans="2:10" x14ac:dyDescent="0.35">
      <c r="B20" s="163"/>
      <c r="C20" s="163"/>
      <c r="D20" s="163"/>
      <c r="E20" s="163"/>
      <c r="F20" s="163"/>
      <c r="G20" s="163"/>
      <c r="H20" s="163"/>
    </row>
    <row r="21" spans="2:10" x14ac:dyDescent="0.35">
      <c r="B21" s="163"/>
      <c r="C21" s="163"/>
      <c r="D21" s="163"/>
      <c r="E21" s="163"/>
      <c r="F21" s="163"/>
      <c r="G21" s="163"/>
      <c r="H21" s="163"/>
    </row>
    <row r="22" spans="2:10" x14ac:dyDescent="0.35">
      <c r="B22" s="163"/>
      <c r="C22" s="163"/>
      <c r="D22" s="163"/>
      <c r="E22" s="163"/>
      <c r="F22" s="163"/>
      <c r="G22" s="163"/>
      <c r="H22" s="163"/>
    </row>
    <row r="23" spans="2:10" x14ac:dyDescent="0.35">
      <c r="B23" s="163"/>
      <c r="C23" s="163"/>
      <c r="D23" s="163"/>
      <c r="E23" s="163"/>
      <c r="F23" s="163"/>
      <c r="G23" s="163"/>
      <c r="H23" s="163"/>
    </row>
    <row r="24" spans="2:10" x14ac:dyDescent="0.35">
      <c r="B24" s="163"/>
      <c r="C24" s="163"/>
      <c r="D24" s="163"/>
      <c r="E24" s="163"/>
      <c r="F24" s="163"/>
      <c r="G24" s="163"/>
      <c r="H24" s="163"/>
    </row>
  </sheetData>
  <sheetProtection algorithmName="SHA-512" hashValue="xSksDVWZmlLb7B4MIH49Usjo/mrWY+y+kczSloaLikxRX0s2zvouYdkLgtptGyayUEMKYhYHGvKvE3gSuXjewg==" saltValue="+4YWaqhOs4IkZK7L5YVVtw=="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_Apoio"/>
  <dimension ref="B1:P103"/>
  <sheetViews>
    <sheetView topLeftCell="A7" workbookViewId="0">
      <selection activeCell="C26" sqref="C26"/>
    </sheetView>
  </sheetViews>
  <sheetFormatPr defaultRowHeight="14.5" x14ac:dyDescent="0.35"/>
  <cols>
    <col min="1" max="1" width="2.7265625" customWidth="1"/>
    <col min="2" max="2" width="43.26953125" customWidth="1"/>
    <col min="3" max="3" width="45" style="39" bestFit="1" customWidth="1"/>
    <col min="4" max="4" width="32.54296875" bestFit="1" customWidth="1"/>
    <col min="5" max="5" width="5.7265625" customWidth="1"/>
    <col min="6" max="6" width="23" bestFit="1" customWidth="1"/>
    <col min="7" max="7" width="15.1796875" bestFit="1" customWidth="1"/>
    <col min="8" max="8" width="10.26953125" bestFit="1" customWidth="1"/>
    <col min="9" max="9" width="23" bestFit="1" customWidth="1"/>
    <col min="10" max="11" width="15.1796875" bestFit="1" customWidth="1"/>
    <col min="12" max="12" width="23" bestFit="1" customWidth="1"/>
    <col min="13" max="13" width="19.26953125" customWidth="1"/>
    <col min="15" max="15" width="23" bestFit="1" customWidth="1"/>
    <col min="16" max="16" width="17" customWidth="1"/>
  </cols>
  <sheetData>
    <row r="1" spans="2:7" x14ac:dyDescent="0.35">
      <c r="B1" t="s">
        <v>160</v>
      </c>
      <c r="F1" s="179" t="s">
        <v>0</v>
      </c>
      <c r="G1" s="180"/>
    </row>
    <row r="2" spans="2:7" x14ac:dyDescent="0.35">
      <c r="B2" t="s">
        <v>4</v>
      </c>
      <c r="C2" s="39" t="s">
        <v>179</v>
      </c>
      <c r="F2" s="55" t="s">
        <v>4</v>
      </c>
      <c r="G2" s="56" t="s">
        <v>184</v>
      </c>
    </row>
    <row r="3" spans="2:7" x14ac:dyDescent="0.35">
      <c r="B3" t="s">
        <v>27</v>
      </c>
      <c r="C3" s="39" t="s">
        <v>180</v>
      </c>
      <c r="F3" s="55" t="s">
        <v>102</v>
      </c>
      <c r="G3" s="56" t="s">
        <v>185</v>
      </c>
    </row>
    <row r="4" spans="2:7" x14ac:dyDescent="0.35">
      <c r="B4" t="s">
        <v>46</v>
      </c>
      <c r="C4" s="39" t="s">
        <v>177</v>
      </c>
      <c r="F4" s="55" t="s">
        <v>101</v>
      </c>
      <c r="G4" s="56" t="s">
        <v>186</v>
      </c>
    </row>
    <row r="5" spans="2:7" x14ac:dyDescent="0.35">
      <c r="B5" t="s">
        <v>15</v>
      </c>
      <c r="C5" s="39" t="s">
        <v>181</v>
      </c>
      <c r="F5" s="59" t="s">
        <v>97</v>
      </c>
      <c r="G5" s="56" t="s">
        <v>190</v>
      </c>
    </row>
    <row r="6" spans="2:7" x14ac:dyDescent="0.35">
      <c r="B6" t="s">
        <v>47</v>
      </c>
      <c r="C6" s="39" t="s">
        <v>181</v>
      </c>
      <c r="F6" s="59" t="s">
        <v>104</v>
      </c>
      <c r="G6" s="56">
        <v>1</v>
      </c>
    </row>
    <row r="7" spans="2:7" ht="15" thickBot="1" x14ac:dyDescent="0.4">
      <c r="B7" t="s">
        <v>16</v>
      </c>
      <c r="C7" s="39" t="s">
        <v>28</v>
      </c>
      <c r="F7" s="57" t="s">
        <v>100</v>
      </c>
      <c r="G7" s="58" t="s">
        <v>103</v>
      </c>
    </row>
    <row r="8" spans="2:7" x14ac:dyDescent="0.35">
      <c r="B8" t="s">
        <v>52</v>
      </c>
      <c r="C8" s="39" t="s">
        <v>182</v>
      </c>
      <c r="F8" s="105" t="s">
        <v>125</v>
      </c>
      <c r="G8" s="106"/>
    </row>
    <row r="9" spans="2:7" ht="15" thickBot="1" x14ac:dyDescent="0.4">
      <c r="B9" t="s">
        <v>7</v>
      </c>
      <c r="C9" s="39" t="s">
        <v>123</v>
      </c>
      <c r="F9" s="107" t="s">
        <v>126</v>
      </c>
      <c r="G9" s="58"/>
    </row>
    <row r="10" spans="2:7" x14ac:dyDescent="0.35">
      <c r="B10" t="s">
        <v>17</v>
      </c>
      <c r="C10" s="39" t="s">
        <v>188</v>
      </c>
      <c r="F10" s="182" t="str">
        <f>IF(COUNTIF(LANÇAMENTOS!$U$4:$U$15080,"A REALIZAR")=0,"FLUXO DE CAIXA NÃO OPERANTE","FLUXO DE CAIXA OPERANTE")</f>
        <v>FLUXO DE CAIXA NÃO OPERANTE</v>
      </c>
      <c r="G10" s="182"/>
    </row>
    <row r="11" spans="2:7" x14ac:dyDescent="0.35">
      <c r="B11" t="s">
        <v>40</v>
      </c>
      <c r="C11" s="39" t="s">
        <v>188</v>
      </c>
    </row>
    <row r="12" spans="2:7" x14ac:dyDescent="0.35">
      <c r="B12" t="s">
        <v>0</v>
      </c>
      <c r="C12" s="39" t="s">
        <v>191</v>
      </c>
    </row>
    <row r="13" spans="2:7" x14ac:dyDescent="0.35">
      <c r="B13" t="s">
        <v>18</v>
      </c>
      <c r="C13" s="39" t="s">
        <v>189</v>
      </c>
    </row>
    <row r="14" spans="2:7" x14ac:dyDescent="0.35">
      <c r="B14" t="s">
        <v>5</v>
      </c>
      <c r="C14" s="39" t="s">
        <v>176</v>
      </c>
    </row>
    <row r="15" spans="2:7" x14ac:dyDescent="0.35">
      <c r="B15" t="s">
        <v>51</v>
      </c>
      <c r="C15" s="39" t="s">
        <v>60</v>
      </c>
    </row>
    <row r="16" spans="2:7" x14ac:dyDescent="0.35">
      <c r="B16" t="s">
        <v>49</v>
      </c>
      <c r="C16" s="39" t="s">
        <v>28</v>
      </c>
      <c r="F16" s="142"/>
      <c r="G16" s="64"/>
    </row>
    <row r="17" spans="2:7" x14ac:dyDescent="0.35">
      <c r="B17" t="s">
        <v>3</v>
      </c>
      <c r="C17" s="39" t="s">
        <v>131</v>
      </c>
      <c r="F17" s="142" t="s">
        <v>156</v>
      </c>
      <c r="G17" s="64">
        <f>COUNTIF(LANÇAMENTOS!$U$4:$U$19984,"REALIZADO")</f>
        <v>0</v>
      </c>
    </row>
    <row r="18" spans="2:7" x14ac:dyDescent="0.35">
      <c r="B18" t="s">
        <v>50</v>
      </c>
      <c r="C18" s="39" t="s">
        <v>28</v>
      </c>
      <c r="F18" s="142" t="s">
        <v>162</v>
      </c>
      <c r="G18" s="64">
        <f>COUNTIF(LANÇAMENTOS!$U$4:$U$19984,"A REALIZAR")</f>
        <v>0</v>
      </c>
    </row>
    <row r="19" spans="2:7" x14ac:dyDescent="0.35">
      <c r="B19" t="s">
        <v>48</v>
      </c>
      <c r="C19" s="39" t="s">
        <v>28</v>
      </c>
      <c r="F19" s="142" t="s">
        <v>163</v>
      </c>
      <c r="G19" s="64">
        <f>COUNTIF(LANÇAMENTOS!$L$4:$L$19984,"RECEITA")</f>
        <v>0</v>
      </c>
    </row>
    <row r="20" spans="2:7" x14ac:dyDescent="0.35">
      <c r="B20" t="s">
        <v>20</v>
      </c>
      <c r="C20" s="40" t="b">
        <v>0</v>
      </c>
      <c r="F20" s="142" t="s">
        <v>164</v>
      </c>
      <c r="G20" s="64">
        <f>COUNTIF(LANÇAMENTOS!$L$4:$L$19984,"DESPESA")</f>
        <v>0</v>
      </c>
    </row>
    <row r="21" spans="2:7" x14ac:dyDescent="0.35">
      <c r="B21" t="s">
        <v>21</v>
      </c>
      <c r="C21" s="40" t="b">
        <v>0</v>
      </c>
      <c r="F21" s="182" t="str">
        <f>IF(AND(TitulosReceita&gt;0,TitulosDespesa&gt;0),"OPERANTE","INOPERANTE")</f>
        <v>INOPERANTE</v>
      </c>
      <c r="G21" s="182"/>
    </row>
    <row r="22" spans="2:7" x14ac:dyDescent="0.35">
      <c r="B22" t="s">
        <v>22</v>
      </c>
      <c r="C22" s="39">
        <v>1</v>
      </c>
      <c r="F22" s="142"/>
      <c r="G22" s="64"/>
    </row>
    <row r="23" spans="2:7" x14ac:dyDescent="0.35">
      <c r="B23" t="s">
        <v>23</v>
      </c>
      <c r="C23" s="39">
        <v>1</v>
      </c>
      <c r="G23" s="64"/>
    </row>
    <row r="24" spans="2:7" x14ac:dyDescent="0.35">
      <c r="B24" t="s">
        <v>24</v>
      </c>
      <c r="C24" s="39">
        <v>1</v>
      </c>
      <c r="G24" s="64"/>
    </row>
    <row r="25" spans="2:7" x14ac:dyDescent="0.35">
      <c r="B25" t="s">
        <v>25</v>
      </c>
      <c r="C25" s="39">
        <v>1</v>
      </c>
    </row>
    <row r="26" spans="2:7" x14ac:dyDescent="0.35">
      <c r="B26" t="s">
        <v>42</v>
      </c>
      <c r="C26" s="39">
        <v>1</v>
      </c>
    </row>
    <row r="27" spans="2:7" x14ac:dyDescent="0.35">
      <c r="B27" t="s">
        <v>53</v>
      </c>
      <c r="C27" s="39" t="s">
        <v>177</v>
      </c>
    </row>
    <row r="28" spans="2:7" x14ac:dyDescent="0.35">
      <c r="B28" t="s">
        <v>55</v>
      </c>
      <c r="C28" s="39" t="s">
        <v>172</v>
      </c>
    </row>
    <row r="29" spans="2:7" x14ac:dyDescent="0.35">
      <c r="B29" t="s">
        <v>79</v>
      </c>
      <c r="C29" s="39" t="s">
        <v>183</v>
      </c>
    </row>
    <row r="30" spans="2:7" x14ac:dyDescent="0.35">
      <c r="B30" t="s">
        <v>83</v>
      </c>
      <c r="C30" s="39" t="s">
        <v>144</v>
      </c>
    </row>
    <row r="31" spans="2:7" x14ac:dyDescent="0.35">
      <c r="B31" t="s">
        <v>84</v>
      </c>
      <c r="C31" s="39" t="s">
        <v>171</v>
      </c>
    </row>
    <row r="32" spans="2:7" x14ac:dyDescent="0.35">
      <c r="B32" t="s">
        <v>94</v>
      </c>
      <c r="C32" s="39" t="s">
        <v>159</v>
      </c>
    </row>
    <row r="33" spans="2:5" x14ac:dyDescent="0.35">
      <c r="B33" t="s">
        <v>96</v>
      </c>
      <c r="C33" s="39" t="s">
        <v>190</v>
      </c>
    </row>
    <row r="34" spans="2:5" x14ac:dyDescent="0.35">
      <c r="B34" t="s">
        <v>117</v>
      </c>
      <c r="C34" s="39" t="s">
        <v>28</v>
      </c>
    </row>
    <row r="35" spans="2:5" x14ac:dyDescent="0.35">
      <c r="B35" t="s">
        <v>118</v>
      </c>
      <c r="C35" s="39">
        <v>1</v>
      </c>
    </row>
    <row r="44" spans="2:5" x14ac:dyDescent="0.35">
      <c r="B44" s="178" t="s">
        <v>56</v>
      </c>
      <c r="C44" s="178"/>
    </row>
    <row r="45" spans="2:5" x14ac:dyDescent="0.35">
      <c r="B45" s="5" t="s">
        <v>143</v>
      </c>
      <c r="C45" t="s">
        <v>61</v>
      </c>
      <c r="E45" s="39"/>
    </row>
    <row r="46" spans="2:5" x14ac:dyDescent="0.35">
      <c r="B46" s="5" t="s">
        <v>144</v>
      </c>
      <c r="C46" t="s">
        <v>60</v>
      </c>
      <c r="E46" s="39"/>
    </row>
    <row r="47" spans="2:5" x14ac:dyDescent="0.35">
      <c r="B47" s="5" t="s">
        <v>145</v>
      </c>
      <c r="C47" t="s">
        <v>82</v>
      </c>
      <c r="E47" s="39"/>
    </row>
    <row r="48" spans="2:5" x14ac:dyDescent="0.35">
      <c r="B48" s="5" t="s">
        <v>146</v>
      </c>
      <c r="C48" t="s">
        <v>57</v>
      </c>
      <c r="E48" s="39"/>
    </row>
    <row r="49" spans="2:5" x14ac:dyDescent="0.35">
      <c r="B49" s="5" t="s">
        <v>147</v>
      </c>
      <c r="C49" t="s">
        <v>62</v>
      </c>
      <c r="E49" s="39"/>
    </row>
    <row r="50" spans="2:5" x14ac:dyDescent="0.35">
      <c r="B50" s="5" t="s">
        <v>153</v>
      </c>
      <c r="C50" t="s">
        <v>154</v>
      </c>
      <c r="E50" s="39"/>
    </row>
    <row r="51" spans="2:5" x14ac:dyDescent="0.35">
      <c r="B51" s="5" t="s">
        <v>148</v>
      </c>
      <c r="C51" t="s">
        <v>81</v>
      </c>
      <c r="E51" s="39"/>
    </row>
    <row r="52" spans="2:5" x14ac:dyDescent="0.35">
      <c r="B52" s="5" t="s">
        <v>149</v>
      </c>
      <c r="C52" t="s">
        <v>54</v>
      </c>
      <c r="E52" s="39"/>
    </row>
    <row r="53" spans="2:5" x14ac:dyDescent="0.35">
      <c r="B53" s="5" t="s">
        <v>150</v>
      </c>
      <c r="C53" t="s">
        <v>77</v>
      </c>
      <c r="E53" s="39"/>
    </row>
    <row r="54" spans="2:5" x14ac:dyDescent="0.35">
      <c r="B54" s="5" t="s">
        <v>151</v>
      </c>
      <c r="C54" t="s">
        <v>58</v>
      </c>
    </row>
    <row r="55" spans="2:5" x14ac:dyDescent="0.35">
      <c r="B55" s="5" t="s">
        <v>152</v>
      </c>
      <c r="C55" t="s">
        <v>59</v>
      </c>
    </row>
    <row r="56" spans="2:5" x14ac:dyDescent="0.35">
      <c r="C56"/>
    </row>
    <row r="57" spans="2:5" x14ac:dyDescent="0.35">
      <c r="C57"/>
    </row>
    <row r="58" spans="2:5" x14ac:dyDescent="0.35">
      <c r="C58"/>
    </row>
    <row r="81" spans="6:16" x14ac:dyDescent="0.35">
      <c r="F81" s="1"/>
    </row>
    <row r="82" spans="6:16" x14ac:dyDescent="0.35">
      <c r="F82" s="181" t="s">
        <v>110</v>
      </c>
      <c r="G82" s="181"/>
      <c r="I82" s="181" t="s">
        <v>111</v>
      </c>
      <c r="J82" s="181"/>
      <c r="L82" s="181"/>
      <c r="M82" s="181"/>
      <c r="O82" s="181"/>
      <c r="P82" s="181"/>
    </row>
    <row r="83" spans="6:16" x14ac:dyDescent="0.35">
      <c r="F83" s="2" t="s">
        <v>17</v>
      </c>
      <c r="G83" t="s">
        <v>10</v>
      </c>
      <c r="I83" s="2" t="s">
        <v>17</v>
      </c>
      <c r="J83" t="s">
        <v>10</v>
      </c>
    </row>
    <row r="84" spans="6:16" x14ac:dyDescent="0.35">
      <c r="F84" s="2" t="s">
        <v>18</v>
      </c>
      <c r="G84" t="s">
        <v>10</v>
      </c>
      <c r="I84" s="2" t="s">
        <v>18</v>
      </c>
      <c r="J84" t="s">
        <v>10</v>
      </c>
    </row>
    <row r="85" spans="6:16" x14ac:dyDescent="0.35">
      <c r="F85" s="2" t="s">
        <v>7</v>
      </c>
      <c r="G85" t="s">
        <v>123</v>
      </c>
      <c r="I85" s="2" t="s">
        <v>7</v>
      </c>
      <c r="J85" t="s">
        <v>123</v>
      </c>
    </row>
    <row r="86" spans="6:16" x14ac:dyDescent="0.35">
      <c r="F86" s="2" t="s">
        <v>108</v>
      </c>
      <c r="G86" t="s">
        <v>10</v>
      </c>
      <c r="I86" s="2" t="s">
        <v>108</v>
      </c>
      <c r="J86" t="s">
        <v>10</v>
      </c>
    </row>
    <row r="87" spans="6:16" x14ac:dyDescent="0.35">
      <c r="F87" s="2" t="s">
        <v>1</v>
      </c>
      <c r="G87" t="s">
        <v>10</v>
      </c>
      <c r="I87" s="2" t="s">
        <v>1</v>
      </c>
      <c r="J87" t="s">
        <v>10</v>
      </c>
    </row>
    <row r="88" spans="6:16" x14ac:dyDescent="0.35">
      <c r="F88" s="2" t="s">
        <v>5</v>
      </c>
      <c r="G88" t="s">
        <v>187</v>
      </c>
      <c r="I88" s="2" t="s">
        <v>5</v>
      </c>
      <c r="J88" t="s">
        <v>187</v>
      </c>
    </row>
    <row r="90" spans="6:16" x14ac:dyDescent="0.35">
      <c r="F90" s="2" t="s">
        <v>106</v>
      </c>
      <c r="G90" t="s">
        <v>91</v>
      </c>
      <c r="I90" s="2" t="s">
        <v>106</v>
      </c>
      <c r="J90" t="s">
        <v>63</v>
      </c>
      <c r="N90" s="2"/>
    </row>
    <row r="91" spans="6:16" x14ac:dyDescent="0.35">
      <c r="F91" s="60">
        <v>43434</v>
      </c>
      <c r="G91" s="1">
        <v>5000</v>
      </c>
      <c r="I91" s="60">
        <v>43434</v>
      </c>
      <c r="J91" s="1">
        <v>5000</v>
      </c>
    </row>
    <row r="92" spans="6:16" x14ac:dyDescent="0.35">
      <c r="F92" s="60">
        <v>43465</v>
      </c>
      <c r="G92" s="1">
        <v>5000</v>
      </c>
      <c r="I92" s="60">
        <v>43465</v>
      </c>
      <c r="J92" s="1">
        <v>5000</v>
      </c>
    </row>
    <row r="93" spans="6:16" x14ac:dyDescent="0.35">
      <c r="F93" s="60">
        <v>43496</v>
      </c>
      <c r="G93" s="1">
        <v>5000</v>
      </c>
      <c r="I93" s="60">
        <v>43496</v>
      </c>
      <c r="J93" s="1">
        <v>5000</v>
      </c>
    </row>
    <row r="94" spans="6:16" x14ac:dyDescent="0.35">
      <c r="F94" s="60">
        <v>43524</v>
      </c>
      <c r="G94" s="1">
        <v>5000</v>
      </c>
      <c r="I94" s="60">
        <v>43524</v>
      </c>
      <c r="J94" s="1">
        <v>5000</v>
      </c>
    </row>
    <row r="95" spans="6:16" x14ac:dyDescent="0.35">
      <c r="F95" s="60">
        <v>43555</v>
      </c>
      <c r="G95" s="1">
        <v>5000</v>
      </c>
      <c r="I95" s="60">
        <v>43555</v>
      </c>
      <c r="J95" s="1">
        <v>5000</v>
      </c>
    </row>
    <row r="96" spans="6:16" x14ac:dyDescent="0.35">
      <c r="F96" s="60">
        <v>43585</v>
      </c>
      <c r="G96" s="1">
        <v>5000</v>
      </c>
      <c r="I96" s="60">
        <v>43585</v>
      </c>
      <c r="J96" s="1">
        <v>5000</v>
      </c>
    </row>
    <row r="97" spans="6:10" x14ac:dyDescent="0.35">
      <c r="F97" s="60">
        <v>43616</v>
      </c>
      <c r="G97" s="1">
        <v>5000</v>
      </c>
      <c r="I97" s="60">
        <v>43616</v>
      </c>
      <c r="J97" s="1">
        <v>5000</v>
      </c>
    </row>
    <row r="98" spans="6:10" x14ac:dyDescent="0.35">
      <c r="F98" s="60">
        <v>43646</v>
      </c>
      <c r="G98" s="1">
        <v>5000</v>
      </c>
      <c r="I98" s="60">
        <v>43646</v>
      </c>
      <c r="J98" s="1">
        <v>5000</v>
      </c>
    </row>
    <row r="99" spans="6:10" x14ac:dyDescent="0.35">
      <c r="F99" s="60">
        <v>43677</v>
      </c>
      <c r="G99" s="1">
        <v>5000</v>
      </c>
      <c r="I99" s="60">
        <v>43677</v>
      </c>
      <c r="J99" s="1">
        <v>5000</v>
      </c>
    </row>
    <row r="100" spans="6:10" x14ac:dyDescent="0.35">
      <c r="F100" s="60">
        <v>43708</v>
      </c>
      <c r="G100" s="1">
        <v>5000</v>
      </c>
      <c r="I100" s="60">
        <v>43708</v>
      </c>
      <c r="J100" s="1">
        <v>5000</v>
      </c>
    </row>
    <row r="101" spans="6:10" x14ac:dyDescent="0.35">
      <c r="F101" s="60">
        <v>43738</v>
      </c>
      <c r="G101" s="1">
        <v>5000</v>
      </c>
      <c r="I101" s="60">
        <v>43738</v>
      </c>
      <c r="J101" s="1">
        <v>5000</v>
      </c>
    </row>
    <row r="102" spans="6:10" x14ac:dyDescent="0.35">
      <c r="F102" s="60">
        <v>43769</v>
      </c>
      <c r="G102" s="1">
        <v>5000</v>
      </c>
      <c r="I102" s="60">
        <v>43769</v>
      </c>
      <c r="J102" s="1">
        <v>5000</v>
      </c>
    </row>
    <row r="103" spans="6:10" x14ac:dyDescent="0.35">
      <c r="F103" s="60" t="s">
        <v>2</v>
      </c>
      <c r="G103" s="1">
        <v>60000</v>
      </c>
      <c r="I103" s="60" t="s">
        <v>2</v>
      </c>
      <c r="J103" s="1">
        <v>60000</v>
      </c>
    </row>
  </sheetData>
  <sortState xmlns:xlrd2="http://schemas.microsoft.com/office/spreadsheetml/2017/richdata2" ref="B45:C55">
    <sortCondition ref="B47"/>
  </sortState>
  <mergeCells count="8">
    <mergeCell ref="B44:C44"/>
    <mergeCell ref="F1:G1"/>
    <mergeCell ref="F82:G82"/>
    <mergeCell ref="I82:J82"/>
    <mergeCell ref="O82:P82"/>
    <mergeCell ref="L82:M82"/>
    <mergeCell ref="F10:G10"/>
    <mergeCell ref="F21:G21"/>
  </mergeCells>
  <pageMargins left="0.511811024" right="0.511811024" top="0.78740157499999996" bottom="0.78740157499999996" header="0.31496062000000002" footer="0.31496062000000002"/>
  <pageSetup paperSize="9" orientation="portrait" r:id="rId3"/>
  <drawing r:id="rId4"/>
  <extLst>
    <ext xmlns:x14="http://schemas.microsoft.com/office/spreadsheetml/2009/9/main" uri="{A8765BA9-456A-4dab-B4F3-ACF838C121DE}">
      <x14:slicerList>
        <x14:slicer r:id="rId5"/>
      </x14:slicerList>
    </ext>
  </extLst>
</worksheet>
</file>

<file path=customUI/_rels/customUI14.xml.rels><?xml version="1.0" encoding="UTF-8" standalone="yes"?>
<Relationships xmlns="http://schemas.openxmlformats.org/package/2006/relationships"><Relationship Id="dinheiro" Type="http://schemas.openxmlformats.org/officeDocument/2006/relationships/image" Target="images/dinheiro.png"/></Relationships>
</file>

<file path=customUI/customUI14.xml><?xml version="1.0" encoding="utf-8"?>
<customUI xmlns="http://schemas.microsoft.com/office/2006/01/customui" onLoad="RibbonOnLoad">
  <ribbon startFromScratch="false">
    <tabs>
      <tab id="FinanDescompl" label="PROGRAMA FINANCEIRO">
        <group id="PLANILHAS" label="MENU">
          <button id="rbnMenu" label="Início" imageMso="ChartResetToMatchStyle" size="large" onAction="rbnContábil"/>
        </group>
        <group id="CADASTRAMENTO" label="CADASTRAMENTOS">
          <button id="rbnTitulares" label="Titulares" imageMso="ImportTextFile" onAction="rbnContábil"/>
          <button id="rbnCCusto" label="Centros de Custos" imageMso="ImportTextFile" onAction="rbnContábil"/>
          <button id="rbnGrupoContas" label="Grupos de Contas" imageMso="ImportTextFile" onAction="rbnContábil"/>
          <button id="rbnPlanoContas" label="Plano de Contas" imageMso="ImportTextFile" onAction="rbnContábil"/>
          <button id="rbnCliFor" label="Clientes e Fornecedores" imageMso="ImportTextFile" onAction="rbnContábil"/>
          <button id="rbnCCorrentes" label="Contas Correntes" imageMso="ImportTextFile" onAction="rbnContábil"/>
        </group>
        <group id="LANÇAMENTOS" label="LANÇAMENTOS">
          <button id="rbnLancTit" label="Área de Registros" imageMso="MergeCells" size="large" onAction="rbnContábil"/>
          <button id="rbnNovoRegistro" label="Novo Título" imageMso="QueryAppend" size="large" onAction="rbnContábil"/>
          <button id="rbnLimparFiltro" label="Limpar Filtros" imageMso="FilterClearAllFilters" onAction="rbnContábil"/>
          <button id="rbnUltimoLancto" label="Último Lançamento" imageMso="T" onAction="rbnContábil"/>
          <button id="rbnExcluirTitulo" label="Excluir Título" imageMso="CellsDelete" onAction="rbnContábil"/>
        </group>
        <group id="ESTOQUE" label="ESTOQUE">
          <button id="rbnInsumos" label="Itens de Estoque" imageMso="ImportTextFile" onAction="rbnContábil"/>
          <button id="rbnEstoque" label="Controle de Estoque" imageMso="QueryUpdate" onAction="rbnContábil"/>
        </group>
        <group id="RELATÓRIOS" label="RELATÓRIOS">
          <button id="rbnRealizado" label="Tít. Baixados/A Baixar" imageMso="AcceptInvitation" onAction="rbnContábil"/>
          <button id="rbnSaldo" label="Saldos" imageMso="InternationalCurrency" onAction="rbnContábil"/>
          <button id="rbnFluxoCaixa" label="Fluxos de Caixa" image="dinheiro" onAction="rbnContábil"/>
          <button id="rbnAnaliseResultado" label="Análise de Resultado" imageMso="OutlookTaskCreate" onAction="rbnContábil"/>
          <button id="rbnOutrosRelatorios" label="Outros Relatórios" imageMso="ExchangeFolder" onAction="rbnContábil"/>
          <button id="rbnCriarRel" label="Criar seu Relatório" imageMso="ChartShowData" onAction="rbnContábil"/>
        </group>
        <group id="GRÁFICOS" label="GRÁFICOS">
          <button id="rbnGraficos" label="Diversos Gráficos" imageMso="SlideMasterChartPlaceholderInsert" onAction="rbnContábi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21</vt:i4>
      </vt:variant>
      <vt:variant>
        <vt:lpstr>Intervalos Nomeados</vt:lpstr>
      </vt:variant>
      <vt:variant>
        <vt:i4>41</vt:i4>
      </vt:variant>
    </vt:vector>
  </HeadingPairs>
  <TitlesOfParts>
    <vt:vector size="62" baseType="lpstr">
      <vt:lpstr>MENU</vt:lpstr>
      <vt:lpstr>TITULAR</vt:lpstr>
      <vt:lpstr>CLIENTES E FORNECEDORES</vt:lpstr>
      <vt:lpstr>CENTRO DE CUSTOS</vt:lpstr>
      <vt:lpstr>GRUPO DE CONTAS</vt:lpstr>
      <vt:lpstr>PLANO DE CONTAS</vt:lpstr>
      <vt:lpstr>CONTA CORRENTE</vt:lpstr>
      <vt:lpstr>ITENS DE ESTOQUE</vt:lpstr>
      <vt:lpstr>LANÇAMENTOS</vt:lpstr>
      <vt:lpstr>FLUXO DE CAIXA VERTICAL</vt:lpstr>
      <vt:lpstr>RELATÓRIO POR TITULARES</vt:lpstr>
      <vt:lpstr>RELATÓRIO FIXO x ESPORÁDICO</vt:lpstr>
      <vt:lpstr>CRIAR SEU RELATÓRIO</vt:lpstr>
      <vt:lpstr>FLUXO DE CAIXA HORIZONTAL</vt:lpstr>
      <vt:lpstr>Apoio TDs</vt:lpstr>
      <vt:lpstr>TÍTULOS BAIXADOS E A BAIXAR</vt:lpstr>
      <vt:lpstr>SALDO CONTAS CORRENTES</vt:lpstr>
      <vt:lpstr>REL. ANÁLISE DE RESULTADOS </vt:lpstr>
      <vt:lpstr>GRÁFICOS</vt:lpstr>
      <vt:lpstr>REL. CONTROLE DE ESTOQUE</vt:lpstr>
      <vt:lpstr>Apoio</vt:lpstr>
      <vt:lpstr>ApoioFLuxoCaixa</vt:lpstr>
      <vt:lpstr>MENU!Area_de_impressao</vt:lpstr>
      <vt:lpstr>CabecalhoTBFCH</vt:lpstr>
      <vt:lpstr>FimRelAnaliseResultado</vt:lpstr>
      <vt:lpstr>FimRelAnResultado</vt:lpstr>
      <vt:lpstr>FimRelFCH</vt:lpstr>
      <vt:lpstr>FimRelRealizadoARealizar</vt:lpstr>
      <vt:lpstr>FormulaTDCPCR</vt:lpstr>
      <vt:lpstr>FormulaTDFCV</vt:lpstr>
      <vt:lpstr>InicioFormSFFCH</vt:lpstr>
      <vt:lpstr>InicioFormSIFCH</vt:lpstr>
      <vt:lpstr>InicioFormulaFCV</vt:lpstr>
      <vt:lpstr>InicioRelAnaliseResultado</vt:lpstr>
      <vt:lpstr>InicioRelAnResultado</vt:lpstr>
      <vt:lpstr>InicioRelFCH</vt:lpstr>
      <vt:lpstr>InicioRelRealizadoARealizar</vt:lpstr>
      <vt:lpstr>InicioTDFCV</vt:lpstr>
      <vt:lpstr>Operante</vt:lpstr>
      <vt:lpstr>Realizado_ARealizarFCH</vt:lpstr>
      <vt:lpstr>Realizado_ARealizarFCV</vt:lpstr>
      <vt:lpstr>ResultadoAcumuladoGrafico</vt:lpstr>
      <vt:lpstr>ResultadoPeriodoGrafico</vt:lpstr>
      <vt:lpstr>ResultadoValorGrafico</vt:lpstr>
      <vt:lpstr>rng_DadosCliFor</vt:lpstr>
      <vt:lpstr>rng_DadosInsumos</vt:lpstr>
      <vt:lpstr>rng_DadosLanctosTD</vt:lpstr>
      <vt:lpstr>rng_DadosTitular</vt:lpstr>
      <vt:lpstr>rng_NomeCliFor</vt:lpstr>
      <vt:lpstr>rng_NomeInsumos</vt:lpstr>
      <vt:lpstr>rng_NomeTitular</vt:lpstr>
      <vt:lpstr>rng_NroCliFor</vt:lpstr>
      <vt:lpstr>rng_NroInsumos</vt:lpstr>
      <vt:lpstr>rng_NroLancto</vt:lpstr>
      <vt:lpstr>rng_NroTitular</vt:lpstr>
      <vt:lpstr>rng_TiposDoctos</vt:lpstr>
      <vt:lpstr>SaldoInicialFCH</vt:lpstr>
      <vt:lpstr>SaldoInicialFCV</vt:lpstr>
      <vt:lpstr>TitulosABaixar</vt:lpstr>
      <vt:lpstr>TitulosDespesa</vt:lpstr>
      <vt:lpstr>TitulosRealizados</vt:lpstr>
      <vt:lpstr>TitulosReceita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ArthurCiappina</dc:creator>
  <cp:lastModifiedBy>André Ciappina</cp:lastModifiedBy>
  <cp:lastPrinted>2018-10-10T10:57:39Z</cp:lastPrinted>
  <dcterms:created xsi:type="dcterms:W3CDTF">2016-04-03T18:06:12Z</dcterms:created>
  <dcterms:modified xsi:type="dcterms:W3CDTF">2018-11-30T00:26:27Z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695cb269-f3d4-41bf-a144-858e94cd0a97</vt:lpwstr>
  </property>
</Properties>
</file>