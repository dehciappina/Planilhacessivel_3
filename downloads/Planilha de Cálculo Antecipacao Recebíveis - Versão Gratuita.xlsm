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EstaPasta_de_trabalho" defaultThemeVersion="166925"/>
  <mc:AlternateContent xmlns:mc="http://schemas.openxmlformats.org/markup-compatibility/2006">
    <mc:Choice Requires="x15">
      <x15ac:absPath xmlns:x15ac="http://schemas.microsoft.com/office/spreadsheetml/2010/11/ac" url="C:\Users\regispc\Documents\SITE FINANCEIRO\PLANILHAS PUBLICADAS NO SITE\REVISADAS\Grátis\"/>
    </mc:Choice>
  </mc:AlternateContent>
  <xr:revisionPtr revIDLastSave="0" documentId="13_ncr:1_{974FAEDD-421F-441B-8826-B8D5095B7E25}" xr6:coauthVersionLast="38" xr6:coauthVersionMax="38" xr10:uidLastSave="{00000000-0000-0000-0000-000000000000}"/>
  <bookViews>
    <workbookView xWindow="0" yWindow="0" windowWidth="20490" windowHeight="7545" activeTab="1" xr2:uid="{00000000-000D-0000-FFFF-FFFF00000000}"/>
  </bookViews>
  <sheets>
    <sheet name="Tutorial" sheetId="2" r:id="rId1"/>
    <sheet name="CÁLCULO" sheetId="1" r:id="rId2"/>
  </sheets>
  <definedNames>
    <definedName name="_xlnm.Print_Area" localSheetId="1">CÁLCULO!$C$4:$K$21</definedName>
    <definedName name="ComSemIOF">CÁLCULO!$A$12</definedName>
    <definedName name="CustoEfetivoMes">CÁLCULO!$F$16</definedName>
    <definedName name="CustoEfetivoPeriodo">CÁLCULO!$F$15</definedName>
    <definedName name="DataRecebimento">CÁLCULO!$F$7</definedName>
    <definedName name="Dmais">CÁLCULO!$F$9</definedName>
    <definedName name="InicioTitulos">CÁLCULO!$C$19</definedName>
    <definedName name="IOFAdic">CÁLCULO!$F$13</definedName>
    <definedName name="IOFDiario">CÁLCULO!$F$12</definedName>
    <definedName name="OutrasDesp">CÁLCULO!$F$11</definedName>
    <definedName name="PrazoMedio">CÁLCULO!$F$14</definedName>
    <definedName name="TaxaAdm">CÁLCULO!$F$10</definedName>
    <definedName name="TaxaJuros">CÁLCULO!$F$8</definedName>
    <definedName name="TMA">CÁLCULO!$O$8</definedName>
    <definedName name="TMA_Dia">CÁLCULO!$O$9</definedName>
    <definedName name="ValorAntecipacao">CÁLCULO!$J$13</definedName>
    <definedName name="ValorAntecipado">CÁLCULO!$J$14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9" i="1" l="1"/>
  <c r="F19" i="1"/>
  <c r="O29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N20" i="1"/>
  <c r="N21" i="1"/>
  <c r="N22" i="1"/>
  <c r="N23" i="1"/>
  <c r="N24" i="1"/>
  <c r="O24" i="1" s="1"/>
  <c r="N25" i="1"/>
  <c r="O25" i="1" s="1"/>
  <c r="N26" i="1"/>
  <c r="O26" i="1" s="1"/>
  <c r="N27" i="1"/>
  <c r="O27" i="1" s="1"/>
  <c r="N28" i="1"/>
  <c r="O28" i="1" s="1"/>
  <c r="N29" i="1"/>
  <c r="N30" i="1"/>
  <c r="O30" i="1" s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9" i="1"/>
  <c r="K1000" i="1" l="1"/>
  <c r="J1000" i="1"/>
  <c r="I1000" i="1"/>
  <c r="H1000" i="1"/>
  <c r="G1000" i="1"/>
  <c r="F1000" i="1"/>
  <c r="E1000" i="1"/>
  <c r="K999" i="1"/>
  <c r="J999" i="1"/>
  <c r="I999" i="1"/>
  <c r="H999" i="1"/>
  <c r="G999" i="1"/>
  <c r="F999" i="1"/>
  <c r="E999" i="1"/>
  <c r="K998" i="1"/>
  <c r="J998" i="1"/>
  <c r="I998" i="1"/>
  <c r="H998" i="1"/>
  <c r="G998" i="1"/>
  <c r="F998" i="1"/>
  <c r="E998" i="1"/>
  <c r="K997" i="1"/>
  <c r="J997" i="1"/>
  <c r="I997" i="1"/>
  <c r="H997" i="1"/>
  <c r="G997" i="1"/>
  <c r="F997" i="1"/>
  <c r="E997" i="1"/>
  <c r="K996" i="1"/>
  <c r="J996" i="1"/>
  <c r="I996" i="1"/>
  <c r="H996" i="1"/>
  <c r="G996" i="1"/>
  <c r="F996" i="1"/>
  <c r="E996" i="1"/>
  <c r="K995" i="1"/>
  <c r="J995" i="1"/>
  <c r="I995" i="1"/>
  <c r="H995" i="1"/>
  <c r="G995" i="1"/>
  <c r="F995" i="1"/>
  <c r="E995" i="1"/>
  <c r="K994" i="1"/>
  <c r="J994" i="1"/>
  <c r="I994" i="1"/>
  <c r="H994" i="1"/>
  <c r="G994" i="1"/>
  <c r="F994" i="1"/>
  <c r="E994" i="1"/>
  <c r="K993" i="1"/>
  <c r="J993" i="1"/>
  <c r="I993" i="1"/>
  <c r="H993" i="1"/>
  <c r="G993" i="1"/>
  <c r="F993" i="1"/>
  <c r="E993" i="1"/>
  <c r="K992" i="1"/>
  <c r="J992" i="1"/>
  <c r="I992" i="1"/>
  <c r="H992" i="1"/>
  <c r="G992" i="1"/>
  <c r="F992" i="1"/>
  <c r="E992" i="1"/>
  <c r="K991" i="1"/>
  <c r="J991" i="1"/>
  <c r="I991" i="1"/>
  <c r="H991" i="1"/>
  <c r="G991" i="1"/>
  <c r="F991" i="1"/>
  <c r="E991" i="1"/>
  <c r="K990" i="1"/>
  <c r="J990" i="1"/>
  <c r="I990" i="1"/>
  <c r="H990" i="1"/>
  <c r="G990" i="1"/>
  <c r="F990" i="1"/>
  <c r="E990" i="1"/>
  <c r="K989" i="1"/>
  <c r="J989" i="1"/>
  <c r="I989" i="1"/>
  <c r="H989" i="1"/>
  <c r="G989" i="1"/>
  <c r="F989" i="1"/>
  <c r="E989" i="1"/>
  <c r="K988" i="1"/>
  <c r="J988" i="1"/>
  <c r="I988" i="1"/>
  <c r="H988" i="1"/>
  <c r="G988" i="1"/>
  <c r="F988" i="1"/>
  <c r="E988" i="1"/>
  <c r="K987" i="1"/>
  <c r="J987" i="1"/>
  <c r="I987" i="1"/>
  <c r="H987" i="1"/>
  <c r="G987" i="1"/>
  <c r="F987" i="1"/>
  <c r="E987" i="1"/>
  <c r="K986" i="1"/>
  <c r="J986" i="1"/>
  <c r="I986" i="1"/>
  <c r="H986" i="1"/>
  <c r="G986" i="1"/>
  <c r="F986" i="1"/>
  <c r="E986" i="1"/>
  <c r="K985" i="1"/>
  <c r="J985" i="1"/>
  <c r="I985" i="1"/>
  <c r="H985" i="1"/>
  <c r="G985" i="1"/>
  <c r="F985" i="1"/>
  <c r="E985" i="1"/>
  <c r="K984" i="1"/>
  <c r="J984" i="1"/>
  <c r="I984" i="1"/>
  <c r="H984" i="1"/>
  <c r="G984" i="1"/>
  <c r="F984" i="1"/>
  <c r="E984" i="1"/>
  <c r="K983" i="1"/>
  <c r="J983" i="1"/>
  <c r="I983" i="1"/>
  <c r="H983" i="1"/>
  <c r="G983" i="1"/>
  <c r="F983" i="1"/>
  <c r="E983" i="1"/>
  <c r="K982" i="1"/>
  <c r="J982" i="1"/>
  <c r="I982" i="1"/>
  <c r="H982" i="1"/>
  <c r="G982" i="1"/>
  <c r="F982" i="1"/>
  <c r="E982" i="1"/>
  <c r="K981" i="1"/>
  <c r="J981" i="1"/>
  <c r="I981" i="1"/>
  <c r="H981" i="1"/>
  <c r="G981" i="1"/>
  <c r="F981" i="1"/>
  <c r="E981" i="1"/>
  <c r="K980" i="1"/>
  <c r="J980" i="1"/>
  <c r="I980" i="1"/>
  <c r="H980" i="1"/>
  <c r="G980" i="1"/>
  <c r="F980" i="1"/>
  <c r="E980" i="1"/>
  <c r="K979" i="1"/>
  <c r="J979" i="1"/>
  <c r="I979" i="1"/>
  <c r="H979" i="1"/>
  <c r="G979" i="1"/>
  <c r="F979" i="1"/>
  <c r="E979" i="1"/>
  <c r="K978" i="1"/>
  <c r="J978" i="1"/>
  <c r="I978" i="1"/>
  <c r="H978" i="1"/>
  <c r="G978" i="1"/>
  <c r="F978" i="1"/>
  <c r="E978" i="1"/>
  <c r="K977" i="1"/>
  <c r="J977" i="1"/>
  <c r="I977" i="1"/>
  <c r="H977" i="1"/>
  <c r="G977" i="1"/>
  <c r="F977" i="1"/>
  <c r="E977" i="1"/>
  <c r="K976" i="1"/>
  <c r="J976" i="1"/>
  <c r="I976" i="1"/>
  <c r="H976" i="1"/>
  <c r="G976" i="1"/>
  <c r="F976" i="1"/>
  <c r="E976" i="1"/>
  <c r="K975" i="1"/>
  <c r="J975" i="1"/>
  <c r="I975" i="1"/>
  <c r="H975" i="1"/>
  <c r="G975" i="1"/>
  <c r="F975" i="1"/>
  <c r="E975" i="1"/>
  <c r="K974" i="1"/>
  <c r="J974" i="1"/>
  <c r="I974" i="1"/>
  <c r="H974" i="1"/>
  <c r="G974" i="1"/>
  <c r="F974" i="1"/>
  <c r="E974" i="1"/>
  <c r="K973" i="1"/>
  <c r="J973" i="1"/>
  <c r="I973" i="1"/>
  <c r="H973" i="1"/>
  <c r="G973" i="1"/>
  <c r="F973" i="1"/>
  <c r="E973" i="1"/>
  <c r="K972" i="1"/>
  <c r="J972" i="1"/>
  <c r="I972" i="1"/>
  <c r="H972" i="1"/>
  <c r="G972" i="1"/>
  <c r="F972" i="1"/>
  <c r="E972" i="1"/>
  <c r="K971" i="1"/>
  <c r="J971" i="1"/>
  <c r="I971" i="1"/>
  <c r="H971" i="1"/>
  <c r="G971" i="1"/>
  <c r="F971" i="1"/>
  <c r="E971" i="1"/>
  <c r="K970" i="1"/>
  <c r="J970" i="1"/>
  <c r="I970" i="1"/>
  <c r="H970" i="1"/>
  <c r="G970" i="1"/>
  <c r="F970" i="1"/>
  <c r="E970" i="1"/>
  <c r="K969" i="1"/>
  <c r="J969" i="1"/>
  <c r="I969" i="1"/>
  <c r="H969" i="1"/>
  <c r="G969" i="1"/>
  <c r="F969" i="1"/>
  <c r="E969" i="1"/>
  <c r="K968" i="1"/>
  <c r="J968" i="1"/>
  <c r="I968" i="1"/>
  <c r="H968" i="1"/>
  <c r="G968" i="1"/>
  <c r="F968" i="1"/>
  <c r="E968" i="1"/>
  <c r="K967" i="1"/>
  <c r="J967" i="1"/>
  <c r="I967" i="1"/>
  <c r="H967" i="1"/>
  <c r="G967" i="1"/>
  <c r="F967" i="1"/>
  <c r="E967" i="1"/>
  <c r="K966" i="1"/>
  <c r="J966" i="1"/>
  <c r="I966" i="1"/>
  <c r="H966" i="1"/>
  <c r="G966" i="1"/>
  <c r="F966" i="1"/>
  <c r="E966" i="1"/>
  <c r="K965" i="1"/>
  <c r="J965" i="1"/>
  <c r="I965" i="1"/>
  <c r="H965" i="1"/>
  <c r="G965" i="1"/>
  <c r="F965" i="1"/>
  <c r="E965" i="1"/>
  <c r="K964" i="1"/>
  <c r="J964" i="1"/>
  <c r="I964" i="1"/>
  <c r="H964" i="1"/>
  <c r="G964" i="1"/>
  <c r="F964" i="1"/>
  <c r="E964" i="1"/>
  <c r="K963" i="1"/>
  <c r="J963" i="1"/>
  <c r="I963" i="1"/>
  <c r="H963" i="1"/>
  <c r="G963" i="1"/>
  <c r="F963" i="1"/>
  <c r="E963" i="1"/>
  <c r="K962" i="1"/>
  <c r="J962" i="1"/>
  <c r="I962" i="1"/>
  <c r="H962" i="1"/>
  <c r="G962" i="1"/>
  <c r="F962" i="1"/>
  <c r="E962" i="1"/>
  <c r="K961" i="1"/>
  <c r="J961" i="1"/>
  <c r="I961" i="1"/>
  <c r="H961" i="1"/>
  <c r="G961" i="1"/>
  <c r="F961" i="1"/>
  <c r="E961" i="1"/>
  <c r="K960" i="1"/>
  <c r="J960" i="1"/>
  <c r="I960" i="1"/>
  <c r="H960" i="1"/>
  <c r="G960" i="1"/>
  <c r="F960" i="1"/>
  <c r="E960" i="1"/>
  <c r="K959" i="1"/>
  <c r="J959" i="1"/>
  <c r="I959" i="1"/>
  <c r="H959" i="1"/>
  <c r="G959" i="1"/>
  <c r="F959" i="1"/>
  <c r="E959" i="1"/>
  <c r="K958" i="1"/>
  <c r="J958" i="1"/>
  <c r="I958" i="1"/>
  <c r="H958" i="1"/>
  <c r="G958" i="1"/>
  <c r="F958" i="1"/>
  <c r="E958" i="1"/>
  <c r="K957" i="1"/>
  <c r="J957" i="1"/>
  <c r="I957" i="1"/>
  <c r="H957" i="1"/>
  <c r="G957" i="1"/>
  <c r="F957" i="1"/>
  <c r="E957" i="1"/>
  <c r="K956" i="1"/>
  <c r="J956" i="1"/>
  <c r="I956" i="1"/>
  <c r="H956" i="1"/>
  <c r="G956" i="1"/>
  <c r="F956" i="1"/>
  <c r="E956" i="1"/>
  <c r="K955" i="1"/>
  <c r="J955" i="1"/>
  <c r="I955" i="1"/>
  <c r="H955" i="1"/>
  <c r="G955" i="1"/>
  <c r="F955" i="1"/>
  <c r="E955" i="1"/>
  <c r="K954" i="1"/>
  <c r="J954" i="1"/>
  <c r="I954" i="1"/>
  <c r="H954" i="1"/>
  <c r="G954" i="1"/>
  <c r="F954" i="1"/>
  <c r="E954" i="1"/>
  <c r="K953" i="1"/>
  <c r="J953" i="1"/>
  <c r="I953" i="1"/>
  <c r="H953" i="1"/>
  <c r="G953" i="1"/>
  <c r="F953" i="1"/>
  <c r="E953" i="1"/>
  <c r="K952" i="1"/>
  <c r="J952" i="1"/>
  <c r="I952" i="1"/>
  <c r="H952" i="1"/>
  <c r="G952" i="1"/>
  <c r="F952" i="1"/>
  <c r="E952" i="1"/>
  <c r="K951" i="1"/>
  <c r="J951" i="1"/>
  <c r="I951" i="1"/>
  <c r="H951" i="1"/>
  <c r="G951" i="1"/>
  <c r="F951" i="1"/>
  <c r="E951" i="1"/>
  <c r="K950" i="1"/>
  <c r="J950" i="1"/>
  <c r="I950" i="1"/>
  <c r="H950" i="1"/>
  <c r="G950" i="1"/>
  <c r="F950" i="1"/>
  <c r="E950" i="1"/>
  <c r="K949" i="1"/>
  <c r="J949" i="1"/>
  <c r="I949" i="1"/>
  <c r="H949" i="1"/>
  <c r="G949" i="1"/>
  <c r="F949" i="1"/>
  <c r="E949" i="1"/>
  <c r="K948" i="1"/>
  <c r="J948" i="1"/>
  <c r="I948" i="1"/>
  <c r="H948" i="1"/>
  <c r="G948" i="1"/>
  <c r="F948" i="1"/>
  <c r="E948" i="1"/>
  <c r="K947" i="1"/>
  <c r="J947" i="1"/>
  <c r="I947" i="1"/>
  <c r="H947" i="1"/>
  <c r="G947" i="1"/>
  <c r="F947" i="1"/>
  <c r="E947" i="1"/>
  <c r="K946" i="1"/>
  <c r="J946" i="1"/>
  <c r="I946" i="1"/>
  <c r="H946" i="1"/>
  <c r="G946" i="1"/>
  <c r="F946" i="1"/>
  <c r="E946" i="1"/>
  <c r="K945" i="1"/>
  <c r="J945" i="1"/>
  <c r="I945" i="1"/>
  <c r="H945" i="1"/>
  <c r="G945" i="1"/>
  <c r="F945" i="1"/>
  <c r="E945" i="1"/>
  <c r="K944" i="1"/>
  <c r="J944" i="1"/>
  <c r="I944" i="1"/>
  <c r="H944" i="1"/>
  <c r="G944" i="1"/>
  <c r="F944" i="1"/>
  <c r="E944" i="1"/>
  <c r="K943" i="1"/>
  <c r="J943" i="1"/>
  <c r="I943" i="1"/>
  <c r="H943" i="1"/>
  <c r="G943" i="1"/>
  <c r="F943" i="1"/>
  <c r="E943" i="1"/>
  <c r="K942" i="1"/>
  <c r="J942" i="1"/>
  <c r="I942" i="1"/>
  <c r="H942" i="1"/>
  <c r="G942" i="1"/>
  <c r="F942" i="1"/>
  <c r="E942" i="1"/>
  <c r="K941" i="1"/>
  <c r="J941" i="1"/>
  <c r="I941" i="1"/>
  <c r="H941" i="1"/>
  <c r="G941" i="1"/>
  <c r="F941" i="1"/>
  <c r="E941" i="1"/>
  <c r="K940" i="1"/>
  <c r="J940" i="1"/>
  <c r="I940" i="1"/>
  <c r="H940" i="1"/>
  <c r="G940" i="1"/>
  <c r="F940" i="1"/>
  <c r="E940" i="1"/>
  <c r="K939" i="1"/>
  <c r="J939" i="1"/>
  <c r="I939" i="1"/>
  <c r="H939" i="1"/>
  <c r="G939" i="1"/>
  <c r="F939" i="1"/>
  <c r="E939" i="1"/>
  <c r="K938" i="1"/>
  <c r="J938" i="1"/>
  <c r="I938" i="1"/>
  <c r="H938" i="1"/>
  <c r="G938" i="1"/>
  <c r="F938" i="1"/>
  <c r="E938" i="1"/>
  <c r="K937" i="1"/>
  <c r="J937" i="1"/>
  <c r="I937" i="1"/>
  <c r="H937" i="1"/>
  <c r="G937" i="1"/>
  <c r="F937" i="1"/>
  <c r="E937" i="1"/>
  <c r="K936" i="1"/>
  <c r="J936" i="1"/>
  <c r="I936" i="1"/>
  <c r="H936" i="1"/>
  <c r="G936" i="1"/>
  <c r="F936" i="1"/>
  <c r="E936" i="1"/>
  <c r="K935" i="1"/>
  <c r="J935" i="1"/>
  <c r="I935" i="1"/>
  <c r="H935" i="1"/>
  <c r="G935" i="1"/>
  <c r="F935" i="1"/>
  <c r="E935" i="1"/>
  <c r="K934" i="1"/>
  <c r="J934" i="1"/>
  <c r="I934" i="1"/>
  <c r="H934" i="1"/>
  <c r="G934" i="1"/>
  <c r="F934" i="1"/>
  <c r="E934" i="1"/>
  <c r="K933" i="1"/>
  <c r="J933" i="1"/>
  <c r="I933" i="1"/>
  <c r="H933" i="1"/>
  <c r="G933" i="1"/>
  <c r="F933" i="1"/>
  <c r="E933" i="1"/>
  <c r="K932" i="1"/>
  <c r="J932" i="1"/>
  <c r="I932" i="1"/>
  <c r="H932" i="1"/>
  <c r="G932" i="1"/>
  <c r="F932" i="1"/>
  <c r="E932" i="1"/>
  <c r="K931" i="1"/>
  <c r="J931" i="1"/>
  <c r="I931" i="1"/>
  <c r="H931" i="1"/>
  <c r="G931" i="1"/>
  <c r="F931" i="1"/>
  <c r="E931" i="1"/>
  <c r="K930" i="1"/>
  <c r="J930" i="1"/>
  <c r="I930" i="1"/>
  <c r="H930" i="1"/>
  <c r="G930" i="1"/>
  <c r="F930" i="1"/>
  <c r="E930" i="1"/>
  <c r="K929" i="1"/>
  <c r="J929" i="1"/>
  <c r="I929" i="1"/>
  <c r="H929" i="1"/>
  <c r="G929" i="1"/>
  <c r="F929" i="1"/>
  <c r="E929" i="1"/>
  <c r="K928" i="1"/>
  <c r="J928" i="1"/>
  <c r="I928" i="1"/>
  <c r="H928" i="1"/>
  <c r="G928" i="1"/>
  <c r="F928" i="1"/>
  <c r="E928" i="1"/>
  <c r="K927" i="1"/>
  <c r="J927" i="1"/>
  <c r="I927" i="1"/>
  <c r="H927" i="1"/>
  <c r="G927" i="1"/>
  <c r="F927" i="1"/>
  <c r="E927" i="1"/>
  <c r="K926" i="1"/>
  <c r="J926" i="1"/>
  <c r="I926" i="1"/>
  <c r="H926" i="1"/>
  <c r="G926" i="1"/>
  <c r="F926" i="1"/>
  <c r="E926" i="1"/>
  <c r="K925" i="1"/>
  <c r="J925" i="1"/>
  <c r="I925" i="1"/>
  <c r="H925" i="1"/>
  <c r="G925" i="1"/>
  <c r="F925" i="1"/>
  <c r="E925" i="1"/>
  <c r="K924" i="1"/>
  <c r="J924" i="1"/>
  <c r="I924" i="1"/>
  <c r="H924" i="1"/>
  <c r="G924" i="1"/>
  <c r="F924" i="1"/>
  <c r="E924" i="1"/>
  <c r="K923" i="1"/>
  <c r="J923" i="1"/>
  <c r="I923" i="1"/>
  <c r="H923" i="1"/>
  <c r="G923" i="1"/>
  <c r="F923" i="1"/>
  <c r="E923" i="1"/>
  <c r="K922" i="1"/>
  <c r="J922" i="1"/>
  <c r="I922" i="1"/>
  <c r="H922" i="1"/>
  <c r="G922" i="1"/>
  <c r="F922" i="1"/>
  <c r="E922" i="1"/>
  <c r="K921" i="1"/>
  <c r="J921" i="1"/>
  <c r="I921" i="1"/>
  <c r="H921" i="1"/>
  <c r="G921" i="1"/>
  <c r="F921" i="1"/>
  <c r="E921" i="1"/>
  <c r="K920" i="1"/>
  <c r="J920" i="1"/>
  <c r="I920" i="1"/>
  <c r="H920" i="1"/>
  <c r="G920" i="1"/>
  <c r="F920" i="1"/>
  <c r="E920" i="1"/>
  <c r="K919" i="1"/>
  <c r="J919" i="1"/>
  <c r="I919" i="1"/>
  <c r="H919" i="1"/>
  <c r="G919" i="1"/>
  <c r="F919" i="1"/>
  <c r="E919" i="1"/>
  <c r="K918" i="1"/>
  <c r="J918" i="1"/>
  <c r="I918" i="1"/>
  <c r="H918" i="1"/>
  <c r="G918" i="1"/>
  <c r="F918" i="1"/>
  <c r="E918" i="1"/>
  <c r="K917" i="1"/>
  <c r="J917" i="1"/>
  <c r="I917" i="1"/>
  <c r="H917" i="1"/>
  <c r="G917" i="1"/>
  <c r="F917" i="1"/>
  <c r="E917" i="1"/>
  <c r="K916" i="1"/>
  <c r="J916" i="1"/>
  <c r="I916" i="1"/>
  <c r="H916" i="1"/>
  <c r="G916" i="1"/>
  <c r="F916" i="1"/>
  <c r="E916" i="1"/>
  <c r="K915" i="1"/>
  <c r="J915" i="1"/>
  <c r="I915" i="1"/>
  <c r="H915" i="1"/>
  <c r="G915" i="1"/>
  <c r="F915" i="1"/>
  <c r="E915" i="1"/>
  <c r="K914" i="1"/>
  <c r="J914" i="1"/>
  <c r="I914" i="1"/>
  <c r="H914" i="1"/>
  <c r="G914" i="1"/>
  <c r="F914" i="1"/>
  <c r="E914" i="1"/>
  <c r="K913" i="1"/>
  <c r="J913" i="1"/>
  <c r="I913" i="1"/>
  <c r="H913" i="1"/>
  <c r="G913" i="1"/>
  <c r="F913" i="1"/>
  <c r="E913" i="1"/>
  <c r="K912" i="1"/>
  <c r="J912" i="1"/>
  <c r="I912" i="1"/>
  <c r="H912" i="1"/>
  <c r="G912" i="1"/>
  <c r="F912" i="1"/>
  <c r="E912" i="1"/>
  <c r="K911" i="1"/>
  <c r="J911" i="1"/>
  <c r="I911" i="1"/>
  <c r="H911" i="1"/>
  <c r="G911" i="1"/>
  <c r="F911" i="1"/>
  <c r="E911" i="1"/>
  <c r="K910" i="1"/>
  <c r="J910" i="1"/>
  <c r="I910" i="1"/>
  <c r="H910" i="1"/>
  <c r="G910" i="1"/>
  <c r="F910" i="1"/>
  <c r="E910" i="1"/>
  <c r="K909" i="1"/>
  <c r="J909" i="1"/>
  <c r="I909" i="1"/>
  <c r="H909" i="1"/>
  <c r="G909" i="1"/>
  <c r="F909" i="1"/>
  <c r="E909" i="1"/>
  <c r="K908" i="1"/>
  <c r="J908" i="1"/>
  <c r="I908" i="1"/>
  <c r="H908" i="1"/>
  <c r="G908" i="1"/>
  <c r="F908" i="1"/>
  <c r="E908" i="1"/>
  <c r="K907" i="1"/>
  <c r="J907" i="1"/>
  <c r="I907" i="1"/>
  <c r="H907" i="1"/>
  <c r="G907" i="1"/>
  <c r="F907" i="1"/>
  <c r="E907" i="1"/>
  <c r="K906" i="1"/>
  <c r="J906" i="1"/>
  <c r="I906" i="1"/>
  <c r="H906" i="1"/>
  <c r="G906" i="1"/>
  <c r="F906" i="1"/>
  <c r="E906" i="1"/>
  <c r="K905" i="1"/>
  <c r="J905" i="1"/>
  <c r="I905" i="1"/>
  <c r="H905" i="1"/>
  <c r="G905" i="1"/>
  <c r="F905" i="1"/>
  <c r="E905" i="1"/>
  <c r="K904" i="1"/>
  <c r="J904" i="1"/>
  <c r="I904" i="1"/>
  <c r="H904" i="1"/>
  <c r="G904" i="1"/>
  <c r="F904" i="1"/>
  <c r="E904" i="1"/>
  <c r="K903" i="1"/>
  <c r="J903" i="1"/>
  <c r="I903" i="1"/>
  <c r="H903" i="1"/>
  <c r="G903" i="1"/>
  <c r="F903" i="1"/>
  <c r="E903" i="1"/>
  <c r="K902" i="1"/>
  <c r="J902" i="1"/>
  <c r="I902" i="1"/>
  <c r="H902" i="1"/>
  <c r="G902" i="1"/>
  <c r="F902" i="1"/>
  <c r="E902" i="1"/>
  <c r="K901" i="1"/>
  <c r="J901" i="1"/>
  <c r="I901" i="1"/>
  <c r="H901" i="1"/>
  <c r="G901" i="1"/>
  <c r="F901" i="1"/>
  <c r="E901" i="1"/>
  <c r="K900" i="1"/>
  <c r="J900" i="1"/>
  <c r="I900" i="1"/>
  <c r="H900" i="1"/>
  <c r="G900" i="1"/>
  <c r="F900" i="1"/>
  <c r="E900" i="1"/>
  <c r="K899" i="1"/>
  <c r="J899" i="1"/>
  <c r="I899" i="1"/>
  <c r="H899" i="1"/>
  <c r="G899" i="1"/>
  <c r="F899" i="1"/>
  <c r="E899" i="1"/>
  <c r="K898" i="1"/>
  <c r="J898" i="1"/>
  <c r="I898" i="1"/>
  <c r="H898" i="1"/>
  <c r="G898" i="1"/>
  <c r="F898" i="1"/>
  <c r="E898" i="1"/>
  <c r="K897" i="1"/>
  <c r="J897" i="1"/>
  <c r="I897" i="1"/>
  <c r="H897" i="1"/>
  <c r="G897" i="1"/>
  <c r="F897" i="1"/>
  <c r="E897" i="1"/>
  <c r="K896" i="1"/>
  <c r="J896" i="1"/>
  <c r="I896" i="1"/>
  <c r="H896" i="1"/>
  <c r="G896" i="1"/>
  <c r="F896" i="1"/>
  <c r="E896" i="1"/>
  <c r="K895" i="1"/>
  <c r="J895" i="1"/>
  <c r="I895" i="1"/>
  <c r="H895" i="1"/>
  <c r="G895" i="1"/>
  <c r="F895" i="1"/>
  <c r="E895" i="1"/>
  <c r="K894" i="1"/>
  <c r="J894" i="1"/>
  <c r="I894" i="1"/>
  <c r="H894" i="1"/>
  <c r="G894" i="1"/>
  <c r="F894" i="1"/>
  <c r="E894" i="1"/>
  <c r="K893" i="1"/>
  <c r="J893" i="1"/>
  <c r="I893" i="1"/>
  <c r="H893" i="1"/>
  <c r="G893" i="1"/>
  <c r="F893" i="1"/>
  <c r="E893" i="1"/>
  <c r="K892" i="1"/>
  <c r="J892" i="1"/>
  <c r="I892" i="1"/>
  <c r="H892" i="1"/>
  <c r="G892" i="1"/>
  <c r="F892" i="1"/>
  <c r="E892" i="1"/>
  <c r="K891" i="1"/>
  <c r="J891" i="1"/>
  <c r="I891" i="1"/>
  <c r="H891" i="1"/>
  <c r="G891" i="1"/>
  <c r="F891" i="1"/>
  <c r="E891" i="1"/>
  <c r="K890" i="1"/>
  <c r="J890" i="1"/>
  <c r="I890" i="1"/>
  <c r="H890" i="1"/>
  <c r="G890" i="1"/>
  <c r="F890" i="1"/>
  <c r="E890" i="1"/>
  <c r="K889" i="1"/>
  <c r="J889" i="1"/>
  <c r="I889" i="1"/>
  <c r="H889" i="1"/>
  <c r="G889" i="1"/>
  <c r="F889" i="1"/>
  <c r="E889" i="1"/>
  <c r="K888" i="1"/>
  <c r="J888" i="1"/>
  <c r="I888" i="1"/>
  <c r="H888" i="1"/>
  <c r="G888" i="1"/>
  <c r="F888" i="1"/>
  <c r="E888" i="1"/>
  <c r="K887" i="1"/>
  <c r="J887" i="1"/>
  <c r="I887" i="1"/>
  <c r="H887" i="1"/>
  <c r="G887" i="1"/>
  <c r="F887" i="1"/>
  <c r="E887" i="1"/>
  <c r="K886" i="1"/>
  <c r="J886" i="1"/>
  <c r="I886" i="1"/>
  <c r="H886" i="1"/>
  <c r="G886" i="1"/>
  <c r="F886" i="1"/>
  <c r="E886" i="1"/>
  <c r="K885" i="1"/>
  <c r="J885" i="1"/>
  <c r="I885" i="1"/>
  <c r="H885" i="1"/>
  <c r="G885" i="1"/>
  <c r="F885" i="1"/>
  <c r="E885" i="1"/>
  <c r="K884" i="1"/>
  <c r="J884" i="1"/>
  <c r="I884" i="1"/>
  <c r="H884" i="1"/>
  <c r="G884" i="1"/>
  <c r="F884" i="1"/>
  <c r="E884" i="1"/>
  <c r="K883" i="1"/>
  <c r="J883" i="1"/>
  <c r="I883" i="1"/>
  <c r="H883" i="1"/>
  <c r="G883" i="1"/>
  <c r="F883" i="1"/>
  <c r="E883" i="1"/>
  <c r="K882" i="1"/>
  <c r="J882" i="1"/>
  <c r="I882" i="1"/>
  <c r="H882" i="1"/>
  <c r="G882" i="1"/>
  <c r="F882" i="1"/>
  <c r="E882" i="1"/>
  <c r="K881" i="1"/>
  <c r="J881" i="1"/>
  <c r="I881" i="1"/>
  <c r="H881" i="1"/>
  <c r="G881" i="1"/>
  <c r="F881" i="1"/>
  <c r="E881" i="1"/>
  <c r="K880" i="1"/>
  <c r="J880" i="1"/>
  <c r="I880" i="1"/>
  <c r="H880" i="1"/>
  <c r="G880" i="1"/>
  <c r="F880" i="1"/>
  <c r="E880" i="1"/>
  <c r="K879" i="1"/>
  <c r="J879" i="1"/>
  <c r="I879" i="1"/>
  <c r="H879" i="1"/>
  <c r="G879" i="1"/>
  <c r="F879" i="1"/>
  <c r="E879" i="1"/>
  <c r="K878" i="1"/>
  <c r="J878" i="1"/>
  <c r="I878" i="1"/>
  <c r="H878" i="1"/>
  <c r="G878" i="1"/>
  <c r="F878" i="1"/>
  <c r="E878" i="1"/>
  <c r="K877" i="1"/>
  <c r="J877" i="1"/>
  <c r="I877" i="1"/>
  <c r="H877" i="1"/>
  <c r="G877" i="1"/>
  <c r="F877" i="1"/>
  <c r="E877" i="1"/>
  <c r="K876" i="1"/>
  <c r="J876" i="1"/>
  <c r="I876" i="1"/>
  <c r="H876" i="1"/>
  <c r="G876" i="1"/>
  <c r="F876" i="1"/>
  <c r="E876" i="1"/>
  <c r="K875" i="1"/>
  <c r="J875" i="1"/>
  <c r="I875" i="1"/>
  <c r="H875" i="1"/>
  <c r="G875" i="1"/>
  <c r="F875" i="1"/>
  <c r="E875" i="1"/>
  <c r="K874" i="1"/>
  <c r="J874" i="1"/>
  <c r="I874" i="1"/>
  <c r="H874" i="1"/>
  <c r="G874" i="1"/>
  <c r="F874" i="1"/>
  <c r="E874" i="1"/>
  <c r="K873" i="1"/>
  <c r="J873" i="1"/>
  <c r="I873" i="1"/>
  <c r="H873" i="1"/>
  <c r="G873" i="1"/>
  <c r="F873" i="1"/>
  <c r="E873" i="1"/>
  <c r="K872" i="1"/>
  <c r="J872" i="1"/>
  <c r="I872" i="1"/>
  <c r="H872" i="1"/>
  <c r="G872" i="1"/>
  <c r="F872" i="1"/>
  <c r="E872" i="1"/>
  <c r="K871" i="1"/>
  <c r="J871" i="1"/>
  <c r="I871" i="1"/>
  <c r="H871" i="1"/>
  <c r="G871" i="1"/>
  <c r="F871" i="1"/>
  <c r="E871" i="1"/>
  <c r="K870" i="1"/>
  <c r="J870" i="1"/>
  <c r="I870" i="1"/>
  <c r="H870" i="1"/>
  <c r="G870" i="1"/>
  <c r="F870" i="1"/>
  <c r="E870" i="1"/>
  <c r="K869" i="1"/>
  <c r="J869" i="1"/>
  <c r="I869" i="1"/>
  <c r="H869" i="1"/>
  <c r="G869" i="1"/>
  <c r="F869" i="1"/>
  <c r="E869" i="1"/>
  <c r="K868" i="1"/>
  <c r="J868" i="1"/>
  <c r="I868" i="1"/>
  <c r="H868" i="1"/>
  <c r="G868" i="1"/>
  <c r="F868" i="1"/>
  <c r="E868" i="1"/>
  <c r="K867" i="1"/>
  <c r="J867" i="1"/>
  <c r="I867" i="1"/>
  <c r="H867" i="1"/>
  <c r="G867" i="1"/>
  <c r="F867" i="1"/>
  <c r="E867" i="1"/>
  <c r="K866" i="1"/>
  <c r="J866" i="1"/>
  <c r="I866" i="1"/>
  <c r="H866" i="1"/>
  <c r="G866" i="1"/>
  <c r="F866" i="1"/>
  <c r="E866" i="1"/>
  <c r="K865" i="1"/>
  <c r="J865" i="1"/>
  <c r="I865" i="1"/>
  <c r="H865" i="1"/>
  <c r="G865" i="1"/>
  <c r="F865" i="1"/>
  <c r="E865" i="1"/>
  <c r="K864" i="1"/>
  <c r="J864" i="1"/>
  <c r="I864" i="1"/>
  <c r="H864" i="1"/>
  <c r="G864" i="1"/>
  <c r="F864" i="1"/>
  <c r="E864" i="1"/>
  <c r="K863" i="1"/>
  <c r="J863" i="1"/>
  <c r="I863" i="1"/>
  <c r="H863" i="1"/>
  <c r="G863" i="1"/>
  <c r="F863" i="1"/>
  <c r="E863" i="1"/>
  <c r="K862" i="1"/>
  <c r="J862" i="1"/>
  <c r="I862" i="1"/>
  <c r="H862" i="1"/>
  <c r="G862" i="1"/>
  <c r="F862" i="1"/>
  <c r="E862" i="1"/>
  <c r="K861" i="1"/>
  <c r="J861" i="1"/>
  <c r="I861" i="1"/>
  <c r="H861" i="1"/>
  <c r="G861" i="1"/>
  <c r="F861" i="1"/>
  <c r="E861" i="1"/>
  <c r="K860" i="1"/>
  <c r="J860" i="1"/>
  <c r="I860" i="1"/>
  <c r="H860" i="1"/>
  <c r="G860" i="1"/>
  <c r="F860" i="1"/>
  <c r="E860" i="1"/>
  <c r="K859" i="1"/>
  <c r="J859" i="1"/>
  <c r="I859" i="1"/>
  <c r="H859" i="1"/>
  <c r="G859" i="1"/>
  <c r="F859" i="1"/>
  <c r="E859" i="1"/>
  <c r="K858" i="1"/>
  <c r="J858" i="1"/>
  <c r="I858" i="1"/>
  <c r="H858" i="1"/>
  <c r="G858" i="1"/>
  <c r="F858" i="1"/>
  <c r="E858" i="1"/>
  <c r="K857" i="1"/>
  <c r="J857" i="1"/>
  <c r="I857" i="1"/>
  <c r="H857" i="1"/>
  <c r="G857" i="1"/>
  <c r="F857" i="1"/>
  <c r="E857" i="1"/>
  <c r="K856" i="1"/>
  <c r="J856" i="1"/>
  <c r="I856" i="1"/>
  <c r="H856" i="1"/>
  <c r="G856" i="1"/>
  <c r="F856" i="1"/>
  <c r="E856" i="1"/>
  <c r="K855" i="1"/>
  <c r="J855" i="1"/>
  <c r="I855" i="1"/>
  <c r="H855" i="1"/>
  <c r="G855" i="1"/>
  <c r="F855" i="1"/>
  <c r="E855" i="1"/>
  <c r="K854" i="1"/>
  <c r="J854" i="1"/>
  <c r="I854" i="1"/>
  <c r="H854" i="1"/>
  <c r="G854" i="1"/>
  <c r="F854" i="1"/>
  <c r="E854" i="1"/>
  <c r="K853" i="1"/>
  <c r="J853" i="1"/>
  <c r="I853" i="1"/>
  <c r="H853" i="1"/>
  <c r="G853" i="1"/>
  <c r="F853" i="1"/>
  <c r="E853" i="1"/>
  <c r="K852" i="1"/>
  <c r="J852" i="1"/>
  <c r="I852" i="1"/>
  <c r="H852" i="1"/>
  <c r="G852" i="1"/>
  <c r="F852" i="1"/>
  <c r="E852" i="1"/>
  <c r="K851" i="1"/>
  <c r="J851" i="1"/>
  <c r="I851" i="1"/>
  <c r="H851" i="1"/>
  <c r="G851" i="1"/>
  <c r="F851" i="1"/>
  <c r="E851" i="1"/>
  <c r="K850" i="1"/>
  <c r="J850" i="1"/>
  <c r="I850" i="1"/>
  <c r="H850" i="1"/>
  <c r="G850" i="1"/>
  <c r="F850" i="1"/>
  <c r="E850" i="1"/>
  <c r="K849" i="1"/>
  <c r="J849" i="1"/>
  <c r="I849" i="1"/>
  <c r="H849" i="1"/>
  <c r="G849" i="1"/>
  <c r="F849" i="1"/>
  <c r="E849" i="1"/>
  <c r="K848" i="1"/>
  <c r="J848" i="1"/>
  <c r="I848" i="1"/>
  <c r="H848" i="1"/>
  <c r="G848" i="1"/>
  <c r="F848" i="1"/>
  <c r="E848" i="1"/>
  <c r="K847" i="1"/>
  <c r="J847" i="1"/>
  <c r="I847" i="1"/>
  <c r="H847" i="1"/>
  <c r="G847" i="1"/>
  <c r="F847" i="1"/>
  <c r="E847" i="1"/>
  <c r="K846" i="1"/>
  <c r="J846" i="1"/>
  <c r="I846" i="1"/>
  <c r="H846" i="1"/>
  <c r="G846" i="1"/>
  <c r="F846" i="1"/>
  <c r="E846" i="1"/>
  <c r="K845" i="1"/>
  <c r="J845" i="1"/>
  <c r="I845" i="1"/>
  <c r="H845" i="1"/>
  <c r="G845" i="1"/>
  <c r="F845" i="1"/>
  <c r="E845" i="1"/>
  <c r="K844" i="1"/>
  <c r="J844" i="1"/>
  <c r="I844" i="1"/>
  <c r="H844" i="1"/>
  <c r="G844" i="1"/>
  <c r="F844" i="1"/>
  <c r="E844" i="1"/>
  <c r="K843" i="1"/>
  <c r="J843" i="1"/>
  <c r="I843" i="1"/>
  <c r="H843" i="1"/>
  <c r="G843" i="1"/>
  <c r="F843" i="1"/>
  <c r="E843" i="1"/>
  <c r="K842" i="1"/>
  <c r="J842" i="1"/>
  <c r="I842" i="1"/>
  <c r="H842" i="1"/>
  <c r="G842" i="1"/>
  <c r="F842" i="1"/>
  <c r="E842" i="1"/>
  <c r="K841" i="1"/>
  <c r="J841" i="1"/>
  <c r="I841" i="1"/>
  <c r="H841" i="1"/>
  <c r="G841" i="1"/>
  <c r="F841" i="1"/>
  <c r="E841" i="1"/>
  <c r="K840" i="1"/>
  <c r="J840" i="1"/>
  <c r="I840" i="1"/>
  <c r="H840" i="1"/>
  <c r="G840" i="1"/>
  <c r="F840" i="1"/>
  <c r="E840" i="1"/>
  <c r="K839" i="1"/>
  <c r="J839" i="1"/>
  <c r="I839" i="1"/>
  <c r="H839" i="1"/>
  <c r="G839" i="1"/>
  <c r="F839" i="1"/>
  <c r="E839" i="1"/>
  <c r="K838" i="1"/>
  <c r="J838" i="1"/>
  <c r="I838" i="1"/>
  <c r="H838" i="1"/>
  <c r="G838" i="1"/>
  <c r="F838" i="1"/>
  <c r="E838" i="1"/>
  <c r="K837" i="1"/>
  <c r="J837" i="1"/>
  <c r="I837" i="1"/>
  <c r="H837" i="1"/>
  <c r="G837" i="1"/>
  <c r="F837" i="1"/>
  <c r="E837" i="1"/>
  <c r="K836" i="1"/>
  <c r="J836" i="1"/>
  <c r="I836" i="1"/>
  <c r="H836" i="1"/>
  <c r="G836" i="1"/>
  <c r="F836" i="1"/>
  <c r="E836" i="1"/>
  <c r="K835" i="1"/>
  <c r="J835" i="1"/>
  <c r="I835" i="1"/>
  <c r="H835" i="1"/>
  <c r="G835" i="1"/>
  <c r="F835" i="1"/>
  <c r="E835" i="1"/>
  <c r="K834" i="1"/>
  <c r="J834" i="1"/>
  <c r="I834" i="1"/>
  <c r="H834" i="1"/>
  <c r="G834" i="1"/>
  <c r="F834" i="1"/>
  <c r="E834" i="1"/>
  <c r="K833" i="1"/>
  <c r="J833" i="1"/>
  <c r="I833" i="1"/>
  <c r="H833" i="1"/>
  <c r="G833" i="1"/>
  <c r="F833" i="1"/>
  <c r="E833" i="1"/>
  <c r="K832" i="1"/>
  <c r="J832" i="1"/>
  <c r="I832" i="1"/>
  <c r="H832" i="1"/>
  <c r="G832" i="1"/>
  <c r="F832" i="1"/>
  <c r="E832" i="1"/>
  <c r="K831" i="1"/>
  <c r="J831" i="1"/>
  <c r="I831" i="1"/>
  <c r="H831" i="1"/>
  <c r="G831" i="1"/>
  <c r="F831" i="1"/>
  <c r="E831" i="1"/>
  <c r="K830" i="1"/>
  <c r="J830" i="1"/>
  <c r="I830" i="1"/>
  <c r="H830" i="1"/>
  <c r="G830" i="1"/>
  <c r="F830" i="1"/>
  <c r="E830" i="1"/>
  <c r="K829" i="1"/>
  <c r="J829" i="1"/>
  <c r="I829" i="1"/>
  <c r="H829" i="1"/>
  <c r="G829" i="1"/>
  <c r="F829" i="1"/>
  <c r="E829" i="1"/>
  <c r="K828" i="1"/>
  <c r="J828" i="1"/>
  <c r="I828" i="1"/>
  <c r="H828" i="1"/>
  <c r="G828" i="1"/>
  <c r="F828" i="1"/>
  <c r="E828" i="1"/>
  <c r="K827" i="1"/>
  <c r="J827" i="1"/>
  <c r="I827" i="1"/>
  <c r="H827" i="1"/>
  <c r="G827" i="1"/>
  <c r="F827" i="1"/>
  <c r="E827" i="1"/>
  <c r="K826" i="1"/>
  <c r="J826" i="1"/>
  <c r="I826" i="1"/>
  <c r="H826" i="1"/>
  <c r="G826" i="1"/>
  <c r="F826" i="1"/>
  <c r="E826" i="1"/>
  <c r="K825" i="1"/>
  <c r="J825" i="1"/>
  <c r="I825" i="1"/>
  <c r="H825" i="1"/>
  <c r="G825" i="1"/>
  <c r="F825" i="1"/>
  <c r="E825" i="1"/>
  <c r="K824" i="1"/>
  <c r="J824" i="1"/>
  <c r="I824" i="1"/>
  <c r="H824" i="1"/>
  <c r="G824" i="1"/>
  <c r="F824" i="1"/>
  <c r="E824" i="1"/>
  <c r="K823" i="1"/>
  <c r="J823" i="1"/>
  <c r="I823" i="1"/>
  <c r="H823" i="1"/>
  <c r="G823" i="1"/>
  <c r="F823" i="1"/>
  <c r="E823" i="1"/>
  <c r="K822" i="1"/>
  <c r="J822" i="1"/>
  <c r="I822" i="1"/>
  <c r="H822" i="1"/>
  <c r="G822" i="1"/>
  <c r="F822" i="1"/>
  <c r="E822" i="1"/>
  <c r="K821" i="1"/>
  <c r="J821" i="1"/>
  <c r="I821" i="1"/>
  <c r="H821" i="1"/>
  <c r="G821" i="1"/>
  <c r="F821" i="1"/>
  <c r="E821" i="1"/>
  <c r="K820" i="1"/>
  <c r="J820" i="1"/>
  <c r="I820" i="1"/>
  <c r="H820" i="1"/>
  <c r="G820" i="1"/>
  <c r="F820" i="1"/>
  <c r="E820" i="1"/>
  <c r="K819" i="1"/>
  <c r="J819" i="1"/>
  <c r="I819" i="1"/>
  <c r="H819" i="1"/>
  <c r="G819" i="1"/>
  <c r="F819" i="1"/>
  <c r="E819" i="1"/>
  <c r="K818" i="1"/>
  <c r="J818" i="1"/>
  <c r="I818" i="1"/>
  <c r="H818" i="1"/>
  <c r="G818" i="1"/>
  <c r="F818" i="1"/>
  <c r="E818" i="1"/>
  <c r="K817" i="1"/>
  <c r="J817" i="1"/>
  <c r="I817" i="1"/>
  <c r="H817" i="1"/>
  <c r="G817" i="1"/>
  <c r="F817" i="1"/>
  <c r="E817" i="1"/>
  <c r="K816" i="1"/>
  <c r="J816" i="1"/>
  <c r="I816" i="1"/>
  <c r="H816" i="1"/>
  <c r="G816" i="1"/>
  <c r="F816" i="1"/>
  <c r="E816" i="1"/>
  <c r="K815" i="1"/>
  <c r="J815" i="1"/>
  <c r="I815" i="1"/>
  <c r="H815" i="1"/>
  <c r="G815" i="1"/>
  <c r="F815" i="1"/>
  <c r="E815" i="1"/>
  <c r="K814" i="1"/>
  <c r="J814" i="1"/>
  <c r="I814" i="1"/>
  <c r="H814" i="1"/>
  <c r="G814" i="1"/>
  <c r="F814" i="1"/>
  <c r="E814" i="1"/>
  <c r="K813" i="1"/>
  <c r="J813" i="1"/>
  <c r="I813" i="1"/>
  <c r="H813" i="1"/>
  <c r="G813" i="1"/>
  <c r="F813" i="1"/>
  <c r="E813" i="1"/>
  <c r="K812" i="1"/>
  <c r="J812" i="1"/>
  <c r="I812" i="1"/>
  <c r="H812" i="1"/>
  <c r="G812" i="1"/>
  <c r="F812" i="1"/>
  <c r="E812" i="1"/>
  <c r="K811" i="1"/>
  <c r="J811" i="1"/>
  <c r="I811" i="1"/>
  <c r="H811" i="1"/>
  <c r="G811" i="1"/>
  <c r="F811" i="1"/>
  <c r="E811" i="1"/>
  <c r="K810" i="1"/>
  <c r="J810" i="1"/>
  <c r="I810" i="1"/>
  <c r="H810" i="1"/>
  <c r="G810" i="1"/>
  <c r="F810" i="1"/>
  <c r="E810" i="1"/>
  <c r="K809" i="1"/>
  <c r="J809" i="1"/>
  <c r="I809" i="1"/>
  <c r="H809" i="1"/>
  <c r="G809" i="1"/>
  <c r="F809" i="1"/>
  <c r="E809" i="1"/>
  <c r="K808" i="1"/>
  <c r="J808" i="1"/>
  <c r="I808" i="1"/>
  <c r="H808" i="1"/>
  <c r="G808" i="1"/>
  <c r="F808" i="1"/>
  <c r="E808" i="1"/>
  <c r="K807" i="1"/>
  <c r="J807" i="1"/>
  <c r="I807" i="1"/>
  <c r="H807" i="1"/>
  <c r="G807" i="1"/>
  <c r="F807" i="1"/>
  <c r="E807" i="1"/>
  <c r="K806" i="1"/>
  <c r="J806" i="1"/>
  <c r="I806" i="1"/>
  <c r="H806" i="1"/>
  <c r="G806" i="1"/>
  <c r="F806" i="1"/>
  <c r="E806" i="1"/>
  <c r="K805" i="1"/>
  <c r="J805" i="1"/>
  <c r="I805" i="1"/>
  <c r="H805" i="1"/>
  <c r="G805" i="1"/>
  <c r="F805" i="1"/>
  <c r="E805" i="1"/>
  <c r="K804" i="1"/>
  <c r="J804" i="1"/>
  <c r="I804" i="1"/>
  <c r="H804" i="1"/>
  <c r="G804" i="1"/>
  <c r="F804" i="1"/>
  <c r="E804" i="1"/>
  <c r="K803" i="1"/>
  <c r="J803" i="1"/>
  <c r="I803" i="1"/>
  <c r="H803" i="1"/>
  <c r="G803" i="1"/>
  <c r="F803" i="1"/>
  <c r="E803" i="1"/>
  <c r="K802" i="1"/>
  <c r="J802" i="1"/>
  <c r="I802" i="1"/>
  <c r="H802" i="1"/>
  <c r="G802" i="1"/>
  <c r="F802" i="1"/>
  <c r="E802" i="1"/>
  <c r="K801" i="1"/>
  <c r="J801" i="1"/>
  <c r="I801" i="1"/>
  <c r="H801" i="1"/>
  <c r="G801" i="1"/>
  <c r="F801" i="1"/>
  <c r="E801" i="1"/>
  <c r="K800" i="1"/>
  <c r="J800" i="1"/>
  <c r="I800" i="1"/>
  <c r="H800" i="1"/>
  <c r="G800" i="1"/>
  <c r="F800" i="1"/>
  <c r="E800" i="1"/>
  <c r="K799" i="1"/>
  <c r="J799" i="1"/>
  <c r="I799" i="1"/>
  <c r="H799" i="1"/>
  <c r="G799" i="1"/>
  <c r="F799" i="1"/>
  <c r="E799" i="1"/>
  <c r="K798" i="1"/>
  <c r="J798" i="1"/>
  <c r="I798" i="1"/>
  <c r="H798" i="1"/>
  <c r="G798" i="1"/>
  <c r="F798" i="1"/>
  <c r="E798" i="1"/>
  <c r="K797" i="1"/>
  <c r="J797" i="1"/>
  <c r="I797" i="1"/>
  <c r="H797" i="1"/>
  <c r="G797" i="1"/>
  <c r="F797" i="1"/>
  <c r="E797" i="1"/>
  <c r="K796" i="1"/>
  <c r="J796" i="1"/>
  <c r="I796" i="1"/>
  <c r="H796" i="1"/>
  <c r="G796" i="1"/>
  <c r="F796" i="1"/>
  <c r="E796" i="1"/>
  <c r="K795" i="1"/>
  <c r="J795" i="1"/>
  <c r="I795" i="1"/>
  <c r="H795" i="1"/>
  <c r="G795" i="1"/>
  <c r="F795" i="1"/>
  <c r="E795" i="1"/>
  <c r="K794" i="1"/>
  <c r="J794" i="1"/>
  <c r="I794" i="1"/>
  <c r="H794" i="1"/>
  <c r="G794" i="1"/>
  <c r="F794" i="1"/>
  <c r="E794" i="1"/>
  <c r="K793" i="1"/>
  <c r="J793" i="1"/>
  <c r="I793" i="1"/>
  <c r="H793" i="1"/>
  <c r="G793" i="1"/>
  <c r="F793" i="1"/>
  <c r="E793" i="1"/>
  <c r="K792" i="1"/>
  <c r="J792" i="1"/>
  <c r="I792" i="1"/>
  <c r="H792" i="1"/>
  <c r="G792" i="1"/>
  <c r="F792" i="1"/>
  <c r="E792" i="1"/>
  <c r="K791" i="1"/>
  <c r="J791" i="1"/>
  <c r="I791" i="1"/>
  <c r="H791" i="1"/>
  <c r="G791" i="1"/>
  <c r="F791" i="1"/>
  <c r="E791" i="1"/>
  <c r="K790" i="1"/>
  <c r="J790" i="1"/>
  <c r="I790" i="1"/>
  <c r="H790" i="1"/>
  <c r="G790" i="1"/>
  <c r="F790" i="1"/>
  <c r="E790" i="1"/>
  <c r="K789" i="1"/>
  <c r="J789" i="1"/>
  <c r="I789" i="1"/>
  <c r="H789" i="1"/>
  <c r="G789" i="1"/>
  <c r="F789" i="1"/>
  <c r="E789" i="1"/>
  <c r="K788" i="1"/>
  <c r="J788" i="1"/>
  <c r="I788" i="1"/>
  <c r="H788" i="1"/>
  <c r="G788" i="1"/>
  <c r="F788" i="1"/>
  <c r="E788" i="1"/>
  <c r="K787" i="1"/>
  <c r="J787" i="1"/>
  <c r="I787" i="1"/>
  <c r="H787" i="1"/>
  <c r="G787" i="1"/>
  <c r="F787" i="1"/>
  <c r="E787" i="1"/>
  <c r="K786" i="1"/>
  <c r="J786" i="1"/>
  <c r="I786" i="1"/>
  <c r="H786" i="1"/>
  <c r="G786" i="1"/>
  <c r="F786" i="1"/>
  <c r="E786" i="1"/>
  <c r="K785" i="1"/>
  <c r="J785" i="1"/>
  <c r="I785" i="1"/>
  <c r="H785" i="1"/>
  <c r="G785" i="1"/>
  <c r="F785" i="1"/>
  <c r="E785" i="1"/>
  <c r="K784" i="1"/>
  <c r="J784" i="1"/>
  <c r="I784" i="1"/>
  <c r="H784" i="1"/>
  <c r="G784" i="1"/>
  <c r="F784" i="1"/>
  <c r="E784" i="1"/>
  <c r="K783" i="1"/>
  <c r="J783" i="1"/>
  <c r="I783" i="1"/>
  <c r="H783" i="1"/>
  <c r="G783" i="1"/>
  <c r="F783" i="1"/>
  <c r="E783" i="1"/>
  <c r="K782" i="1"/>
  <c r="J782" i="1"/>
  <c r="I782" i="1"/>
  <c r="H782" i="1"/>
  <c r="G782" i="1"/>
  <c r="F782" i="1"/>
  <c r="E782" i="1"/>
  <c r="K781" i="1"/>
  <c r="J781" i="1"/>
  <c r="I781" i="1"/>
  <c r="H781" i="1"/>
  <c r="G781" i="1"/>
  <c r="F781" i="1"/>
  <c r="E781" i="1"/>
  <c r="K780" i="1"/>
  <c r="J780" i="1"/>
  <c r="I780" i="1"/>
  <c r="H780" i="1"/>
  <c r="G780" i="1"/>
  <c r="F780" i="1"/>
  <c r="E780" i="1"/>
  <c r="K779" i="1"/>
  <c r="J779" i="1"/>
  <c r="I779" i="1"/>
  <c r="H779" i="1"/>
  <c r="G779" i="1"/>
  <c r="F779" i="1"/>
  <c r="E779" i="1"/>
  <c r="K778" i="1"/>
  <c r="J778" i="1"/>
  <c r="I778" i="1"/>
  <c r="H778" i="1"/>
  <c r="G778" i="1"/>
  <c r="F778" i="1"/>
  <c r="E778" i="1"/>
  <c r="K777" i="1"/>
  <c r="J777" i="1"/>
  <c r="I777" i="1"/>
  <c r="H777" i="1"/>
  <c r="G777" i="1"/>
  <c r="F777" i="1"/>
  <c r="E777" i="1"/>
  <c r="K776" i="1"/>
  <c r="J776" i="1"/>
  <c r="I776" i="1"/>
  <c r="H776" i="1"/>
  <c r="G776" i="1"/>
  <c r="F776" i="1"/>
  <c r="E776" i="1"/>
  <c r="K775" i="1"/>
  <c r="J775" i="1"/>
  <c r="I775" i="1"/>
  <c r="H775" i="1"/>
  <c r="G775" i="1"/>
  <c r="F775" i="1"/>
  <c r="E775" i="1"/>
  <c r="K774" i="1"/>
  <c r="J774" i="1"/>
  <c r="I774" i="1"/>
  <c r="H774" i="1"/>
  <c r="G774" i="1"/>
  <c r="F774" i="1"/>
  <c r="E774" i="1"/>
  <c r="K773" i="1"/>
  <c r="J773" i="1"/>
  <c r="I773" i="1"/>
  <c r="H773" i="1"/>
  <c r="G773" i="1"/>
  <c r="F773" i="1"/>
  <c r="E773" i="1"/>
  <c r="K772" i="1"/>
  <c r="J772" i="1"/>
  <c r="I772" i="1"/>
  <c r="H772" i="1"/>
  <c r="G772" i="1"/>
  <c r="F772" i="1"/>
  <c r="E772" i="1"/>
  <c r="K771" i="1"/>
  <c r="J771" i="1"/>
  <c r="I771" i="1"/>
  <c r="H771" i="1"/>
  <c r="G771" i="1"/>
  <c r="F771" i="1"/>
  <c r="E771" i="1"/>
  <c r="K770" i="1"/>
  <c r="J770" i="1"/>
  <c r="I770" i="1"/>
  <c r="H770" i="1"/>
  <c r="G770" i="1"/>
  <c r="F770" i="1"/>
  <c r="E770" i="1"/>
  <c r="K769" i="1"/>
  <c r="J769" i="1"/>
  <c r="I769" i="1"/>
  <c r="H769" i="1"/>
  <c r="G769" i="1"/>
  <c r="F769" i="1"/>
  <c r="E769" i="1"/>
  <c r="K768" i="1"/>
  <c r="J768" i="1"/>
  <c r="I768" i="1"/>
  <c r="H768" i="1"/>
  <c r="G768" i="1"/>
  <c r="F768" i="1"/>
  <c r="E768" i="1"/>
  <c r="K767" i="1"/>
  <c r="J767" i="1"/>
  <c r="I767" i="1"/>
  <c r="H767" i="1"/>
  <c r="G767" i="1"/>
  <c r="F767" i="1"/>
  <c r="E767" i="1"/>
  <c r="K766" i="1"/>
  <c r="J766" i="1"/>
  <c r="I766" i="1"/>
  <c r="H766" i="1"/>
  <c r="G766" i="1"/>
  <c r="F766" i="1"/>
  <c r="E766" i="1"/>
  <c r="K765" i="1"/>
  <c r="J765" i="1"/>
  <c r="I765" i="1"/>
  <c r="H765" i="1"/>
  <c r="G765" i="1"/>
  <c r="F765" i="1"/>
  <c r="E765" i="1"/>
  <c r="K764" i="1"/>
  <c r="J764" i="1"/>
  <c r="I764" i="1"/>
  <c r="H764" i="1"/>
  <c r="G764" i="1"/>
  <c r="F764" i="1"/>
  <c r="E764" i="1"/>
  <c r="K763" i="1"/>
  <c r="J763" i="1"/>
  <c r="I763" i="1"/>
  <c r="H763" i="1"/>
  <c r="G763" i="1"/>
  <c r="F763" i="1"/>
  <c r="E763" i="1"/>
  <c r="K762" i="1"/>
  <c r="J762" i="1"/>
  <c r="I762" i="1"/>
  <c r="H762" i="1"/>
  <c r="G762" i="1"/>
  <c r="F762" i="1"/>
  <c r="E762" i="1"/>
  <c r="K761" i="1"/>
  <c r="J761" i="1"/>
  <c r="I761" i="1"/>
  <c r="H761" i="1"/>
  <c r="G761" i="1"/>
  <c r="F761" i="1"/>
  <c r="E761" i="1"/>
  <c r="K760" i="1"/>
  <c r="J760" i="1"/>
  <c r="I760" i="1"/>
  <c r="H760" i="1"/>
  <c r="G760" i="1"/>
  <c r="F760" i="1"/>
  <c r="E760" i="1"/>
  <c r="K759" i="1"/>
  <c r="J759" i="1"/>
  <c r="I759" i="1"/>
  <c r="H759" i="1"/>
  <c r="G759" i="1"/>
  <c r="F759" i="1"/>
  <c r="E759" i="1"/>
  <c r="K758" i="1"/>
  <c r="J758" i="1"/>
  <c r="I758" i="1"/>
  <c r="H758" i="1"/>
  <c r="G758" i="1"/>
  <c r="F758" i="1"/>
  <c r="E758" i="1"/>
  <c r="K757" i="1"/>
  <c r="J757" i="1"/>
  <c r="I757" i="1"/>
  <c r="H757" i="1"/>
  <c r="G757" i="1"/>
  <c r="F757" i="1"/>
  <c r="E757" i="1"/>
  <c r="K756" i="1"/>
  <c r="J756" i="1"/>
  <c r="I756" i="1"/>
  <c r="H756" i="1"/>
  <c r="G756" i="1"/>
  <c r="F756" i="1"/>
  <c r="E756" i="1"/>
  <c r="K755" i="1"/>
  <c r="J755" i="1"/>
  <c r="I755" i="1"/>
  <c r="H755" i="1"/>
  <c r="G755" i="1"/>
  <c r="F755" i="1"/>
  <c r="E755" i="1"/>
  <c r="K754" i="1"/>
  <c r="J754" i="1"/>
  <c r="I754" i="1"/>
  <c r="H754" i="1"/>
  <c r="G754" i="1"/>
  <c r="F754" i="1"/>
  <c r="E754" i="1"/>
  <c r="K753" i="1"/>
  <c r="J753" i="1"/>
  <c r="I753" i="1"/>
  <c r="H753" i="1"/>
  <c r="G753" i="1"/>
  <c r="F753" i="1"/>
  <c r="E753" i="1"/>
  <c r="K752" i="1"/>
  <c r="J752" i="1"/>
  <c r="I752" i="1"/>
  <c r="H752" i="1"/>
  <c r="G752" i="1"/>
  <c r="F752" i="1"/>
  <c r="E752" i="1"/>
  <c r="K751" i="1"/>
  <c r="J751" i="1"/>
  <c r="I751" i="1"/>
  <c r="H751" i="1"/>
  <c r="G751" i="1"/>
  <c r="F751" i="1"/>
  <c r="E751" i="1"/>
  <c r="K750" i="1"/>
  <c r="J750" i="1"/>
  <c r="I750" i="1"/>
  <c r="H750" i="1"/>
  <c r="G750" i="1"/>
  <c r="F750" i="1"/>
  <c r="E750" i="1"/>
  <c r="K749" i="1"/>
  <c r="J749" i="1"/>
  <c r="I749" i="1"/>
  <c r="H749" i="1"/>
  <c r="G749" i="1"/>
  <c r="F749" i="1"/>
  <c r="E749" i="1"/>
  <c r="K748" i="1"/>
  <c r="J748" i="1"/>
  <c r="I748" i="1"/>
  <c r="H748" i="1"/>
  <c r="G748" i="1"/>
  <c r="F748" i="1"/>
  <c r="E748" i="1"/>
  <c r="K747" i="1"/>
  <c r="J747" i="1"/>
  <c r="I747" i="1"/>
  <c r="H747" i="1"/>
  <c r="G747" i="1"/>
  <c r="F747" i="1"/>
  <c r="E747" i="1"/>
  <c r="K746" i="1"/>
  <c r="J746" i="1"/>
  <c r="I746" i="1"/>
  <c r="H746" i="1"/>
  <c r="G746" i="1"/>
  <c r="F746" i="1"/>
  <c r="E746" i="1"/>
  <c r="K745" i="1"/>
  <c r="J745" i="1"/>
  <c r="I745" i="1"/>
  <c r="H745" i="1"/>
  <c r="G745" i="1"/>
  <c r="F745" i="1"/>
  <c r="E745" i="1"/>
  <c r="K744" i="1"/>
  <c r="J744" i="1"/>
  <c r="I744" i="1"/>
  <c r="H744" i="1"/>
  <c r="G744" i="1"/>
  <c r="F744" i="1"/>
  <c r="E744" i="1"/>
  <c r="K743" i="1"/>
  <c r="J743" i="1"/>
  <c r="I743" i="1"/>
  <c r="H743" i="1"/>
  <c r="G743" i="1"/>
  <c r="F743" i="1"/>
  <c r="E743" i="1"/>
  <c r="K742" i="1"/>
  <c r="J742" i="1"/>
  <c r="I742" i="1"/>
  <c r="H742" i="1"/>
  <c r="G742" i="1"/>
  <c r="F742" i="1"/>
  <c r="E742" i="1"/>
  <c r="K741" i="1"/>
  <c r="J741" i="1"/>
  <c r="I741" i="1"/>
  <c r="H741" i="1"/>
  <c r="G741" i="1"/>
  <c r="F741" i="1"/>
  <c r="E741" i="1"/>
  <c r="K740" i="1"/>
  <c r="J740" i="1"/>
  <c r="I740" i="1"/>
  <c r="H740" i="1"/>
  <c r="G740" i="1"/>
  <c r="F740" i="1"/>
  <c r="E740" i="1"/>
  <c r="K739" i="1"/>
  <c r="J739" i="1"/>
  <c r="I739" i="1"/>
  <c r="H739" i="1"/>
  <c r="G739" i="1"/>
  <c r="F739" i="1"/>
  <c r="E739" i="1"/>
  <c r="K738" i="1"/>
  <c r="J738" i="1"/>
  <c r="I738" i="1"/>
  <c r="H738" i="1"/>
  <c r="G738" i="1"/>
  <c r="F738" i="1"/>
  <c r="E738" i="1"/>
  <c r="K737" i="1"/>
  <c r="J737" i="1"/>
  <c r="I737" i="1"/>
  <c r="H737" i="1"/>
  <c r="G737" i="1"/>
  <c r="F737" i="1"/>
  <c r="E737" i="1"/>
  <c r="K736" i="1"/>
  <c r="J736" i="1"/>
  <c r="I736" i="1"/>
  <c r="H736" i="1"/>
  <c r="G736" i="1"/>
  <c r="F736" i="1"/>
  <c r="E736" i="1"/>
  <c r="K735" i="1"/>
  <c r="J735" i="1"/>
  <c r="I735" i="1"/>
  <c r="H735" i="1"/>
  <c r="G735" i="1"/>
  <c r="F735" i="1"/>
  <c r="E735" i="1"/>
  <c r="K734" i="1"/>
  <c r="J734" i="1"/>
  <c r="I734" i="1"/>
  <c r="H734" i="1"/>
  <c r="G734" i="1"/>
  <c r="F734" i="1"/>
  <c r="E734" i="1"/>
  <c r="K733" i="1"/>
  <c r="J733" i="1"/>
  <c r="I733" i="1"/>
  <c r="H733" i="1"/>
  <c r="G733" i="1"/>
  <c r="F733" i="1"/>
  <c r="E733" i="1"/>
  <c r="K732" i="1"/>
  <c r="J732" i="1"/>
  <c r="I732" i="1"/>
  <c r="H732" i="1"/>
  <c r="G732" i="1"/>
  <c r="F732" i="1"/>
  <c r="E732" i="1"/>
  <c r="K731" i="1"/>
  <c r="J731" i="1"/>
  <c r="I731" i="1"/>
  <c r="H731" i="1"/>
  <c r="G731" i="1"/>
  <c r="F731" i="1"/>
  <c r="E731" i="1"/>
  <c r="K730" i="1"/>
  <c r="J730" i="1"/>
  <c r="I730" i="1"/>
  <c r="H730" i="1"/>
  <c r="G730" i="1"/>
  <c r="F730" i="1"/>
  <c r="E730" i="1"/>
  <c r="K729" i="1"/>
  <c r="J729" i="1"/>
  <c r="I729" i="1"/>
  <c r="H729" i="1"/>
  <c r="G729" i="1"/>
  <c r="F729" i="1"/>
  <c r="E729" i="1"/>
  <c r="K728" i="1"/>
  <c r="J728" i="1"/>
  <c r="I728" i="1"/>
  <c r="H728" i="1"/>
  <c r="G728" i="1"/>
  <c r="F728" i="1"/>
  <c r="E728" i="1"/>
  <c r="K727" i="1"/>
  <c r="J727" i="1"/>
  <c r="I727" i="1"/>
  <c r="H727" i="1"/>
  <c r="G727" i="1"/>
  <c r="F727" i="1"/>
  <c r="E727" i="1"/>
  <c r="K726" i="1"/>
  <c r="J726" i="1"/>
  <c r="I726" i="1"/>
  <c r="H726" i="1"/>
  <c r="G726" i="1"/>
  <c r="F726" i="1"/>
  <c r="E726" i="1"/>
  <c r="K725" i="1"/>
  <c r="J725" i="1"/>
  <c r="I725" i="1"/>
  <c r="H725" i="1"/>
  <c r="G725" i="1"/>
  <c r="F725" i="1"/>
  <c r="E725" i="1"/>
  <c r="K724" i="1"/>
  <c r="J724" i="1"/>
  <c r="I724" i="1"/>
  <c r="H724" i="1"/>
  <c r="G724" i="1"/>
  <c r="F724" i="1"/>
  <c r="E724" i="1"/>
  <c r="K723" i="1"/>
  <c r="J723" i="1"/>
  <c r="I723" i="1"/>
  <c r="H723" i="1"/>
  <c r="G723" i="1"/>
  <c r="F723" i="1"/>
  <c r="E723" i="1"/>
  <c r="K722" i="1"/>
  <c r="J722" i="1"/>
  <c r="I722" i="1"/>
  <c r="H722" i="1"/>
  <c r="G722" i="1"/>
  <c r="F722" i="1"/>
  <c r="E722" i="1"/>
  <c r="K721" i="1"/>
  <c r="J721" i="1"/>
  <c r="I721" i="1"/>
  <c r="H721" i="1"/>
  <c r="G721" i="1"/>
  <c r="F721" i="1"/>
  <c r="E721" i="1"/>
  <c r="K720" i="1"/>
  <c r="J720" i="1"/>
  <c r="I720" i="1"/>
  <c r="H720" i="1"/>
  <c r="G720" i="1"/>
  <c r="F720" i="1"/>
  <c r="E720" i="1"/>
  <c r="K719" i="1"/>
  <c r="J719" i="1"/>
  <c r="I719" i="1"/>
  <c r="H719" i="1"/>
  <c r="G719" i="1"/>
  <c r="F719" i="1"/>
  <c r="E719" i="1"/>
  <c r="K718" i="1"/>
  <c r="J718" i="1"/>
  <c r="I718" i="1"/>
  <c r="H718" i="1"/>
  <c r="G718" i="1"/>
  <c r="F718" i="1"/>
  <c r="E718" i="1"/>
  <c r="K717" i="1"/>
  <c r="J717" i="1"/>
  <c r="I717" i="1"/>
  <c r="H717" i="1"/>
  <c r="G717" i="1"/>
  <c r="F717" i="1"/>
  <c r="E717" i="1"/>
  <c r="K716" i="1"/>
  <c r="J716" i="1"/>
  <c r="I716" i="1"/>
  <c r="H716" i="1"/>
  <c r="G716" i="1"/>
  <c r="F716" i="1"/>
  <c r="E716" i="1"/>
  <c r="K715" i="1"/>
  <c r="J715" i="1"/>
  <c r="I715" i="1"/>
  <c r="H715" i="1"/>
  <c r="G715" i="1"/>
  <c r="F715" i="1"/>
  <c r="E715" i="1"/>
  <c r="K714" i="1"/>
  <c r="J714" i="1"/>
  <c r="I714" i="1"/>
  <c r="H714" i="1"/>
  <c r="G714" i="1"/>
  <c r="F714" i="1"/>
  <c r="E714" i="1"/>
  <c r="K713" i="1"/>
  <c r="J713" i="1"/>
  <c r="I713" i="1"/>
  <c r="H713" i="1"/>
  <c r="G713" i="1"/>
  <c r="F713" i="1"/>
  <c r="E713" i="1"/>
  <c r="K712" i="1"/>
  <c r="J712" i="1"/>
  <c r="I712" i="1"/>
  <c r="H712" i="1"/>
  <c r="G712" i="1"/>
  <c r="F712" i="1"/>
  <c r="E712" i="1"/>
  <c r="K711" i="1"/>
  <c r="J711" i="1"/>
  <c r="I711" i="1"/>
  <c r="H711" i="1"/>
  <c r="G711" i="1"/>
  <c r="F711" i="1"/>
  <c r="E711" i="1"/>
  <c r="K710" i="1"/>
  <c r="J710" i="1"/>
  <c r="I710" i="1"/>
  <c r="H710" i="1"/>
  <c r="G710" i="1"/>
  <c r="F710" i="1"/>
  <c r="E710" i="1"/>
  <c r="K709" i="1"/>
  <c r="J709" i="1"/>
  <c r="I709" i="1"/>
  <c r="H709" i="1"/>
  <c r="G709" i="1"/>
  <c r="F709" i="1"/>
  <c r="E709" i="1"/>
  <c r="K708" i="1"/>
  <c r="J708" i="1"/>
  <c r="I708" i="1"/>
  <c r="H708" i="1"/>
  <c r="G708" i="1"/>
  <c r="F708" i="1"/>
  <c r="E708" i="1"/>
  <c r="K707" i="1"/>
  <c r="J707" i="1"/>
  <c r="I707" i="1"/>
  <c r="H707" i="1"/>
  <c r="G707" i="1"/>
  <c r="F707" i="1"/>
  <c r="E707" i="1"/>
  <c r="K706" i="1"/>
  <c r="J706" i="1"/>
  <c r="I706" i="1"/>
  <c r="H706" i="1"/>
  <c r="G706" i="1"/>
  <c r="F706" i="1"/>
  <c r="E706" i="1"/>
  <c r="K705" i="1"/>
  <c r="J705" i="1"/>
  <c r="I705" i="1"/>
  <c r="H705" i="1"/>
  <c r="G705" i="1"/>
  <c r="F705" i="1"/>
  <c r="E705" i="1"/>
  <c r="K704" i="1"/>
  <c r="J704" i="1"/>
  <c r="I704" i="1"/>
  <c r="H704" i="1"/>
  <c r="G704" i="1"/>
  <c r="F704" i="1"/>
  <c r="E704" i="1"/>
  <c r="K703" i="1"/>
  <c r="J703" i="1"/>
  <c r="I703" i="1"/>
  <c r="H703" i="1"/>
  <c r="G703" i="1"/>
  <c r="F703" i="1"/>
  <c r="E703" i="1"/>
  <c r="K702" i="1"/>
  <c r="J702" i="1"/>
  <c r="I702" i="1"/>
  <c r="H702" i="1"/>
  <c r="G702" i="1"/>
  <c r="F702" i="1"/>
  <c r="E702" i="1"/>
  <c r="K701" i="1"/>
  <c r="J701" i="1"/>
  <c r="I701" i="1"/>
  <c r="H701" i="1"/>
  <c r="G701" i="1"/>
  <c r="F701" i="1"/>
  <c r="E701" i="1"/>
  <c r="K700" i="1"/>
  <c r="J700" i="1"/>
  <c r="I700" i="1"/>
  <c r="H700" i="1"/>
  <c r="G700" i="1"/>
  <c r="F700" i="1"/>
  <c r="E700" i="1"/>
  <c r="K699" i="1"/>
  <c r="J699" i="1"/>
  <c r="I699" i="1"/>
  <c r="H699" i="1"/>
  <c r="G699" i="1"/>
  <c r="F699" i="1"/>
  <c r="E699" i="1"/>
  <c r="K698" i="1"/>
  <c r="J698" i="1"/>
  <c r="I698" i="1"/>
  <c r="H698" i="1"/>
  <c r="G698" i="1"/>
  <c r="F698" i="1"/>
  <c r="E698" i="1"/>
  <c r="K697" i="1"/>
  <c r="J697" i="1"/>
  <c r="I697" i="1"/>
  <c r="H697" i="1"/>
  <c r="G697" i="1"/>
  <c r="F697" i="1"/>
  <c r="E697" i="1"/>
  <c r="K696" i="1"/>
  <c r="J696" i="1"/>
  <c r="I696" i="1"/>
  <c r="H696" i="1"/>
  <c r="G696" i="1"/>
  <c r="F696" i="1"/>
  <c r="E696" i="1"/>
  <c r="K695" i="1"/>
  <c r="J695" i="1"/>
  <c r="I695" i="1"/>
  <c r="H695" i="1"/>
  <c r="G695" i="1"/>
  <c r="F695" i="1"/>
  <c r="E695" i="1"/>
  <c r="K694" i="1"/>
  <c r="J694" i="1"/>
  <c r="I694" i="1"/>
  <c r="H694" i="1"/>
  <c r="G694" i="1"/>
  <c r="F694" i="1"/>
  <c r="E694" i="1"/>
  <c r="K693" i="1"/>
  <c r="J693" i="1"/>
  <c r="I693" i="1"/>
  <c r="H693" i="1"/>
  <c r="G693" i="1"/>
  <c r="F693" i="1"/>
  <c r="E693" i="1"/>
  <c r="K692" i="1"/>
  <c r="J692" i="1"/>
  <c r="I692" i="1"/>
  <c r="H692" i="1"/>
  <c r="G692" i="1"/>
  <c r="F692" i="1"/>
  <c r="E692" i="1"/>
  <c r="K691" i="1"/>
  <c r="J691" i="1"/>
  <c r="I691" i="1"/>
  <c r="H691" i="1"/>
  <c r="G691" i="1"/>
  <c r="F691" i="1"/>
  <c r="E691" i="1"/>
  <c r="K690" i="1"/>
  <c r="J690" i="1"/>
  <c r="I690" i="1"/>
  <c r="H690" i="1"/>
  <c r="G690" i="1"/>
  <c r="F690" i="1"/>
  <c r="E690" i="1"/>
  <c r="K689" i="1"/>
  <c r="J689" i="1"/>
  <c r="I689" i="1"/>
  <c r="H689" i="1"/>
  <c r="G689" i="1"/>
  <c r="F689" i="1"/>
  <c r="E689" i="1"/>
  <c r="K688" i="1"/>
  <c r="J688" i="1"/>
  <c r="I688" i="1"/>
  <c r="H688" i="1"/>
  <c r="G688" i="1"/>
  <c r="F688" i="1"/>
  <c r="E688" i="1"/>
  <c r="K687" i="1"/>
  <c r="J687" i="1"/>
  <c r="I687" i="1"/>
  <c r="H687" i="1"/>
  <c r="G687" i="1"/>
  <c r="F687" i="1"/>
  <c r="E687" i="1"/>
  <c r="K686" i="1"/>
  <c r="J686" i="1"/>
  <c r="I686" i="1"/>
  <c r="H686" i="1"/>
  <c r="G686" i="1"/>
  <c r="F686" i="1"/>
  <c r="E686" i="1"/>
  <c r="K685" i="1"/>
  <c r="J685" i="1"/>
  <c r="I685" i="1"/>
  <c r="H685" i="1"/>
  <c r="G685" i="1"/>
  <c r="F685" i="1"/>
  <c r="E685" i="1"/>
  <c r="K684" i="1"/>
  <c r="J684" i="1"/>
  <c r="I684" i="1"/>
  <c r="H684" i="1"/>
  <c r="G684" i="1"/>
  <c r="F684" i="1"/>
  <c r="E684" i="1"/>
  <c r="K683" i="1"/>
  <c r="J683" i="1"/>
  <c r="I683" i="1"/>
  <c r="H683" i="1"/>
  <c r="G683" i="1"/>
  <c r="F683" i="1"/>
  <c r="E683" i="1"/>
  <c r="K682" i="1"/>
  <c r="J682" i="1"/>
  <c r="I682" i="1"/>
  <c r="H682" i="1"/>
  <c r="G682" i="1"/>
  <c r="F682" i="1"/>
  <c r="E682" i="1"/>
  <c r="K681" i="1"/>
  <c r="J681" i="1"/>
  <c r="I681" i="1"/>
  <c r="H681" i="1"/>
  <c r="G681" i="1"/>
  <c r="F681" i="1"/>
  <c r="E681" i="1"/>
  <c r="K680" i="1"/>
  <c r="J680" i="1"/>
  <c r="I680" i="1"/>
  <c r="H680" i="1"/>
  <c r="G680" i="1"/>
  <c r="F680" i="1"/>
  <c r="E680" i="1"/>
  <c r="K679" i="1"/>
  <c r="J679" i="1"/>
  <c r="I679" i="1"/>
  <c r="H679" i="1"/>
  <c r="G679" i="1"/>
  <c r="F679" i="1"/>
  <c r="E679" i="1"/>
  <c r="K678" i="1"/>
  <c r="J678" i="1"/>
  <c r="I678" i="1"/>
  <c r="H678" i="1"/>
  <c r="G678" i="1"/>
  <c r="F678" i="1"/>
  <c r="E678" i="1"/>
  <c r="K677" i="1"/>
  <c r="J677" i="1"/>
  <c r="I677" i="1"/>
  <c r="H677" i="1"/>
  <c r="G677" i="1"/>
  <c r="F677" i="1"/>
  <c r="E677" i="1"/>
  <c r="K676" i="1"/>
  <c r="J676" i="1"/>
  <c r="I676" i="1"/>
  <c r="H676" i="1"/>
  <c r="G676" i="1"/>
  <c r="F676" i="1"/>
  <c r="E676" i="1"/>
  <c r="K675" i="1"/>
  <c r="J675" i="1"/>
  <c r="I675" i="1"/>
  <c r="H675" i="1"/>
  <c r="G675" i="1"/>
  <c r="F675" i="1"/>
  <c r="E675" i="1"/>
  <c r="K674" i="1"/>
  <c r="J674" i="1"/>
  <c r="I674" i="1"/>
  <c r="H674" i="1"/>
  <c r="G674" i="1"/>
  <c r="F674" i="1"/>
  <c r="E674" i="1"/>
  <c r="K673" i="1"/>
  <c r="J673" i="1"/>
  <c r="I673" i="1"/>
  <c r="H673" i="1"/>
  <c r="G673" i="1"/>
  <c r="F673" i="1"/>
  <c r="E673" i="1"/>
  <c r="K672" i="1"/>
  <c r="J672" i="1"/>
  <c r="I672" i="1"/>
  <c r="H672" i="1"/>
  <c r="G672" i="1"/>
  <c r="F672" i="1"/>
  <c r="E672" i="1"/>
  <c r="K671" i="1"/>
  <c r="J671" i="1"/>
  <c r="I671" i="1"/>
  <c r="H671" i="1"/>
  <c r="G671" i="1"/>
  <c r="F671" i="1"/>
  <c r="E671" i="1"/>
  <c r="K670" i="1"/>
  <c r="J670" i="1"/>
  <c r="I670" i="1"/>
  <c r="H670" i="1"/>
  <c r="G670" i="1"/>
  <c r="F670" i="1"/>
  <c r="E670" i="1"/>
  <c r="K669" i="1"/>
  <c r="J669" i="1"/>
  <c r="I669" i="1"/>
  <c r="H669" i="1"/>
  <c r="G669" i="1"/>
  <c r="F669" i="1"/>
  <c r="E669" i="1"/>
  <c r="K668" i="1"/>
  <c r="J668" i="1"/>
  <c r="I668" i="1"/>
  <c r="H668" i="1"/>
  <c r="G668" i="1"/>
  <c r="F668" i="1"/>
  <c r="E668" i="1"/>
  <c r="K667" i="1"/>
  <c r="J667" i="1"/>
  <c r="I667" i="1"/>
  <c r="H667" i="1"/>
  <c r="G667" i="1"/>
  <c r="F667" i="1"/>
  <c r="E667" i="1"/>
  <c r="K666" i="1"/>
  <c r="J666" i="1"/>
  <c r="I666" i="1"/>
  <c r="H666" i="1"/>
  <c r="G666" i="1"/>
  <c r="F666" i="1"/>
  <c r="E666" i="1"/>
  <c r="K665" i="1"/>
  <c r="J665" i="1"/>
  <c r="I665" i="1"/>
  <c r="H665" i="1"/>
  <c r="G665" i="1"/>
  <c r="F665" i="1"/>
  <c r="E665" i="1"/>
  <c r="K664" i="1"/>
  <c r="J664" i="1"/>
  <c r="I664" i="1"/>
  <c r="H664" i="1"/>
  <c r="G664" i="1"/>
  <c r="F664" i="1"/>
  <c r="E664" i="1"/>
  <c r="K663" i="1"/>
  <c r="J663" i="1"/>
  <c r="I663" i="1"/>
  <c r="H663" i="1"/>
  <c r="G663" i="1"/>
  <c r="F663" i="1"/>
  <c r="E663" i="1"/>
  <c r="K662" i="1"/>
  <c r="J662" i="1"/>
  <c r="I662" i="1"/>
  <c r="H662" i="1"/>
  <c r="G662" i="1"/>
  <c r="F662" i="1"/>
  <c r="E662" i="1"/>
  <c r="K661" i="1"/>
  <c r="J661" i="1"/>
  <c r="I661" i="1"/>
  <c r="H661" i="1"/>
  <c r="G661" i="1"/>
  <c r="F661" i="1"/>
  <c r="E661" i="1"/>
  <c r="K660" i="1"/>
  <c r="J660" i="1"/>
  <c r="I660" i="1"/>
  <c r="H660" i="1"/>
  <c r="G660" i="1"/>
  <c r="F660" i="1"/>
  <c r="E660" i="1"/>
  <c r="K659" i="1"/>
  <c r="J659" i="1"/>
  <c r="I659" i="1"/>
  <c r="H659" i="1"/>
  <c r="G659" i="1"/>
  <c r="F659" i="1"/>
  <c r="E659" i="1"/>
  <c r="K658" i="1"/>
  <c r="J658" i="1"/>
  <c r="I658" i="1"/>
  <c r="H658" i="1"/>
  <c r="G658" i="1"/>
  <c r="F658" i="1"/>
  <c r="E658" i="1"/>
  <c r="K657" i="1"/>
  <c r="J657" i="1"/>
  <c r="I657" i="1"/>
  <c r="H657" i="1"/>
  <c r="G657" i="1"/>
  <c r="F657" i="1"/>
  <c r="E657" i="1"/>
  <c r="K656" i="1"/>
  <c r="J656" i="1"/>
  <c r="I656" i="1"/>
  <c r="H656" i="1"/>
  <c r="G656" i="1"/>
  <c r="F656" i="1"/>
  <c r="E656" i="1"/>
  <c r="K655" i="1"/>
  <c r="J655" i="1"/>
  <c r="I655" i="1"/>
  <c r="H655" i="1"/>
  <c r="G655" i="1"/>
  <c r="F655" i="1"/>
  <c r="E655" i="1"/>
  <c r="K654" i="1"/>
  <c r="J654" i="1"/>
  <c r="I654" i="1"/>
  <c r="H654" i="1"/>
  <c r="G654" i="1"/>
  <c r="F654" i="1"/>
  <c r="E654" i="1"/>
  <c r="K653" i="1"/>
  <c r="J653" i="1"/>
  <c r="I653" i="1"/>
  <c r="H653" i="1"/>
  <c r="G653" i="1"/>
  <c r="F653" i="1"/>
  <c r="E653" i="1"/>
  <c r="K652" i="1"/>
  <c r="J652" i="1"/>
  <c r="I652" i="1"/>
  <c r="H652" i="1"/>
  <c r="G652" i="1"/>
  <c r="F652" i="1"/>
  <c r="E652" i="1"/>
  <c r="K651" i="1"/>
  <c r="J651" i="1"/>
  <c r="I651" i="1"/>
  <c r="H651" i="1"/>
  <c r="G651" i="1"/>
  <c r="F651" i="1"/>
  <c r="E651" i="1"/>
  <c r="K650" i="1"/>
  <c r="J650" i="1"/>
  <c r="I650" i="1"/>
  <c r="H650" i="1"/>
  <c r="G650" i="1"/>
  <c r="F650" i="1"/>
  <c r="E650" i="1"/>
  <c r="K649" i="1"/>
  <c r="J649" i="1"/>
  <c r="I649" i="1"/>
  <c r="H649" i="1"/>
  <c r="G649" i="1"/>
  <c r="F649" i="1"/>
  <c r="E649" i="1"/>
  <c r="K648" i="1"/>
  <c r="J648" i="1"/>
  <c r="I648" i="1"/>
  <c r="H648" i="1"/>
  <c r="G648" i="1"/>
  <c r="F648" i="1"/>
  <c r="E648" i="1"/>
  <c r="K647" i="1"/>
  <c r="J647" i="1"/>
  <c r="I647" i="1"/>
  <c r="H647" i="1"/>
  <c r="G647" i="1"/>
  <c r="F647" i="1"/>
  <c r="E647" i="1"/>
  <c r="K646" i="1"/>
  <c r="J646" i="1"/>
  <c r="I646" i="1"/>
  <c r="H646" i="1"/>
  <c r="G646" i="1"/>
  <c r="F646" i="1"/>
  <c r="E646" i="1"/>
  <c r="K645" i="1"/>
  <c r="J645" i="1"/>
  <c r="I645" i="1"/>
  <c r="H645" i="1"/>
  <c r="G645" i="1"/>
  <c r="F645" i="1"/>
  <c r="E645" i="1"/>
  <c r="K644" i="1"/>
  <c r="J644" i="1"/>
  <c r="I644" i="1"/>
  <c r="H644" i="1"/>
  <c r="G644" i="1"/>
  <c r="F644" i="1"/>
  <c r="E644" i="1"/>
  <c r="K643" i="1"/>
  <c r="J643" i="1"/>
  <c r="I643" i="1"/>
  <c r="H643" i="1"/>
  <c r="G643" i="1"/>
  <c r="F643" i="1"/>
  <c r="E643" i="1"/>
  <c r="K642" i="1"/>
  <c r="J642" i="1"/>
  <c r="I642" i="1"/>
  <c r="H642" i="1"/>
  <c r="G642" i="1"/>
  <c r="F642" i="1"/>
  <c r="E642" i="1"/>
  <c r="K641" i="1"/>
  <c r="J641" i="1"/>
  <c r="I641" i="1"/>
  <c r="H641" i="1"/>
  <c r="G641" i="1"/>
  <c r="F641" i="1"/>
  <c r="E641" i="1"/>
  <c r="K640" i="1"/>
  <c r="J640" i="1"/>
  <c r="I640" i="1"/>
  <c r="H640" i="1"/>
  <c r="G640" i="1"/>
  <c r="F640" i="1"/>
  <c r="E640" i="1"/>
  <c r="K639" i="1"/>
  <c r="J639" i="1"/>
  <c r="I639" i="1"/>
  <c r="H639" i="1"/>
  <c r="G639" i="1"/>
  <c r="F639" i="1"/>
  <c r="E639" i="1"/>
  <c r="K638" i="1"/>
  <c r="J638" i="1"/>
  <c r="I638" i="1"/>
  <c r="H638" i="1"/>
  <c r="G638" i="1"/>
  <c r="F638" i="1"/>
  <c r="E638" i="1"/>
  <c r="K637" i="1"/>
  <c r="J637" i="1"/>
  <c r="I637" i="1"/>
  <c r="H637" i="1"/>
  <c r="G637" i="1"/>
  <c r="F637" i="1"/>
  <c r="E637" i="1"/>
  <c r="K636" i="1"/>
  <c r="J636" i="1"/>
  <c r="I636" i="1"/>
  <c r="H636" i="1"/>
  <c r="G636" i="1"/>
  <c r="F636" i="1"/>
  <c r="E636" i="1"/>
  <c r="K635" i="1"/>
  <c r="J635" i="1"/>
  <c r="I635" i="1"/>
  <c r="H635" i="1"/>
  <c r="G635" i="1"/>
  <c r="F635" i="1"/>
  <c r="E635" i="1"/>
  <c r="K634" i="1"/>
  <c r="J634" i="1"/>
  <c r="I634" i="1"/>
  <c r="H634" i="1"/>
  <c r="G634" i="1"/>
  <c r="F634" i="1"/>
  <c r="E634" i="1"/>
  <c r="K633" i="1"/>
  <c r="J633" i="1"/>
  <c r="I633" i="1"/>
  <c r="H633" i="1"/>
  <c r="G633" i="1"/>
  <c r="F633" i="1"/>
  <c r="E633" i="1"/>
  <c r="K632" i="1"/>
  <c r="J632" i="1"/>
  <c r="I632" i="1"/>
  <c r="H632" i="1"/>
  <c r="G632" i="1"/>
  <c r="F632" i="1"/>
  <c r="E632" i="1"/>
  <c r="K631" i="1"/>
  <c r="J631" i="1"/>
  <c r="I631" i="1"/>
  <c r="H631" i="1"/>
  <c r="G631" i="1"/>
  <c r="F631" i="1"/>
  <c r="E631" i="1"/>
  <c r="K630" i="1"/>
  <c r="J630" i="1"/>
  <c r="I630" i="1"/>
  <c r="H630" i="1"/>
  <c r="G630" i="1"/>
  <c r="F630" i="1"/>
  <c r="E630" i="1"/>
  <c r="K629" i="1"/>
  <c r="J629" i="1"/>
  <c r="I629" i="1"/>
  <c r="H629" i="1"/>
  <c r="G629" i="1"/>
  <c r="F629" i="1"/>
  <c r="E629" i="1"/>
  <c r="K628" i="1"/>
  <c r="J628" i="1"/>
  <c r="I628" i="1"/>
  <c r="H628" i="1"/>
  <c r="G628" i="1"/>
  <c r="F628" i="1"/>
  <c r="E628" i="1"/>
  <c r="K627" i="1"/>
  <c r="J627" i="1"/>
  <c r="I627" i="1"/>
  <c r="H627" i="1"/>
  <c r="G627" i="1"/>
  <c r="F627" i="1"/>
  <c r="E627" i="1"/>
  <c r="K626" i="1"/>
  <c r="J626" i="1"/>
  <c r="I626" i="1"/>
  <c r="H626" i="1"/>
  <c r="G626" i="1"/>
  <c r="F626" i="1"/>
  <c r="E626" i="1"/>
  <c r="K625" i="1"/>
  <c r="J625" i="1"/>
  <c r="I625" i="1"/>
  <c r="H625" i="1"/>
  <c r="G625" i="1"/>
  <c r="F625" i="1"/>
  <c r="E625" i="1"/>
  <c r="K624" i="1"/>
  <c r="J624" i="1"/>
  <c r="I624" i="1"/>
  <c r="H624" i="1"/>
  <c r="G624" i="1"/>
  <c r="F624" i="1"/>
  <c r="E624" i="1"/>
  <c r="K623" i="1"/>
  <c r="J623" i="1"/>
  <c r="I623" i="1"/>
  <c r="H623" i="1"/>
  <c r="G623" i="1"/>
  <c r="F623" i="1"/>
  <c r="E623" i="1"/>
  <c r="K622" i="1"/>
  <c r="J622" i="1"/>
  <c r="I622" i="1"/>
  <c r="H622" i="1"/>
  <c r="G622" i="1"/>
  <c r="F622" i="1"/>
  <c r="E622" i="1"/>
  <c r="K621" i="1"/>
  <c r="J621" i="1"/>
  <c r="I621" i="1"/>
  <c r="H621" i="1"/>
  <c r="G621" i="1"/>
  <c r="F621" i="1"/>
  <c r="E621" i="1"/>
  <c r="K620" i="1"/>
  <c r="J620" i="1"/>
  <c r="I620" i="1"/>
  <c r="H620" i="1"/>
  <c r="G620" i="1"/>
  <c r="F620" i="1"/>
  <c r="E620" i="1"/>
  <c r="K619" i="1"/>
  <c r="J619" i="1"/>
  <c r="I619" i="1"/>
  <c r="H619" i="1"/>
  <c r="G619" i="1"/>
  <c r="F619" i="1"/>
  <c r="E619" i="1"/>
  <c r="K618" i="1"/>
  <c r="J618" i="1"/>
  <c r="I618" i="1"/>
  <c r="H618" i="1"/>
  <c r="G618" i="1"/>
  <c r="F618" i="1"/>
  <c r="E618" i="1"/>
  <c r="K617" i="1"/>
  <c r="J617" i="1"/>
  <c r="I617" i="1"/>
  <c r="H617" i="1"/>
  <c r="G617" i="1"/>
  <c r="F617" i="1"/>
  <c r="E617" i="1"/>
  <c r="K616" i="1"/>
  <c r="J616" i="1"/>
  <c r="I616" i="1"/>
  <c r="H616" i="1"/>
  <c r="G616" i="1"/>
  <c r="F616" i="1"/>
  <c r="E616" i="1"/>
  <c r="K615" i="1"/>
  <c r="J615" i="1"/>
  <c r="I615" i="1"/>
  <c r="H615" i="1"/>
  <c r="G615" i="1"/>
  <c r="F615" i="1"/>
  <c r="E615" i="1"/>
  <c r="K614" i="1"/>
  <c r="J614" i="1"/>
  <c r="I614" i="1"/>
  <c r="H614" i="1"/>
  <c r="G614" i="1"/>
  <c r="F614" i="1"/>
  <c r="E614" i="1"/>
  <c r="K613" i="1"/>
  <c r="J613" i="1"/>
  <c r="I613" i="1"/>
  <c r="H613" i="1"/>
  <c r="G613" i="1"/>
  <c r="F613" i="1"/>
  <c r="E613" i="1"/>
  <c r="K612" i="1"/>
  <c r="J612" i="1"/>
  <c r="I612" i="1"/>
  <c r="H612" i="1"/>
  <c r="G612" i="1"/>
  <c r="F612" i="1"/>
  <c r="E612" i="1"/>
  <c r="K611" i="1"/>
  <c r="J611" i="1"/>
  <c r="I611" i="1"/>
  <c r="H611" i="1"/>
  <c r="G611" i="1"/>
  <c r="F611" i="1"/>
  <c r="E611" i="1"/>
  <c r="K610" i="1"/>
  <c r="J610" i="1"/>
  <c r="I610" i="1"/>
  <c r="H610" i="1"/>
  <c r="G610" i="1"/>
  <c r="F610" i="1"/>
  <c r="E610" i="1"/>
  <c r="K609" i="1"/>
  <c r="J609" i="1"/>
  <c r="I609" i="1"/>
  <c r="H609" i="1"/>
  <c r="G609" i="1"/>
  <c r="F609" i="1"/>
  <c r="E609" i="1"/>
  <c r="K608" i="1"/>
  <c r="J608" i="1"/>
  <c r="I608" i="1"/>
  <c r="H608" i="1"/>
  <c r="G608" i="1"/>
  <c r="F608" i="1"/>
  <c r="E608" i="1"/>
  <c r="K607" i="1"/>
  <c r="J607" i="1"/>
  <c r="I607" i="1"/>
  <c r="H607" i="1"/>
  <c r="G607" i="1"/>
  <c r="F607" i="1"/>
  <c r="E607" i="1"/>
  <c r="K606" i="1"/>
  <c r="J606" i="1"/>
  <c r="I606" i="1"/>
  <c r="H606" i="1"/>
  <c r="G606" i="1"/>
  <c r="F606" i="1"/>
  <c r="E606" i="1"/>
  <c r="K605" i="1"/>
  <c r="J605" i="1"/>
  <c r="I605" i="1"/>
  <c r="H605" i="1"/>
  <c r="G605" i="1"/>
  <c r="F605" i="1"/>
  <c r="E605" i="1"/>
  <c r="K604" i="1"/>
  <c r="J604" i="1"/>
  <c r="I604" i="1"/>
  <c r="H604" i="1"/>
  <c r="G604" i="1"/>
  <c r="F604" i="1"/>
  <c r="E604" i="1"/>
  <c r="K603" i="1"/>
  <c r="J603" i="1"/>
  <c r="I603" i="1"/>
  <c r="H603" i="1"/>
  <c r="G603" i="1"/>
  <c r="F603" i="1"/>
  <c r="E603" i="1"/>
  <c r="K602" i="1"/>
  <c r="J602" i="1"/>
  <c r="I602" i="1"/>
  <c r="H602" i="1"/>
  <c r="G602" i="1"/>
  <c r="F602" i="1"/>
  <c r="E602" i="1"/>
  <c r="K601" i="1"/>
  <c r="J601" i="1"/>
  <c r="I601" i="1"/>
  <c r="H601" i="1"/>
  <c r="G601" i="1"/>
  <c r="F601" i="1"/>
  <c r="E601" i="1"/>
  <c r="K600" i="1"/>
  <c r="J600" i="1"/>
  <c r="I600" i="1"/>
  <c r="H600" i="1"/>
  <c r="G600" i="1"/>
  <c r="F600" i="1"/>
  <c r="E600" i="1"/>
  <c r="K599" i="1"/>
  <c r="J599" i="1"/>
  <c r="I599" i="1"/>
  <c r="H599" i="1"/>
  <c r="G599" i="1"/>
  <c r="F599" i="1"/>
  <c r="E599" i="1"/>
  <c r="K598" i="1"/>
  <c r="J598" i="1"/>
  <c r="I598" i="1"/>
  <c r="H598" i="1"/>
  <c r="G598" i="1"/>
  <c r="F598" i="1"/>
  <c r="E598" i="1"/>
  <c r="K597" i="1"/>
  <c r="J597" i="1"/>
  <c r="I597" i="1"/>
  <c r="H597" i="1"/>
  <c r="G597" i="1"/>
  <c r="F597" i="1"/>
  <c r="E597" i="1"/>
  <c r="K596" i="1"/>
  <c r="J596" i="1"/>
  <c r="I596" i="1"/>
  <c r="H596" i="1"/>
  <c r="G596" i="1"/>
  <c r="F596" i="1"/>
  <c r="E596" i="1"/>
  <c r="K595" i="1"/>
  <c r="J595" i="1"/>
  <c r="I595" i="1"/>
  <c r="H595" i="1"/>
  <c r="G595" i="1"/>
  <c r="F595" i="1"/>
  <c r="E595" i="1"/>
  <c r="K594" i="1"/>
  <c r="J594" i="1"/>
  <c r="I594" i="1"/>
  <c r="H594" i="1"/>
  <c r="G594" i="1"/>
  <c r="F594" i="1"/>
  <c r="E594" i="1"/>
  <c r="K593" i="1"/>
  <c r="J593" i="1"/>
  <c r="I593" i="1"/>
  <c r="H593" i="1"/>
  <c r="G593" i="1"/>
  <c r="F593" i="1"/>
  <c r="E593" i="1"/>
  <c r="K592" i="1"/>
  <c r="J592" i="1"/>
  <c r="I592" i="1"/>
  <c r="H592" i="1"/>
  <c r="G592" i="1"/>
  <c r="F592" i="1"/>
  <c r="E592" i="1"/>
  <c r="K591" i="1"/>
  <c r="J591" i="1"/>
  <c r="I591" i="1"/>
  <c r="H591" i="1"/>
  <c r="G591" i="1"/>
  <c r="F591" i="1"/>
  <c r="E591" i="1"/>
  <c r="K590" i="1"/>
  <c r="J590" i="1"/>
  <c r="I590" i="1"/>
  <c r="H590" i="1"/>
  <c r="G590" i="1"/>
  <c r="F590" i="1"/>
  <c r="E590" i="1"/>
  <c r="K589" i="1"/>
  <c r="J589" i="1"/>
  <c r="I589" i="1"/>
  <c r="H589" i="1"/>
  <c r="G589" i="1"/>
  <c r="F589" i="1"/>
  <c r="E589" i="1"/>
  <c r="K588" i="1"/>
  <c r="J588" i="1"/>
  <c r="I588" i="1"/>
  <c r="H588" i="1"/>
  <c r="G588" i="1"/>
  <c r="F588" i="1"/>
  <c r="E588" i="1"/>
  <c r="K587" i="1"/>
  <c r="J587" i="1"/>
  <c r="I587" i="1"/>
  <c r="H587" i="1"/>
  <c r="G587" i="1"/>
  <c r="F587" i="1"/>
  <c r="E587" i="1"/>
  <c r="K586" i="1"/>
  <c r="J586" i="1"/>
  <c r="I586" i="1"/>
  <c r="H586" i="1"/>
  <c r="G586" i="1"/>
  <c r="F586" i="1"/>
  <c r="E586" i="1"/>
  <c r="K585" i="1"/>
  <c r="J585" i="1"/>
  <c r="I585" i="1"/>
  <c r="H585" i="1"/>
  <c r="G585" i="1"/>
  <c r="F585" i="1"/>
  <c r="E585" i="1"/>
  <c r="K584" i="1"/>
  <c r="J584" i="1"/>
  <c r="I584" i="1"/>
  <c r="H584" i="1"/>
  <c r="G584" i="1"/>
  <c r="F584" i="1"/>
  <c r="E584" i="1"/>
  <c r="K583" i="1"/>
  <c r="J583" i="1"/>
  <c r="I583" i="1"/>
  <c r="H583" i="1"/>
  <c r="G583" i="1"/>
  <c r="F583" i="1"/>
  <c r="E583" i="1"/>
  <c r="K582" i="1"/>
  <c r="J582" i="1"/>
  <c r="I582" i="1"/>
  <c r="H582" i="1"/>
  <c r="G582" i="1"/>
  <c r="F582" i="1"/>
  <c r="E582" i="1"/>
  <c r="K581" i="1"/>
  <c r="J581" i="1"/>
  <c r="I581" i="1"/>
  <c r="H581" i="1"/>
  <c r="G581" i="1"/>
  <c r="F581" i="1"/>
  <c r="E581" i="1"/>
  <c r="K580" i="1"/>
  <c r="J580" i="1"/>
  <c r="I580" i="1"/>
  <c r="H580" i="1"/>
  <c r="G580" i="1"/>
  <c r="F580" i="1"/>
  <c r="E580" i="1"/>
  <c r="K579" i="1"/>
  <c r="J579" i="1"/>
  <c r="I579" i="1"/>
  <c r="H579" i="1"/>
  <c r="G579" i="1"/>
  <c r="F579" i="1"/>
  <c r="E579" i="1"/>
  <c r="K578" i="1"/>
  <c r="J578" i="1"/>
  <c r="I578" i="1"/>
  <c r="H578" i="1"/>
  <c r="G578" i="1"/>
  <c r="F578" i="1"/>
  <c r="E578" i="1"/>
  <c r="K577" i="1"/>
  <c r="J577" i="1"/>
  <c r="I577" i="1"/>
  <c r="H577" i="1"/>
  <c r="G577" i="1"/>
  <c r="F577" i="1"/>
  <c r="E577" i="1"/>
  <c r="K576" i="1"/>
  <c r="J576" i="1"/>
  <c r="I576" i="1"/>
  <c r="H576" i="1"/>
  <c r="G576" i="1"/>
  <c r="F576" i="1"/>
  <c r="E576" i="1"/>
  <c r="K575" i="1"/>
  <c r="J575" i="1"/>
  <c r="I575" i="1"/>
  <c r="H575" i="1"/>
  <c r="G575" i="1"/>
  <c r="F575" i="1"/>
  <c r="E575" i="1"/>
  <c r="K574" i="1"/>
  <c r="J574" i="1"/>
  <c r="I574" i="1"/>
  <c r="H574" i="1"/>
  <c r="G574" i="1"/>
  <c r="F574" i="1"/>
  <c r="E574" i="1"/>
  <c r="K573" i="1"/>
  <c r="J573" i="1"/>
  <c r="I573" i="1"/>
  <c r="H573" i="1"/>
  <c r="G573" i="1"/>
  <c r="F573" i="1"/>
  <c r="E573" i="1"/>
  <c r="K572" i="1"/>
  <c r="J572" i="1"/>
  <c r="I572" i="1"/>
  <c r="H572" i="1"/>
  <c r="G572" i="1"/>
  <c r="F572" i="1"/>
  <c r="E572" i="1"/>
  <c r="K571" i="1"/>
  <c r="J571" i="1"/>
  <c r="I571" i="1"/>
  <c r="H571" i="1"/>
  <c r="G571" i="1"/>
  <c r="F571" i="1"/>
  <c r="E571" i="1"/>
  <c r="K570" i="1"/>
  <c r="J570" i="1"/>
  <c r="I570" i="1"/>
  <c r="H570" i="1"/>
  <c r="G570" i="1"/>
  <c r="F570" i="1"/>
  <c r="E570" i="1"/>
  <c r="K569" i="1"/>
  <c r="J569" i="1"/>
  <c r="I569" i="1"/>
  <c r="H569" i="1"/>
  <c r="G569" i="1"/>
  <c r="F569" i="1"/>
  <c r="E569" i="1"/>
  <c r="K568" i="1"/>
  <c r="J568" i="1"/>
  <c r="I568" i="1"/>
  <c r="H568" i="1"/>
  <c r="G568" i="1"/>
  <c r="F568" i="1"/>
  <c r="E568" i="1"/>
  <c r="K567" i="1"/>
  <c r="J567" i="1"/>
  <c r="I567" i="1"/>
  <c r="H567" i="1"/>
  <c r="G567" i="1"/>
  <c r="F567" i="1"/>
  <c r="E567" i="1"/>
  <c r="K566" i="1"/>
  <c r="J566" i="1"/>
  <c r="I566" i="1"/>
  <c r="H566" i="1"/>
  <c r="G566" i="1"/>
  <c r="F566" i="1"/>
  <c r="E566" i="1"/>
  <c r="K565" i="1"/>
  <c r="J565" i="1"/>
  <c r="I565" i="1"/>
  <c r="H565" i="1"/>
  <c r="G565" i="1"/>
  <c r="F565" i="1"/>
  <c r="E565" i="1"/>
  <c r="K564" i="1"/>
  <c r="J564" i="1"/>
  <c r="I564" i="1"/>
  <c r="H564" i="1"/>
  <c r="G564" i="1"/>
  <c r="F564" i="1"/>
  <c r="E564" i="1"/>
  <c r="K563" i="1"/>
  <c r="J563" i="1"/>
  <c r="I563" i="1"/>
  <c r="H563" i="1"/>
  <c r="G563" i="1"/>
  <c r="F563" i="1"/>
  <c r="E563" i="1"/>
  <c r="K562" i="1"/>
  <c r="J562" i="1"/>
  <c r="I562" i="1"/>
  <c r="H562" i="1"/>
  <c r="G562" i="1"/>
  <c r="F562" i="1"/>
  <c r="E562" i="1"/>
  <c r="K561" i="1"/>
  <c r="J561" i="1"/>
  <c r="I561" i="1"/>
  <c r="H561" i="1"/>
  <c r="G561" i="1"/>
  <c r="F561" i="1"/>
  <c r="E561" i="1"/>
  <c r="K560" i="1"/>
  <c r="J560" i="1"/>
  <c r="I560" i="1"/>
  <c r="H560" i="1"/>
  <c r="G560" i="1"/>
  <c r="F560" i="1"/>
  <c r="E560" i="1"/>
  <c r="K559" i="1"/>
  <c r="J559" i="1"/>
  <c r="I559" i="1"/>
  <c r="H559" i="1"/>
  <c r="G559" i="1"/>
  <c r="F559" i="1"/>
  <c r="E559" i="1"/>
  <c r="K558" i="1"/>
  <c r="J558" i="1"/>
  <c r="I558" i="1"/>
  <c r="H558" i="1"/>
  <c r="G558" i="1"/>
  <c r="F558" i="1"/>
  <c r="E558" i="1"/>
  <c r="K557" i="1"/>
  <c r="J557" i="1"/>
  <c r="I557" i="1"/>
  <c r="H557" i="1"/>
  <c r="G557" i="1"/>
  <c r="F557" i="1"/>
  <c r="E557" i="1"/>
  <c r="K556" i="1"/>
  <c r="J556" i="1"/>
  <c r="I556" i="1"/>
  <c r="H556" i="1"/>
  <c r="G556" i="1"/>
  <c r="F556" i="1"/>
  <c r="E556" i="1"/>
  <c r="K555" i="1"/>
  <c r="J555" i="1"/>
  <c r="I555" i="1"/>
  <c r="H555" i="1"/>
  <c r="G555" i="1"/>
  <c r="F555" i="1"/>
  <c r="E555" i="1"/>
  <c r="K554" i="1"/>
  <c r="J554" i="1"/>
  <c r="I554" i="1"/>
  <c r="H554" i="1"/>
  <c r="G554" i="1"/>
  <c r="F554" i="1"/>
  <c r="E554" i="1"/>
  <c r="K553" i="1"/>
  <c r="J553" i="1"/>
  <c r="I553" i="1"/>
  <c r="H553" i="1"/>
  <c r="G553" i="1"/>
  <c r="F553" i="1"/>
  <c r="E553" i="1"/>
  <c r="K552" i="1"/>
  <c r="J552" i="1"/>
  <c r="I552" i="1"/>
  <c r="H552" i="1"/>
  <c r="G552" i="1"/>
  <c r="F552" i="1"/>
  <c r="E552" i="1"/>
  <c r="K551" i="1"/>
  <c r="J551" i="1"/>
  <c r="I551" i="1"/>
  <c r="H551" i="1"/>
  <c r="G551" i="1"/>
  <c r="F551" i="1"/>
  <c r="E551" i="1"/>
  <c r="K550" i="1"/>
  <c r="J550" i="1"/>
  <c r="I550" i="1"/>
  <c r="H550" i="1"/>
  <c r="G550" i="1"/>
  <c r="F550" i="1"/>
  <c r="E550" i="1"/>
  <c r="K549" i="1"/>
  <c r="J549" i="1"/>
  <c r="I549" i="1"/>
  <c r="H549" i="1"/>
  <c r="G549" i="1"/>
  <c r="F549" i="1"/>
  <c r="E549" i="1"/>
  <c r="K548" i="1"/>
  <c r="J548" i="1"/>
  <c r="I548" i="1"/>
  <c r="H548" i="1"/>
  <c r="G548" i="1"/>
  <c r="F548" i="1"/>
  <c r="E548" i="1"/>
  <c r="K547" i="1"/>
  <c r="J547" i="1"/>
  <c r="I547" i="1"/>
  <c r="H547" i="1"/>
  <c r="G547" i="1"/>
  <c r="F547" i="1"/>
  <c r="E547" i="1"/>
  <c r="K546" i="1"/>
  <c r="J546" i="1"/>
  <c r="I546" i="1"/>
  <c r="H546" i="1"/>
  <c r="G546" i="1"/>
  <c r="F546" i="1"/>
  <c r="E546" i="1"/>
  <c r="K545" i="1"/>
  <c r="J545" i="1"/>
  <c r="I545" i="1"/>
  <c r="H545" i="1"/>
  <c r="G545" i="1"/>
  <c r="F545" i="1"/>
  <c r="E545" i="1"/>
  <c r="K544" i="1"/>
  <c r="J544" i="1"/>
  <c r="I544" i="1"/>
  <c r="H544" i="1"/>
  <c r="G544" i="1"/>
  <c r="F544" i="1"/>
  <c r="E544" i="1"/>
  <c r="K543" i="1"/>
  <c r="J543" i="1"/>
  <c r="I543" i="1"/>
  <c r="H543" i="1"/>
  <c r="G543" i="1"/>
  <c r="F543" i="1"/>
  <c r="E543" i="1"/>
  <c r="K542" i="1"/>
  <c r="J542" i="1"/>
  <c r="I542" i="1"/>
  <c r="H542" i="1"/>
  <c r="G542" i="1"/>
  <c r="F542" i="1"/>
  <c r="E542" i="1"/>
  <c r="K541" i="1"/>
  <c r="J541" i="1"/>
  <c r="I541" i="1"/>
  <c r="H541" i="1"/>
  <c r="G541" i="1"/>
  <c r="F541" i="1"/>
  <c r="E541" i="1"/>
  <c r="K540" i="1"/>
  <c r="J540" i="1"/>
  <c r="I540" i="1"/>
  <c r="H540" i="1"/>
  <c r="G540" i="1"/>
  <c r="F540" i="1"/>
  <c r="E540" i="1"/>
  <c r="K539" i="1"/>
  <c r="J539" i="1"/>
  <c r="I539" i="1"/>
  <c r="H539" i="1"/>
  <c r="G539" i="1"/>
  <c r="F539" i="1"/>
  <c r="E539" i="1"/>
  <c r="K538" i="1"/>
  <c r="J538" i="1"/>
  <c r="I538" i="1"/>
  <c r="H538" i="1"/>
  <c r="G538" i="1"/>
  <c r="F538" i="1"/>
  <c r="E538" i="1"/>
  <c r="K537" i="1"/>
  <c r="J537" i="1"/>
  <c r="I537" i="1"/>
  <c r="H537" i="1"/>
  <c r="G537" i="1"/>
  <c r="F537" i="1"/>
  <c r="E537" i="1"/>
  <c r="K536" i="1"/>
  <c r="J536" i="1"/>
  <c r="I536" i="1"/>
  <c r="H536" i="1"/>
  <c r="G536" i="1"/>
  <c r="F536" i="1"/>
  <c r="E536" i="1"/>
  <c r="K535" i="1"/>
  <c r="J535" i="1"/>
  <c r="I535" i="1"/>
  <c r="H535" i="1"/>
  <c r="G535" i="1"/>
  <c r="F535" i="1"/>
  <c r="E535" i="1"/>
  <c r="K534" i="1"/>
  <c r="J534" i="1"/>
  <c r="I534" i="1"/>
  <c r="H534" i="1"/>
  <c r="G534" i="1"/>
  <c r="F534" i="1"/>
  <c r="E534" i="1"/>
  <c r="K533" i="1"/>
  <c r="J533" i="1"/>
  <c r="I533" i="1"/>
  <c r="H533" i="1"/>
  <c r="G533" i="1"/>
  <c r="F533" i="1"/>
  <c r="E533" i="1"/>
  <c r="K532" i="1"/>
  <c r="J532" i="1"/>
  <c r="I532" i="1"/>
  <c r="H532" i="1"/>
  <c r="G532" i="1"/>
  <c r="F532" i="1"/>
  <c r="E532" i="1"/>
  <c r="K531" i="1"/>
  <c r="J531" i="1"/>
  <c r="I531" i="1"/>
  <c r="H531" i="1"/>
  <c r="G531" i="1"/>
  <c r="F531" i="1"/>
  <c r="E531" i="1"/>
  <c r="K530" i="1"/>
  <c r="J530" i="1"/>
  <c r="I530" i="1"/>
  <c r="H530" i="1"/>
  <c r="G530" i="1"/>
  <c r="F530" i="1"/>
  <c r="E530" i="1"/>
  <c r="K529" i="1"/>
  <c r="J529" i="1"/>
  <c r="I529" i="1"/>
  <c r="H529" i="1"/>
  <c r="G529" i="1"/>
  <c r="F529" i="1"/>
  <c r="E529" i="1"/>
  <c r="K528" i="1"/>
  <c r="J528" i="1"/>
  <c r="I528" i="1"/>
  <c r="H528" i="1"/>
  <c r="G528" i="1"/>
  <c r="F528" i="1"/>
  <c r="E528" i="1"/>
  <c r="K527" i="1"/>
  <c r="J527" i="1"/>
  <c r="I527" i="1"/>
  <c r="H527" i="1"/>
  <c r="G527" i="1"/>
  <c r="F527" i="1"/>
  <c r="E527" i="1"/>
  <c r="K526" i="1"/>
  <c r="J526" i="1"/>
  <c r="I526" i="1"/>
  <c r="H526" i="1"/>
  <c r="G526" i="1"/>
  <c r="F526" i="1"/>
  <c r="E526" i="1"/>
  <c r="K525" i="1"/>
  <c r="J525" i="1"/>
  <c r="I525" i="1"/>
  <c r="H525" i="1"/>
  <c r="G525" i="1"/>
  <c r="F525" i="1"/>
  <c r="E525" i="1"/>
  <c r="K524" i="1"/>
  <c r="J524" i="1"/>
  <c r="I524" i="1"/>
  <c r="H524" i="1"/>
  <c r="G524" i="1"/>
  <c r="F524" i="1"/>
  <c r="E524" i="1"/>
  <c r="K523" i="1"/>
  <c r="J523" i="1"/>
  <c r="I523" i="1"/>
  <c r="H523" i="1"/>
  <c r="G523" i="1"/>
  <c r="F523" i="1"/>
  <c r="E523" i="1"/>
  <c r="K522" i="1"/>
  <c r="J522" i="1"/>
  <c r="I522" i="1"/>
  <c r="H522" i="1"/>
  <c r="G522" i="1"/>
  <c r="F522" i="1"/>
  <c r="E522" i="1"/>
  <c r="K521" i="1"/>
  <c r="J521" i="1"/>
  <c r="I521" i="1"/>
  <c r="H521" i="1"/>
  <c r="G521" i="1"/>
  <c r="F521" i="1"/>
  <c r="E521" i="1"/>
  <c r="K520" i="1"/>
  <c r="J520" i="1"/>
  <c r="I520" i="1"/>
  <c r="H520" i="1"/>
  <c r="G520" i="1"/>
  <c r="F520" i="1"/>
  <c r="E520" i="1"/>
  <c r="K519" i="1"/>
  <c r="J519" i="1"/>
  <c r="I519" i="1"/>
  <c r="H519" i="1"/>
  <c r="G519" i="1"/>
  <c r="F519" i="1"/>
  <c r="E519" i="1"/>
  <c r="K518" i="1"/>
  <c r="J518" i="1"/>
  <c r="I518" i="1"/>
  <c r="H518" i="1"/>
  <c r="G518" i="1"/>
  <c r="F518" i="1"/>
  <c r="E518" i="1"/>
  <c r="K517" i="1"/>
  <c r="J517" i="1"/>
  <c r="I517" i="1"/>
  <c r="H517" i="1"/>
  <c r="G517" i="1"/>
  <c r="F517" i="1"/>
  <c r="E517" i="1"/>
  <c r="K516" i="1"/>
  <c r="J516" i="1"/>
  <c r="I516" i="1"/>
  <c r="H516" i="1"/>
  <c r="G516" i="1"/>
  <c r="F516" i="1"/>
  <c r="E516" i="1"/>
  <c r="K515" i="1"/>
  <c r="J515" i="1"/>
  <c r="I515" i="1"/>
  <c r="H515" i="1"/>
  <c r="G515" i="1"/>
  <c r="F515" i="1"/>
  <c r="E515" i="1"/>
  <c r="K514" i="1"/>
  <c r="J514" i="1"/>
  <c r="I514" i="1"/>
  <c r="H514" i="1"/>
  <c r="G514" i="1"/>
  <c r="F514" i="1"/>
  <c r="E514" i="1"/>
  <c r="K513" i="1"/>
  <c r="J513" i="1"/>
  <c r="I513" i="1"/>
  <c r="H513" i="1"/>
  <c r="G513" i="1"/>
  <c r="F513" i="1"/>
  <c r="E513" i="1"/>
  <c r="K512" i="1"/>
  <c r="J512" i="1"/>
  <c r="I512" i="1"/>
  <c r="H512" i="1"/>
  <c r="G512" i="1"/>
  <c r="F512" i="1"/>
  <c r="E512" i="1"/>
  <c r="K511" i="1"/>
  <c r="J511" i="1"/>
  <c r="I511" i="1"/>
  <c r="H511" i="1"/>
  <c r="G511" i="1"/>
  <c r="F511" i="1"/>
  <c r="E511" i="1"/>
  <c r="K510" i="1"/>
  <c r="J510" i="1"/>
  <c r="I510" i="1"/>
  <c r="H510" i="1"/>
  <c r="G510" i="1"/>
  <c r="F510" i="1"/>
  <c r="E510" i="1"/>
  <c r="K509" i="1"/>
  <c r="J509" i="1"/>
  <c r="I509" i="1"/>
  <c r="H509" i="1"/>
  <c r="G509" i="1"/>
  <c r="F509" i="1"/>
  <c r="E509" i="1"/>
  <c r="K508" i="1"/>
  <c r="J508" i="1"/>
  <c r="I508" i="1"/>
  <c r="H508" i="1"/>
  <c r="G508" i="1"/>
  <c r="F508" i="1"/>
  <c r="E508" i="1"/>
  <c r="K507" i="1"/>
  <c r="J507" i="1"/>
  <c r="I507" i="1"/>
  <c r="H507" i="1"/>
  <c r="G507" i="1"/>
  <c r="F507" i="1"/>
  <c r="E507" i="1"/>
  <c r="K506" i="1"/>
  <c r="J506" i="1"/>
  <c r="I506" i="1"/>
  <c r="H506" i="1"/>
  <c r="G506" i="1"/>
  <c r="F506" i="1"/>
  <c r="E506" i="1"/>
  <c r="K505" i="1"/>
  <c r="J505" i="1"/>
  <c r="I505" i="1"/>
  <c r="H505" i="1"/>
  <c r="G505" i="1"/>
  <c r="F505" i="1"/>
  <c r="E505" i="1"/>
  <c r="K504" i="1"/>
  <c r="J504" i="1"/>
  <c r="I504" i="1"/>
  <c r="H504" i="1"/>
  <c r="G504" i="1"/>
  <c r="F504" i="1"/>
  <c r="E504" i="1"/>
  <c r="K503" i="1"/>
  <c r="J503" i="1"/>
  <c r="I503" i="1"/>
  <c r="H503" i="1"/>
  <c r="G503" i="1"/>
  <c r="F503" i="1"/>
  <c r="E503" i="1"/>
  <c r="K502" i="1"/>
  <c r="J502" i="1"/>
  <c r="I502" i="1"/>
  <c r="H502" i="1"/>
  <c r="G502" i="1"/>
  <c r="F502" i="1"/>
  <c r="E502" i="1"/>
  <c r="K501" i="1"/>
  <c r="J501" i="1"/>
  <c r="I501" i="1"/>
  <c r="H501" i="1"/>
  <c r="G501" i="1"/>
  <c r="F501" i="1"/>
  <c r="E501" i="1"/>
  <c r="K500" i="1"/>
  <c r="J500" i="1"/>
  <c r="I500" i="1"/>
  <c r="H500" i="1"/>
  <c r="G500" i="1"/>
  <c r="F500" i="1"/>
  <c r="E500" i="1"/>
  <c r="K499" i="1"/>
  <c r="J499" i="1"/>
  <c r="I499" i="1"/>
  <c r="H499" i="1"/>
  <c r="G499" i="1"/>
  <c r="F499" i="1"/>
  <c r="E499" i="1"/>
  <c r="K498" i="1"/>
  <c r="J498" i="1"/>
  <c r="I498" i="1"/>
  <c r="H498" i="1"/>
  <c r="G498" i="1"/>
  <c r="F498" i="1"/>
  <c r="E498" i="1"/>
  <c r="K497" i="1"/>
  <c r="J497" i="1"/>
  <c r="I497" i="1"/>
  <c r="H497" i="1"/>
  <c r="G497" i="1"/>
  <c r="F497" i="1"/>
  <c r="E497" i="1"/>
  <c r="K496" i="1"/>
  <c r="J496" i="1"/>
  <c r="I496" i="1"/>
  <c r="H496" i="1"/>
  <c r="G496" i="1"/>
  <c r="F496" i="1"/>
  <c r="E496" i="1"/>
  <c r="K495" i="1"/>
  <c r="J495" i="1"/>
  <c r="I495" i="1"/>
  <c r="H495" i="1"/>
  <c r="G495" i="1"/>
  <c r="F495" i="1"/>
  <c r="E495" i="1"/>
  <c r="K494" i="1"/>
  <c r="J494" i="1"/>
  <c r="I494" i="1"/>
  <c r="H494" i="1"/>
  <c r="G494" i="1"/>
  <c r="F494" i="1"/>
  <c r="E494" i="1"/>
  <c r="K493" i="1"/>
  <c r="J493" i="1"/>
  <c r="I493" i="1"/>
  <c r="H493" i="1"/>
  <c r="G493" i="1"/>
  <c r="F493" i="1"/>
  <c r="E493" i="1"/>
  <c r="K492" i="1"/>
  <c r="J492" i="1"/>
  <c r="I492" i="1"/>
  <c r="H492" i="1"/>
  <c r="G492" i="1"/>
  <c r="F492" i="1"/>
  <c r="E492" i="1"/>
  <c r="K491" i="1"/>
  <c r="J491" i="1"/>
  <c r="I491" i="1"/>
  <c r="H491" i="1"/>
  <c r="G491" i="1"/>
  <c r="F491" i="1"/>
  <c r="E491" i="1"/>
  <c r="K490" i="1"/>
  <c r="J490" i="1"/>
  <c r="I490" i="1"/>
  <c r="H490" i="1"/>
  <c r="G490" i="1"/>
  <c r="F490" i="1"/>
  <c r="E490" i="1"/>
  <c r="K489" i="1"/>
  <c r="J489" i="1"/>
  <c r="I489" i="1"/>
  <c r="H489" i="1"/>
  <c r="G489" i="1"/>
  <c r="F489" i="1"/>
  <c r="E489" i="1"/>
  <c r="K488" i="1"/>
  <c r="J488" i="1"/>
  <c r="I488" i="1"/>
  <c r="H488" i="1"/>
  <c r="G488" i="1"/>
  <c r="F488" i="1"/>
  <c r="E488" i="1"/>
  <c r="K487" i="1"/>
  <c r="J487" i="1"/>
  <c r="I487" i="1"/>
  <c r="H487" i="1"/>
  <c r="G487" i="1"/>
  <c r="F487" i="1"/>
  <c r="E487" i="1"/>
  <c r="K486" i="1"/>
  <c r="J486" i="1"/>
  <c r="I486" i="1"/>
  <c r="H486" i="1"/>
  <c r="G486" i="1"/>
  <c r="F486" i="1"/>
  <c r="E486" i="1"/>
  <c r="K485" i="1"/>
  <c r="J485" i="1"/>
  <c r="I485" i="1"/>
  <c r="H485" i="1"/>
  <c r="G485" i="1"/>
  <c r="F485" i="1"/>
  <c r="E485" i="1"/>
  <c r="K484" i="1"/>
  <c r="J484" i="1"/>
  <c r="I484" i="1"/>
  <c r="H484" i="1"/>
  <c r="G484" i="1"/>
  <c r="F484" i="1"/>
  <c r="E484" i="1"/>
  <c r="K483" i="1"/>
  <c r="J483" i="1"/>
  <c r="I483" i="1"/>
  <c r="H483" i="1"/>
  <c r="G483" i="1"/>
  <c r="F483" i="1"/>
  <c r="E483" i="1"/>
  <c r="K482" i="1"/>
  <c r="J482" i="1"/>
  <c r="I482" i="1"/>
  <c r="H482" i="1"/>
  <c r="G482" i="1"/>
  <c r="F482" i="1"/>
  <c r="E482" i="1"/>
  <c r="K481" i="1"/>
  <c r="J481" i="1"/>
  <c r="I481" i="1"/>
  <c r="H481" i="1"/>
  <c r="G481" i="1"/>
  <c r="F481" i="1"/>
  <c r="E481" i="1"/>
  <c r="K480" i="1"/>
  <c r="J480" i="1"/>
  <c r="I480" i="1"/>
  <c r="H480" i="1"/>
  <c r="G480" i="1"/>
  <c r="F480" i="1"/>
  <c r="E480" i="1"/>
  <c r="K479" i="1"/>
  <c r="J479" i="1"/>
  <c r="I479" i="1"/>
  <c r="H479" i="1"/>
  <c r="G479" i="1"/>
  <c r="F479" i="1"/>
  <c r="E479" i="1"/>
  <c r="K478" i="1"/>
  <c r="J478" i="1"/>
  <c r="I478" i="1"/>
  <c r="H478" i="1"/>
  <c r="G478" i="1"/>
  <c r="F478" i="1"/>
  <c r="E478" i="1"/>
  <c r="K477" i="1"/>
  <c r="J477" i="1"/>
  <c r="I477" i="1"/>
  <c r="H477" i="1"/>
  <c r="G477" i="1"/>
  <c r="F477" i="1"/>
  <c r="E477" i="1"/>
  <c r="K476" i="1"/>
  <c r="J476" i="1"/>
  <c r="I476" i="1"/>
  <c r="H476" i="1"/>
  <c r="G476" i="1"/>
  <c r="F476" i="1"/>
  <c r="E476" i="1"/>
  <c r="K475" i="1"/>
  <c r="J475" i="1"/>
  <c r="I475" i="1"/>
  <c r="H475" i="1"/>
  <c r="G475" i="1"/>
  <c r="F475" i="1"/>
  <c r="E475" i="1"/>
  <c r="K474" i="1"/>
  <c r="J474" i="1"/>
  <c r="I474" i="1"/>
  <c r="H474" i="1"/>
  <c r="G474" i="1"/>
  <c r="F474" i="1"/>
  <c r="E474" i="1"/>
  <c r="K473" i="1"/>
  <c r="J473" i="1"/>
  <c r="I473" i="1"/>
  <c r="H473" i="1"/>
  <c r="G473" i="1"/>
  <c r="F473" i="1"/>
  <c r="E473" i="1"/>
  <c r="K472" i="1"/>
  <c r="J472" i="1"/>
  <c r="I472" i="1"/>
  <c r="H472" i="1"/>
  <c r="G472" i="1"/>
  <c r="F472" i="1"/>
  <c r="E472" i="1"/>
  <c r="K471" i="1"/>
  <c r="J471" i="1"/>
  <c r="I471" i="1"/>
  <c r="H471" i="1"/>
  <c r="G471" i="1"/>
  <c r="F471" i="1"/>
  <c r="E471" i="1"/>
  <c r="K470" i="1"/>
  <c r="J470" i="1"/>
  <c r="I470" i="1"/>
  <c r="H470" i="1"/>
  <c r="G470" i="1"/>
  <c r="F470" i="1"/>
  <c r="E470" i="1"/>
  <c r="K469" i="1"/>
  <c r="J469" i="1"/>
  <c r="I469" i="1"/>
  <c r="H469" i="1"/>
  <c r="G469" i="1"/>
  <c r="F469" i="1"/>
  <c r="E469" i="1"/>
  <c r="K468" i="1"/>
  <c r="J468" i="1"/>
  <c r="I468" i="1"/>
  <c r="H468" i="1"/>
  <c r="G468" i="1"/>
  <c r="F468" i="1"/>
  <c r="E468" i="1"/>
  <c r="K467" i="1"/>
  <c r="J467" i="1"/>
  <c r="I467" i="1"/>
  <c r="H467" i="1"/>
  <c r="G467" i="1"/>
  <c r="F467" i="1"/>
  <c r="E467" i="1"/>
  <c r="K466" i="1"/>
  <c r="J466" i="1"/>
  <c r="I466" i="1"/>
  <c r="H466" i="1"/>
  <c r="G466" i="1"/>
  <c r="F466" i="1"/>
  <c r="E466" i="1"/>
  <c r="K465" i="1"/>
  <c r="J465" i="1"/>
  <c r="I465" i="1"/>
  <c r="H465" i="1"/>
  <c r="G465" i="1"/>
  <c r="F465" i="1"/>
  <c r="E465" i="1"/>
  <c r="K464" i="1"/>
  <c r="J464" i="1"/>
  <c r="I464" i="1"/>
  <c r="H464" i="1"/>
  <c r="G464" i="1"/>
  <c r="F464" i="1"/>
  <c r="E464" i="1"/>
  <c r="K463" i="1"/>
  <c r="J463" i="1"/>
  <c r="I463" i="1"/>
  <c r="H463" i="1"/>
  <c r="G463" i="1"/>
  <c r="F463" i="1"/>
  <c r="E463" i="1"/>
  <c r="K462" i="1"/>
  <c r="J462" i="1"/>
  <c r="I462" i="1"/>
  <c r="H462" i="1"/>
  <c r="G462" i="1"/>
  <c r="F462" i="1"/>
  <c r="E462" i="1"/>
  <c r="K461" i="1"/>
  <c r="J461" i="1"/>
  <c r="I461" i="1"/>
  <c r="H461" i="1"/>
  <c r="G461" i="1"/>
  <c r="F461" i="1"/>
  <c r="E461" i="1"/>
  <c r="K460" i="1"/>
  <c r="J460" i="1"/>
  <c r="I460" i="1"/>
  <c r="H460" i="1"/>
  <c r="G460" i="1"/>
  <c r="F460" i="1"/>
  <c r="E460" i="1"/>
  <c r="K459" i="1"/>
  <c r="J459" i="1"/>
  <c r="I459" i="1"/>
  <c r="H459" i="1"/>
  <c r="G459" i="1"/>
  <c r="F459" i="1"/>
  <c r="E459" i="1"/>
  <c r="K458" i="1"/>
  <c r="J458" i="1"/>
  <c r="I458" i="1"/>
  <c r="H458" i="1"/>
  <c r="G458" i="1"/>
  <c r="F458" i="1"/>
  <c r="E458" i="1"/>
  <c r="K457" i="1"/>
  <c r="J457" i="1"/>
  <c r="I457" i="1"/>
  <c r="H457" i="1"/>
  <c r="G457" i="1"/>
  <c r="F457" i="1"/>
  <c r="E457" i="1"/>
  <c r="K456" i="1"/>
  <c r="J456" i="1"/>
  <c r="I456" i="1"/>
  <c r="H456" i="1"/>
  <c r="G456" i="1"/>
  <c r="F456" i="1"/>
  <c r="E456" i="1"/>
  <c r="K455" i="1"/>
  <c r="J455" i="1"/>
  <c r="I455" i="1"/>
  <c r="H455" i="1"/>
  <c r="G455" i="1"/>
  <c r="F455" i="1"/>
  <c r="E455" i="1"/>
  <c r="K454" i="1"/>
  <c r="J454" i="1"/>
  <c r="I454" i="1"/>
  <c r="H454" i="1"/>
  <c r="G454" i="1"/>
  <c r="F454" i="1"/>
  <c r="E454" i="1"/>
  <c r="K453" i="1"/>
  <c r="J453" i="1"/>
  <c r="I453" i="1"/>
  <c r="H453" i="1"/>
  <c r="G453" i="1"/>
  <c r="F453" i="1"/>
  <c r="E453" i="1"/>
  <c r="K452" i="1"/>
  <c r="J452" i="1"/>
  <c r="I452" i="1"/>
  <c r="H452" i="1"/>
  <c r="G452" i="1"/>
  <c r="F452" i="1"/>
  <c r="E452" i="1"/>
  <c r="K451" i="1"/>
  <c r="J451" i="1"/>
  <c r="I451" i="1"/>
  <c r="H451" i="1"/>
  <c r="G451" i="1"/>
  <c r="F451" i="1"/>
  <c r="E451" i="1"/>
  <c r="K450" i="1"/>
  <c r="J450" i="1"/>
  <c r="I450" i="1"/>
  <c r="H450" i="1"/>
  <c r="G450" i="1"/>
  <c r="F450" i="1"/>
  <c r="E450" i="1"/>
  <c r="K449" i="1"/>
  <c r="J449" i="1"/>
  <c r="I449" i="1"/>
  <c r="H449" i="1"/>
  <c r="G449" i="1"/>
  <c r="F449" i="1"/>
  <c r="E449" i="1"/>
  <c r="K448" i="1"/>
  <c r="J448" i="1"/>
  <c r="I448" i="1"/>
  <c r="H448" i="1"/>
  <c r="G448" i="1"/>
  <c r="F448" i="1"/>
  <c r="E448" i="1"/>
  <c r="K447" i="1"/>
  <c r="J447" i="1"/>
  <c r="I447" i="1"/>
  <c r="H447" i="1"/>
  <c r="G447" i="1"/>
  <c r="F447" i="1"/>
  <c r="E447" i="1"/>
  <c r="K446" i="1"/>
  <c r="J446" i="1"/>
  <c r="I446" i="1"/>
  <c r="H446" i="1"/>
  <c r="G446" i="1"/>
  <c r="F446" i="1"/>
  <c r="E446" i="1"/>
  <c r="K445" i="1"/>
  <c r="J445" i="1"/>
  <c r="I445" i="1"/>
  <c r="H445" i="1"/>
  <c r="G445" i="1"/>
  <c r="F445" i="1"/>
  <c r="E445" i="1"/>
  <c r="K444" i="1"/>
  <c r="J444" i="1"/>
  <c r="I444" i="1"/>
  <c r="H444" i="1"/>
  <c r="G444" i="1"/>
  <c r="F444" i="1"/>
  <c r="E444" i="1"/>
  <c r="K443" i="1"/>
  <c r="J443" i="1"/>
  <c r="I443" i="1"/>
  <c r="H443" i="1"/>
  <c r="G443" i="1"/>
  <c r="F443" i="1"/>
  <c r="E443" i="1"/>
  <c r="K442" i="1"/>
  <c r="J442" i="1"/>
  <c r="I442" i="1"/>
  <c r="H442" i="1"/>
  <c r="G442" i="1"/>
  <c r="F442" i="1"/>
  <c r="E442" i="1"/>
  <c r="K441" i="1"/>
  <c r="J441" i="1"/>
  <c r="I441" i="1"/>
  <c r="H441" i="1"/>
  <c r="G441" i="1"/>
  <c r="F441" i="1"/>
  <c r="E441" i="1"/>
  <c r="K440" i="1"/>
  <c r="J440" i="1"/>
  <c r="I440" i="1"/>
  <c r="H440" i="1"/>
  <c r="G440" i="1"/>
  <c r="F440" i="1"/>
  <c r="E440" i="1"/>
  <c r="K439" i="1"/>
  <c r="J439" i="1"/>
  <c r="I439" i="1"/>
  <c r="H439" i="1"/>
  <c r="G439" i="1"/>
  <c r="F439" i="1"/>
  <c r="E439" i="1"/>
  <c r="K438" i="1"/>
  <c r="J438" i="1"/>
  <c r="I438" i="1"/>
  <c r="H438" i="1"/>
  <c r="G438" i="1"/>
  <c r="F438" i="1"/>
  <c r="E438" i="1"/>
  <c r="K437" i="1"/>
  <c r="J437" i="1"/>
  <c r="I437" i="1"/>
  <c r="H437" i="1"/>
  <c r="G437" i="1"/>
  <c r="F437" i="1"/>
  <c r="E437" i="1"/>
  <c r="K436" i="1"/>
  <c r="J436" i="1"/>
  <c r="I436" i="1"/>
  <c r="H436" i="1"/>
  <c r="G436" i="1"/>
  <c r="F436" i="1"/>
  <c r="E436" i="1"/>
  <c r="K435" i="1"/>
  <c r="J435" i="1"/>
  <c r="I435" i="1"/>
  <c r="H435" i="1"/>
  <c r="G435" i="1"/>
  <c r="F435" i="1"/>
  <c r="E435" i="1"/>
  <c r="K434" i="1"/>
  <c r="J434" i="1"/>
  <c r="I434" i="1"/>
  <c r="H434" i="1"/>
  <c r="G434" i="1"/>
  <c r="F434" i="1"/>
  <c r="E434" i="1"/>
  <c r="K433" i="1"/>
  <c r="J433" i="1"/>
  <c r="I433" i="1"/>
  <c r="H433" i="1"/>
  <c r="G433" i="1"/>
  <c r="F433" i="1"/>
  <c r="E433" i="1"/>
  <c r="K432" i="1"/>
  <c r="J432" i="1"/>
  <c r="I432" i="1"/>
  <c r="H432" i="1"/>
  <c r="G432" i="1"/>
  <c r="F432" i="1"/>
  <c r="E432" i="1"/>
  <c r="K431" i="1"/>
  <c r="J431" i="1"/>
  <c r="I431" i="1"/>
  <c r="H431" i="1"/>
  <c r="G431" i="1"/>
  <c r="F431" i="1"/>
  <c r="E431" i="1"/>
  <c r="K430" i="1"/>
  <c r="J430" i="1"/>
  <c r="I430" i="1"/>
  <c r="H430" i="1"/>
  <c r="G430" i="1"/>
  <c r="F430" i="1"/>
  <c r="E430" i="1"/>
  <c r="K429" i="1"/>
  <c r="J429" i="1"/>
  <c r="I429" i="1"/>
  <c r="H429" i="1"/>
  <c r="G429" i="1"/>
  <c r="F429" i="1"/>
  <c r="E429" i="1"/>
  <c r="K428" i="1"/>
  <c r="J428" i="1"/>
  <c r="I428" i="1"/>
  <c r="H428" i="1"/>
  <c r="G428" i="1"/>
  <c r="F428" i="1"/>
  <c r="E428" i="1"/>
  <c r="K427" i="1"/>
  <c r="J427" i="1"/>
  <c r="I427" i="1"/>
  <c r="H427" i="1"/>
  <c r="G427" i="1"/>
  <c r="F427" i="1"/>
  <c r="E427" i="1"/>
  <c r="K426" i="1"/>
  <c r="J426" i="1"/>
  <c r="I426" i="1"/>
  <c r="H426" i="1"/>
  <c r="G426" i="1"/>
  <c r="F426" i="1"/>
  <c r="E426" i="1"/>
  <c r="K425" i="1"/>
  <c r="J425" i="1"/>
  <c r="I425" i="1"/>
  <c r="H425" i="1"/>
  <c r="G425" i="1"/>
  <c r="F425" i="1"/>
  <c r="E425" i="1"/>
  <c r="K424" i="1"/>
  <c r="J424" i="1"/>
  <c r="I424" i="1"/>
  <c r="H424" i="1"/>
  <c r="G424" i="1"/>
  <c r="F424" i="1"/>
  <c r="E424" i="1"/>
  <c r="K423" i="1"/>
  <c r="J423" i="1"/>
  <c r="I423" i="1"/>
  <c r="H423" i="1"/>
  <c r="G423" i="1"/>
  <c r="F423" i="1"/>
  <c r="E423" i="1"/>
  <c r="K422" i="1"/>
  <c r="J422" i="1"/>
  <c r="I422" i="1"/>
  <c r="H422" i="1"/>
  <c r="G422" i="1"/>
  <c r="F422" i="1"/>
  <c r="E422" i="1"/>
  <c r="K421" i="1"/>
  <c r="J421" i="1"/>
  <c r="I421" i="1"/>
  <c r="H421" i="1"/>
  <c r="G421" i="1"/>
  <c r="F421" i="1"/>
  <c r="E421" i="1"/>
  <c r="K420" i="1"/>
  <c r="J420" i="1"/>
  <c r="I420" i="1"/>
  <c r="H420" i="1"/>
  <c r="G420" i="1"/>
  <c r="F420" i="1"/>
  <c r="E420" i="1"/>
  <c r="K419" i="1"/>
  <c r="J419" i="1"/>
  <c r="I419" i="1"/>
  <c r="H419" i="1"/>
  <c r="G419" i="1"/>
  <c r="F419" i="1"/>
  <c r="E419" i="1"/>
  <c r="K418" i="1"/>
  <c r="J418" i="1"/>
  <c r="I418" i="1"/>
  <c r="H418" i="1"/>
  <c r="G418" i="1"/>
  <c r="F418" i="1"/>
  <c r="E418" i="1"/>
  <c r="K417" i="1"/>
  <c r="J417" i="1"/>
  <c r="I417" i="1"/>
  <c r="H417" i="1"/>
  <c r="G417" i="1"/>
  <c r="F417" i="1"/>
  <c r="E417" i="1"/>
  <c r="K416" i="1"/>
  <c r="J416" i="1"/>
  <c r="I416" i="1"/>
  <c r="H416" i="1"/>
  <c r="G416" i="1"/>
  <c r="F416" i="1"/>
  <c r="E416" i="1"/>
  <c r="K415" i="1"/>
  <c r="J415" i="1"/>
  <c r="I415" i="1"/>
  <c r="H415" i="1"/>
  <c r="G415" i="1"/>
  <c r="F415" i="1"/>
  <c r="E415" i="1"/>
  <c r="K414" i="1"/>
  <c r="J414" i="1"/>
  <c r="I414" i="1"/>
  <c r="H414" i="1"/>
  <c r="G414" i="1"/>
  <c r="F414" i="1"/>
  <c r="E414" i="1"/>
  <c r="K413" i="1"/>
  <c r="J413" i="1"/>
  <c r="I413" i="1"/>
  <c r="H413" i="1"/>
  <c r="G413" i="1"/>
  <c r="F413" i="1"/>
  <c r="E413" i="1"/>
  <c r="K412" i="1"/>
  <c r="J412" i="1"/>
  <c r="I412" i="1"/>
  <c r="H412" i="1"/>
  <c r="G412" i="1"/>
  <c r="F412" i="1"/>
  <c r="E412" i="1"/>
  <c r="K411" i="1"/>
  <c r="J411" i="1"/>
  <c r="I411" i="1"/>
  <c r="H411" i="1"/>
  <c r="G411" i="1"/>
  <c r="F411" i="1"/>
  <c r="E411" i="1"/>
  <c r="K410" i="1"/>
  <c r="J410" i="1"/>
  <c r="I410" i="1"/>
  <c r="H410" i="1"/>
  <c r="G410" i="1"/>
  <c r="F410" i="1"/>
  <c r="E410" i="1"/>
  <c r="K409" i="1"/>
  <c r="J409" i="1"/>
  <c r="I409" i="1"/>
  <c r="H409" i="1"/>
  <c r="G409" i="1"/>
  <c r="F409" i="1"/>
  <c r="E409" i="1"/>
  <c r="K408" i="1"/>
  <c r="J408" i="1"/>
  <c r="I408" i="1"/>
  <c r="H408" i="1"/>
  <c r="G408" i="1"/>
  <c r="F408" i="1"/>
  <c r="E408" i="1"/>
  <c r="K407" i="1"/>
  <c r="J407" i="1"/>
  <c r="I407" i="1"/>
  <c r="H407" i="1"/>
  <c r="G407" i="1"/>
  <c r="F407" i="1"/>
  <c r="E407" i="1"/>
  <c r="K406" i="1"/>
  <c r="J406" i="1"/>
  <c r="I406" i="1"/>
  <c r="H406" i="1"/>
  <c r="G406" i="1"/>
  <c r="F406" i="1"/>
  <c r="E406" i="1"/>
  <c r="K405" i="1"/>
  <c r="J405" i="1"/>
  <c r="I405" i="1"/>
  <c r="H405" i="1"/>
  <c r="G405" i="1"/>
  <c r="F405" i="1"/>
  <c r="E405" i="1"/>
  <c r="K404" i="1"/>
  <c r="J404" i="1"/>
  <c r="I404" i="1"/>
  <c r="H404" i="1"/>
  <c r="G404" i="1"/>
  <c r="F404" i="1"/>
  <c r="E404" i="1"/>
  <c r="K403" i="1"/>
  <c r="J403" i="1"/>
  <c r="I403" i="1"/>
  <c r="H403" i="1"/>
  <c r="G403" i="1"/>
  <c r="F403" i="1"/>
  <c r="E403" i="1"/>
  <c r="K402" i="1"/>
  <c r="J402" i="1"/>
  <c r="I402" i="1"/>
  <c r="H402" i="1"/>
  <c r="G402" i="1"/>
  <c r="F402" i="1"/>
  <c r="E402" i="1"/>
  <c r="K401" i="1"/>
  <c r="J401" i="1"/>
  <c r="I401" i="1"/>
  <c r="H401" i="1"/>
  <c r="G401" i="1"/>
  <c r="F401" i="1"/>
  <c r="E401" i="1"/>
  <c r="K400" i="1"/>
  <c r="J400" i="1"/>
  <c r="I400" i="1"/>
  <c r="H400" i="1"/>
  <c r="G400" i="1"/>
  <c r="F400" i="1"/>
  <c r="E400" i="1"/>
  <c r="K399" i="1"/>
  <c r="J399" i="1"/>
  <c r="I399" i="1"/>
  <c r="H399" i="1"/>
  <c r="G399" i="1"/>
  <c r="F399" i="1"/>
  <c r="E399" i="1"/>
  <c r="K398" i="1"/>
  <c r="J398" i="1"/>
  <c r="I398" i="1"/>
  <c r="H398" i="1"/>
  <c r="G398" i="1"/>
  <c r="F398" i="1"/>
  <c r="E398" i="1"/>
  <c r="K397" i="1"/>
  <c r="J397" i="1"/>
  <c r="I397" i="1"/>
  <c r="H397" i="1"/>
  <c r="G397" i="1"/>
  <c r="F397" i="1"/>
  <c r="E397" i="1"/>
  <c r="K396" i="1"/>
  <c r="J396" i="1"/>
  <c r="I396" i="1"/>
  <c r="H396" i="1"/>
  <c r="G396" i="1"/>
  <c r="F396" i="1"/>
  <c r="E396" i="1"/>
  <c r="K395" i="1"/>
  <c r="J395" i="1"/>
  <c r="I395" i="1"/>
  <c r="H395" i="1"/>
  <c r="G395" i="1"/>
  <c r="F395" i="1"/>
  <c r="E395" i="1"/>
  <c r="K394" i="1"/>
  <c r="J394" i="1"/>
  <c r="I394" i="1"/>
  <c r="H394" i="1"/>
  <c r="G394" i="1"/>
  <c r="F394" i="1"/>
  <c r="E394" i="1"/>
  <c r="K393" i="1"/>
  <c r="J393" i="1"/>
  <c r="I393" i="1"/>
  <c r="H393" i="1"/>
  <c r="G393" i="1"/>
  <c r="F393" i="1"/>
  <c r="E393" i="1"/>
  <c r="K392" i="1"/>
  <c r="J392" i="1"/>
  <c r="I392" i="1"/>
  <c r="H392" i="1"/>
  <c r="G392" i="1"/>
  <c r="F392" i="1"/>
  <c r="E392" i="1"/>
  <c r="K391" i="1"/>
  <c r="J391" i="1"/>
  <c r="I391" i="1"/>
  <c r="H391" i="1"/>
  <c r="G391" i="1"/>
  <c r="F391" i="1"/>
  <c r="E391" i="1"/>
  <c r="K390" i="1"/>
  <c r="J390" i="1"/>
  <c r="I390" i="1"/>
  <c r="H390" i="1"/>
  <c r="G390" i="1"/>
  <c r="F390" i="1"/>
  <c r="E390" i="1"/>
  <c r="K389" i="1"/>
  <c r="J389" i="1"/>
  <c r="I389" i="1"/>
  <c r="H389" i="1"/>
  <c r="G389" i="1"/>
  <c r="F389" i="1"/>
  <c r="E389" i="1"/>
  <c r="K388" i="1"/>
  <c r="J388" i="1"/>
  <c r="I388" i="1"/>
  <c r="H388" i="1"/>
  <c r="G388" i="1"/>
  <c r="F388" i="1"/>
  <c r="E388" i="1"/>
  <c r="K387" i="1"/>
  <c r="J387" i="1"/>
  <c r="I387" i="1"/>
  <c r="H387" i="1"/>
  <c r="G387" i="1"/>
  <c r="F387" i="1"/>
  <c r="E387" i="1"/>
  <c r="K386" i="1"/>
  <c r="J386" i="1"/>
  <c r="I386" i="1"/>
  <c r="H386" i="1"/>
  <c r="G386" i="1"/>
  <c r="F386" i="1"/>
  <c r="E386" i="1"/>
  <c r="K385" i="1"/>
  <c r="J385" i="1"/>
  <c r="I385" i="1"/>
  <c r="H385" i="1"/>
  <c r="G385" i="1"/>
  <c r="F385" i="1"/>
  <c r="E385" i="1"/>
  <c r="K384" i="1"/>
  <c r="J384" i="1"/>
  <c r="I384" i="1"/>
  <c r="H384" i="1"/>
  <c r="G384" i="1"/>
  <c r="F384" i="1"/>
  <c r="E384" i="1"/>
  <c r="K383" i="1"/>
  <c r="J383" i="1"/>
  <c r="I383" i="1"/>
  <c r="H383" i="1"/>
  <c r="G383" i="1"/>
  <c r="F383" i="1"/>
  <c r="E383" i="1"/>
  <c r="K382" i="1"/>
  <c r="J382" i="1"/>
  <c r="I382" i="1"/>
  <c r="H382" i="1"/>
  <c r="G382" i="1"/>
  <c r="F382" i="1"/>
  <c r="E382" i="1"/>
  <c r="K381" i="1"/>
  <c r="J381" i="1"/>
  <c r="I381" i="1"/>
  <c r="H381" i="1"/>
  <c r="G381" i="1"/>
  <c r="F381" i="1"/>
  <c r="E381" i="1"/>
  <c r="K380" i="1"/>
  <c r="J380" i="1"/>
  <c r="I380" i="1"/>
  <c r="H380" i="1"/>
  <c r="G380" i="1"/>
  <c r="F380" i="1"/>
  <c r="E380" i="1"/>
  <c r="K379" i="1"/>
  <c r="J379" i="1"/>
  <c r="I379" i="1"/>
  <c r="H379" i="1"/>
  <c r="G379" i="1"/>
  <c r="F379" i="1"/>
  <c r="E379" i="1"/>
  <c r="K378" i="1"/>
  <c r="J378" i="1"/>
  <c r="I378" i="1"/>
  <c r="H378" i="1"/>
  <c r="G378" i="1"/>
  <c r="F378" i="1"/>
  <c r="E378" i="1"/>
  <c r="K377" i="1"/>
  <c r="J377" i="1"/>
  <c r="I377" i="1"/>
  <c r="H377" i="1"/>
  <c r="G377" i="1"/>
  <c r="F377" i="1"/>
  <c r="E377" i="1"/>
  <c r="K376" i="1"/>
  <c r="J376" i="1"/>
  <c r="I376" i="1"/>
  <c r="H376" i="1"/>
  <c r="G376" i="1"/>
  <c r="F376" i="1"/>
  <c r="E376" i="1"/>
  <c r="K375" i="1"/>
  <c r="J375" i="1"/>
  <c r="I375" i="1"/>
  <c r="H375" i="1"/>
  <c r="G375" i="1"/>
  <c r="F375" i="1"/>
  <c r="E375" i="1"/>
  <c r="K374" i="1"/>
  <c r="J374" i="1"/>
  <c r="I374" i="1"/>
  <c r="H374" i="1"/>
  <c r="G374" i="1"/>
  <c r="F374" i="1"/>
  <c r="E374" i="1"/>
  <c r="K373" i="1"/>
  <c r="J373" i="1"/>
  <c r="I373" i="1"/>
  <c r="H373" i="1"/>
  <c r="G373" i="1"/>
  <c r="F373" i="1"/>
  <c r="E373" i="1"/>
  <c r="K372" i="1"/>
  <c r="J372" i="1"/>
  <c r="I372" i="1"/>
  <c r="H372" i="1"/>
  <c r="G372" i="1"/>
  <c r="F372" i="1"/>
  <c r="E372" i="1"/>
  <c r="K371" i="1"/>
  <c r="J371" i="1"/>
  <c r="I371" i="1"/>
  <c r="H371" i="1"/>
  <c r="G371" i="1"/>
  <c r="F371" i="1"/>
  <c r="E371" i="1"/>
  <c r="K370" i="1"/>
  <c r="J370" i="1"/>
  <c r="I370" i="1"/>
  <c r="H370" i="1"/>
  <c r="G370" i="1"/>
  <c r="F370" i="1"/>
  <c r="E370" i="1"/>
  <c r="K369" i="1"/>
  <c r="J369" i="1"/>
  <c r="I369" i="1"/>
  <c r="H369" i="1"/>
  <c r="G369" i="1"/>
  <c r="F369" i="1"/>
  <c r="E369" i="1"/>
  <c r="K368" i="1"/>
  <c r="J368" i="1"/>
  <c r="I368" i="1"/>
  <c r="H368" i="1"/>
  <c r="G368" i="1"/>
  <c r="F368" i="1"/>
  <c r="E368" i="1"/>
  <c r="K367" i="1"/>
  <c r="J367" i="1"/>
  <c r="I367" i="1"/>
  <c r="H367" i="1"/>
  <c r="G367" i="1"/>
  <c r="F367" i="1"/>
  <c r="E367" i="1"/>
  <c r="K366" i="1"/>
  <c r="J366" i="1"/>
  <c r="I366" i="1"/>
  <c r="H366" i="1"/>
  <c r="G366" i="1"/>
  <c r="F366" i="1"/>
  <c r="E366" i="1"/>
  <c r="K365" i="1"/>
  <c r="J365" i="1"/>
  <c r="I365" i="1"/>
  <c r="H365" i="1"/>
  <c r="G365" i="1"/>
  <c r="F365" i="1"/>
  <c r="E365" i="1"/>
  <c r="K364" i="1"/>
  <c r="J364" i="1"/>
  <c r="I364" i="1"/>
  <c r="H364" i="1"/>
  <c r="G364" i="1"/>
  <c r="F364" i="1"/>
  <c r="E364" i="1"/>
  <c r="K363" i="1"/>
  <c r="J363" i="1"/>
  <c r="I363" i="1"/>
  <c r="H363" i="1"/>
  <c r="G363" i="1"/>
  <c r="F363" i="1"/>
  <c r="E363" i="1"/>
  <c r="K362" i="1"/>
  <c r="J362" i="1"/>
  <c r="I362" i="1"/>
  <c r="H362" i="1"/>
  <c r="G362" i="1"/>
  <c r="F362" i="1"/>
  <c r="E362" i="1"/>
  <c r="K361" i="1"/>
  <c r="J361" i="1"/>
  <c r="I361" i="1"/>
  <c r="H361" i="1"/>
  <c r="G361" i="1"/>
  <c r="F361" i="1"/>
  <c r="E361" i="1"/>
  <c r="K360" i="1"/>
  <c r="J360" i="1"/>
  <c r="I360" i="1"/>
  <c r="H360" i="1"/>
  <c r="G360" i="1"/>
  <c r="F360" i="1"/>
  <c r="E360" i="1"/>
  <c r="K359" i="1"/>
  <c r="J359" i="1"/>
  <c r="I359" i="1"/>
  <c r="H359" i="1"/>
  <c r="G359" i="1"/>
  <c r="F359" i="1"/>
  <c r="E359" i="1"/>
  <c r="K358" i="1"/>
  <c r="J358" i="1"/>
  <c r="I358" i="1"/>
  <c r="H358" i="1"/>
  <c r="G358" i="1"/>
  <c r="F358" i="1"/>
  <c r="E358" i="1"/>
  <c r="K357" i="1"/>
  <c r="J357" i="1"/>
  <c r="I357" i="1"/>
  <c r="H357" i="1"/>
  <c r="G357" i="1"/>
  <c r="F357" i="1"/>
  <c r="E357" i="1"/>
  <c r="K356" i="1"/>
  <c r="J356" i="1"/>
  <c r="I356" i="1"/>
  <c r="H356" i="1"/>
  <c r="G356" i="1"/>
  <c r="F356" i="1"/>
  <c r="E356" i="1"/>
  <c r="K355" i="1"/>
  <c r="J355" i="1"/>
  <c r="I355" i="1"/>
  <c r="H355" i="1"/>
  <c r="G355" i="1"/>
  <c r="F355" i="1"/>
  <c r="E355" i="1"/>
  <c r="K354" i="1"/>
  <c r="J354" i="1"/>
  <c r="I354" i="1"/>
  <c r="H354" i="1"/>
  <c r="G354" i="1"/>
  <c r="F354" i="1"/>
  <c r="E354" i="1"/>
  <c r="K353" i="1"/>
  <c r="J353" i="1"/>
  <c r="I353" i="1"/>
  <c r="H353" i="1"/>
  <c r="G353" i="1"/>
  <c r="F353" i="1"/>
  <c r="E353" i="1"/>
  <c r="K352" i="1"/>
  <c r="J352" i="1"/>
  <c r="I352" i="1"/>
  <c r="H352" i="1"/>
  <c r="G352" i="1"/>
  <c r="F352" i="1"/>
  <c r="E352" i="1"/>
  <c r="K351" i="1"/>
  <c r="J351" i="1"/>
  <c r="I351" i="1"/>
  <c r="H351" i="1"/>
  <c r="G351" i="1"/>
  <c r="F351" i="1"/>
  <c r="E351" i="1"/>
  <c r="K350" i="1"/>
  <c r="J350" i="1"/>
  <c r="I350" i="1"/>
  <c r="H350" i="1"/>
  <c r="G350" i="1"/>
  <c r="F350" i="1"/>
  <c r="E350" i="1"/>
  <c r="K349" i="1"/>
  <c r="J349" i="1"/>
  <c r="I349" i="1"/>
  <c r="H349" i="1"/>
  <c r="G349" i="1"/>
  <c r="F349" i="1"/>
  <c r="E349" i="1"/>
  <c r="K348" i="1"/>
  <c r="J348" i="1"/>
  <c r="I348" i="1"/>
  <c r="H348" i="1"/>
  <c r="G348" i="1"/>
  <c r="F348" i="1"/>
  <c r="E348" i="1"/>
  <c r="K347" i="1"/>
  <c r="J347" i="1"/>
  <c r="I347" i="1"/>
  <c r="H347" i="1"/>
  <c r="G347" i="1"/>
  <c r="F347" i="1"/>
  <c r="E347" i="1"/>
  <c r="K346" i="1"/>
  <c r="J346" i="1"/>
  <c r="I346" i="1"/>
  <c r="H346" i="1"/>
  <c r="G346" i="1"/>
  <c r="F346" i="1"/>
  <c r="E346" i="1"/>
  <c r="K345" i="1"/>
  <c r="J345" i="1"/>
  <c r="I345" i="1"/>
  <c r="H345" i="1"/>
  <c r="G345" i="1"/>
  <c r="F345" i="1"/>
  <c r="E345" i="1"/>
  <c r="K344" i="1"/>
  <c r="J344" i="1"/>
  <c r="I344" i="1"/>
  <c r="H344" i="1"/>
  <c r="G344" i="1"/>
  <c r="F344" i="1"/>
  <c r="E344" i="1"/>
  <c r="K343" i="1"/>
  <c r="J343" i="1"/>
  <c r="I343" i="1"/>
  <c r="H343" i="1"/>
  <c r="G343" i="1"/>
  <c r="F343" i="1"/>
  <c r="E343" i="1"/>
  <c r="K342" i="1"/>
  <c r="J342" i="1"/>
  <c r="I342" i="1"/>
  <c r="H342" i="1"/>
  <c r="G342" i="1"/>
  <c r="F342" i="1"/>
  <c r="E342" i="1"/>
  <c r="K341" i="1"/>
  <c r="J341" i="1"/>
  <c r="I341" i="1"/>
  <c r="H341" i="1"/>
  <c r="G341" i="1"/>
  <c r="F341" i="1"/>
  <c r="E341" i="1"/>
  <c r="K340" i="1"/>
  <c r="J340" i="1"/>
  <c r="I340" i="1"/>
  <c r="H340" i="1"/>
  <c r="G340" i="1"/>
  <c r="F340" i="1"/>
  <c r="E340" i="1"/>
  <c r="K339" i="1"/>
  <c r="J339" i="1"/>
  <c r="I339" i="1"/>
  <c r="H339" i="1"/>
  <c r="G339" i="1"/>
  <c r="F339" i="1"/>
  <c r="E339" i="1"/>
  <c r="K338" i="1"/>
  <c r="J338" i="1"/>
  <c r="I338" i="1"/>
  <c r="H338" i="1"/>
  <c r="G338" i="1"/>
  <c r="F338" i="1"/>
  <c r="E338" i="1"/>
  <c r="K337" i="1"/>
  <c r="J337" i="1"/>
  <c r="I337" i="1"/>
  <c r="H337" i="1"/>
  <c r="G337" i="1"/>
  <c r="F337" i="1"/>
  <c r="E337" i="1"/>
  <c r="K336" i="1"/>
  <c r="J336" i="1"/>
  <c r="I336" i="1"/>
  <c r="H336" i="1"/>
  <c r="G336" i="1"/>
  <c r="F336" i="1"/>
  <c r="E336" i="1"/>
  <c r="K335" i="1"/>
  <c r="J335" i="1"/>
  <c r="I335" i="1"/>
  <c r="H335" i="1"/>
  <c r="G335" i="1"/>
  <c r="F335" i="1"/>
  <c r="E335" i="1"/>
  <c r="K334" i="1"/>
  <c r="J334" i="1"/>
  <c r="I334" i="1"/>
  <c r="H334" i="1"/>
  <c r="G334" i="1"/>
  <c r="F334" i="1"/>
  <c r="E334" i="1"/>
  <c r="K333" i="1"/>
  <c r="J333" i="1"/>
  <c r="I333" i="1"/>
  <c r="H333" i="1"/>
  <c r="G333" i="1"/>
  <c r="F333" i="1"/>
  <c r="E333" i="1"/>
  <c r="K332" i="1"/>
  <c r="J332" i="1"/>
  <c r="I332" i="1"/>
  <c r="H332" i="1"/>
  <c r="G332" i="1"/>
  <c r="F332" i="1"/>
  <c r="E332" i="1"/>
  <c r="K331" i="1"/>
  <c r="J331" i="1"/>
  <c r="I331" i="1"/>
  <c r="H331" i="1"/>
  <c r="G331" i="1"/>
  <c r="F331" i="1"/>
  <c r="E331" i="1"/>
  <c r="K330" i="1"/>
  <c r="J330" i="1"/>
  <c r="I330" i="1"/>
  <c r="H330" i="1"/>
  <c r="G330" i="1"/>
  <c r="F330" i="1"/>
  <c r="E330" i="1"/>
  <c r="K329" i="1"/>
  <c r="J329" i="1"/>
  <c r="I329" i="1"/>
  <c r="H329" i="1"/>
  <c r="G329" i="1"/>
  <c r="F329" i="1"/>
  <c r="E329" i="1"/>
  <c r="K328" i="1"/>
  <c r="J328" i="1"/>
  <c r="I328" i="1"/>
  <c r="H328" i="1"/>
  <c r="G328" i="1"/>
  <c r="F328" i="1"/>
  <c r="E328" i="1"/>
  <c r="K327" i="1"/>
  <c r="J327" i="1"/>
  <c r="I327" i="1"/>
  <c r="H327" i="1"/>
  <c r="G327" i="1"/>
  <c r="F327" i="1"/>
  <c r="E327" i="1"/>
  <c r="K326" i="1"/>
  <c r="J326" i="1"/>
  <c r="I326" i="1"/>
  <c r="H326" i="1"/>
  <c r="G326" i="1"/>
  <c r="F326" i="1"/>
  <c r="E326" i="1"/>
  <c r="K325" i="1"/>
  <c r="J325" i="1"/>
  <c r="I325" i="1"/>
  <c r="H325" i="1"/>
  <c r="G325" i="1"/>
  <c r="F325" i="1"/>
  <c r="E325" i="1"/>
  <c r="K324" i="1"/>
  <c r="J324" i="1"/>
  <c r="I324" i="1"/>
  <c r="H324" i="1"/>
  <c r="G324" i="1"/>
  <c r="F324" i="1"/>
  <c r="E324" i="1"/>
  <c r="K323" i="1"/>
  <c r="J323" i="1"/>
  <c r="I323" i="1"/>
  <c r="H323" i="1"/>
  <c r="G323" i="1"/>
  <c r="F323" i="1"/>
  <c r="E323" i="1"/>
  <c r="K322" i="1"/>
  <c r="J322" i="1"/>
  <c r="I322" i="1"/>
  <c r="H322" i="1"/>
  <c r="G322" i="1"/>
  <c r="F322" i="1"/>
  <c r="E322" i="1"/>
  <c r="K321" i="1"/>
  <c r="J321" i="1"/>
  <c r="I321" i="1"/>
  <c r="H321" i="1"/>
  <c r="G321" i="1"/>
  <c r="F321" i="1"/>
  <c r="E321" i="1"/>
  <c r="K320" i="1"/>
  <c r="J320" i="1"/>
  <c r="I320" i="1"/>
  <c r="H320" i="1"/>
  <c r="G320" i="1"/>
  <c r="F320" i="1"/>
  <c r="E320" i="1"/>
  <c r="K319" i="1"/>
  <c r="J319" i="1"/>
  <c r="I319" i="1"/>
  <c r="H319" i="1"/>
  <c r="G319" i="1"/>
  <c r="F319" i="1"/>
  <c r="E319" i="1"/>
  <c r="K318" i="1"/>
  <c r="J318" i="1"/>
  <c r="I318" i="1"/>
  <c r="H318" i="1"/>
  <c r="G318" i="1"/>
  <c r="F318" i="1"/>
  <c r="E318" i="1"/>
  <c r="K317" i="1"/>
  <c r="J317" i="1"/>
  <c r="I317" i="1"/>
  <c r="H317" i="1"/>
  <c r="G317" i="1"/>
  <c r="F317" i="1"/>
  <c r="E317" i="1"/>
  <c r="K316" i="1"/>
  <c r="J316" i="1"/>
  <c r="I316" i="1"/>
  <c r="H316" i="1"/>
  <c r="G316" i="1"/>
  <c r="F316" i="1"/>
  <c r="E316" i="1"/>
  <c r="K315" i="1"/>
  <c r="J315" i="1"/>
  <c r="I315" i="1"/>
  <c r="H315" i="1"/>
  <c r="G315" i="1"/>
  <c r="F315" i="1"/>
  <c r="E315" i="1"/>
  <c r="K314" i="1"/>
  <c r="J314" i="1"/>
  <c r="I314" i="1"/>
  <c r="H314" i="1"/>
  <c r="G314" i="1"/>
  <c r="F314" i="1"/>
  <c r="E314" i="1"/>
  <c r="K313" i="1"/>
  <c r="J313" i="1"/>
  <c r="I313" i="1"/>
  <c r="H313" i="1"/>
  <c r="G313" i="1"/>
  <c r="F313" i="1"/>
  <c r="E313" i="1"/>
  <c r="K312" i="1"/>
  <c r="J312" i="1"/>
  <c r="I312" i="1"/>
  <c r="H312" i="1"/>
  <c r="G312" i="1"/>
  <c r="F312" i="1"/>
  <c r="E312" i="1"/>
  <c r="K311" i="1"/>
  <c r="J311" i="1"/>
  <c r="I311" i="1"/>
  <c r="H311" i="1"/>
  <c r="G311" i="1"/>
  <c r="F311" i="1"/>
  <c r="E311" i="1"/>
  <c r="K310" i="1"/>
  <c r="J310" i="1"/>
  <c r="I310" i="1"/>
  <c r="H310" i="1"/>
  <c r="G310" i="1"/>
  <c r="F310" i="1"/>
  <c r="E310" i="1"/>
  <c r="K309" i="1"/>
  <c r="J309" i="1"/>
  <c r="I309" i="1"/>
  <c r="H309" i="1"/>
  <c r="G309" i="1"/>
  <c r="F309" i="1"/>
  <c r="E309" i="1"/>
  <c r="K308" i="1"/>
  <c r="J308" i="1"/>
  <c r="I308" i="1"/>
  <c r="H308" i="1"/>
  <c r="G308" i="1"/>
  <c r="F308" i="1"/>
  <c r="E308" i="1"/>
  <c r="K307" i="1"/>
  <c r="J307" i="1"/>
  <c r="I307" i="1"/>
  <c r="H307" i="1"/>
  <c r="G307" i="1"/>
  <c r="F307" i="1"/>
  <c r="E307" i="1"/>
  <c r="K306" i="1"/>
  <c r="J306" i="1"/>
  <c r="I306" i="1"/>
  <c r="H306" i="1"/>
  <c r="G306" i="1"/>
  <c r="F306" i="1"/>
  <c r="E306" i="1"/>
  <c r="K305" i="1"/>
  <c r="J305" i="1"/>
  <c r="I305" i="1"/>
  <c r="H305" i="1"/>
  <c r="G305" i="1"/>
  <c r="F305" i="1"/>
  <c r="E305" i="1"/>
  <c r="K304" i="1"/>
  <c r="J304" i="1"/>
  <c r="I304" i="1"/>
  <c r="H304" i="1"/>
  <c r="G304" i="1"/>
  <c r="F304" i="1"/>
  <c r="E304" i="1"/>
  <c r="K303" i="1"/>
  <c r="J303" i="1"/>
  <c r="I303" i="1"/>
  <c r="H303" i="1"/>
  <c r="G303" i="1"/>
  <c r="F303" i="1"/>
  <c r="E303" i="1"/>
  <c r="K302" i="1"/>
  <c r="J302" i="1"/>
  <c r="I302" i="1"/>
  <c r="H302" i="1"/>
  <c r="G302" i="1"/>
  <c r="F302" i="1"/>
  <c r="E302" i="1"/>
  <c r="K301" i="1"/>
  <c r="J301" i="1"/>
  <c r="I301" i="1"/>
  <c r="H301" i="1"/>
  <c r="G301" i="1"/>
  <c r="F301" i="1"/>
  <c r="E301" i="1"/>
  <c r="K300" i="1"/>
  <c r="J300" i="1"/>
  <c r="I300" i="1"/>
  <c r="H300" i="1"/>
  <c r="G300" i="1"/>
  <c r="F300" i="1"/>
  <c r="E300" i="1"/>
  <c r="K299" i="1"/>
  <c r="J299" i="1"/>
  <c r="I299" i="1"/>
  <c r="H299" i="1"/>
  <c r="G299" i="1"/>
  <c r="F299" i="1"/>
  <c r="E299" i="1"/>
  <c r="K298" i="1"/>
  <c r="J298" i="1"/>
  <c r="I298" i="1"/>
  <c r="H298" i="1"/>
  <c r="G298" i="1"/>
  <c r="F298" i="1"/>
  <c r="E298" i="1"/>
  <c r="K297" i="1"/>
  <c r="J297" i="1"/>
  <c r="I297" i="1"/>
  <c r="H297" i="1"/>
  <c r="G297" i="1"/>
  <c r="F297" i="1"/>
  <c r="E297" i="1"/>
  <c r="K296" i="1"/>
  <c r="J296" i="1"/>
  <c r="I296" i="1"/>
  <c r="H296" i="1"/>
  <c r="G296" i="1"/>
  <c r="F296" i="1"/>
  <c r="E296" i="1"/>
  <c r="K295" i="1"/>
  <c r="J295" i="1"/>
  <c r="I295" i="1"/>
  <c r="H295" i="1"/>
  <c r="G295" i="1"/>
  <c r="F295" i="1"/>
  <c r="E295" i="1"/>
  <c r="K294" i="1"/>
  <c r="J294" i="1"/>
  <c r="I294" i="1"/>
  <c r="H294" i="1"/>
  <c r="G294" i="1"/>
  <c r="F294" i="1"/>
  <c r="E294" i="1"/>
  <c r="K293" i="1"/>
  <c r="J293" i="1"/>
  <c r="I293" i="1"/>
  <c r="H293" i="1"/>
  <c r="G293" i="1"/>
  <c r="F293" i="1"/>
  <c r="E293" i="1"/>
  <c r="K292" i="1"/>
  <c r="J292" i="1"/>
  <c r="I292" i="1"/>
  <c r="H292" i="1"/>
  <c r="G292" i="1"/>
  <c r="F292" i="1"/>
  <c r="E292" i="1"/>
  <c r="K291" i="1"/>
  <c r="J291" i="1"/>
  <c r="I291" i="1"/>
  <c r="H291" i="1"/>
  <c r="G291" i="1"/>
  <c r="F291" i="1"/>
  <c r="E291" i="1"/>
  <c r="K290" i="1"/>
  <c r="J290" i="1"/>
  <c r="I290" i="1"/>
  <c r="H290" i="1"/>
  <c r="G290" i="1"/>
  <c r="F290" i="1"/>
  <c r="E290" i="1"/>
  <c r="K289" i="1"/>
  <c r="J289" i="1"/>
  <c r="I289" i="1"/>
  <c r="H289" i="1"/>
  <c r="G289" i="1"/>
  <c r="F289" i="1"/>
  <c r="E289" i="1"/>
  <c r="K288" i="1"/>
  <c r="J288" i="1"/>
  <c r="I288" i="1"/>
  <c r="H288" i="1"/>
  <c r="G288" i="1"/>
  <c r="F288" i="1"/>
  <c r="E288" i="1"/>
  <c r="K287" i="1"/>
  <c r="J287" i="1"/>
  <c r="I287" i="1"/>
  <c r="H287" i="1"/>
  <c r="G287" i="1"/>
  <c r="F287" i="1"/>
  <c r="E287" i="1"/>
  <c r="K286" i="1"/>
  <c r="J286" i="1"/>
  <c r="I286" i="1"/>
  <c r="H286" i="1"/>
  <c r="G286" i="1"/>
  <c r="F286" i="1"/>
  <c r="E286" i="1"/>
  <c r="K285" i="1"/>
  <c r="J285" i="1"/>
  <c r="I285" i="1"/>
  <c r="H285" i="1"/>
  <c r="G285" i="1"/>
  <c r="F285" i="1"/>
  <c r="E285" i="1"/>
  <c r="K284" i="1"/>
  <c r="J284" i="1"/>
  <c r="I284" i="1"/>
  <c r="H284" i="1"/>
  <c r="G284" i="1"/>
  <c r="F284" i="1"/>
  <c r="E284" i="1"/>
  <c r="K283" i="1"/>
  <c r="J283" i="1"/>
  <c r="I283" i="1"/>
  <c r="H283" i="1"/>
  <c r="G283" i="1"/>
  <c r="F283" i="1"/>
  <c r="E283" i="1"/>
  <c r="K282" i="1"/>
  <c r="J282" i="1"/>
  <c r="I282" i="1"/>
  <c r="H282" i="1"/>
  <c r="G282" i="1"/>
  <c r="F282" i="1"/>
  <c r="E282" i="1"/>
  <c r="K281" i="1"/>
  <c r="J281" i="1"/>
  <c r="I281" i="1"/>
  <c r="H281" i="1"/>
  <c r="G281" i="1"/>
  <c r="F281" i="1"/>
  <c r="E281" i="1"/>
  <c r="K280" i="1"/>
  <c r="J280" i="1"/>
  <c r="I280" i="1"/>
  <c r="H280" i="1"/>
  <c r="G280" i="1"/>
  <c r="F280" i="1"/>
  <c r="E280" i="1"/>
  <c r="K279" i="1"/>
  <c r="J279" i="1"/>
  <c r="I279" i="1"/>
  <c r="H279" i="1"/>
  <c r="G279" i="1"/>
  <c r="F279" i="1"/>
  <c r="E279" i="1"/>
  <c r="K278" i="1"/>
  <c r="J278" i="1"/>
  <c r="I278" i="1"/>
  <c r="H278" i="1"/>
  <c r="G278" i="1"/>
  <c r="F278" i="1"/>
  <c r="E278" i="1"/>
  <c r="K277" i="1"/>
  <c r="J277" i="1"/>
  <c r="I277" i="1"/>
  <c r="H277" i="1"/>
  <c r="G277" i="1"/>
  <c r="F277" i="1"/>
  <c r="E277" i="1"/>
  <c r="K276" i="1"/>
  <c r="J276" i="1"/>
  <c r="I276" i="1"/>
  <c r="H276" i="1"/>
  <c r="G276" i="1"/>
  <c r="F276" i="1"/>
  <c r="E276" i="1"/>
  <c r="K275" i="1"/>
  <c r="J275" i="1"/>
  <c r="I275" i="1"/>
  <c r="H275" i="1"/>
  <c r="G275" i="1"/>
  <c r="F275" i="1"/>
  <c r="E275" i="1"/>
  <c r="K274" i="1"/>
  <c r="J274" i="1"/>
  <c r="I274" i="1"/>
  <c r="H274" i="1"/>
  <c r="G274" i="1"/>
  <c r="F274" i="1"/>
  <c r="E274" i="1"/>
  <c r="K273" i="1"/>
  <c r="J273" i="1"/>
  <c r="I273" i="1"/>
  <c r="H273" i="1"/>
  <c r="G273" i="1"/>
  <c r="F273" i="1"/>
  <c r="E273" i="1"/>
  <c r="K272" i="1"/>
  <c r="J272" i="1"/>
  <c r="I272" i="1"/>
  <c r="H272" i="1"/>
  <c r="G272" i="1"/>
  <c r="F272" i="1"/>
  <c r="E272" i="1"/>
  <c r="K271" i="1"/>
  <c r="J271" i="1"/>
  <c r="I271" i="1"/>
  <c r="H271" i="1"/>
  <c r="G271" i="1"/>
  <c r="F271" i="1"/>
  <c r="E271" i="1"/>
  <c r="K270" i="1"/>
  <c r="J270" i="1"/>
  <c r="I270" i="1"/>
  <c r="H270" i="1"/>
  <c r="G270" i="1"/>
  <c r="F270" i="1"/>
  <c r="E270" i="1"/>
  <c r="K269" i="1"/>
  <c r="J269" i="1"/>
  <c r="I269" i="1"/>
  <c r="H269" i="1"/>
  <c r="G269" i="1"/>
  <c r="F269" i="1"/>
  <c r="E269" i="1"/>
  <c r="K268" i="1"/>
  <c r="J268" i="1"/>
  <c r="I268" i="1"/>
  <c r="H268" i="1"/>
  <c r="G268" i="1"/>
  <c r="F268" i="1"/>
  <c r="E268" i="1"/>
  <c r="K267" i="1"/>
  <c r="J267" i="1"/>
  <c r="I267" i="1"/>
  <c r="H267" i="1"/>
  <c r="G267" i="1"/>
  <c r="F267" i="1"/>
  <c r="E267" i="1"/>
  <c r="K266" i="1"/>
  <c r="J266" i="1"/>
  <c r="I266" i="1"/>
  <c r="H266" i="1"/>
  <c r="G266" i="1"/>
  <c r="F266" i="1"/>
  <c r="E266" i="1"/>
  <c r="K265" i="1"/>
  <c r="J265" i="1"/>
  <c r="I265" i="1"/>
  <c r="H265" i="1"/>
  <c r="G265" i="1"/>
  <c r="F265" i="1"/>
  <c r="E265" i="1"/>
  <c r="K264" i="1"/>
  <c r="J264" i="1"/>
  <c r="I264" i="1"/>
  <c r="H264" i="1"/>
  <c r="G264" i="1"/>
  <c r="F264" i="1"/>
  <c r="E264" i="1"/>
  <c r="K263" i="1"/>
  <c r="J263" i="1"/>
  <c r="I263" i="1"/>
  <c r="H263" i="1"/>
  <c r="G263" i="1"/>
  <c r="F263" i="1"/>
  <c r="E263" i="1"/>
  <c r="K262" i="1"/>
  <c r="J262" i="1"/>
  <c r="I262" i="1"/>
  <c r="H262" i="1"/>
  <c r="G262" i="1"/>
  <c r="F262" i="1"/>
  <c r="E262" i="1"/>
  <c r="K261" i="1"/>
  <c r="J261" i="1"/>
  <c r="I261" i="1"/>
  <c r="H261" i="1"/>
  <c r="G261" i="1"/>
  <c r="F261" i="1"/>
  <c r="E261" i="1"/>
  <c r="K260" i="1"/>
  <c r="J260" i="1"/>
  <c r="I260" i="1"/>
  <c r="H260" i="1"/>
  <c r="G260" i="1"/>
  <c r="F260" i="1"/>
  <c r="E260" i="1"/>
  <c r="K259" i="1"/>
  <c r="J259" i="1"/>
  <c r="I259" i="1"/>
  <c r="H259" i="1"/>
  <c r="G259" i="1"/>
  <c r="F259" i="1"/>
  <c r="E259" i="1"/>
  <c r="K258" i="1"/>
  <c r="J258" i="1"/>
  <c r="I258" i="1"/>
  <c r="H258" i="1"/>
  <c r="G258" i="1"/>
  <c r="F258" i="1"/>
  <c r="E258" i="1"/>
  <c r="K257" i="1"/>
  <c r="J257" i="1"/>
  <c r="I257" i="1"/>
  <c r="H257" i="1"/>
  <c r="G257" i="1"/>
  <c r="F257" i="1"/>
  <c r="E257" i="1"/>
  <c r="K256" i="1"/>
  <c r="J256" i="1"/>
  <c r="I256" i="1"/>
  <c r="H256" i="1"/>
  <c r="G256" i="1"/>
  <c r="F256" i="1"/>
  <c r="E256" i="1"/>
  <c r="K255" i="1"/>
  <c r="J255" i="1"/>
  <c r="I255" i="1"/>
  <c r="H255" i="1"/>
  <c r="G255" i="1"/>
  <c r="F255" i="1"/>
  <c r="E255" i="1"/>
  <c r="K254" i="1"/>
  <c r="J254" i="1"/>
  <c r="I254" i="1"/>
  <c r="H254" i="1"/>
  <c r="G254" i="1"/>
  <c r="F254" i="1"/>
  <c r="E254" i="1"/>
  <c r="K253" i="1"/>
  <c r="J253" i="1"/>
  <c r="I253" i="1"/>
  <c r="H253" i="1"/>
  <c r="G253" i="1"/>
  <c r="F253" i="1"/>
  <c r="E253" i="1"/>
  <c r="K252" i="1"/>
  <c r="J252" i="1"/>
  <c r="I252" i="1"/>
  <c r="H252" i="1"/>
  <c r="G252" i="1"/>
  <c r="F252" i="1"/>
  <c r="E252" i="1"/>
  <c r="K251" i="1"/>
  <c r="J251" i="1"/>
  <c r="I251" i="1"/>
  <c r="H251" i="1"/>
  <c r="G251" i="1"/>
  <c r="F251" i="1"/>
  <c r="E251" i="1"/>
  <c r="K250" i="1"/>
  <c r="J250" i="1"/>
  <c r="I250" i="1"/>
  <c r="H250" i="1"/>
  <c r="G250" i="1"/>
  <c r="F250" i="1"/>
  <c r="E250" i="1"/>
  <c r="K249" i="1"/>
  <c r="J249" i="1"/>
  <c r="I249" i="1"/>
  <c r="H249" i="1"/>
  <c r="G249" i="1"/>
  <c r="F249" i="1"/>
  <c r="E249" i="1"/>
  <c r="K248" i="1"/>
  <c r="J248" i="1"/>
  <c r="I248" i="1"/>
  <c r="H248" i="1"/>
  <c r="G248" i="1"/>
  <c r="F248" i="1"/>
  <c r="E248" i="1"/>
  <c r="K247" i="1"/>
  <c r="J247" i="1"/>
  <c r="I247" i="1"/>
  <c r="H247" i="1"/>
  <c r="G247" i="1"/>
  <c r="F247" i="1"/>
  <c r="E247" i="1"/>
  <c r="K246" i="1"/>
  <c r="J246" i="1"/>
  <c r="I246" i="1"/>
  <c r="H246" i="1"/>
  <c r="G246" i="1"/>
  <c r="F246" i="1"/>
  <c r="E246" i="1"/>
  <c r="K245" i="1"/>
  <c r="J245" i="1"/>
  <c r="I245" i="1"/>
  <c r="H245" i="1"/>
  <c r="G245" i="1"/>
  <c r="F245" i="1"/>
  <c r="E245" i="1"/>
  <c r="K244" i="1"/>
  <c r="J244" i="1"/>
  <c r="I244" i="1"/>
  <c r="H244" i="1"/>
  <c r="G244" i="1"/>
  <c r="F244" i="1"/>
  <c r="E244" i="1"/>
  <c r="K243" i="1"/>
  <c r="J243" i="1"/>
  <c r="I243" i="1"/>
  <c r="H243" i="1"/>
  <c r="G243" i="1"/>
  <c r="F243" i="1"/>
  <c r="E243" i="1"/>
  <c r="K242" i="1"/>
  <c r="J242" i="1"/>
  <c r="I242" i="1"/>
  <c r="H242" i="1"/>
  <c r="G242" i="1"/>
  <c r="F242" i="1"/>
  <c r="E242" i="1"/>
  <c r="K241" i="1"/>
  <c r="J241" i="1"/>
  <c r="I241" i="1"/>
  <c r="H241" i="1"/>
  <c r="G241" i="1"/>
  <c r="F241" i="1"/>
  <c r="E241" i="1"/>
  <c r="K240" i="1"/>
  <c r="J240" i="1"/>
  <c r="I240" i="1"/>
  <c r="H240" i="1"/>
  <c r="G240" i="1"/>
  <c r="F240" i="1"/>
  <c r="E240" i="1"/>
  <c r="K239" i="1"/>
  <c r="J239" i="1"/>
  <c r="I239" i="1"/>
  <c r="H239" i="1"/>
  <c r="G239" i="1"/>
  <c r="F239" i="1"/>
  <c r="E239" i="1"/>
  <c r="K238" i="1"/>
  <c r="J238" i="1"/>
  <c r="I238" i="1"/>
  <c r="H238" i="1"/>
  <c r="G238" i="1"/>
  <c r="F238" i="1"/>
  <c r="E238" i="1"/>
  <c r="K237" i="1"/>
  <c r="J237" i="1"/>
  <c r="I237" i="1"/>
  <c r="H237" i="1"/>
  <c r="G237" i="1"/>
  <c r="F237" i="1"/>
  <c r="E237" i="1"/>
  <c r="K236" i="1"/>
  <c r="J236" i="1"/>
  <c r="I236" i="1"/>
  <c r="H236" i="1"/>
  <c r="G236" i="1"/>
  <c r="F236" i="1"/>
  <c r="E236" i="1"/>
  <c r="K235" i="1"/>
  <c r="J235" i="1"/>
  <c r="I235" i="1"/>
  <c r="H235" i="1"/>
  <c r="G235" i="1"/>
  <c r="F235" i="1"/>
  <c r="E235" i="1"/>
  <c r="K234" i="1"/>
  <c r="J234" i="1"/>
  <c r="I234" i="1"/>
  <c r="H234" i="1"/>
  <c r="G234" i="1"/>
  <c r="F234" i="1"/>
  <c r="E234" i="1"/>
  <c r="K233" i="1"/>
  <c r="J233" i="1"/>
  <c r="I233" i="1"/>
  <c r="H233" i="1"/>
  <c r="G233" i="1"/>
  <c r="F233" i="1"/>
  <c r="E233" i="1"/>
  <c r="K232" i="1"/>
  <c r="J232" i="1"/>
  <c r="I232" i="1"/>
  <c r="H232" i="1"/>
  <c r="G232" i="1"/>
  <c r="F232" i="1"/>
  <c r="E232" i="1"/>
  <c r="K231" i="1"/>
  <c r="J231" i="1"/>
  <c r="I231" i="1"/>
  <c r="H231" i="1"/>
  <c r="G231" i="1"/>
  <c r="F231" i="1"/>
  <c r="E231" i="1"/>
  <c r="K230" i="1"/>
  <c r="J230" i="1"/>
  <c r="I230" i="1"/>
  <c r="H230" i="1"/>
  <c r="G230" i="1"/>
  <c r="F230" i="1"/>
  <c r="E230" i="1"/>
  <c r="K229" i="1"/>
  <c r="J229" i="1"/>
  <c r="I229" i="1"/>
  <c r="H229" i="1"/>
  <c r="G229" i="1"/>
  <c r="F229" i="1"/>
  <c r="E229" i="1"/>
  <c r="K228" i="1"/>
  <c r="J228" i="1"/>
  <c r="I228" i="1"/>
  <c r="H228" i="1"/>
  <c r="G228" i="1"/>
  <c r="F228" i="1"/>
  <c r="E228" i="1"/>
  <c r="K227" i="1"/>
  <c r="J227" i="1"/>
  <c r="I227" i="1"/>
  <c r="H227" i="1"/>
  <c r="G227" i="1"/>
  <c r="F227" i="1"/>
  <c r="E227" i="1"/>
  <c r="K226" i="1"/>
  <c r="J226" i="1"/>
  <c r="I226" i="1"/>
  <c r="H226" i="1"/>
  <c r="G226" i="1"/>
  <c r="F226" i="1"/>
  <c r="E226" i="1"/>
  <c r="K225" i="1"/>
  <c r="J225" i="1"/>
  <c r="I225" i="1"/>
  <c r="H225" i="1"/>
  <c r="G225" i="1"/>
  <c r="F225" i="1"/>
  <c r="E225" i="1"/>
  <c r="K224" i="1"/>
  <c r="J224" i="1"/>
  <c r="I224" i="1"/>
  <c r="H224" i="1"/>
  <c r="G224" i="1"/>
  <c r="F224" i="1"/>
  <c r="E224" i="1"/>
  <c r="K223" i="1"/>
  <c r="J223" i="1"/>
  <c r="I223" i="1"/>
  <c r="H223" i="1"/>
  <c r="G223" i="1"/>
  <c r="F223" i="1"/>
  <c r="E223" i="1"/>
  <c r="K222" i="1"/>
  <c r="J222" i="1"/>
  <c r="I222" i="1"/>
  <c r="H222" i="1"/>
  <c r="G222" i="1"/>
  <c r="F222" i="1"/>
  <c r="E222" i="1"/>
  <c r="K221" i="1"/>
  <c r="J221" i="1"/>
  <c r="I221" i="1"/>
  <c r="H221" i="1"/>
  <c r="G221" i="1"/>
  <c r="F221" i="1"/>
  <c r="E221" i="1"/>
  <c r="K220" i="1"/>
  <c r="J220" i="1"/>
  <c r="I220" i="1"/>
  <c r="H220" i="1"/>
  <c r="G220" i="1"/>
  <c r="F220" i="1"/>
  <c r="E220" i="1"/>
  <c r="K219" i="1"/>
  <c r="J219" i="1"/>
  <c r="I219" i="1"/>
  <c r="H219" i="1"/>
  <c r="G219" i="1"/>
  <c r="F219" i="1"/>
  <c r="E219" i="1"/>
  <c r="K218" i="1"/>
  <c r="J218" i="1"/>
  <c r="I218" i="1"/>
  <c r="H218" i="1"/>
  <c r="G218" i="1"/>
  <c r="F218" i="1"/>
  <c r="E218" i="1"/>
  <c r="K217" i="1"/>
  <c r="J217" i="1"/>
  <c r="I217" i="1"/>
  <c r="H217" i="1"/>
  <c r="G217" i="1"/>
  <c r="F217" i="1"/>
  <c r="E217" i="1"/>
  <c r="K216" i="1"/>
  <c r="J216" i="1"/>
  <c r="I216" i="1"/>
  <c r="H216" i="1"/>
  <c r="G216" i="1"/>
  <c r="F216" i="1"/>
  <c r="E216" i="1"/>
  <c r="K215" i="1"/>
  <c r="J215" i="1"/>
  <c r="I215" i="1"/>
  <c r="H215" i="1"/>
  <c r="G215" i="1"/>
  <c r="F215" i="1"/>
  <c r="E215" i="1"/>
  <c r="K214" i="1"/>
  <c r="J214" i="1"/>
  <c r="I214" i="1"/>
  <c r="H214" i="1"/>
  <c r="G214" i="1"/>
  <c r="F214" i="1"/>
  <c r="E214" i="1"/>
  <c r="K213" i="1"/>
  <c r="J213" i="1"/>
  <c r="I213" i="1"/>
  <c r="H213" i="1"/>
  <c r="G213" i="1"/>
  <c r="F213" i="1"/>
  <c r="E213" i="1"/>
  <c r="K212" i="1"/>
  <c r="J212" i="1"/>
  <c r="I212" i="1"/>
  <c r="H212" i="1"/>
  <c r="G212" i="1"/>
  <c r="F212" i="1"/>
  <c r="E212" i="1"/>
  <c r="K211" i="1"/>
  <c r="J211" i="1"/>
  <c r="I211" i="1"/>
  <c r="H211" i="1"/>
  <c r="G211" i="1"/>
  <c r="F211" i="1"/>
  <c r="E211" i="1"/>
  <c r="K210" i="1"/>
  <c r="J210" i="1"/>
  <c r="I210" i="1"/>
  <c r="H210" i="1"/>
  <c r="G210" i="1"/>
  <c r="F210" i="1"/>
  <c r="E210" i="1"/>
  <c r="K209" i="1"/>
  <c r="J209" i="1"/>
  <c r="I209" i="1"/>
  <c r="H209" i="1"/>
  <c r="G209" i="1"/>
  <c r="F209" i="1"/>
  <c r="E209" i="1"/>
  <c r="K208" i="1"/>
  <c r="J208" i="1"/>
  <c r="I208" i="1"/>
  <c r="H208" i="1"/>
  <c r="G208" i="1"/>
  <c r="F208" i="1"/>
  <c r="E208" i="1"/>
  <c r="K207" i="1"/>
  <c r="J207" i="1"/>
  <c r="I207" i="1"/>
  <c r="H207" i="1"/>
  <c r="G207" i="1"/>
  <c r="F207" i="1"/>
  <c r="E207" i="1"/>
  <c r="K206" i="1"/>
  <c r="J206" i="1"/>
  <c r="I206" i="1"/>
  <c r="H206" i="1"/>
  <c r="G206" i="1"/>
  <c r="F206" i="1"/>
  <c r="E206" i="1"/>
  <c r="K205" i="1"/>
  <c r="J205" i="1"/>
  <c r="I205" i="1"/>
  <c r="H205" i="1"/>
  <c r="G205" i="1"/>
  <c r="F205" i="1"/>
  <c r="E205" i="1"/>
  <c r="K204" i="1"/>
  <c r="J204" i="1"/>
  <c r="I204" i="1"/>
  <c r="H204" i="1"/>
  <c r="G204" i="1"/>
  <c r="F204" i="1"/>
  <c r="E204" i="1"/>
  <c r="K203" i="1"/>
  <c r="J203" i="1"/>
  <c r="I203" i="1"/>
  <c r="H203" i="1"/>
  <c r="G203" i="1"/>
  <c r="F203" i="1"/>
  <c r="E203" i="1"/>
  <c r="K202" i="1"/>
  <c r="J202" i="1"/>
  <c r="I202" i="1"/>
  <c r="H202" i="1"/>
  <c r="G202" i="1"/>
  <c r="F202" i="1"/>
  <c r="E202" i="1"/>
  <c r="K201" i="1"/>
  <c r="J201" i="1"/>
  <c r="I201" i="1"/>
  <c r="H201" i="1"/>
  <c r="G201" i="1"/>
  <c r="F201" i="1"/>
  <c r="E201" i="1"/>
  <c r="K200" i="1"/>
  <c r="J200" i="1"/>
  <c r="I200" i="1"/>
  <c r="H200" i="1"/>
  <c r="G200" i="1"/>
  <c r="F200" i="1"/>
  <c r="E200" i="1"/>
  <c r="K199" i="1"/>
  <c r="J199" i="1"/>
  <c r="I199" i="1"/>
  <c r="H199" i="1"/>
  <c r="G199" i="1"/>
  <c r="F199" i="1"/>
  <c r="E199" i="1"/>
  <c r="K198" i="1"/>
  <c r="J198" i="1"/>
  <c r="I198" i="1"/>
  <c r="H198" i="1"/>
  <c r="G198" i="1"/>
  <c r="F198" i="1"/>
  <c r="E198" i="1"/>
  <c r="K197" i="1"/>
  <c r="J197" i="1"/>
  <c r="I197" i="1"/>
  <c r="H197" i="1"/>
  <c r="G197" i="1"/>
  <c r="F197" i="1"/>
  <c r="E197" i="1"/>
  <c r="K196" i="1"/>
  <c r="J196" i="1"/>
  <c r="I196" i="1"/>
  <c r="H196" i="1"/>
  <c r="G196" i="1"/>
  <c r="F196" i="1"/>
  <c r="E196" i="1"/>
  <c r="K195" i="1"/>
  <c r="J195" i="1"/>
  <c r="I195" i="1"/>
  <c r="H195" i="1"/>
  <c r="G195" i="1"/>
  <c r="F195" i="1"/>
  <c r="E195" i="1"/>
  <c r="K194" i="1"/>
  <c r="J194" i="1"/>
  <c r="I194" i="1"/>
  <c r="H194" i="1"/>
  <c r="G194" i="1"/>
  <c r="F194" i="1"/>
  <c r="E194" i="1"/>
  <c r="K193" i="1"/>
  <c r="J193" i="1"/>
  <c r="I193" i="1"/>
  <c r="H193" i="1"/>
  <c r="G193" i="1"/>
  <c r="F193" i="1"/>
  <c r="E193" i="1"/>
  <c r="K192" i="1"/>
  <c r="J192" i="1"/>
  <c r="I192" i="1"/>
  <c r="H192" i="1"/>
  <c r="G192" i="1"/>
  <c r="F192" i="1"/>
  <c r="E192" i="1"/>
  <c r="K191" i="1"/>
  <c r="J191" i="1"/>
  <c r="I191" i="1"/>
  <c r="H191" i="1"/>
  <c r="G191" i="1"/>
  <c r="F191" i="1"/>
  <c r="E191" i="1"/>
  <c r="K190" i="1"/>
  <c r="J190" i="1"/>
  <c r="I190" i="1"/>
  <c r="H190" i="1"/>
  <c r="G190" i="1"/>
  <c r="F190" i="1"/>
  <c r="E190" i="1"/>
  <c r="K189" i="1"/>
  <c r="J189" i="1"/>
  <c r="I189" i="1"/>
  <c r="H189" i="1"/>
  <c r="G189" i="1"/>
  <c r="F189" i="1"/>
  <c r="E189" i="1"/>
  <c r="K188" i="1"/>
  <c r="J188" i="1"/>
  <c r="I188" i="1"/>
  <c r="H188" i="1"/>
  <c r="G188" i="1"/>
  <c r="F188" i="1"/>
  <c r="E188" i="1"/>
  <c r="K187" i="1"/>
  <c r="J187" i="1"/>
  <c r="I187" i="1"/>
  <c r="H187" i="1"/>
  <c r="G187" i="1"/>
  <c r="F187" i="1"/>
  <c r="E187" i="1"/>
  <c r="K186" i="1"/>
  <c r="J186" i="1"/>
  <c r="I186" i="1"/>
  <c r="H186" i="1"/>
  <c r="G186" i="1"/>
  <c r="F186" i="1"/>
  <c r="E186" i="1"/>
  <c r="K185" i="1"/>
  <c r="J185" i="1"/>
  <c r="I185" i="1"/>
  <c r="H185" i="1"/>
  <c r="G185" i="1"/>
  <c r="F185" i="1"/>
  <c r="E185" i="1"/>
  <c r="K184" i="1"/>
  <c r="J184" i="1"/>
  <c r="I184" i="1"/>
  <c r="H184" i="1"/>
  <c r="G184" i="1"/>
  <c r="F184" i="1"/>
  <c r="E184" i="1"/>
  <c r="K183" i="1"/>
  <c r="J183" i="1"/>
  <c r="I183" i="1"/>
  <c r="H183" i="1"/>
  <c r="G183" i="1"/>
  <c r="F183" i="1"/>
  <c r="E183" i="1"/>
  <c r="K182" i="1"/>
  <c r="J182" i="1"/>
  <c r="I182" i="1"/>
  <c r="H182" i="1"/>
  <c r="G182" i="1"/>
  <c r="F182" i="1"/>
  <c r="E182" i="1"/>
  <c r="K181" i="1"/>
  <c r="J181" i="1"/>
  <c r="I181" i="1"/>
  <c r="H181" i="1"/>
  <c r="G181" i="1"/>
  <c r="F181" i="1"/>
  <c r="E181" i="1"/>
  <c r="K180" i="1"/>
  <c r="J180" i="1"/>
  <c r="I180" i="1"/>
  <c r="H180" i="1"/>
  <c r="G180" i="1"/>
  <c r="F180" i="1"/>
  <c r="E180" i="1"/>
  <c r="K179" i="1"/>
  <c r="J179" i="1"/>
  <c r="I179" i="1"/>
  <c r="H179" i="1"/>
  <c r="G179" i="1"/>
  <c r="F179" i="1"/>
  <c r="E179" i="1"/>
  <c r="K178" i="1"/>
  <c r="J178" i="1"/>
  <c r="I178" i="1"/>
  <c r="H178" i="1"/>
  <c r="G178" i="1"/>
  <c r="F178" i="1"/>
  <c r="E178" i="1"/>
  <c r="K177" i="1"/>
  <c r="J177" i="1"/>
  <c r="I177" i="1"/>
  <c r="H177" i="1"/>
  <c r="G177" i="1"/>
  <c r="F177" i="1"/>
  <c r="E177" i="1"/>
  <c r="K176" i="1"/>
  <c r="J176" i="1"/>
  <c r="I176" i="1"/>
  <c r="H176" i="1"/>
  <c r="G176" i="1"/>
  <c r="F176" i="1"/>
  <c r="E176" i="1"/>
  <c r="K175" i="1"/>
  <c r="J175" i="1"/>
  <c r="I175" i="1"/>
  <c r="H175" i="1"/>
  <c r="G175" i="1"/>
  <c r="F175" i="1"/>
  <c r="E175" i="1"/>
  <c r="K174" i="1"/>
  <c r="J174" i="1"/>
  <c r="I174" i="1"/>
  <c r="H174" i="1"/>
  <c r="G174" i="1"/>
  <c r="F174" i="1"/>
  <c r="E174" i="1"/>
  <c r="K173" i="1"/>
  <c r="J173" i="1"/>
  <c r="I173" i="1"/>
  <c r="H173" i="1"/>
  <c r="G173" i="1"/>
  <c r="F173" i="1"/>
  <c r="E173" i="1"/>
  <c r="K172" i="1"/>
  <c r="J172" i="1"/>
  <c r="I172" i="1"/>
  <c r="H172" i="1"/>
  <c r="G172" i="1"/>
  <c r="F172" i="1"/>
  <c r="E172" i="1"/>
  <c r="K171" i="1"/>
  <c r="J171" i="1"/>
  <c r="I171" i="1"/>
  <c r="H171" i="1"/>
  <c r="G171" i="1"/>
  <c r="F171" i="1"/>
  <c r="E171" i="1"/>
  <c r="K170" i="1"/>
  <c r="J170" i="1"/>
  <c r="I170" i="1"/>
  <c r="H170" i="1"/>
  <c r="G170" i="1"/>
  <c r="F170" i="1"/>
  <c r="E170" i="1"/>
  <c r="K169" i="1"/>
  <c r="J169" i="1"/>
  <c r="I169" i="1"/>
  <c r="H169" i="1"/>
  <c r="G169" i="1"/>
  <c r="F169" i="1"/>
  <c r="E169" i="1"/>
  <c r="K168" i="1"/>
  <c r="J168" i="1"/>
  <c r="I168" i="1"/>
  <c r="H168" i="1"/>
  <c r="G168" i="1"/>
  <c r="F168" i="1"/>
  <c r="E168" i="1"/>
  <c r="K167" i="1"/>
  <c r="J167" i="1"/>
  <c r="I167" i="1"/>
  <c r="H167" i="1"/>
  <c r="G167" i="1"/>
  <c r="F167" i="1"/>
  <c r="E167" i="1"/>
  <c r="K166" i="1"/>
  <c r="J166" i="1"/>
  <c r="I166" i="1"/>
  <c r="H166" i="1"/>
  <c r="G166" i="1"/>
  <c r="F166" i="1"/>
  <c r="E166" i="1"/>
  <c r="K165" i="1"/>
  <c r="J165" i="1"/>
  <c r="I165" i="1"/>
  <c r="H165" i="1"/>
  <c r="G165" i="1"/>
  <c r="F165" i="1"/>
  <c r="E165" i="1"/>
  <c r="K164" i="1"/>
  <c r="J164" i="1"/>
  <c r="I164" i="1"/>
  <c r="H164" i="1"/>
  <c r="G164" i="1"/>
  <c r="F164" i="1"/>
  <c r="E164" i="1"/>
  <c r="K163" i="1"/>
  <c r="J163" i="1"/>
  <c r="I163" i="1"/>
  <c r="H163" i="1"/>
  <c r="G163" i="1"/>
  <c r="F163" i="1"/>
  <c r="E163" i="1"/>
  <c r="K162" i="1"/>
  <c r="J162" i="1"/>
  <c r="I162" i="1"/>
  <c r="H162" i="1"/>
  <c r="G162" i="1"/>
  <c r="F162" i="1"/>
  <c r="E162" i="1"/>
  <c r="K161" i="1"/>
  <c r="J161" i="1"/>
  <c r="I161" i="1"/>
  <c r="H161" i="1"/>
  <c r="G161" i="1"/>
  <c r="F161" i="1"/>
  <c r="E161" i="1"/>
  <c r="K160" i="1"/>
  <c r="J160" i="1"/>
  <c r="I160" i="1"/>
  <c r="H160" i="1"/>
  <c r="G160" i="1"/>
  <c r="F160" i="1"/>
  <c r="E160" i="1"/>
  <c r="K159" i="1"/>
  <c r="J159" i="1"/>
  <c r="I159" i="1"/>
  <c r="H159" i="1"/>
  <c r="G159" i="1"/>
  <c r="F159" i="1"/>
  <c r="E159" i="1"/>
  <c r="K158" i="1"/>
  <c r="J158" i="1"/>
  <c r="I158" i="1"/>
  <c r="H158" i="1"/>
  <c r="G158" i="1"/>
  <c r="F158" i="1"/>
  <c r="E158" i="1"/>
  <c r="K157" i="1"/>
  <c r="J157" i="1"/>
  <c r="I157" i="1"/>
  <c r="H157" i="1"/>
  <c r="G157" i="1"/>
  <c r="F157" i="1"/>
  <c r="E157" i="1"/>
  <c r="K156" i="1"/>
  <c r="J156" i="1"/>
  <c r="I156" i="1"/>
  <c r="H156" i="1"/>
  <c r="G156" i="1"/>
  <c r="F156" i="1"/>
  <c r="E156" i="1"/>
  <c r="K155" i="1"/>
  <c r="J155" i="1"/>
  <c r="I155" i="1"/>
  <c r="H155" i="1"/>
  <c r="G155" i="1"/>
  <c r="F155" i="1"/>
  <c r="E155" i="1"/>
  <c r="K154" i="1"/>
  <c r="J154" i="1"/>
  <c r="I154" i="1"/>
  <c r="H154" i="1"/>
  <c r="G154" i="1"/>
  <c r="F154" i="1"/>
  <c r="E154" i="1"/>
  <c r="K153" i="1"/>
  <c r="J153" i="1"/>
  <c r="I153" i="1"/>
  <c r="H153" i="1"/>
  <c r="G153" i="1"/>
  <c r="F153" i="1"/>
  <c r="E153" i="1"/>
  <c r="K152" i="1"/>
  <c r="J152" i="1"/>
  <c r="I152" i="1"/>
  <c r="H152" i="1"/>
  <c r="G152" i="1"/>
  <c r="F152" i="1"/>
  <c r="E152" i="1"/>
  <c r="K151" i="1"/>
  <c r="J151" i="1"/>
  <c r="I151" i="1"/>
  <c r="H151" i="1"/>
  <c r="G151" i="1"/>
  <c r="F151" i="1"/>
  <c r="E151" i="1"/>
  <c r="K150" i="1"/>
  <c r="J150" i="1"/>
  <c r="I150" i="1"/>
  <c r="H150" i="1"/>
  <c r="G150" i="1"/>
  <c r="F150" i="1"/>
  <c r="E150" i="1"/>
  <c r="K149" i="1"/>
  <c r="J149" i="1"/>
  <c r="I149" i="1"/>
  <c r="H149" i="1"/>
  <c r="G149" i="1"/>
  <c r="F149" i="1"/>
  <c r="E149" i="1"/>
  <c r="K148" i="1"/>
  <c r="J148" i="1"/>
  <c r="I148" i="1"/>
  <c r="H148" i="1"/>
  <c r="G148" i="1"/>
  <c r="F148" i="1"/>
  <c r="E148" i="1"/>
  <c r="K147" i="1"/>
  <c r="J147" i="1"/>
  <c r="I147" i="1"/>
  <c r="H147" i="1"/>
  <c r="G147" i="1"/>
  <c r="F147" i="1"/>
  <c r="E147" i="1"/>
  <c r="K146" i="1"/>
  <c r="J146" i="1"/>
  <c r="I146" i="1"/>
  <c r="H146" i="1"/>
  <c r="G146" i="1"/>
  <c r="F146" i="1"/>
  <c r="E146" i="1"/>
  <c r="K145" i="1"/>
  <c r="J145" i="1"/>
  <c r="I145" i="1"/>
  <c r="H145" i="1"/>
  <c r="G145" i="1"/>
  <c r="F145" i="1"/>
  <c r="E145" i="1"/>
  <c r="K144" i="1"/>
  <c r="J144" i="1"/>
  <c r="I144" i="1"/>
  <c r="H144" i="1"/>
  <c r="G144" i="1"/>
  <c r="F144" i="1"/>
  <c r="E144" i="1"/>
  <c r="K143" i="1"/>
  <c r="J143" i="1"/>
  <c r="I143" i="1"/>
  <c r="H143" i="1"/>
  <c r="G143" i="1"/>
  <c r="F143" i="1"/>
  <c r="E143" i="1"/>
  <c r="K142" i="1"/>
  <c r="J142" i="1"/>
  <c r="I142" i="1"/>
  <c r="H142" i="1"/>
  <c r="G142" i="1"/>
  <c r="F142" i="1"/>
  <c r="E142" i="1"/>
  <c r="K141" i="1"/>
  <c r="J141" i="1"/>
  <c r="I141" i="1"/>
  <c r="H141" i="1"/>
  <c r="G141" i="1"/>
  <c r="F141" i="1"/>
  <c r="E141" i="1"/>
  <c r="K140" i="1"/>
  <c r="J140" i="1"/>
  <c r="I140" i="1"/>
  <c r="H140" i="1"/>
  <c r="G140" i="1"/>
  <c r="F140" i="1"/>
  <c r="E140" i="1"/>
  <c r="K139" i="1"/>
  <c r="J139" i="1"/>
  <c r="I139" i="1"/>
  <c r="H139" i="1"/>
  <c r="G139" i="1"/>
  <c r="F139" i="1"/>
  <c r="E139" i="1"/>
  <c r="K138" i="1"/>
  <c r="J138" i="1"/>
  <c r="I138" i="1"/>
  <c r="H138" i="1"/>
  <c r="G138" i="1"/>
  <c r="F138" i="1"/>
  <c r="E138" i="1"/>
  <c r="K137" i="1"/>
  <c r="J137" i="1"/>
  <c r="I137" i="1"/>
  <c r="H137" i="1"/>
  <c r="G137" i="1"/>
  <c r="F137" i="1"/>
  <c r="E137" i="1"/>
  <c r="K136" i="1"/>
  <c r="J136" i="1"/>
  <c r="I136" i="1"/>
  <c r="H136" i="1"/>
  <c r="G136" i="1"/>
  <c r="F136" i="1"/>
  <c r="E136" i="1"/>
  <c r="K135" i="1"/>
  <c r="J135" i="1"/>
  <c r="I135" i="1"/>
  <c r="H135" i="1"/>
  <c r="G135" i="1"/>
  <c r="F135" i="1"/>
  <c r="E135" i="1"/>
  <c r="K134" i="1"/>
  <c r="J134" i="1"/>
  <c r="I134" i="1"/>
  <c r="H134" i="1"/>
  <c r="G134" i="1"/>
  <c r="F134" i="1"/>
  <c r="E134" i="1"/>
  <c r="K133" i="1"/>
  <c r="J133" i="1"/>
  <c r="I133" i="1"/>
  <c r="H133" i="1"/>
  <c r="G133" i="1"/>
  <c r="F133" i="1"/>
  <c r="E133" i="1"/>
  <c r="K132" i="1"/>
  <c r="J132" i="1"/>
  <c r="I132" i="1"/>
  <c r="H132" i="1"/>
  <c r="G132" i="1"/>
  <c r="F132" i="1"/>
  <c r="E132" i="1"/>
  <c r="K131" i="1"/>
  <c r="J131" i="1"/>
  <c r="I131" i="1"/>
  <c r="H131" i="1"/>
  <c r="G131" i="1"/>
  <c r="F131" i="1"/>
  <c r="E131" i="1"/>
  <c r="K130" i="1"/>
  <c r="J130" i="1"/>
  <c r="I130" i="1"/>
  <c r="H130" i="1"/>
  <c r="G130" i="1"/>
  <c r="F130" i="1"/>
  <c r="E130" i="1"/>
  <c r="K129" i="1"/>
  <c r="J129" i="1"/>
  <c r="I129" i="1"/>
  <c r="H129" i="1"/>
  <c r="G129" i="1"/>
  <c r="F129" i="1"/>
  <c r="E129" i="1"/>
  <c r="K128" i="1"/>
  <c r="J128" i="1"/>
  <c r="I128" i="1"/>
  <c r="H128" i="1"/>
  <c r="G128" i="1"/>
  <c r="F128" i="1"/>
  <c r="E128" i="1"/>
  <c r="K127" i="1"/>
  <c r="J127" i="1"/>
  <c r="I127" i="1"/>
  <c r="H127" i="1"/>
  <c r="G127" i="1"/>
  <c r="F127" i="1"/>
  <c r="E127" i="1"/>
  <c r="K126" i="1"/>
  <c r="J126" i="1"/>
  <c r="I126" i="1"/>
  <c r="H126" i="1"/>
  <c r="G126" i="1"/>
  <c r="F126" i="1"/>
  <c r="E126" i="1"/>
  <c r="K125" i="1"/>
  <c r="J125" i="1"/>
  <c r="I125" i="1"/>
  <c r="H125" i="1"/>
  <c r="G125" i="1"/>
  <c r="F125" i="1"/>
  <c r="E125" i="1"/>
  <c r="K124" i="1"/>
  <c r="J124" i="1"/>
  <c r="I124" i="1"/>
  <c r="H124" i="1"/>
  <c r="G124" i="1"/>
  <c r="F124" i="1"/>
  <c r="E124" i="1"/>
  <c r="K123" i="1"/>
  <c r="J123" i="1"/>
  <c r="I123" i="1"/>
  <c r="H123" i="1"/>
  <c r="G123" i="1"/>
  <c r="F123" i="1"/>
  <c r="E123" i="1"/>
  <c r="K122" i="1"/>
  <c r="J122" i="1"/>
  <c r="I122" i="1"/>
  <c r="H122" i="1"/>
  <c r="G122" i="1"/>
  <c r="F122" i="1"/>
  <c r="E122" i="1"/>
  <c r="K121" i="1"/>
  <c r="J121" i="1"/>
  <c r="I121" i="1"/>
  <c r="H121" i="1"/>
  <c r="G121" i="1"/>
  <c r="F121" i="1"/>
  <c r="E121" i="1"/>
  <c r="K120" i="1"/>
  <c r="J120" i="1"/>
  <c r="I120" i="1"/>
  <c r="H120" i="1"/>
  <c r="G120" i="1"/>
  <c r="F120" i="1"/>
  <c r="E120" i="1"/>
  <c r="K119" i="1"/>
  <c r="J119" i="1"/>
  <c r="I119" i="1"/>
  <c r="H119" i="1"/>
  <c r="G119" i="1"/>
  <c r="F119" i="1"/>
  <c r="E119" i="1"/>
  <c r="K118" i="1"/>
  <c r="J118" i="1"/>
  <c r="I118" i="1"/>
  <c r="H118" i="1"/>
  <c r="G118" i="1"/>
  <c r="F118" i="1"/>
  <c r="E118" i="1"/>
  <c r="K117" i="1"/>
  <c r="J117" i="1"/>
  <c r="I117" i="1"/>
  <c r="H117" i="1"/>
  <c r="G117" i="1"/>
  <c r="F117" i="1"/>
  <c r="E117" i="1"/>
  <c r="K116" i="1"/>
  <c r="J116" i="1"/>
  <c r="I116" i="1"/>
  <c r="H116" i="1"/>
  <c r="G116" i="1"/>
  <c r="F116" i="1"/>
  <c r="E116" i="1"/>
  <c r="K115" i="1"/>
  <c r="J115" i="1"/>
  <c r="I115" i="1"/>
  <c r="H115" i="1"/>
  <c r="G115" i="1"/>
  <c r="F115" i="1"/>
  <c r="E115" i="1"/>
  <c r="K114" i="1"/>
  <c r="J114" i="1"/>
  <c r="I114" i="1"/>
  <c r="H114" i="1"/>
  <c r="G114" i="1"/>
  <c r="F114" i="1"/>
  <c r="E114" i="1"/>
  <c r="K113" i="1"/>
  <c r="J113" i="1"/>
  <c r="I113" i="1"/>
  <c r="H113" i="1"/>
  <c r="G113" i="1"/>
  <c r="F113" i="1"/>
  <c r="E113" i="1"/>
  <c r="K112" i="1"/>
  <c r="J112" i="1"/>
  <c r="I112" i="1"/>
  <c r="H112" i="1"/>
  <c r="G112" i="1"/>
  <c r="F112" i="1"/>
  <c r="E112" i="1"/>
  <c r="K111" i="1"/>
  <c r="J111" i="1"/>
  <c r="I111" i="1"/>
  <c r="H111" i="1"/>
  <c r="G111" i="1"/>
  <c r="F111" i="1"/>
  <c r="E111" i="1"/>
  <c r="K110" i="1"/>
  <c r="J110" i="1"/>
  <c r="I110" i="1"/>
  <c r="H110" i="1"/>
  <c r="G110" i="1"/>
  <c r="F110" i="1"/>
  <c r="E110" i="1"/>
  <c r="K109" i="1"/>
  <c r="J109" i="1"/>
  <c r="I109" i="1"/>
  <c r="H109" i="1"/>
  <c r="G109" i="1"/>
  <c r="F109" i="1"/>
  <c r="E109" i="1"/>
  <c r="K108" i="1"/>
  <c r="J108" i="1"/>
  <c r="I108" i="1"/>
  <c r="H108" i="1"/>
  <c r="G108" i="1"/>
  <c r="F108" i="1"/>
  <c r="E108" i="1"/>
  <c r="K107" i="1"/>
  <c r="J107" i="1"/>
  <c r="I107" i="1"/>
  <c r="H107" i="1"/>
  <c r="G107" i="1"/>
  <c r="F107" i="1"/>
  <c r="E107" i="1"/>
  <c r="K106" i="1"/>
  <c r="J106" i="1"/>
  <c r="I106" i="1"/>
  <c r="H106" i="1"/>
  <c r="G106" i="1"/>
  <c r="F106" i="1"/>
  <c r="E106" i="1"/>
  <c r="K105" i="1"/>
  <c r="J105" i="1"/>
  <c r="I105" i="1"/>
  <c r="H105" i="1"/>
  <c r="G105" i="1"/>
  <c r="F105" i="1"/>
  <c r="E105" i="1"/>
  <c r="K104" i="1"/>
  <c r="J104" i="1"/>
  <c r="I104" i="1"/>
  <c r="H104" i="1"/>
  <c r="G104" i="1"/>
  <c r="F104" i="1"/>
  <c r="E104" i="1"/>
  <c r="K103" i="1"/>
  <c r="J103" i="1"/>
  <c r="I103" i="1"/>
  <c r="H103" i="1"/>
  <c r="G103" i="1"/>
  <c r="F103" i="1"/>
  <c r="E103" i="1"/>
  <c r="K102" i="1"/>
  <c r="J102" i="1"/>
  <c r="I102" i="1"/>
  <c r="H102" i="1"/>
  <c r="G102" i="1"/>
  <c r="F102" i="1"/>
  <c r="E102" i="1"/>
  <c r="K101" i="1"/>
  <c r="J101" i="1"/>
  <c r="I101" i="1"/>
  <c r="H101" i="1"/>
  <c r="G101" i="1"/>
  <c r="F101" i="1"/>
  <c r="E101" i="1"/>
  <c r="K100" i="1"/>
  <c r="J100" i="1"/>
  <c r="I100" i="1"/>
  <c r="H100" i="1"/>
  <c r="G100" i="1"/>
  <c r="F100" i="1"/>
  <c r="E100" i="1"/>
  <c r="K99" i="1"/>
  <c r="J99" i="1"/>
  <c r="I99" i="1"/>
  <c r="H99" i="1"/>
  <c r="G99" i="1"/>
  <c r="F99" i="1"/>
  <c r="E99" i="1"/>
  <c r="K98" i="1"/>
  <c r="J98" i="1"/>
  <c r="I98" i="1"/>
  <c r="H98" i="1"/>
  <c r="G98" i="1"/>
  <c r="F98" i="1"/>
  <c r="E98" i="1"/>
  <c r="K97" i="1"/>
  <c r="J97" i="1"/>
  <c r="I97" i="1"/>
  <c r="H97" i="1"/>
  <c r="G97" i="1"/>
  <c r="F97" i="1"/>
  <c r="E97" i="1"/>
  <c r="K96" i="1"/>
  <c r="J96" i="1"/>
  <c r="I96" i="1"/>
  <c r="H96" i="1"/>
  <c r="G96" i="1"/>
  <c r="F96" i="1"/>
  <c r="E96" i="1"/>
  <c r="K95" i="1"/>
  <c r="J95" i="1"/>
  <c r="I95" i="1"/>
  <c r="H95" i="1"/>
  <c r="G95" i="1"/>
  <c r="F95" i="1"/>
  <c r="E95" i="1"/>
  <c r="K94" i="1"/>
  <c r="J94" i="1"/>
  <c r="I94" i="1"/>
  <c r="H94" i="1"/>
  <c r="G94" i="1"/>
  <c r="F94" i="1"/>
  <c r="E94" i="1"/>
  <c r="K93" i="1"/>
  <c r="J93" i="1"/>
  <c r="I93" i="1"/>
  <c r="H93" i="1"/>
  <c r="G93" i="1"/>
  <c r="F93" i="1"/>
  <c r="E93" i="1"/>
  <c r="K92" i="1"/>
  <c r="J92" i="1"/>
  <c r="I92" i="1"/>
  <c r="H92" i="1"/>
  <c r="G92" i="1"/>
  <c r="F92" i="1"/>
  <c r="E92" i="1"/>
  <c r="K91" i="1"/>
  <c r="J91" i="1"/>
  <c r="I91" i="1"/>
  <c r="H91" i="1"/>
  <c r="G91" i="1"/>
  <c r="F91" i="1"/>
  <c r="E91" i="1"/>
  <c r="K90" i="1"/>
  <c r="J90" i="1"/>
  <c r="I90" i="1"/>
  <c r="H90" i="1"/>
  <c r="G90" i="1"/>
  <c r="F90" i="1"/>
  <c r="E90" i="1"/>
  <c r="K89" i="1"/>
  <c r="J89" i="1"/>
  <c r="I89" i="1"/>
  <c r="H89" i="1"/>
  <c r="G89" i="1"/>
  <c r="F89" i="1"/>
  <c r="E89" i="1"/>
  <c r="K88" i="1"/>
  <c r="J88" i="1"/>
  <c r="I88" i="1"/>
  <c r="H88" i="1"/>
  <c r="G88" i="1"/>
  <c r="F88" i="1"/>
  <c r="E88" i="1"/>
  <c r="K87" i="1"/>
  <c r="J87" i="1"/>
  <c r="I87" i="1"/>
  <c r="H87" i="1"/>
  <c r="G87" i="1"/>
  <c r="F87" i="1"/>
  <c r="E87" i="1"/>
  <c r="K86" i="1"/>
  <c r="J86" i="1"/>
  <c r="I86" i="1"/>
  <c r="H86" i="1"/>
  <c r="G86" i="1"/>
  <c r="F86" i="1"/>
  <c r="E86" i="1"/>
  <c r="K85" i="1"/>
  <c r="J85" i="1"/>
  <c r="I85" i="1"/>
  <c r="H85" i="1"/>
  <c r="G85" i="1"/>
  <c r="F85" i="1"/>
  <c r="E85" i="1"/>
  <c r="K84" i="1"/>
  <c r="J84" i="1"/>
  <c r="I84" i="1"/>
  <c r="H84" i="1"/>
  <c r="G84" i="1"/>
  <c r="F84" i="1"/>
  <c r="E84" i="1"/>
  <c r="K83" i="1"/>
  <c r="J83" i="1"/>
  <c r="I83" i="1"/>
  <c r="H83" i="1"/>
  <c r="G83" i="1"/>
  <c r="F83" i="1"/>
  <c r="E83" i="1"/>
  <c r="K82" i="1"/>
  <c r="J82" i="1"/>
  <c r="I82" i="1"/>
  <c r="H82" i="1"/>
  <c r="G82" i="1"/>
  <c r="F82" i="1"/>
  <c r="E82" i="1"/>
  <c r="K81" i="1"/>
  <c r="J81" i="1"/>
  <c r="I81" i="1"/>
  <c r="H81" i="1"/>
  <c r="G81" i="1"/>
  <c r="F81" i="1"/>
  <c r="E81" i="1"/>
  <c r="K80" i="1"/>
  <c r="J80" i="1"/>
  <c r="I80" i="1"/>
  <c r="H80" i="1"/>
  <c r="G80" i="1"/>
  <c r="F80" i="1"/>
  <c r="E80" i="1"/>
  <c r="K79" i="1"/>
  <c r="J79" i="1"/>
  <c r="I79" i="1"/>
  <c r="H79" i="1"/>
  <c r="G79" i="1"/>
  <c r="F79" i="1"/>
  <c r="E79" i="1"/>
  <c r="K78" i="1"/>
  <c r="J78" i="1"/>
  <c r="I78" i="1"/>
  <c r="H78" i="1"/>
  <c r="G78" i="1"/>
  <c r="F78" i="1"/>
  <c r="E78" i="1"/>
  <c r="K77" i="1"/>
  <c r="J77" i="1"/>
  <c r="I77" i="1"/>
  <c r="H77" i="1"/>
  <c r="G77" i="1"/>
  <c r="F77" i="1"/>
  <c r="E77" i="1"/>
  <c r="K76" i="1"/>
  <c r="J76" i="1"/>
  <c r="I76" i="1"/>
  <c r="H76" i="1"/>
  <c r="G76" i="1"/>
  <c r="F76" i="1"/>
  <c r="E76" i="1"/>
  <c r="K75" i="1"/>
  <c r="J75" i="1"/>
  <c r="I75" i="1"/>
  <c r="H75" i="1"/>
  <c r="G75" i="1"/>
  <c r="F75" i="1"/>
  <c r="E75" i="1"/>
  <c r="K74" i="1"/>
  <c r="J74" i="1"/>
  <c r="I74" i="1"/>
  <c r="H74" i="1"/>
  <c r="G74" i="1"/>
  <c r="F74" i="1"/>
  <c r="E74" i="1"/>
  <c r="K73" i="1"/>
  <c r="J73" i="1"/>
  <c r="I73" i="1"/>
  <c r="H73" i="1"/>
  <c r="G73" i="1"/>
  <c r="F73" i="1"/>
  <c r="E73" i="1"/>
  <c r="K72" i="1"/>
  <c r="J72" i="1"/>
  <c r="I72" i="1"/>
  <c r="H72" i="1"/>
  <c r="G72" i="1"/>
  <c r="F72" i="1"/>
  <c r="E72" i="1"/>
  <c r="K71" i="1"/>
  <c r="J71" i="1"/>
  <c r="I71" i="1"/>
  <c r="H71" i="1"/>
  <c r="G71" i="1"/>
  <c r="F71" i="1"/>
  <c r="E71" i="1"/>
  <c r="K70" i="1"/>
  <c r="J70" i="1"/>
  <c r="I70" i="1"/>
  <c r="H70" i="1"/>
  <c r="G70" i="1"/>
  <c r="F70" i="1"/>
  <c r="E70" i="1"/>
  <c r="K69" i="1"/>
  <c r="J69" i="1"/>
  <c r="I69" i="1"/>
  <c r="H69" i="1"/>
  <c r="G69" i="1"/>
  <c r="F69" i="1"/>
  <c r="E69" i="1"/>
  <c r="K68" i="1"/>
  <c r="J68" i="1"/>
  <c r="I68" i="1"/>
  <c r="H68" i="1"/>
  <c r="G68" i="1"/>
  <c r="F68" i="1"/>
  <c r="E68" i="1"/>
  <c r="K67" i="1"/>
  <c r="J67" i="1"/>
  <c r="I67" i="1"/>
  <c r="H67" i="1"/>
  <c r="G67" i="1"/>
  <c r="F67" i="1"/>
  <c r="E67" i="1"/>
  <c r="K66" i="1"/>
  <c r="J66" i="1"/>
  <c r="I66" i="1"/>
  <c r="H66" i="1"/>
  <c r="G66" i="1"/>
  <c r="F66" i="1"/>
  <c r="E66" i="1"/>
  <c r="K65" i="1"/>
  <c r="J65" i="1"/>
  <c r="I65" i="1"/>
  <c r="H65" i="1"/>
  <c r="G65" i="1"/>
  <c r="F65" i="1"/>
  <c r="E65" i="1"/>
  <c r="K64" i="1"/>
  <c r="J64" i="1"/>
  <c r="I64" i="1"/>
  <c r="H64" i="1"/>
  <c r="G64" i="1"/>
  <c r="F64" i="1"/>
  <c r="E64" i="1"/>
  <c r="K63" i="1"/>
  <c r="J63" i="1"/>
  <c r="I63" i="1"/>
  <c r="H63" i="1"/>
  <c r="G63" i="1"/>
  <c r="F63" i="1"/>
  <c r="E63" i="1"/>
  <c r="K62" i="1"/>
  <c r="J62" i="1"/>
  <c r="I62" i="1"/>
  <c r="H62" i="1"/>
  <c r="G62" i="1"/>
  <c r="F62" i="1"/>
  <c r="E62" i="1"/>
  <c r="K61" i="1"/>
  <c r="J61" i="1"/>
  <c r="I61" i="1"/>
  <c r="H61" i="1"/>
  <c r="G61" i="1"/>
  <c r="F61" i="1"/>
  <c r="E61" i="1"/>
  <c r="K60" i="1"/>
  <c r="J60" i="1"/>
  <c r="I60" i="1"/>
  <c r="H60" i="1"/>
  <c r="G60" i="1"/>
  <c r="F60" i="1"/>
  <c r="E60" i="1"/>
  <c r="K59" i="1"/>
  <c r="J59" i="1"/>
  <c r="I59" i="1"/>
  <c r="H59" i="1"/>
  <c r="G59" i="1"/>
  <c r="F59" i="1"/>
  <c r="E59" i="1"/>
  <c r="K58" i="1"/>
  <c r="J58" i="1"/>
  <c r="I58" i="1"/>
  <c r="H58" i="1"/>
  <c r="G58" i="1"/>
  <c r="F58" i="1"/>
  <c r="E58" i="1"/>
  <c r="K57" i="1"/>
  <c r="J57" i="1"/>
  <c r="I57" i="1"/>
  <c r="H57" i="1"/>
  <c r="G57" i="1"/>
  <c r="F57" i="1"/>
  <c r="E57" i="1"/>
  <c r="K56" i="1"/>
  <c r="J56" i="1"/>
  <c r="I56" i="1"/>
  <c r="H56" i="1"/>
  <c r="G56" i="1"/>
  <c r="F56" i="1"/>
  <c r="E56" i="1"/>
  <c r="K55" i="1"/>
  <c r="J55" i="1"/>
  <c r="I55" i="1"/>
  <c r="H55" i="1"/>
  <c r="G55" i="1"/>
  <c r="F55" i="1"/>
  <c r="E55" i="1"/>
  <c r="K54" i="1"/>
  <c r="J54" i="1"/>
  <c r="I54" i="1"/>
  <c r="H54" i="1"/>
  <c r="G54" i="1"/>
  <c r="F54" i="1"/>
  <c r="E54" i="1"/>
  <c r="K53" i="1"/>
  <c r="J53" i="1"/>
  <c r="I53" i="1"/>
  <c r="H53" i="1"/>
  <c r="G53" i="1"/>
  <c r="F53" i="1"/>
  <c r="E53" i="1"/>
  <c r="K52" i="1"/>
  <c r="J52" i="1"/>
  <c r="I52" i="1"/>
  <c r="H52" i="1"/>
  <c r="G52" i="1"/>
  <c r="F52" i="1"/>
  <c r="E52" i="1"/>
  <c r="K51" i="1"/>
  <c r="J51" i="1"/>
  <c r="I51" i="1"/>
  <c r="H51" i="1"/>
  <c r="G51" i="1"/>
  <c r="F51" i="1"/>
  <c r="E51" i="1"/>
  <c r="K50" i="1"/>
  <c r="J50" i="1"/>
  <c r="I50" i="1"/>
  <c r="H50" i="1"/>
  <c r="G50" i="1"/>
  <c r="F50" i="1"/>
  <c r="E50" i="1"/>
  <c r="K49" i="1"/>
  <c r="J49" i="1"/>
  <c r="I49" i="1"/>
  <c r="H49" i="1"/>
  <c r="G49" i="1"/>
  <c r="F49" i="1"/>
  <c r="E49" i="1"/>
  <c r="K48" i="1"/>
  <c r="J48" i="1"/>
  <c r="I48" i="1"/>
  <c r="H48" i="1"/>
  <c r="G48" i="1"/>
  <c r="F48" i="1"/>
  <c r="E48" i="1"/>
  <c r="K47" i="1"/>
  <c r="J47" i="1"/>
  <c r="I47" i="1"/>
  <c r="H47" i="1"/>
  <c r="G47" i="1"/>
  <c r="F47" i="1"/>
  <c r="E47" i="1"/>
  <c r="K46" i="1"/>
  <c r="J46" i="1"/>
  <c r="I46" i="1"/>
  <c r="H46" i="1"/>
  <c r="G46" i="1"/>
  <c r="F46" i="1"/>
  <c r="E46" i="1"/>
  <c r="K45" i="1"/>
  <c r="J45" i="1"/>
  <c r="I45" i="1"/>
  <c r="H45" i="1"/>
  <c r="G45" i="1"/>
  <c r="F45" i="1"/>
  <c r="E45" i="1"/>
  <c r="K44" i="1"/>
  <c r="J44" i="1"/>
  <c r="I44" i="1"/>
  <c r="H44" i="1"/>
  <c r="G44" i="1"/>
  <c r="F44" i="1"/>
  <c r="E44" i="1"/>
  <c r="K43" i="1"/>
  <c r="J43" i="1"/>
  <c r="I43" i="1"/>
  <c r="H43" i="1"/>
  <c r="G43" i="1"/>
  <c r="F43" i="1"/>
  <c r="E43" i="1"/>
  <c r="K42" i="1"/>
  <c r="J42" i="1"/>
  <c r="I42" i="1"/>
  <c r="H42" i="1"/>
  <c r="G42" i="1"/>
  <c r="F42" i="1"/>
  <c r="E42" i="1"/>
  <c r="K41" i="1"/>
  <c r="J41" i="1"/>
  <c r="I41" i="1"/>
  <c r="H41" i="1"/>
  <c r="G41" i="1"/>
  <c r="F41" i="1"/>
  <c r="E41" i="1"/>
  <c r="K40" i="1"/>
  <c r="J40" i="1"/>
  <c r="I40" i="1"/>
  <c r="H40" i="1"/>
  <c r="G40" i="1"/>
  <c r="F40" i="1"/>
  <c r="E40" i="1"/>
  <c r="K39" i="1"/>
  <c r="J39" i="1"/>
  <c r="I39" i="1"/>
  <c r="H39" i="1"/>
  <c r="G39" i="1"/>
  <c r="F39" i="1"/>
  <c r="E39" i="1"/>
  <c r="K38" i="1"/>
  <c r="J38" i="1"/>
  <c r="I38" i="1"/>
  <c r="H38" i="1"/>
  <c r="G38" i="1"/>
  <c r="F38" i="1"/>
  <c r="E38" i="1"/>
  <c r="K37" i="1"/>
  <c r="J37" i="1"/>
  <c r="I37" i="1"/>
  <c r="H37" i="1"/>
  <c r="G37" i="1"/>
  <c r="F37" i="1"/>
  <c r="E37" i="1"/>
  <c r="K36" i="1"/>
  <c r="J36" i="1"/>
  <c r="I36" i="1"/>
  <c r="H36" i="1"/>
  <c r="G36" i="1"/>
  <c r="F36" i="1"/>
  <c r="E36" i="1"/>
  <c r="K35" i="1"/>
  <c r="J35" i="1"/>
  <c r="I35" i="1"/>
  <c r="H35" i="1"/>
  <c r="G35" i="1"/>
  <c r="F35" i="1"/>
  <c r="E35" i="1"/>
  <c r="K34" i="1"/>
  <c r="J34" i="1"/>
  <c r="I34" i="1"/>
  <c r="H34" i="1"/>
  <c r="G34" i="1"/>
  <c r="F34" i="1"/>
  <c r="E34" i="1"/>
  <c r="K33" i="1"/>
  <c r="J33" i="1"/>
  <c r="I33" i="1"/>
  <c r="H33" i="1"/>
  <c r="G33" i="1"/>
  <c r="F33" i="1"/>
  <c r="E33" i="1"/>
  <c r="K32" i="1"/>
  <c r="J32" i="1"/>
  <c r="I32" i="1"/>
  <c r="H32" i="1"/>
  <c r="G32" i="1"/>
  <c r="F32" i="1"/>
  <c r="E32" i="1"/>
  <c r="K31" i="1"/>
  <c r="J31" i="1"/>
  <c r="I31" i="1"/>
  <c r="H31" i="1"/>
  <c r="G31" i="1"/>
  <c r="F31" i="1"/>
  <c r="E31" i="1"/>
  <c r="K30" i="1"/>
  <c r="J30" i="1"/>
  <c r="I30" i="1"/>
  <c r="H30" i="1"/>
  <c r="G30" i="1"/>
  <c r="F30" i="1"/>
  <c r="E30" i="1"/>
  <c r="K29" i="1"/>
  <c r="J29" i="1"/>
  <c r="I29" i="1"/>
  <c r="H29" i="1"/>
  <c r="G29" i="1"/>
  <c r="F29" i="1"/>
  <c r="E29" i="1"/>
  <c r="K28" i="1"/>
  <c r="J28" i="1"/>
  <c r="I28" i="1"/>
  <c r="H28" i="1"/>
  <c r="G28" i="1"/>
  <c r="F28" i="1"/>
  <c r="E28" i="1"/>
  <c r="K27" i="1"/>
  <c r="J27" i="1"/>
  <c r="I27" i="1"/>
  <c r="H27" i="1"/>
  <c r="G27" i="1"/>
  <c r="F27" i="1"/>
  <c r="E27" i="1"/>
  <c r="K26" i="1"/>
  <c r="J26" i="1"/>
  <c r="I26" i="1"/>
  <c r="H26" i="1"/>
  <c r="G26" i="1"/>
  <c r="F26" i="1"/>
  <c r="E26" i="1"/>
  <c r="K25" i="1"/>
  <c r="J25" i="1"/>
  <c r="I25" i="1"/>
  <c r="H25" i="1"/>
  <c r="G25" i="1"/>
  <c r="F25" i="1"/>
  <c r="E25" i="1"/>
  <c r="K24" i="1"/>
  <c r="J24" i="1"/>
  <c r="I24" i="1"/>
  <c r="H24" i="1"/>
  <c r="G24" i="1"/>
  <c r="F24" i="1"/>
  <c r="E24" i="1"/>
  <c r="G23" i="1"/>
  <c r="E23" i="1"/>
  <c r="G22" i="1"/>
  <c r="E22" i="1"/>
  <c r="G21" i="1"/>
  <c r="E21" i="1"/>
  <c r="G20" i="1"/>
  <c r="E20" i="1"/>
  <c r="G19" i="1"/>
  <c r="E19" i="1"/>
  <c r="J7" i="1"/>
  <c r="J12" i="1" s="1"/>
  <c r="F13" i="1"/>
  <c r="F12" i="1"/>
  <c r="F20" i="1" l="1"/>
  <c r="I20" i="1" s="1"/>
  <c r="F21" i="1"/>
  <c r="I21" i="1" s="1"/>
  <c r="F22" i="1"/>
  <c r="I22" i="1" s="1"/>
  <c r="F23" i="1"/>
  <c r="I23" i="1" s="1"/>
  <c r="H22" i="1"/>
  <c r="J22" i="1" s="1"/>
  <c r="K22" i="1" s="1"/>
  <c r="H23" i="1"/>
  <c r="J9" i="1"/>
  <c r="F14" i="1"/>
  <c r="H21" i="1"/>
  <c r="H2" i="1"/>
  <c r="J21" i="1" l="1"/>
  <c r="K21" i="1" s="1"/>
  <c r="J23" i="1"/>
  <c r="K23" i="1" s="1"/>
  <c r="H20" i="1"/>
  <c r="J20" i="1" s="1"/>
  <c r="K20" i="1" s="1"/>
  <c r="H19" i="1"/>
  <c r="J8" i="1"/>
  <c r="I19" i="1"/>
  <c r="J11" i="1" s="1"/>
  <c r="E2" i="1"/>
  <c r="J10" i="1" l="1"/>
  <c r="J13" i="1" s="1"/>
  <c r="J19" i="1"/>
  <c r="K19" i="1" s="1"/>
  <c r="K2" i="1"/>
  <c r="J2" i="1"/>
  <c r="I2" i="1"/>
  <c r="G2" i="1"/>
  <c r="F2" i="1"/>
  <c r="J15" i="1" l="1"/>
  <c r="N18" i="1"/>
  <c r="O18" i="1" s="1"/>
  <c r="K14" i="1"/>
  <c r="F15" i="1"/>
  <c r="F16" i="1" s="1"/>
  <c r="G16" i="1" s="1"/>
  <c r="C15" i="1"/>
  <c r="C16" i="1"/>
  <c r="K9" i="1"/>
  <c r="K12" i="1"/>
  <c r="K10" i="1" l="1"/>
  <c r="K8" i="1"/>
  <c r="K11" i="1" l="1"/>
  <c r="K13" i="1"/>
  <c r="K7" i="1" l="1"/>
  <c r="O23" i="1" l="1"/>
  <c r="O19" i="1"/>
  <c r="O21" i="1" l="1"/>
  <c r="O20" i="1"/>
  <c r="O11" i="1" s="1"/>
  <c r="O22" i="1"/>
  <c r="O10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Regis Marinho</author>
  </authors>
  <commentList>
    <comment ref="C4" authorId="0" shapeId="0" xr:uid="{00000000-0006-0000-0100-000001000000}">
      <text>
        <r>
          <rPr>
            <u/>
            <sz val="9"/>
            <color indexed="81"/>
            <rFont val="Segoe UI"/>
            <family val="2"/>
          </rPr>
          <t>RECEBÍVEIS:</t>
        </r>
        <r>
          <rPr>
            <sz val="9"/>
            <color indexed="81"/>
            <rFont val="Segoe UI"/>
            <family val="2"/>
          </rPr>
          <t xml:space="preserve">
. Duplicatas;
. Cheques pré datados;
. Parcelas a receber no cartão crédito;
. Aluguéis futuros etc</t>
        </r>
      </text>
    </comment>
    <comment ref="L4" authorId="0" shapeId="0" xr:uid="{00000000-0006-0000-0100-000002000000}">
      <text>
        <r>
          <rPr>
            <sz val="9"/>
            <color indexed="81"/>
            <rFont val="Segoe UI"/>
            <family val="2"/>
          </rPr>
          <t>Clique em "AJUSTAR FÓRMULAS" e restaure as fórmulas e formatação das células...</t>
        </r>
      </text>
    </comment>
    <comment ref="G6" authorId="0" shapeId="0" xr:uid="{00000000-0006-0000-0100-000003000000}">
      <text>
        <r>
          <rPr>
            <sz val="9"/>
            <color indexed="81"/>
            <rFont val="Segoe UI"/>
            <family val="2"/>
          </rPr>
          <t>Clicando na seta-botão "AJUSTAR TAXA" o 'Valor para Antecipação' ficará igual ao 'Valor Antecipado', mediante ajuste da 'Taxa de Desconto Mensal'.
Assim, você ficará sabendo qual taxa real está sendo praticada na operação de desconto.</t>
        </r>
      </text>
    </comment>
    <comment ref="F7" authorId="0" shapeId="0" xr:uid="{00000000-0006-0000-0100-000004000000}">
      <text>
        <r>
          <rPr>
            <sz val="9"/>
            <color indexed="81"/>
            <rFont val="Segoe UI"/>
            <family val="2"/>
          </rPr>
          <t>Data prevista para o recebimento do valor líquido dos créditos antecipados.</t>
        </r>
      </text>
    </comment>
    <comment ref="L7" authorId="0" shapeId="0" xr:uid="{00000000-0006-0000-0100-000005000000}">
      <text>
        <r>
          <rPr>
            <sz val="9"/>
            <color indexed="81"/>
            <rFont val="Segoe UI"/>
            <family val="2"/>
          </rPr>
          <t>Use "LIMPAR DADOS" para iniciar o registro de uma nova operação...</t>
        </r>
      </text>
    </comment>
    <comment ref="F8" authorId="0" shapeId="0" xr:uid="{00000000-0006-0000-0100-000006000000}">
      <text>
        <r>
          <rPr>
            <sz val="9"/>
            <color indexed="81"/>
            <rFont val="Segoe UI"/>
            <family val="2"/>
          </rPr>
          <t>Taxa de desconto mensal, cobrada proporcionalmente ao prazo de cada recebível antecipado.</t>
        </r>
      </text>
    </comment>
    <comment ref="O8" authorId="0" shapeId="0" xr:uid="{20E25259-33FD-4FC7-BCAD-BBFC5D3FCBAE}">
      <text>
        <r>
          <rPr>
            <sz val="9"/>
            <color indexed="81"/>
            <rFont val="Segoe UI"/>
            <family val="2"/>
          </rPr>
          <t>Taxa Mínima de Atratividade.
Informar uma taxa mensdal.</t>
        </r>
      </text>
    </comment>
    <comment ref="F9" authorId="0" shapeId="0" xr:uid="{5BF1DFE0-B9B0-4402-83D0-C7CC378D6A37}">
      <text>
        <r>
          <rPr>
            <sz val="9"/>
            <color indexed="81"/>
            <rFont val="Segoe UI"/>
            <family val="2"/>
          </rPr>
          <t>Quantidade de dias acrescidos no prazo de cada crédito, para efeito da apuração do prazo médio e consequente cálculo do valor do desconto.</t>
        </r>
      </text>
    </comment>
    <comment ref="O9" authorId="0" shapeId="0" xr:uid="{57E806C6-76EA-4CDF-8187-220E472224CB}">
      <text>
        <r>
          <rPr>
            <sz val="9"/>
            <color indexed="81"/>
            <rFont val="Segoe UI"/>
            <family val="2"/>
          </rPr>
          <t>TMA ao dia.</t>
        </r>
      </text>
    </comment>
    <comment ref="F10" authorId="0" shapeId="0" xr:uid="{00000000-0006-0000-0100-000007000000}">
      <text>
        <r>
          <rPr>
            <sz val="9"/>
            <color indexed="81"/>
            <rFont val="Segoe UI"/>
            <family val="2"/>
          </rPr>
          <t>Tarifa cobrada por cada crédito antecipado.</t>
        </r>
      </text>
    </comment>
    <comment ref="F11" authorId="0" shapeId="0" xr:uid="{00000000-0006-0000-0100-000008000000}">
      <text>
        <r>
          <rPr>
            <sz val="9"/>
            <color indexed="81"/>
            <rFont val="Segoe UI"/>
            <family val="2"/>
          </rPr>
          <t>Taxa de abertura de crédito (TAC) ou outras despesas avulsas relacionadas à operação.</t>
        </r>
      </text>
    </comment>
    <comment ref="L11" authorId="0" shapeId="0" xr:uid="{00000000-0006-0000-0100-000009000000}">
      <text>
        <r>
          <rPr>
            <sz val="9"/>
            <color indexed="81"/>
            <rFont val="Segoe UI"/>
            <family val="2"/>
          </rPr>
          <t>Clique na imagem da impressora para preparar a impressão desta página...</t>
        </r>
      </text>
    </comment>
    <comment ref="J14" authorId="0" shapeId="0" xr:uid="{00000000-0006-0000-0100-00000A000000}">
      <text>
        <r>
          <rPr>
            <sz val="9"/>
            <color indexed="81"/>
            <rFont val="Segoe UI"/>
            <family val="2"/>
          </rPr>
          <t>Dado opcional.
Valor efetivamente creditado ou a ser creditado em sua conta.
Caso seja preenchido, clicar no botão "AJUSTAR TAXA".</t>
        </r>
      </text>
    </comment>
    <comment ref="K14" authorId="0" shapeId="0" xr:uid="{7252CD7D-D904-438E-B662-E2212DBFCA76}">
      <text>
        <r>
          <rPr>
            <sz val="9"/>
            <color indexed="81"/>
            <rFont val="Segoe UI"/>
            <family val="2"/>
          </rPr>
          <t>Diferença % entre a soma dos créditos e o valor líquido antecipado, representando o custo financeiro nominal da operação.</t>
        </r>
      </text>
    </comment>
    <comment ref="C18" authorId="0" shapeId="0" xr:uid="{00000000-0006-0000-0100-00000B000000}">
      <text>
        <r>
          <rPr>
            <sz val="9"/>
            <color indexed="81"/>
            <rFont val="Segoe UI"/>
            <family val="2"/>
          </rPr>
          <t xml:space="preserve">Vencimento do título recebível (duplicata, cheque, parcela de cartão de crédito, aluguel etc.
</t>
        </r>
      </text>
    </comment>
    <comment ref="D18" authorId="0" shapeId="0" xr:uid="{00000000-0006-0000-0100-00000C000000}">
      <text>
        <r>
          <rPr>
            <sz val="9"/>
            <color indexed="81"/>
            <rFont val="Segoe UI"/>
            <family val="2"/>
          </rPr>
          <t>Valor do recebível.</t>
        </r>
      </text>
    </comment>
    <comment ref="E18" authorId="0" shapeId="0" xr:uid="{00000000-0006-0000-0100-00000D000000}">
      <text>
        <r>
          <rPr>
            <sz val="9"/>
            <color indexed="81"/>
            <rFont val="Segoe UI"/>
            <family val="2"/>
          </rPr>
          <t>Cálcula o prazo em relação a data de recebimento informada na célula F7.</t>
        </r>
      </text>
    </comment>
    <comment ref="K18" authorId="0" shapeId="0" xr:uid="{5975F1BF-537C-4354-A5C6-21FBDD2F18D0}">
      <text>
        <r>
          <rPr>
            <sz val="9"/>
            <color indexed="81"/>
            <rFont val="Segoe UI"/>
            <family val="2"/>
          </rPr>
          <t>Diferença percentual entre o "Valor do Crédito" e o respectivo "Vlr. Líquido".</t>
        </r>
      </text>
    </comment>
  </commentList>
</comments>
</file>

<file path=xl/sharedStrings.xml><?xml version="1.0" encoding="utf-8"?>
<sst xmlns="http://schemas.openxmlformats.org/spreadsheetml/2006/main" count="52" uniqueCount="46">
  <si>
    <t>SOMA DOS CRÉDITOS</t>
  </si>
  <si>
    <t>IOF DIÁRIO</t>
  </si>
  <si>
    <t>OUTRAS DESPESAS</t>
  </si>
  <si>
    <t>IOF ADIC.</t>
  </si>
  <si>
    <t>RESUMO</t>
  </si>
  <si>
    <t>CÁLCULO DE ANTECIPAÇÃO DE RECEBÍVEIS</t>
  </si>
  <si>
    <t>DADOS DA OPERAÇÃO</t>
  </si>
  <si>
    <t>VALOR PARA ANTECIPAÇÃO</t>
  </si>
  <si>
    <t>T U T O R I A L</t>
  </si>
  <si>
    <t>GERAL</t>
  </si>
  <si>
    <t>.</t>
  </si>
  <si>
    <t>CÁLCULO</t>
  </si>
  <si>
    <t>DIFERENÇA</t>
  </si>
  <si>
    <t>TAXA DE DESCONTO MENSAL, EM %</t>
  </si>
  <si>
    <t>VLR. DESCONTO</t>
  </si>
  <si>
    <t>VLR. IOF ADIC.</t>
  </si>
  <si>
    <t>VLR. LÍQUIDO</t>
  </si>
  <si>
    <t>VALOR DO CRÉDITO</t>
  </si>
  <si>
    <t>VENCTO. DO CRÉDITO</t>
  </si>
  <si>
    <t>VLR. IOF</t>
  </si>
  <si>
    <t>SOMA DO DESCONTO</t>
  </si>
  <si>
    <t>SOMA DO IOF</t>
  </si>
  <si>
    <t>SOMA DO IOF ADICIONAL</t>
  </si>
  <si>
    <t>SOMA DA TARIFA POR TÍTULO</t>
  </si>
  <si>
    <t>CUSTO %</t>
  </si>
  <si>
    <t>Não foi instalada senha de proteção; então, para desproteger as planilhas, vá até o menu "Revisão" e apenas clique em "Desproteger Planilha";</t>
  </si>
  <si>
    <t>Os campos marcados na cor azul degradê são os que podem ser preenchidos;</t>
  </si>
  <si>
    <t>Ao passar o cursor sobre os campos de preenchimento da aba "CÁLCULO" você obterá informações sobre suas funções e utilidades;</t>
  </si>
  <si>
    <t>Para saber a taxa de juros real utilizada no desconto financeiro clique no botão 'AJUSTAR TAXA'. Ao clicar nesse botão, a taxa de juros da célula 'F8' será alterada, a qual corresponderá ao percentual necessário para igualar o 'VALOR PARA ANTECIPAÇÃO' com o informado em  'VALOR ANTECIPADO';</t>
  </si>
  <si>
    <t>Através do botão LIMPAR DADOS você poderá esvaziar os campos e começar o registro de uma nova operação;</t>
  </si>
  <si>
    <t>Para excluir uma linha de registro de um recebível, selecione a linha do registro que deseja excluir e clique no botão 'EXCLUIR LINHA';</t>
  </si>
  <si>
    <t>O botão 'AJUSTAR PLANILHA' restabelece o formato de todas as células, além de reinserir as fórmulas utilizadas. Use-o a vontade, pois ele não exclui e nem altera os lançamentos realizados;</t>
  </si>
  <si>
    <t>DATA DA OPERAÇÃO</t>
  </si>
  <si>
    <t>PRAZO + D+</t>
  </si>
  <si>
    <t>ACRÉSCIMO NOS DIAS CORRIDOS (D+)</t>
  </si>
  <si>
    <t>VALOR DA TARIFA POR TÍTULO</t>
  </si>
  <si>
    <t>OUTRAS DESPESAS DA OPERAÇÃO</t>
  </si>
  <si>
    <t>PRAZO MÉDIO DA OPERAÇÃO == &gt;</t>
  </si>
  <si>
    <t>VLR. TARIFA</t>
  </si>
  <si>
    <t>VALOR LÍQUIDO ANTECIPADO</t>
  </si>
  <si>
    <t>FLUXO DE CAIXA</t>
  </si>
  <si>
    <t>TMA</t>
  </si>
  <si>
    <t>VPL</t>
  </si>
  <si>
    <t>NOMINAL</t>
  </si>
  <si>
    <t>DESCONTADO</t>
  </si>
  <si>
    <t>TIR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</si>
</sst>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* #,##0.00_);_(* \(#,##0.00\);_(* &quot;-&quot;??_);_(@_)"/>
    <numFmt numFmtId="165" formatCode="0.0000%"/>
    <numFmt numFmtId="166" formatCode="_-[$R$-416]\ * #,##0.00_-;\-[$R$-416]\ * #,##0.00_-;_-[$R$-416]\ * &quot;-&quot;??_-;_-@_-"/>
    <numFmt numFmtId="167" formatCode="0.000%"/>
    <numFmt numFmtId="168" formatCode="_-* #,##0.0000_-;\-* #,##0.0000_-;_-* &quot;-&quot;????_-;_-@_-"/>
    <numFmt numFmtId="169" formatCode="#,##0.00_ ;[Red]\-#,##0.00\ "/>
    <numFmt numFmtId="170" formatCode="0.000000%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Segoe UI"/>
      <family val="2"/>
    </font>
    <font>
      <u/>
      <sz val="9"/>
      <color indexed="81"/>
      <name val="Segoe UI"/>
      <family val="2"/>
    </font>
    <font>
      <b/>
      <i/>
      <u val="doubleAccounting"/>
      <sz val="16"/>
      <color theme="1"/>
      <name val="Calibri"/>
      <family val="2"/>
      <scheme val="minor"/>
    </font>
    <font>
      <b/>
      <u val="singleAccounting"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0"/>
      <color theme="0" tint="-0.499984740745262"/>
      <name val="Calibri"/>
      <family val="2"/>
      <scheme val="minor"/>
    </font>
    <font>
      <b/>
      <i/>
      <sz val="11"/>
      <color theme="0" tint="-0.499984740745262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gradientFill degree="90">
        <stop position="0">
          <color theme="0"/>
        </stop>
        <stop position="0.5">
          <color theme="2" tint="-9.8025452436902985E-2"/>
        </stop>
        <stop position="1">
          <color theme="0"/>
        </stop>
      </gradientFill>
    </fill>
    <fill>
      <gradientFill degree="90">
        <stop position="0">
          <color theme="4" tint="0.39997558519241921"/>
        </stop>
        <stop position="0.5">
          <color theme="0"/>
        </stop>
        <stop position="1">
          <color theme="4" tint="0.39997558519241921"/>
        </stop>
      </gradient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94">
    <xf numFmtId="0" fontId="0" fillId="0" borderId="0" xfId="0"/>
    <xf numFmtId="0" fontId="0" fillId="0" borderId="0" xfId="0" applyAlignment="1" applyProtection="1">
      <alignment vertical="top"/>
    </xf>
    <xf numFmtId="0" fontId="0" fillId="0" borderId="5" xfId="0" applyBorder="1" applyAlignment="1" applyProtection="1">
      <alignment horizontal="right" vertical="top"/>
    </xf>
    <xf numFmtId="0" fontId="0" fillId="0" borderId="5" xfId="0" applyBorder="1" applyAlignment="1" applyProtection="1">
      <alignment horizontal="left" vertical="top" wrapText="1"/>
    </xf>
    <xf numFmtId="0" fontId="0" fillId="0" borderId="0" xfId="0" applyAlignment="1" applyProtection="1">
      <alignment horizontal="right" vertical="top"/>
    </xf>
    <xf numFmtId="0" fontId="0" fillId="0" borderId="0" xfId="0" applyAlignment="1" applyProtection="1">
      <alignment vertical="top" wrapText="1"/>
    </xf>
    <xf numFmtId="0" fontId="0" fillId="0" borderId="0" xfId="0" applyAlignment="1" applyProtection="1">
      <alignment vertical="center"/>
    </xf>
    <xf numFmtId="0" fontId="0" fillId="0" borderId="0" xfId="1" applyNumberFormat="1" applyFont="1" applyAlignment="1" applyProtection="1">
      <alignment horizontal="center" vertical="center"/>
    </xf>
    <xf numFmtId="164" fontId="0" fillId="0" borderId="0" xfId="1" applyFont="1" applyAlignment="1" applyProtection="1">
      <alignment vertical="center"/>
    </xf>
    <xf numFmtId="14" fontId="2" fillId="0" borderId="0" xfId="0" applyNumberFormat="1" applyFont="1" applyAlignment="1" applyProtection="1">
      <alignment horizontal="left" vertical="center"/>
    </xf>
    <xf numFmtId="165" fontId="0" fillId="0" borderId="0" xfId="1" applyNumberFormat="1" applyFont="1" applyAlignment="1" applyProtection="1">
      <alignment vertical="center"/>
    </xf>
    <xf numFmtId="164" fontId="1" fillId="0" borderId="1" xfId="1" applyFont="1" applyBorder="1" applyAlignment="1" applyProtection="1">
      <alignment vertical="center"/>
    </xf>
    <xf numFmtId="164" fontId="0" fillId="0" borderId="1" xfId="0" applyNumberFormat="1" applyFont="1" applyBorder="1" applyAlignment="1" applyProtection="1">
      <alignment vertical="center"/>
    </xf>
    <xf numFmtId="164" fontId="7" fillId="0" borderId="1" xfId="1" applyFont="1" applyBorder="1" applyAlignment="1" applyProtection="1">
      <alignment vertical="center"/>
    </xf>
    <xf numFmtId="165" fontId="1" fillId="0" borderId="2" xfId="2" applyNumberFormat="1" applyFont="1" applyFill="1" applyBorder="1" applyAlignment="1" applyProtection="1">
      <alignment horizontal="center" vertical="center"/>
    </xf>
    <xf numFmtId="164" fontId="2" fillId="0" borderId="0" xfId="1" applyFont="1" applyAlignment="1" applyProtection="1">
      <alignment vertical="center"/>
    </xf>
    <xf numFmtId="164" fontId="2" fillId="0" borderId="1" xfId="1" applyFont="1" applyFill="1" applyBorder="1" applyAlignment="1" applyProtection="1">
      <alignment horizontal="center" vertical="center"/>
    </xf>
    <xf numFmtId="0" fontId="0" fillId="0" borderId="0" xfId="0" applyAlignment="1" applyProtection="1">
      <alignment vertical="center" wrapText="1"/>
    </xf>
    <xf numFmtId="164" fontId="0" fillId="0" borderId="0" xfId="0" applyNumberFormat="1" applyAlignment="1" applyProtection="1">
      <alignment vertical="center"/>
    </xf>
    <xf numFmtId="167" fontId="0" fillId="0" borderId="0" xfId="2" applyNumberFormat="1" applyFont="1" applyAlignment="1" applyProtection="1">
      <alignment vertical="center"/>
    </xf>
    <xf numFmtId="164" fontId="1" fillId="0" borderId="12" xfId="1" applyFont="1" applyBorder="1" applyAlignment="1" applyProtection="1">
      <alignment vertical="center"/>
    </xf>
    <xf numFmtId="164" fontId="11" fillId="0" borderId="1" xfId="1" applyFont="1" applyFill="1" applyBorder="1" applyAlignment="1" applyProtection="1">
      <alignment horizontal="center" vertical="center"/>
    </xf>
    <xf numFmtId="10" fontId="12" fillId="0" borderId="1" xfId="2" applyNumberFormat="1" applyFont="1" applyFill="1" applyBorder="1" applyAlignment="1" applyProtection="1">
      <alignment horizontal="center" vertical="center"/>
    </xf>
    <xf numFmtId="165" fontId="13" fillId="0" borderId="1" xfId="2" applyNumberFormat="1" applyFont="1" applyFill="1" applyBorder="1" applyAlignment="1" applyProtection="1">
      <alignment horizontal="center" vertical="center"/>
    </xf>
    <xf numFmtId="168" fontId="0" fillId="0" borderId="0" xfId="0" applyNumberFormat="1" applyAlignment="1" applyProtection="1">
      <alignment vertical="center"/>
    </xf>
    <xf numFmtId="165" fontId="0" fillId="0" borderId="0" xfId="2" applyNumberFormat="1" applyFont="1" applyAlignment="1" applyProtection="1">
      <alignment vertical="center"/>
    </xf>
    <xf numFmtId="164" fontId="2" fillId="3" borderId="1" xfId="0" applyNumberFormat="1" applyFont="1" applyFill="1" applyBorder="1" applyAlignment="1" applyProtection="1">
      <alignment vertical="center"/>
    </xf>
    <xf numFmtId="10" fontId="12" fillId="3" borderId="1" xfId="2" applyNumberFormat="1" applyFont="1" applyFill="1" applyBorder="1" applyAlignment="1" applyProtection="1">
      <alignment horizontal="center" vertical="center"/>
    </xf>
    <xf numFmtId="0" fontId="9" fillId="4" borderId="0" xfId="0" applyFont="1" applyFill="1" applyBorder="1" applyAlignment="1" applyProtection="1">
      <alignment horizontal="center" vertical="center"/>
    </xf>
    <xf numFmtId="0" fontId="0" fillId="0" borderId="5" xfId="0" applyBorder="1" applyAlignment="1" applyProtection="1">
      <alignment horizontal="right" vertical="center"/>
    </xf>
    <xf numFmtId="0" fontId="0" fillId="0" borderId="5" xfId="0" applyBorder="1" applyAlignment="1" applyProtection="1">
      <alignment horizontal="left" vertical="center" wrapText="1"/>
    </xf>
    <xf numFmtId="164" fontId="10" fillId="0" borderId="0" xfId="1" applyFont="1" applyFill="1" applyBorder="1" applyAlignment="1" applyProtection="1">
      <alignment horizontal="center" vertical="center"/>
    </xf>
    <xf numFmtId="14" fontId="2" fillId="0" borderId="0" xfId="0" applyNumberFormat="1" applyFont="1" applyAlignment="1" applyProtection="1">
      <alignment horizontal="center" vertical="center"/>
    </xf>
    <xf numFmtId="164" fontId="0" fillId="0" borderId="0" xfId="1" applyFont="1" applyAlignment="1" applyProtection="1">
      <alignment horizontal="center" vertical="center"/>
    </xf>
    <xf numFmtId="0" fontId="0" fillId="0" borderId="4" xfId="1" applyNumberFormat="1" applyFont="1" applyBorder="1" applyAlignment="1" applyProtection="1">
      <alignment horizontal="center" vertical="center"/>
    </xf>
    <xf numFmtId="164" fontId="0" fillId="0" borderId="4" xfId="1" applyFont="1" applyBorder="1" applyAlignment="1" applyProtection="1">
      <alignment horizontal="left" vertical="center"/>
    </xf>
    <xf numFmtId="10" fontId="10" fillId="0" borderId="4" xfId="1" applyNumberFormat="1" applyFont="1" applyBorder="1" applyAlignment="1" applyProtection="1">
      <alignment horizontal="center" vertical="center"/>
    </xf>
    <xf numFmtId="164" fontId="0" fillId="0" borderId="0" xfId="1" applyFont="1" applyFill="1" applyBorder="1" applyAlignment="1" applyProtection="1">
      <alignment vertical="center"/>
    </xf>
    <xf numFmtId="10" fontId="10" fillId="0" borderId="0" xfId="2" applyNumberFormat="1" applyFont="1" applyFill="1" applyBorder="1" applyAlignment="1" applyProtection="1">
      <alignment horizontal="center" vertical="center"/>
    </xf>
    <xf numFmtId="0" fontId="14" fillId="2" borderId="11" xfId="0" applyFont="1" applyFill="1" applyBorder="1" applyAlignment="1" applyProtection="1">
      <alignment horizontal="center" vertical="center" wrapText="1"/>
    </xf>
    <xf numFmtId="164" fontId="14" fillId="2" borderId="11" xfId="1" applyFont="1" applyFill="1" applyBorder="1" applyAlignment="1" applyProtection="1">
      <alignment horizontal="center" vertical="center" wrapText="1"/>
    </xf>
    <xf numFmtId="0" fontId="14" fillId="2" borderId="1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 applyProtection="1">
      <alignment vertical="center"/>
      <protection locked="0"/>
    </xf>
    <xf numFmtId="14" fontId="2" fillId="5" borderId="1" xfId="0" applyNumberFormat="1" applyFont="1" applyFill="1" applyBorder="1" applyAlignment="1" applyProtection="1">
      <alignment horizontal="center" vertical="center"/>
      <protection locked="0"/>
    </xf>
    <xf numFmtId="165" fontId="2" fillId="5" borderId="1" xfId="2" applyNumberFormat="1" applyFont="1" applyFill="1" applyBorder="1" applyAlignment="1" applyProtection="1">
      <alignment horizontal="center" vertical="center"/>
      <protection locked="0"/>
    </xf>
    <xf numFmtId="166" fontId="2" fillId="5" borderId="1" xfId="2" applyNumberFormat="1" applyFont="1" applyFill="1" applyBorder="1" applyAlignment="1" applyProtection="1">
      <alignment horizontal="center" vertical="center"/>
      <protection locked="0"/>
    </xf>
    <xf numFmtId="166" fontId="2" fillId="5" borderId="1" xfId="1" applyNumberFormat="1" applyFont="1" applyFill="1" applyBorder="1" applyAlignment="1" applyProtection="1">
      <alignment horizontal="center" vertical="center"/>
      <protection locked="0"/>
    </xf>
    <xf numFmtId="14" fontId="2" fillId="0" borderId="0" xfId="0" applyNumberFormat="1" applyFont="1" applyFill="1" applyAlignment="1" applyProtection="1">
      <alignment horizontal="center" vertical="center"/>
      <protection locked="0"/>
    </xf>
    <xf numFmtId="164" fontId="2" fillId="0" borderId="0" xfId="1" applyFont="1" applyFill="1" applyAlignment="1" applyProtection="1">
      <alignment vertical="center"/>
      <protection locked="0"/>
    </xf>
    <xf numFmtId="14" fontId="2" fillId="0" borderId="0" xfId="0" applyNumberFormat="1" applyFont="1" applyFill="1" applyAlignment="1" applyProtection="1">
      <alignment horizontal="center" vertical="center"/>
    </xf>
    <xf numFmtId="164" fontId="2" fillId="0" borderId="0" xfId="1" applyFont="1" applyFill="1" applyAlignment="1" applyProtection="1">
      <alignment vertical="center"/>
    </xf>
    <xf numFmtId="164" fontId="2" fillId="5" borderId="1" xfId="1" applyFont="1" applyFill="1" applyBorder="1" applyAlignment="1" applyProtection="1">
      <alignment horizontal="center" vertical="center"/>
      <protection locked="0"/>
    </xf>
    <xf numFmtId="165" fontId="16" fillId="0" borderId="0" xfId="2" applyNumberFormat="1" applyFont="1" applyFill="1" applyBorder="1" applyAlignment="1" applyProtection="1">
      <alignment horizontal="center" vertical="center"/>
    </xf>
    <xf numFmtId="0" fontId="2" fillId="5" borderId="1" xfId="2" applyNumberFormat="1" applyFont="1" applyFill="1" applyBorder="1" applyAlignment="1" applyProtection="1">
      <alignment horizontal="center" vertical="center"/>
      <protection locked="0"/>
    </xf>
    <xf numFmtId="14" fontId="2" fillId="0" borderId="4" xfId="0" applyNumberFormat="1" applyFont="1" applyFill="1" applyBorder="1" applyAlignment="1" applyProtection="1">
      <alignment horizontal="center" vertical="center"/>
      <protection locked="0"/>
    </xf>
    <xf numFmtId="164" fontId="2" fillId="0" borderId="4" xfId="1" applyFont="1" applyFill="1" applyBorder="1" applyAlignment="1" applyProtection="1">
      <alignment vertical="center"/>
      <protection locked="0"/>
    </xf>
    <xf numFmtId="10" fontId="17" fillId="0" borderId="15" xfId="2" applyNumberFormat="1" applyFont="1" applyFill="1" applyBorder="1" applyAlignment="1" applyProtection="1">
      <alignment horizontal="left" vertical="center"/>
    </xf>
    <xf numFmtId="164" fontId="0" fillId="0" borderId="16" xfId="1" applyFont="1" applyBorder="1" applyAlignment="1" applyProtection="1">
      <alignment horizontal="left" vertical="center"/>
    </xf>
    <xf numFmtId="164" fontId="0" fillId="0" borderId="16" xfId="1" applyFont="1" applyFill="1" applyBorder="1" applyAlignment="1" applyProtection="1">
      <alignment horizontal="left" vertical="center"/>
    </xf>
    <xf numFmtId="169" fontId="0" fillId="0" borderId="0" xfId="0" applyNumberFormat="1" applyAlignment="1" applyProtection="1">
      <alignment vertical="center"/>
    </xf>
    <xf numFmtId="169" fontId="0" fillId="0" borderId="4" xfId="0" applyNumberFormat="1" applyBorder="1" applyAlignment="1" applyProtection="1">
      <alignment vertical="center" wrapText="1"/>
    </xf>
    <xf numFmtId="169" fontId="0" fillId="0" borderId="1" xfId="0" applyNumberFormat="1" applyBorder="1" applyAlignment="1" applyProtection="1">
      <alignment horizontal="center" vertical="center"/>
    </xf>
    <xf numFmtId="10" fontId="2" fillId="0" borderId="1" xfId="2" applyNumberFormat="1" applyFont="1" applyBorder="1" applyAlignment="1" applyProtection="1">
      <alignment horizontal="center" vertical="center"/>
    </xf>
    <xf numFmtId="169" fontId="2" fillId="0" borderId="17" xfId="0" applyNumberFormat="1" applyFont="1" applyBorder="1" applyAlignment="1" applyProtection="1">
      <alignment horizontal="center" vertical="center" wrapText="1"/>
    </xf>
    <xf numFmtId="169" fontId="2" fillId="0" borderId="18" xfId="0" applyNumberFormat="1" applyFont="1" applyBorder="1" applyAlignment="1" applyProtection="1">
      <alignment vertical="center" wrapText="1"/>
    </xf>
    <xf numFmtId="170" fontId="0" fillId="0" borderId="1" xfId="2" applyNumberFormat="1" applyFont="1" applyBorder="1" applyAlignment="1" applyProtection="1">
      <alignment horizontal="center" vertical="center"/>
    </xf>
    <xf numFmtId="164" fontId="2" fillId="0" borderId="1" xfId="1" applyFont="1" applyBorder="1" applyAlignment="1" applyProtection="1">
      <alignment horizontal="center" vertical="center"/>
    </xf>
    <xf numFmtId="165" fontId="2" fillId="0" borderId="1" xfId="2" applyNumberFormat="1" applyFont="1" applyBorder="1" applyAlignment="1" applyProtection="1">
      <alignment horizontal="center" vertical="center"/>
    </xf>
    <xf numFmtId="0" fontId="5" fillId="0" borderId="0" xfId="3" applyNumberFormat="1" applyFont="1" applyAlignment="1" applyProtection="1">
      <alignment horizontal="left" vertical="top"/>
    </xf>
    <xf numFmtId="0" fontId="6" fillId="0" borderId="0" xfId="3" applyNumberFormat="1" applyFont="1" applyBorder="1" applyAlignment="1" applyProtection="1">
      <alignment horizontal="left" vertical="top"/>
    </xf>
    <xf numFmtId="169" fontId="2" fillId="0" borderId="19" xfId="0" applyNumberFormat="1" applyFont="1" applyBorder="1" applyAlignment="1" applyProtection="1">
      <alignment horizontal="center" vertical="center" wrapText="1"/>
    </xf>
    <xf numFmtId="169" fontId="2" fillId="0" borderId="20" xfId="0" applyNumberFormat="1" applyFont="1" applyBorder="1" applyAlignment="1" applyProtection="1">
      <alignment horizontal="center" vertical="center" wrapText="1"/>
    </xf>
    <xf numFmtId="169" fontId="0" fillId="0" borderId="1" xfId="0" applyNumberFormat="1" applyBorder="1" applyAlignment="1" applyProtection="1">
      <alignment horizontal="center" vertical="center"/>
    </xf>
    <xf numFmtId="14" fontId="15" fillId="2" borderId="1" xfId="0" applyNumberFormat="1" applyFont="1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14" fontId="2" fillId="2" borderId="1" xfId="0" applyNumberFormat="1" applyFont="1" applyFill="1" applyBorder="1" applyAlignment="1" applyProtection="1">
      <alignment horizontal="center" vertical="center"/>
    </xf>
    <xf numFmtId="0" fontId="14" fillId="3" borderId="1" xfId="1" applyNumberFormat="1" applyFont="1" applyFill="1" applyBorder="1" applyAlignment="1" applyProtection="1">
      <alignment horizontal="left" vertical="center"/>
    </xf>
    <xf numFmtId="0" fontId="10" fillId="0" borderId="1" xfId="0" applyNumberFormat="1" applyFont="1" applyBorder="1" applyAlignment="1" applyProtection="1">
      <alignment horizontal="left" vertical="center"/>
    </xf>
    <xf numFmtId="0" fontId="10" fillId="0" borderId="1" xfId="0" applyFont="1" applyBorder="1" applyAlignment="1" applyProtection="1">
      <alignment horizontal="left" vertical="center"/>
    </xf>
    <xf numFmtId="0" fontId="10" fillId="0" borderId="12" xfId="0" applyNumberFormat="1" applyFont="1" applyBorder="1" applyAlignment="1" applyProtection="1">
      <alignment horizontal="left" vertical="center"/>
    </xf>
    <xf numFmtId="0" fontId="0" fillId="0" borderId="0" xfId="0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164" fontId="0" fillId="0" borderId="3" xfId="1" applyFont="1" applyBorder="1" applyAlignment="1" applyProtection="1">
      <alignment horizontal="center" vertical="center"/>
    </xf>
    <xf numFmtId="0" fontId="7" fillId="0" borderId="1" xfId="0" applyFont="1" applyBorder="1" applyAlignment="1" applyProtection="1">
      <alignment horizontal="left" vertical="center"/>
    </xf>
    <xf numFmtId="0" fontId="0" fillId="0" borderId="6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9" xfId="0" applyBorder="1" applyAlignment="1" applyProtection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0" fontId="16" fillId="0" borderId="0" xfId="0" applyNumberFormat="1" applyFont="1" applyBorder="1" applyAlignment="1" applyProtection="1">
      <alignment horizontal="center" vertical="center"/>
    </xf>
    <xf numFmtId="0" fontId="14" fillId="0" borderId="1" xfId="0" applyFont="1" applyBorder="1" applyAlignment="1" applyProtection="1">
      <alignment horizontal="left" vertical="center"/>
    </xf>
    <xf numFmtId="14" fontId="8" fillId="4" borderId="7" xfId="0" applyNumberFormat="1" applyFont="1" applyFill="1" applyBorder="1" applyAlignment="1" applyProtection="1">
      <alignment horizontal="center" vertical="center" shrinkToFit="1"/>
    </xf>
    <xf numFmtId="0" fontId="10" fillId="0" borderId="13" xfId="0" applyFont="1" applyBorder="1" applyAlignment="1" applyProtection="1">
      <alignment horizontal="left" vertical="center"/>
    </xf>
    <xf numFmtId="0" fontId="10" fillId="0" borderId="14" xfId="0" applyFont="1" applyBorder="1" applyAlignment="1" applyProtection="1">
      <alignment horizontal="left" vertical="center"/>
    </xf>
    <xf numFmtId="0" fontId="10" fillId="0" borderId="2" xfId="0" applyFont="1" applyBorder="1" applyAlignment="1" applyProtection="1">
      <alignment horizontal="left" vertical="center"/>
    </xf>
  </cellXfs>
  <cellStyles count="4">
    <cellStyle name="Normal" xfId="0" builtinId="0"/>
    <cellStyle name="Porcentagem" xfId="2" builtinId="5"/>
    <cellStyle name="Vírgula" xfId="1" builtinId="3"/>
    <cellStyle name="Vírgula 2" xfId="3" xr:uid="{00000000-0005-0000-0000-000003000000}"/>
  </cellStyles>
  <dxfs count="8"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gradientFill degree="90">
          <stop position="0">
            <color theme="4" tint="0.39997558519241921"/>
          </stop>
          <stop position="0.5">
            <color theme="0"/>
          </stop>
          <stop position="1">
            <color theme="4" tint="0.39997558519241921"/>
          </stop>
        </gradientFill>
      </fill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gradientFill degree="180">
          <stop position="0">
            <color theme="0"/>
          </stop>
          <stop position="1">
            <color theme="5" tint="0.59999389629810485"/>
          </stop>
        </gradientFill>
      </fill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ill>
        <gradientFill degree="180">
          <stop position="0">
            <color theme="0"/>
          </stop>
          <stop position="1">
            <color theme="5" tint="0.40000610370189521"/>
          </stop>
        </gradientFill>
      </fill>
    </dxf>
    <dxf>
      <font>
        <color rgb="FFFF0000"/>
      </font>
      <fill>
        <patternFill>
          <bgColor theme="5" tint="0.79998168889431442"/>
        </patternFill>
      </fill>
      <border>
        <left style="thin">
          <color theme="0"/>
        </left>
        <right/>
        <top style="thin">
          <color theme="0"/>
        </top>
        <bottom style="thin">
          <color theme="0"/>
        </bottom>
        <vertical/>
        <horizontal/>
      </border>
    </dxf>
  </dxfs>
  <tableStyles count="0" defaultTableStyle="TableStyleMedium2" defaultPivotStyle="PivotStyleLight16"/>
  <colors>
    <mruColors>
      <color rgb="FF336600"/>
      <color rgb="FF33CC33"/>
      <color rgb="FF00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watch?v=pfRZQKfRGS8" TargetMode="External"/><Relationship Id="rId2" Type="http://schemas.openxmlformats.org/officeDocument/2006/relationships/image" Target="../media/image1.jpeg"/><Relationship Id="rId1" Type="http://schemas.openxmlformats.org/officeDocument/2006/relationships/hyperlink" Target="https://www.planilhacessivel.com.br/" TargetMode="External"/><Relationship Id="rId6" Type="http://schemas.openxmlformats.org/officeDocument/2006/relationships/image" Target="../media/image3.jpeg"/><Relationship Id="rId5" Type="http://schemas.openxmlformats.org/officeDocument/2006/relationships/hyperlink" Target="https://www.youtube.com/channel/UCiSDzhcjZe-1jUDRYoHq8Ug?view_as=subscriber" TargetMode="External"/><Relationship Id="rId4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13</xdr:row>
      <xdr:rowOff>180975</xdr:rowOff>
    </xdr:from>
    <xdr:to>
      <xdr:col>2</xdr:col>
      <xdr:colOff>5006787</xdr:colOff>
      <xdr:row>16</xdr:row>
      <xdr:rowOff>29696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295275" y="4086225"/>
          <a:ext cx="5092512" cy="705971"/>
          <a:chOff x="295275" y="4086225"/>
          <a:chExt cx="5092512" cy="705971"/>
        </a:xfrm>
      </xdr:grpSpPr>
      <xdr:pic>
        <xdr:nvPicPr>
          <xdr:cNvPr id="3" name="Imagem 2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5275" y="4086225"/>
            <a:ext cx="2538375" cy="701737"/>
          </a:xfrm>
          <a:prstGeom prst="rect">
            <a:avLst/>
          </a:prstGeom>
        </xdr:spPr>
      </xdr:pic>
      <xdr:pic>
        <xdr:nvPicPr>
          <xdr:cNvPr id="4" name="Imagem 3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46399" y="4086227"/>
            <a:ext cx="1558393" cy="702175"/>
          </a:xfrm>
          <a:prstGeom prst="rect">
            <a:avLst/>
          </a:prstGeom>
        </xdr:spPr>
      </xdr:pic>
      <xdr:pic>
        <xdr:nvPicPr>
          <xdr:cNvPr id="5" name="Imagem 4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409962" y="4086227"/>
            <a:ext cx="977825" cy="705969"/>
          </a:xfrm>
          <a:prstGeom prst="rect">
            <a:avLst/>
          </a:prstGeom>
        </xdr:spPr>
      </xdr:pic>
    </xdr:grp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190500</xdr:colOff>
      <xdr:row>9</xdr:row>
      <xdr:rowOff>161925</xdr:rowOff>
    </xdr:from>
    <xdr:to>
      <xdr:col>11</xdr:col>
      <xdr:colOff>742950</xdr:colOff>
      <xdr:row>12</xdr:row>
      <xdr:rowOff>28575</xdr:rowOff>
    </xdr:to>
    <xdr:pic macro="[0]!Visualizar_Impressao">
      <xdr:nvPicPr>
        <xdr:cNvPr id="2" name="Image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81875" y="1409700"/>
          <a:ext cx="552450" cy="552450"/>
        </a:xfrm>
        <a:prstGeom prst="rect">
          <a:avLst/>
        </a:prstGeom>
      </xdr:spPr>
    </xdr:pic>
    <xdr:clientData/>
  </xdr:twoCellAnchor>
  <xdr:twoCellAnchor editAs="oneCell">
    <xdr:from>
      <xdr:col>11</xdr:col>
      <xdr:colOff>85726</xdr:colOff>
      <xdr:row>3</xdr:row>
      <xdr:rowOff>9524</xdr:rowOff>
    </xdr:from>
    <xdr:to>
      <xdr:col>11</xdr:col>
      <xdr:colOff>790576</xdr:colOff>
      <xdr:row>5</xdr:row>
      <xdr:rowOff>104774</xdr:rowOff>
    </xdr:to>
    <xdr:sp macro="[0]!AjustarGeral" textlink="">
      <xdr:nvSpPr>
        <xdr:cNvPr id="6" name="CaixaDeText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7439026" y="85724"/>
          <a:ext cx="704850" cy="466725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800" b="1">
              <a:solidFill>
                <a:schemeClr val="accent6">
                  <a:lumMod val="50000"/>
                </a:schemeClr>
              </a:solidFill>
            </a:rPr>
            <a:t>AJUSTAR</a:t>
          </a:r>
        </a:p>
        <a:p>
          <a:pPr algn="ctr"/>
          <a:r>
            <a:rPr lang="pt-BR" sz="800" b="1">
              <a:solidFill>
                <a:schemeClr val="accent6">
                  <a:lumMod val="50000"/>
                </a:schemeClr>
              </a:solidFill>
            </a:rPr>
            <a:t>PLANILHA</a:t>
          </a:r>
        </a:p>
      </xdr:txBody>
    </xdr:sp>
    <xdr:clientData fPrintsWithSheet="0"/>
  </xdr:twoCellAnchor>
  <xdr:twoCellAnchor editAs="oneCell">
    <xdr:from>
      <xdr:col>11</xdr:col>
      <xdr:colOff>85723</xdr:colOff>
      <xdr:row>6</xdr:row>
      <xdr:rowOff>57150</xdr:rowOff>
    </xdr:from>
    <xdr:to>
      <xdr:col>11</xdr:col>
      <xdr:colOff>790572</xdr:colOff>
      <xdr:row>8</xdr:row>
      <xdr:rowOff>66675</xdr:rowOff>
    </xdr:to>
    <xdr:sp macro="[0]!Limpar_Dados" textlink="">
      <xdr:nvSpPr>
        <xdr:cNvPr id="7" name="CaixaDeTexto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 flipH="1">
          <a:off x="7439023" y="923925"/>
          <a:ext cx="704849" cy="46672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accent5">
                  <a:lumMod val="50000"/>
                </a:schemeClr>
              </a:solidFill>
            </a:rPr>
            <a:t>LIMPAR</a:t>
          </a:r>
          <a:r>
            <a:rPr lang="pt-BR" sz="1100" b="1" baseline="0">
              <a:solidFill>
                <a:schemeClr val="accent5">
                  <a:lumMod val="50000"/>
                </a:schemeClr>
              </a:solidFill>
            </a:rPr>
            <a:t> DADOS</a:t>
          </a:r>
          <a:endParaRPr lang="pt-BR" sz="1100" b="1">
            <a:solidFill>
              <a:schemeClr val="accent5">
                <a:lumMod val="50000"/>
              </a:schemeClr>
            </a:solidFill>
          </a:endParaRP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11</xdr:row>
          <xdr:rowOff>66675</xdr:rowOff>
        </xdr:from>
        <xdr:to>
          <xdr:col>2</xdr:col>
          <xdr:colOff>781050</xdr:colOff>
          <xdr:row>12</xdr:row>
          <xdr:rowOff>200025</xdr:rowOff>
        </xdr:to>
        <xdr:sp macro="" textlink="">
          <xdr:nvSpPr>
            <xdr:cNvPr id="1044" name="ChBoxIOF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11</xdr:row>
          <xdr:rowOff>66675</xdr:rowOff>
        </xdr:from>
        <xdr:to>
          <xdr:col>3</xdr:col>
          <xdr:colOff>409575</xdr:colOff>
          <xdr:row>12</xdr:row>
          <xdr:rowOff>209550</xdr:rowOff>
        </xdr:to>
        <xdr:sp macro="" textlink="">
          <xdr:nvSpPr>
            <xdr:cNvPr id="1049" name="OptPF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428625</xdr:colOff>
          <xdr:row>11</xdr:row>
          <xdr:rowOff>66675</xdr:rowOff>
        </xdr:from>
        <xdr:to>
          <xdr:col>3</xdr:col>
          <xdr:colOff>809625</xdr:colOff>
          <xdr:row>12</xdr:row>
          <xdr:rowOff>209550</xdr:rowOff>
        </xdr:to>
        <xdr:sp macro="" textlink="">
          <xdr:nvSpPr>
            <xdr:cNvPr id="1050" name="OptPJ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11</xdr:col>
      <xdr:colOff>66671</xdr:colOff>
      <xdr:row>17</xdr:row>
      <xdr:rowOff>19051</xdr:rowOff>
    </xdr:from>
    <xdr:to>
      <xdr:col>12</xdr:col>
      <xdr:colOff>47624</xdr:colOff>
      <xdr:row>17</xdr:row>
      <xdr:rowOff>285751</xdr:rowOff>
    </xdr:to>
    <xdr:sp macro="[0]!ExcluirLinha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 flipH="1">
          <a:off x="7419971" y="2552701"/>
          <a:ext cx="847728" cy="2667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800" b="1">
              <a:solidFill>
                <a:srgbClr val="FF0000"/>
              </a:solidFill>
            </a:rPr>
            <a:t>EXCLUIR</a:t>
          </a:r>
          <a:r>
            <a:rPr lang="pt-BR" sz="800" b="1" baseline="0">
              <a:solidFill>
                <a:srgbClr val="FF0000"/>
              </a:solidFill>
            </a:rPr>
            <a:t> LINHA</a:t>
          </a:r>
          <a:endParaRPr lang="pt-BR" sz="800" b="1">
            <a:solidFill>
              <a:srgbClr val="FF0000"/>
            </a:solidFill>
          </a:endParaRPr>
        </a:p>
      </xdr:txBody>
    </xdr:sp>
    <xdr:clientData fPrintsWithSheet="0"/>
  </xdr:twoCellAnchor>
  <xdr:twoCellAnchor>
    <xdr:from>
      <xdr:col>6</xdr:col>
      <xdr:colOff>57149</xdr:colOff>
      <xdr:row>5</xdr:row>
      <xdr:rowOff>133349</xdr:rowOff>
    </xdr:from>
    <xdr:to>
      <xdr:col>6</xdr:col>
      <xdr:colOff>752475</xdr:colOff>
      <xdr:row>9</xdr:row>
      <xdr:rowOff>66675</xdr:rowOff>
    </xdr:to>
    <xdr:sp macro="[0]!AjustarTaxa" textlink="">
      <xdr:nvSpPr>
        <xdr:cNvPr id="3" name="Seta: para a Esquerda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314699" y="581024"/>
          <a:ext cx="695326" cy="695326"/>
        </a:xfrm>
        <a:prstGeom prst="leftArrow">
          <a:avLst>
            <a:gd name="adj1" fmla="val 50000"/>
            <a:gd name="adj2" fmla="val 35099"/>
          </a:avLst>
        </a:prstGeom>
        <a:solidFill>
          <a:schemeClr val="tx2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8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AJUSTAR</a:t>
          </a:r>
          <a:r>
            <a:rPr lang="pt-BR" sz="8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TAXA</a:t>
          </a:r>
          <a:endParaRPr lang="pt-BR" sz="800">
            <a:effectLst/>
          </a:endParaRPr>
        </a:p>
        <a:p>
          <a:pPr algn="ctr"/>
          <a:endParaRPr lang="pt-BR" sz="1100"/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_Tutorial"/>
  <dimension ref="B2:C13"/>
  <sheetViews>
    <sheetView showGridLines="0" showRowColHeaders="0" workbookViewId="0">
      <selection activeCell="B2" sqref="B2:C2"/>
    </sheetView>
  </sheetViews>
  <sheetFormatPr defaultRowHeight="22.5" customHeight="1" x14ac:dyDescent="0.25"/>
  <cols>
    <col min="1" max="1" width="3.85546875" style="1" customWidth="1"/>
    <col min="2" max="2" width="1.85546875" style="4" customWidth="1"/>
    <col min="3" max="3" width="150.42578125" style="5" customWidth="1"/>
    <col min="4" max="16384" width="9.140625" style="1"/>
  </cols>
  <sheetData>
    <row r="2" spans="2:3" ht="22.5" customHeight="1" x14ac:dyDescent="0.25">
      <c r="B2" s="68" t="s">
        <v>8</v>
      </c>
      <c r="C2" s="68"/>
    </row>
    <row r="4" spans="2:3" ht="22.5" customHeight="1" x14ac:dyDescent="0.25">
      <c r="B4" s="69" t="s">
        <v>9</v>
      </c>
      <c r="C4" s="69"/>
    </row>
    <row r="5" spans="2:3" ht="22.5" customHeight="1" x14ac:dyDescent="0.25">
      <c r="B5" s="2" t="s">
        <v>10</v>
      </c>
      <c r="C5" s="3" t="s">
        <v>27</v>
      </c>
    </row>
    <row r="6" spans="2:3" s="6" customFormat="1" ht="22.5" customHeight="1" x14ac:dyDescent="0.25">
      <c r="B6" s="29" t="s">
        <v>10</v>
      </c>
      <c r="C6" s="30" t="s">
        <v>25</v>
      </c>
    </row>
    <row r="8" spans="2:3" ht="22.5" customHeight="1" x14ac:dyDescent="0.25">
      <c r="B8" s="69" t="s">
        <v>11</v>
      </c>
      <c r="C8" s="69"/>
    </row>
    <row r="9" spans="2:3" ht="22.5" customHeight="1" x14ac:dyDescent="0.25">
      <c r="B9" s="2" t="s">
        <v>10</v>
      </c>
      <c r="C9" s="3" t="s">
        <v>26</v>
      </c>
    </row>
    <row r="10" spans="2:3" ht="30" x14ac:dyDescent="0.25">
      <c r="B10" s="2" t="s">
        <v>10</v>
      </c>
      <c r="C10" s="3" t="s">
        <v>28</v>
      </c>
    </row>
    <row r="11" spans="2:3" ht="30" x14ac:dyDescent="0.25">
      <c r="B11" s="2" t="s">
        <v>10</v>
      </c>
      <c r="C11" s="3" t="s">
        <v>31</v>
      </c>
    </row>
    <row r="12" spans="2:3" s="6" customFormat="1" ht="22.5" customHeight="1" x14ac:dyDescent="0.25">
      <c r="B12" s="29" t="s">
        <v>10</v>
      </c>
      <c r="C12" s="30" t="s">
        <v>29</v>
      </c>
    </row>
    <row r="13" spans="2:3" s="6" customFormat="1" ht="22.5" customHeight="1" x14ac:dyDescent="0.25">
      <c r="B13" s="29" t="s">
        <v>10</v>
      </c>
      <c r="C13" s="30" t="s">
        <v>30</v>
      </c>
    </row>
  </sheetData>
  <sheetProtection sheet="1" objects="1" scenarios="1" selectLockedCells="1"/>
  <mergeCells count="3">
    <mergeCell ref="B2:C2"/>
    <mergeCell ref="B4:C4"/>
    <mergeCell ref="B8:C8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_Calculo">
    <tabColor theme="8" tint="-0.249977111117893"/>
    <pageSetUpPr fitToPage="1"/>
  </sheetPr>
  <dimension ref="A1:O1000"/>
  <sheetViews>
    <sheetView showGridLines="0" showRowColHeaders="0" tabSelected="1" zoomScaleNormal="100" workbookViewId="0">
      <pane ySplit="18" topLeftCell="A19" activePane="bottomLeft" state="frozen"/>
      <selection activeCell="B2" sqref="B2"/>
      <selection pane="bottomLeft" activeCell="C24" sqref="C24"/>
    </sheetView>
  </sheetViews>
  <sheetFormatPr defaultRowHeight="15" x14ac:dyDescent="0.25"/>
  <cols>
    <col min="1" max="1" width="13" style="6" hidden="1" customWidth="1"/>
    <col min="2" max="2" width="1.7109375" style="6" customWidth="1"/>
    <col min="3" max="3" width="12" style="49" customWidth="1"/>
    <col min="4" max="4" width="12.28515625" style="50" customWidth="1"/>
    <col min="5" max="5" width="10.7109375" style="7" bestFit="1" customWidth="1"/>
    <col min="6" max="6" width="12.140625" style="8" bestFit="1" customWidth="1"/>
    <col min="7" max="7" width="12.42578125" style="8" customWidth="1"/>
    <col min="8" max="9" width="13.42578125" style="8" customWidth="1"/>
    <col min="10" max="10" width="14.140625" style="8" customWidth="1"/>
    <col min="11" max="11" width="8" style="31" customWidth="1"/>
    <col min="12" max="12" width="13" style="6" customWidth="1"/>
    <col min="13" max="13" width="4.85546875" style="6" customWidth="1"/>
    <col min="14" max="14" width="14.85546875" style="59" hidden="1" customWidth="1"/>
    <col min="15" max="15" width="14.85546875" style="6" hidden="1" customWidth="1"/>
    <col min="16" max="16384" width="9.140625" style="6"/>
  </cols>
  <sheetData>
    <row r="1" spans="1:15" ht="3" hidden="1" customHeight="1" x14ac:dyDescent="0.25">
      <c r="C1" s="32"/>
      <c r="D1" s="15"/>
    </row>
    <row r="2" spans="1:15" hidden="1" x14ac:dyDescent="0.25">
      <c r="C2" s="6"/>
      <c r="D2" s="6"/>
      <c r="E2" s="8" t="str">
        <f>IF(OR(DataRecebimento="",C2=""),"",IF(C2&lt;DataRecebimento,"ERRO!",C2+$F$9-$F$7))</f>
        <v/>
      </c>
      <c r="F2" s="8" t="str">
        <f>IF(OR(TaxaJuros="",C2=""),"",IF(C2&lt;DataRecebimento,"DATA",-D2*E2*($F$8/30)))</f>
        <v/>
      </c>
      <c r="G2" s="8" t="str">
        <f>IF(OR(TaxaJuros="",C2=""),"",IF(C2&lt;DataRecebimento,"NÃO",-$F$10))</f>
        <v/>
      </c>
      <c r="H2" s="8" t="str">
        <f>IF(OR(TaxaJuros="",C2=""),"",IF(C2&lt;DataRecebimento,"PODE",IF(ComSemIOF=FALSE,0,IF(E2&gt;365,-(D2+F2)*365*IOFDiario,-(D2+F2)*E2*IOFDiario))))</f>
        <v/>
      </c>
      <c r="I2" s="8" t="str">
        <f>IF(OR(TaxaJuros="",C2=""),"",IF(C2&lt;DataRecebimento,"SER",IF(ComSemIOF=FALSE,0,-(D2+F2)*IOFAdic)))</f>
        <v/>
      </c>
      <c r="J2" s="8" t="str">
        <f>IF(OR(TaxaJuros="",C2=""),"",IF(C2&lt;DataRecebimento,"INFERIOR!",D2+SUM(F2:I2)))</f>
        <v/>
      </c>
      <c r="K2" s="33" t="str">
        <f>IF(OR(TaxaJuros="",C2=""),"",IF(C2&lt;DataRecebimento,"ERRO!",100%-J2/D2))</f>
        <v/>
      </c>
    </row>
    <row r="3" spans="1:15" ht="10.5" customHeight="1" x14ac:dyDescent="0.25">
      <c r="C3" s="6"/>
      <c r="D3" s="6"/>
    </row>
    <row r="4" spans="1:15" ht="21" customHeight="1" x14ac:dyDescent="0.25">
      <c r="C4" s="73" t="s">
        <v>5</v>
      </c>
      <c r="D4" s="73"/>
      <c r="E4" s="73"/>
      <c r="F4" s="73"/>
      <c r="G4" s="73"/>
      <c r="H4" s="73"/>
      <c r="I4" s="73"/>
      <c r="J4" s="73"/>
      <c r="K4" s="73"/>
      <c r="L4" s="74"/>
    </row>
    <row r="5" spans="1:15" ht="8.25" customHeight="1" x14ac:dyDescent="0.25">
      <c r="C5" s="9"/>
      <c r="D5" s="8"/>
      <c r="G5" s="10"/>
      <c r="L5" s="74"/>
    </row>
    <row r="6" spans="1:15" ht="18" customHeight="1" x14ac:dyDescent="0.25">
      <c r="C6" s="75" t="s">
        <v>6</v>
      </c>
      <c r="D6" s="75"/>
      <c r="E6" s="75"/>
      <c r="F6" s="75"/>
      <c r="G6" s="82"/>
      <c r="H6" s="81" t="s">
        <v>4</v>
      </c>
      <c r="I6" s="81"/>
      <c r="J6" s="81"/>
      <c r="K6" s="81"/>
    </row>
    <row r="7" spans="1:15" ht="18" customHeight="1" x14ac:dyDescent="0.25">
      <c r="C7" s="78" t="s">
        <v>32</v>
      </c>
      <c r="D7" s="78"/>
      <c r="E7" s="78"/>
      <c r="F7" s="43"/>
      <c r="G7" s="82"/>
      <c r="H7" s="79" t="s">
        <v>0</v>
      </c>
      <c r="I7" s="79"/>
      <c r="J7" s="20">
        <f>SUM(D19:D1000)</f>
        <v>0</v>
      </c>
      <c r="K7" s="22">
        <f>IFERROR(SUM(K8:K13),0)</f>
        <v>0</v>
      </c>
      <c r="L7" s="80"/>
    </row>
    <row r="8" spans="1:15" ht="18" customHeight="1" x14ac:dyDescent="0.25">
      <c r="C8" s="78" t="s">
        <v>13</v>
      </c>
      <c r="D8" s="78"/>
      <c r="E8" s="78"/>
      <c r="F8" s="44"/>
      <c r="G8" s="82"/>
      <c r="H8" s="77" t="s">
        <v>20</v>
      </c>
      <c r="I8" s="77"/>
      <c r="J8" s="11">
        <f>SUM(F19:F1000)</f>
        <v>0</v>
      </c>
      <c r="K8" s="22">
        <f>IFERROR(-J8/$J$7,0)</f>
        <v>0</v>
      </c>
      <c r="L8" s="80"/>
      <c r="M8" s="19"/>
      <c r="N8" s="72" t="s">
        <v>41</v>
      </c>
      <c r="O8" s="62">
        <v>0.02</v>
      </c>
    </row>
    <row r="9" spans="1:15" ht="18" customHeight="1" x14ac:dyDescent="0.25">
      <c r="A9" s="19"/>
      <c r="C9" s="78" t="s">
        <v>34</v>
      </c>
      <c r="D9" s="78"/>
      <c r="E9" s="78"/>
      <c r="F9" s="53">
        <v>0</v>
      </c>
      <c r="G9" s="82"/>
      <c r="H9" s="77" t="s">
        <v>23</v>
      </c>
      <c r="I9" s="77"/>
      <c r="J9" s="12">
        <f>SUM(G19:G1000)</f>
        <v>0</v>
      </c>
      <c r="K9" s="22">
        <f>IFERROR(-J9/$J$7,0)</f>
        <v>0</v>
      </c>
      <c r="L9" s="80"/>
      <c r="N9" s="72"/>
      <c r="O9" s="65">
        <f>(1+O8)^(1/30)-1</f>
        <v>6.6030548228668273E-4</v>
      </c>
    </row>
    <row r="10" spans="1:15" ht="18" customHeight="1" x14ac:dyDescent="0.25">
      <c r="C10" s="78" t="s">
        <v>35</v>
      </c>
      <c r="D10" s="78"/>
      <c r="E10" s="78"/>
      <c r="F10" s="45">
        <v>0</v>
      </c>
      <c r="G10" s="82"/>
      <c r="H10" s="77" t="s">
        <v>21</v>
      </c>
      <c r="I10" s="77"/>
      <c r="J10" s="11">
        <f>SUM(H19:H1000)</f>
        <v>0</v>
      </c>
      <c r="K10" s="22">
        <f>IFERROR(-J10/$J$7,0)</f>
        <v>0</v>
      </c>
      <c r="N10" s="61" t="s">
        <v>42</v>
      </c>
      <c r="O10" s="66">
        <f>SUM(O18:O1000)</f>
        <v>0</v>
      </c>
    </row>
    <row r="11" spans="1:15" ht="18" customHeight="1" x14ac:dyDescent="0.25">
      <c r="A11" s="42"/>
      <c r="C11" s="91" t="s">
        <v>36</v>
      </c>
      <c r="D11" s="92"/>
      <c r="E11" s="93"/>
      <c r="F11" s="46">
        <v>0</v>
      </c>
      <c r="G11" s="15"/>
      <c r="H11" s="77" t="s">
        <v>22</v>
      </c>
      <c r="I11" s="77"/>
      <c r="J11" s="11">
        <f>SUM(I19:I1000)</f>
        <v>0</v>
      </c>
      <c r="K11" s="22">
        <f>IFERROR(-J11/$J$7,0)</f>
        <v>0</v>
      </c>
      <c r="L11" s="80"/>
      <c r="N11" s="61" t="s">
        <v>45</v>
      </c>
      <c r="O11" s="67" t="e">
        <f>IRR(O18:O1000)</f>
        <v>#NUM!</v>
      </c>
    </row>
    <row r="12" spans="1:15" ht="18" customHeight="1" x14ac:dyDescent="0.25">
      <c r="A12" s="42" t="b">
        <v>0</v>
      </c>
      <c r="C12" s="84"/>
      <c r="D12" s="85"/>
      <c r="E12" s="13" t="s">
        <v>1</v>
      </c>
      <c r="F12" s="14" t="str">
        <f>IF(A12=FALSE,"Sem IOF",IF(A13=TRUE,0.0082%,0.0041%))</f>
        <v>Sem IOF</v>
      </c>
      <c r="H12" s="77" t="s">
        <v>2</v>
      </c>
      <c r="I12" s="77"/>
      <c r="J12" s="12">
        <f>IF(J7=0,0,-F11)</f>
        <v>0</v>
      </c>
      <c r="K12" s="22">
        <f>IFERROR(-J12/$J$7,0)</f>
        <v>0</v>
      </c>
      <c r="L12" s="80"/>
    </row>
    <row r="13" spans="1:15" ht="18" customHeight="1" x14ac:dyDescent="0.25">
      <c r="A13" s="6" t="b">
        <v>0</v>
      </c>
      <c r="C13" s="86"/>
      <c r="D13" s="87"/>
      <c r="E13" s="13" t="s">
        <v>3</v>
      </c>
      <c r="F13" s="14" t="str">
        <f>IF(A12=FALSE,"Sem IOF",0.38%)</f>
        <v>Sem IOF</v>
      </c>
      <c r="G13" s="15"/>
      <c r="H13" s="76" t="s">
        <v>7</v>
      </c>
      <c r="I13" s="76"/>
      <c r="J13" s="26">
        <f>SUM(J7:J12)</f>
        <v>0</v>
      </c>
      <c r="K13" s="27">
        <f>IFERROR(J13/$J$7,0)</f>
        <v>0</v>
      </c>
      <c r="L13" s="80"/>
    </row>
    <row r="14" spans="1:15" ht="18" customHeight="1" x14ac:dyDescent="0.25">
      <c r="C14" s="90" t="s">
        <v>37</v>
      </c>
      <c r="D14" s="90"/>
      <c r="E14" s="90"/>
      <c r="F14" s="28">
        <f>IFERROR(SUMPRODUCT(D19:D1002,E19:E1002)/SUM(D19:D1002),0)</f>
        <v>0</v>
      </c>
      <c r="G14" s="15"/>
      <c r="H14" s="83" t="s">
        <v>39</v>
      </c>
      <c r="I14" s="83"/>
      <c r="J14" s="51"/>
      <c r="K14" s="23" t="str">
        <f>IF(OR(ValorAntecipacao=0,ValorAntecipado="",ValorAntecipado=0),"",100%-ValorAntecipado/J7)</f>
        <v/>
      </c>
      <c r="L14" s="24"/>
    </row>
    <row r="15" spans="1:15" ht="18" customHeight="1" x14ac:dyDescent="0.25">
      <c r="B15" s="15"/>
      <c r="C15" s="88" t="str">
        <f>IF(OR(TaxaJuros="",ValorAntecipacao=0),"","CUSTO EFETIVO NO PERÍODO")</f>
        <v/>
      </c>
      <c r="D15" s="88"/>
      <c r="E15" s="88"/>
      <c r="F15" s="52" t="str">
        <f>IF(OR(TaxaJuros="",ValorAntecipacao=0),"",100%-ValorAntecipacao/$J$7)</f>
        <v/>
      </c>
      <c r="G15" s="25"/>
      <c r="H15" s="89" t="s">
        <v>12</v>
      </c>
      <c r="I15" s="89"/>
      <c r="J15" s="16">
        <f>IF(OR(ValorAntecipado="",ValorAntecipado=0),0,ValorAntecipado-ValorAntecipacao)</f>
        <v>0</v>
      </c>
      <c r="K15" s="21"/>
      <c r="L15" s="25"/>
      <c r="N15" s="70" t="s">
        <v>40</v>
      </c>
      <c r="O15" s="71"/>
    </row>
    <row r="16" spans="1:15" ht="18" customHeight="1" x14ac:dyDescent="0.25">
      <c r="C16" s="88" t="str">
        <f>IF(OR(TaxaJuros="",ValorAntecipacao=0),"","CUSTO EFETIVO MENSAL | ANUAL")</f>
        <v/>
      </c>
      <c r="D16" s="88"/>
      <c r="E16" s="88"/>
      <c r="F16" s="52" t="str">
        <f>IFERROR(IF(CustoEfetivoPeriodo="","",CustoEfetivoPeriodo/(PrazoMedio-F9)*30),0)</f>
        <v/>
      </c>
      <c r="G16" s="56" t="str">
        <f>IF(CustoEfetivoMes="","",(1+CustoEfetivoMes)^12-1)</f>
        <v/>
      </c>
      <c r="H16" s="6"/>
      <c r="I16" s="6"/>
      <c r="J16" s="6"/>
      <c r="K16" s="6"/>
      <c r="N16" s="63" t="s">
        <v>43</v>
      </c>
      <c r="O16" s="63" t="s">
        <v>44</v>
      </c>
    </row>
    <row r="17" spans="2:15" ht="4.5" customHeight="1" x14ac:dyDescent="0.25">
      <c r="B17" s="8"/>
      <c r="C17" s="8"/>
      <c r="D17" s="8"/>
      <c r="E17" s="8"/>
      <c r="K17" s="8"/>
      <c r="L17" s="8"/>
      <c r="M17" s="8"/>
      <c r="N17" s="64"/>
    </row>
    <row r="18" spans="2:15" s="17" customFormat="1" ht="25.5" x14ac:dyDescent="0.25">
      <c r="C18" s="39" t="s">
        <v>18</v>
      </c>
      <c r="D18" s="40" t="s">
        <v>17</v>
      </c>
      <c r="E18" s="41" t="s">
        <v>33</v>
      </c>
      <c r="F18" s="40" t="s">
        <v>14</v>
      </c>
      <c r="G18" s="40" t="s">
        <v>38</v>
      </c>
      <c r="H18" s="40" t="s">
        <v>19</v>
      </c>
      <c r="I18" s="40" t="s">
        <v>15</v>
      </c>
      <c r="J18" s="40" t="s">
        <v>16</v>
      </c>
      <c r="K18" s="40" t="s">
        <v>24</v>
      </c>
      <c r="N18" s="60">
        <f>IF(OR(ValorAntecipado=0,ValorAntecipado=""),ValorAntecipacao,ValorAntecipado)</f>
        <v>0</v>
      </c>
      <c r="O18" s="60">
        <f>N18</f>
        <v>0</v>
      </c>
    </row>
    <row r="19" spans="2:15" x14ac:dyDescent="0.25">
      <c r="C19" s="54"/>
      <c r="D19" s="55"/>
      <c r="E19" s="34" t="str">
        <f t="shared" ref="E19:E82" si="0">IF(OR(DataRecebimento="",C19=""),"",IF(C19&lt;DataRecebimento,"ERRO!",C19+$F$9-$F$7))</f>
        <v/>
      </c>
      <c r="F19" s="57" t="str">
        <f t="shared" ref="F19:F82" si="1">IF(OR(TaxaJuros="",C19=""),"",IF(C19&lt;DataRecebimento,"DATA",-D19*E19*($F$8/30)))</f>
        <v/>
      </c>
      <c r="G19" s="57" t="str">
        <f t="shared" ref="G19:G82" si="2">IF(OR(TaxaJuros="",C19=""),"",IF(C19&lt;DataRecebimento,"NÃO",-$F$10))</f>
        <v/>
      </c>
      <c r="H19" s="58" t="str">
        <f t="shared" ref="H19:H82" si="3">IF(OR(TaxaJuros="",C19=""),"",IF(C19&lt;DataRecebimento,"PODE",IF(ComSemIOF=FALSE,0,IF(E19&gt;365,-(D19+F19)*365*IOFDiario,-(D19+F19)*E19*IOFDiario))))</f>
        <v/>
      </c>
      <c r="I19" s="35" t="str">
        <f t="shared" ref="I19:I82" si="4">IF(OR(TaxaJuros="",C19=""),"",IF(C19&lt;DataRecebimento,"SER",IF(ComSemIOF=FALSE,0,-(D19+F19)*IOFAdic)))</f>
        <v/>
      </c>
      <c r="J19" s="35" t="str">
        <f t="shared" ref="J19:J82" si="5">IF(OR(TaxaJuros="",C19=""),"",IF(C19&lt;DataRecebimento,"INFERIOR!",D19+SUM(F19:I19)))</f>
        <v/>
      </c>
      <c r="K19" s="36" t="str">
        <f t="shared" ref="K19:K82" si="6">IF(OR(TaxaJuros="",C19=""),"",IF(C19&lt;DataRecebimento,"ERRO!",100%-J19/D19))</f>
        <v/>
      </c>
      <c r="L19" s="18"/>
      <c r="M19" s="18"/>
      <c r="N19" s="59" t="str">
        <f>IF(C19="","",-D19)</f>
        <v/>
      </c>
      <c r="O19" s="59" t="str">
        <f t="shared" ref="O19:O82" si="7">IF(N19="","",PV(TMA_Dia,E19,,-N19))</f>
        <v/>
      </c>
    </row>
    <row r="20" spans="2:15" x14ac:dyDescent="0.25">
      <c r="C20" s="47"/>
      <c r="D20" s="48"/>
      <c r="E20" s="7" t="str">
        <f t="shared" si="0"/>
        <v/>
      </c>
      <c r="F20" s="8" t="str">
        <f t="shared" si="1"/>
        <v/>
      </c>
      <c r="G20" s="8" t="str">
        <f t="shared" si="2"/>
        <v/>
      </c>
      <c r="H20" s="37" t="str">
        <f t="shared" si="3"/>
        <v/>
      </c>
      <c r="I20" s="37" t="str">
        <f t="shared" si="4"/>
        <v/>
      </c>
      <c r="J20" s="8" t="str">
        <f t="shared" si="5"/>
        <v/>
      </c>
      <c r="K20" s="38" t="str">
        <f t="shared" si="6"/>
        <v/>
      </c>
      <c r="N20" s="59" t="str">
        <f t="shared" ref="N20:N83" si="8">IF(C20="","",-D20)</f>
        <v/>
      </c>
      <c r="O20" s="59" t="str">
        <f t="shared" si="7"/>
        <v/>
      </c>
    </row>
    <row r="21" spans="2:15" x14ac:dyDescent="0.25">
      <c r="C21" s="47"/>
      <c r="D21" s="48"/>
      <c r="E21" s="7" t="str">
        <f t="shared" si="0"/>
        <v/>
      </c>
      <c r="F21" s="8" t="str">
        <f t="shared" si="1"/>
        <v/>
      </c>
      <c r="G21" s="8" t="str">
        <f t="shared" si="2"/>
        <v/>
      </c>
      <c r="H21" s="37" t="str">
        <f t="shared" si="3"/>
        <v/>
      </c>
      <c r="I21" s="37" t="str">
        <f t="shared" si="4"/>
        <v/>
      </c>
      <c r="J21" s="8" t="str">
        <f t="shared" si="5"/>
        <v/>
      </c>
      <c r="K21" s="38" t="str">
        <f t="shared" si="6"/>
        <v/>
      </c>
      <c r="N21" s="59" t="str">
        <f t="shared" si="8"/>
        <v/>
      </c>
      <c r="O21" s="59" t="str">
        <f t="shared" si="7"/>
        <v/>
      </c>
    </row>
    <row r="22" spans="2:15" x14ac:dyDescent="0.25">
      <c r="C22" s="47"/>
      <c r="D22" s="48"/>
      <c r="E22" s="7" t="str">
        <f t="shared" si="0"/>
        <v/>
      </c>
      <c r="F22" s="8" t="str">
        <f t="shared" si="1"/>
        <v/>
      </c>
      <c r="G22" s="8" t="str">
        <f t="shared" si="2"/>
        <v/>
      </c>
      <c r="H22" s="37" t="str">
        <f t="shared" si="3"/>
        <v/>
      </c>
      <c r="I22" s="37" t="str">
        <f t="shared" si="4"/>
        <v/>
      </c>
      <c r="J22" s="8" t="str">
        <f t="shared" si="5"/>
        <v/>
      </c>
      <c r="K22" s="38" t="str">
        <f t="shared" si="6"/>
        <v/>
      </c>
      <c r="N22" s="59" t="str">
        <f t="shared" si="8"/>
        <v/>
      </c>
      <c r="O22" s="59" t="str">
        <f t="shared" si="7"/>
        <v/>
      </c>
    </row>
    <row r="23" spans="2:15" x14ac:dyDescent="0.25">
      <c r="C23" s="47"/>
      <c r="D23" s="48"/>
      <c r="E23" s="7" t="str">
        <f t="shared" si="0"/>
        <v/>
      </c>
      <c r="F23" s="8" t="str">
        <f t="shared" si="1"/>
        <v/>
      </c>
      <c r="G23" s="8" t="str">
        <f t="shared" si="2"/>
        <v/>
      </c>
      <c r="H23" s="37" t="str">
        <f t="shared" si="3"/>
        <v/>
      </c>
      <c r="I23" s="37" t="str">
        <f t="shared" si="4"/>
        <v/>
      </c>
      <c r="J23" s="8" t="str">
        <f t="shared" si="5"/>
        <v/>
      </c>
      <c r="K23" s="38" t="str">
        <f t="shared" si="6"/>
        <v/>
      </c>
      <c r="N23" s="59" t="str">
        <f t="shared" si="8"/>
        <v/>
      </c>
      <c r="O23" s="59" t="str">
        <f t="shared" si="7"/>
        <v/>
      </c>
    </row>
    <row r="24" spans="2:15" x14ac:dyDescent="0.25">
      <c r="C24" s="47"/>
      <c r="D24" s="48"/>
      <c r="E24" s="7" t="str">
        <f t="shared" si="0"/>
        <v/>
      </c>
      <c r="F24" s="8" t="str">
        <f t="shared" si="1"/>
        <v/>
      </c>
      <c r="G24" s="8" t="str">
        <f t="shared" si="2"/>
        <v/>
      </c>
      <c r="H24" s="37" t="str">
        <f t="shared" si="3"/>
        <v/>
      </c>
      <c r="I24" s="37" t="str">
        <f t="shared" si="4"/>
        <v/>
      </c>
      <c r="J24" s="8" t="str">
        <f t="shared" si="5"/>
        <v/>
      </c>
      <c r="K24" s="38" t="str">
        <f t="shared" si="6"/>
        <v/>
      </c>
      <c r="N24" s="59" t="str">
        <f t="shared" si="8"/>
        <v/>
      </c>
      <c r="O24" s="59" t="str">
        <f t="shared" si="7"/>
        <v/>
      </c>
    </row>
    <row r="25" spans="2:15" x14ac:dyDescent="0.25">
      <c r="C25" s="47"/>
      <c r="D25" s="48"/>
      <c r="E25" s="7" t="str">
        <f t="shared" si="0"/>
        <v/>
      </c>
      <c r="F25" s="8" t="str">
        <f t="shared" si="1"/>
        <v/>
      </c>
      <c r="G25" s="8" t="str">
        <f t="shared" si="2"/>
        <v/>
      </c>
      <c r="H25" s="37" t="str">
        <f t="shared" si="3"/>
        <v/>
      </c>
      <c r="I25" s="37" t="str">
        <f t="shared" si="4"/>
        <v/>
      </c>
      <c r="J25" s="8" t="str">
        <f t="shared" si="5"/>
        <v/>
      </c>
      <c r="K25" s="38" t="str">
        <f t="shared" si="6"/>
        <v/>
      </c>
      <c r="N25" s="59" t="str">
        <f t="shared" si="8"/>
        <v/>
      </c>
      <c r="O25" s="59" t="str">
        <f t="shared" si="7"/>
        <v/>
      </c>
    </row>
    <row r="26" spans="2:15" x14ac:dyDescent="0.25">
      <c r="C26" s="47"/>
      <c r="D26" s="48"/>
      <c r="E26" s="7" t="str">
        <f t="shared" si="0"/>
        <v/>
      </c>
      <c r="F26" s="8" t="str">
        <f t="shared" si="1"/>
        <v/>
      </c>
      <c r="G26" s="8" t="str">
        <f t="shared" si="2"/>
        <v/>
      </c>
      <c r="H26" s="37" t="str">
        <f t="shared" si="3"/>
        <v/>
      </c>
      <c r="I26" s="37" t="str">
        <f t="shared" si="4"/>
        <v/>
      </c>
      <c r="J26" s="8" t="str">
        <f t="shared" si="5"/>
        <v/>
      </c>
      <c r="K26" s="38" t="str">
        <f t="shared" si="6"/>
        <v/>
      </c>
      <c r="N26" s="59" t="str">
        <f t="shared" si="8"/>
        <v/>
      </c>
      <c r="O26" s="59" t="str">
        <f t="shared" si="7"/>
        <v/>
      </c>
    </row>
    <row r="27" spans="2:15" x14ac:dyDescent="0.25">
      <c r="C27" s="47"/>
      <c r="D27" s="48"/>
      <c r="E27" s="7" t="str">
        <f t="shared" si="0"/>
        <v/>
      </c>
      <c r="F27" s="8" t="str">
        <f t="shared" si="1"/>
        <v/>
      </c>
      <c r="G27" s="8" t="str">
        <f t="shared" si="2"/>
        <v/>
      </c>
      <c r="H27" s="37" t="str">
        <f t="shared" si="3"/>
        <v/>
      </c>
      <c r="I27" s="37" t="str">
        <f t="shared" si="4"/>
        <v/>
      </c>
      <c r="J27" s="8" t="str">
        <f t="shared" si="5"/>
        <v/>
      </c>
      <c r="K27" s="38" t="str">
        <f t="shared" si="6"/>
        <v/>
      </c>
      <c r="N27" s="59" t="str">
        <f t="shared" si="8"/>
        <v/>
      </c>
      <c r="O27" s="59" t="str">
        <f t="shared" si="7"/>
        <v/>
      </c>
    </row>
    <row r="28" spans="2:15" x14ac:dyDescent="0.25">
      <c r="C28" s="47"/>
      <c r="D28" s="48"/>
      <c r="E28" s="7" t="str">
        <f t="shared" si="0"/>
        <v/>
      </c>
      <c r="F28" s="8" t="str">
        <f t="shared" si="1"/>
        <v/>
      </c>
      <c r="G28" s="8" t="str">
        <f t="shared" si="2"/>
        <v/>
      </c>
      <c r="H28" s="37" t="str">
        <f t="shared" si="3"/>
        <v/>
      </c>
      <c r="I28" s="37" t="str">
        <f t="shared" si="4"/>
        <v/>
      </c>
      <c r="J28" s="8" t="str">
        <f t="shared" si="5"/>
        <v/>
      </c>
      <c r="K28" s="38" t="str">
        <f t="shared" si="6"/>
        <v/>
      </c>
      <c r="N28" s="59" t="str">
        <f t="shared" si="8"/>
        <v/>
      </c>
      <c r="O28" s="59" t="str">
        <f t="shared" si="7"/>
        <v/>
      </c>
    </row>
    <row r="29" spans="2:15" x14ac:dyDescent="0.25">
      <c r="C29" s="47"/>
      <c r="D29" s="48"/>
      <c r="E29" s="7" t="str">
        <f t="shared" si="0"/>
        <v/>
      </c>
      <c r="F29" s="8" t="str">
        <f t="shared" si="1"/>
        <v/>
      </c>
      <c r="G29" s="8" t="str">
        <f t="shared" si="2"/>
        <v/>
      </c>
      <c r="H29" s="37" t="str">
        <f t="shared" si="3"/>
        <v/>
      </c>
      <c r="I29" s="37" t="str">
        <f t="shared" si="4"/>
        <v/>
      </c>
      <c r="J29" s="8" t="str">
        <f t="shared" si="5"/>
        <v/>
      </c>
      <c r="K29" s="38" t="str">
        <f t="shared" si="6"/>
        <v/>
      </c>
      <c r="N29" s="59" t="str">
        <f t="shared" si="8"/>
        <v/>
      </c>
      <c r="O29" s="59" t="str">
        <f t="shared" si="7"/>
        <v/>
      </c>
    </row>
    <row r="30" spans="2:15" x14ac:dyDescent="0.25">
      <c r="C30" s="47"/>
      <c r="D30" s="48"/>
      <c r="E30" s="7" t="str">
        <f t="shared" si="0"/>
        <v/>
      </c>
      <c r="F30" s="8" t="str">
        <f t="shared" si="1"/>
        <v/>
      </c>
      <c r="G30" s="8" t="str">
        <f t="shared" si="2"/>
        <v/>
      </c>
      <c r="H30" s="37" t="str">
        <f t="shared" si="3"/>
        <v/>
      </c>
      <c r="I30" s="37" t="str">
        <f t="shared" si="4"/>
        <v/>
      </c>
      <c r="J30" s="8" t="str">
        <f t="shared" si="5"/>
        <v/>
      </c>
      <c r="K30" s="38" t="str">
        <f t="shared" si="6"/>
        <v/>
      </c>
      <c r="N30" s="59" t="str">
        <f t="shared" si="8"/>
        <v/>
      </c>
      <c r="O30" s="59" t="str">
        <f t="shared" si="7"/>
        <v/>
      </c>
    </row>
    <row r="31" spans="2:15" x14ac:dyDescent="0.25">
      <c r="C31" s="47"/>
      <c r="D31" s="48"/>
      <c r="E31" s="7" t="str">
        <f t="shared" si="0"/>
        <v/>
      </c>
      <c r="F31" s="8" t="str">
        <f t="shared" si="1"/>
        <v/>
      </c>
      <c r="G31" s="8" t="str">
        <f t="shared" si="2"/>
        <v/>
      </c>
      <c r="H31" s="37" t="str">
        <f t="shared" si="3"/>
        <v/>
      </c>
      <c r="I31" s="37" t="str">
        <f t="shared" si="4"/>
        <v/>
      </c>
      <c r="J31" s="8" t="str">
        <f t="shared" si="5"/>
        <v/>
      </c>
      <c r="K31" s="38" t="str">
        <f t="shared" si="6"/>
        <v/>
      </c>
      <c r="N31" s="59" t="str">
        <f t="shared" si="8"/>
        <v/>
      </c>
      <c r="O31" s="59" t="str">
        <f t="shared" si="7"/>
        <v/>
      </c>
    </row>
    <row r="32" spans="2:15" x14ac:dyDescent="0.25">
      <c r="C32" s="47"/>
      <c r="D32" s="48"/>
      <c r="E32" s="7" t="str">
        <f t="shared" si="0"/>
        <v/>
      </c>
      <c r="F32" s="8" t="str">
        <f t="shared" si="1"/>
        <v/>
      </c>
      <c r="G32" s="8" t="str">
        <f t="shared" si="2"/>
        <v/>
      </c>
      <c r="H32" s="37" t="str">
        <f t="shared" si="3"/>
        <v/>
      </c>
      <c r="I32" s="37" t="str">
        <f t="shared" si="4"/>
        <v/>
      </c>
      <c r="J32" s="8" t="str">
        <f t="shared" si="5"/>
        <v/>
      </c>
      <c r="K32" s="38" t="str">
        <f t="shared" si="6"/>
        <v/>
      </c>
      <c r="N32" s="59" t="str">
        <f t="shared" si="8"/>
        <v/>
      </c>
      <c r="O32" s="59" t="str">
        <f t="shared" si="7"/>
        <v/>
      </c>
    </row>
    <row r="33" spans="3:15" x14ac:dyDescent="0.25">
      <c r="C33" s="47"/>
      <c r="D33" s="48"/>
      <c r="E33" s="7" t="str">
        <f t="shared" si="0"/>
        <v/>
      </c>
      <c r="F33" s="8" t="str">
        <f t="shared" si="1"/>
        <v/>
      </c>
      <c r="G33" s="8" t="str">
        <f t="shared" si="2"/>
        <v/>
      </c>
      <c r="H33" s="37" t="str">
        <f t="shared" si="3"/>
        <v/>
      </c>
      <c r="I33" s="37" t="str">
        <f t="shared" si="4"/>
        <v/>
      </c>
      <c r="J33" s="8" t="str">
        <f t="shared" si="5"/>
        <v/>
      </c>
      <c r="K33" s="38" t="str">
        <f t="shared" si="6"/>
        <v/>
      </c>
      <c r="N33" s="59" t="str">
        <f t="shared" si="8"/>
        <v/>
      </c>
      <c r="O33" s="59" t="str">
        <f t="shared" si="7"/>
        <v/>
      </c>
    </row>
    <row r="34" spans="3:15" x14ac:dyDescent="0.25">
      <c r="C34" s="47"/>
      <c r="D34" s="48"/>
      <c r="E34" s="7" t="str">
        <f t="shared" si="0"/>
        <v/>
      </c>
      <c r="F34" s="8" t="str">
        <f t="shared" si="1"/>
        <v/>
      </c>
      <c r="G34" s="8" t="str">
        <f t="shared" si="2"/>
        <v/>
      </c>
      <c r="H34" s="37" t="str">
        <f t="shared" si="3"/>
        <v/>
      </c>
      <c r="I34" s="37" t="str">
        <f t="shared" si="4"/>
        <v/>
      </c>
      <c r="J34" s="8" t="str">
        <f t="shared" si="5"/>
        <v/>
      </c>
      <c r="K34" s="38" t="str">
        <f t="shared" si="6"/>
        <v/>
      </c>
      <c r="N34" s="59" t="str">
        <f t="shared" si="8"/>
        <v/>
      </c>
      <c r="O34" s="59" t="str">
        <f t="shared" si="7"/>
        <v/>
      </c>
    </row>
    <row r="35" spans="3:15" x14ac:dyDescent="0.25">
      <c r="C35" s="47"/>
      <c r="D35" s="48"/>
      <c r="E35" s="7" t="str">
        <f t="shared" si="0"/>
        <v/>
      </c>
      <c r="F35" s="8" t="str">
        <f t="shared" si="1"/>
        <v/>
      </c>
      <c r="G35" s="8" t="str">
        <f t="shared" si="2"/>
        <v/>
      </c>
      <c r="H35" s="37" t="str">
        <f t="shared" si="3"/>
        <v/>
      </c>
      <c r="I35" s="37" t="str">
        <f t="shared" si="4"/>
        <v/>
      </c>
      <c r="J35" s="8" t="str">
        <f t="shared" si="5"/>
        <v/>
      </c>
      <c r="K35" s="38" t="str">
        <f t="shared" si="6"/>
        <v/>
      </c>
      <c r="N35" s="59" t="str">
        <f t="shared" si="8"/>
        <v/>
      </c>
      <c r="O35" s="59" t="str">
        <f t="shared" si="7"/>
        <v/>
      </c>
    </row>
    <row r="36" spans="3:15" x14ac:dyDescent="0.25">
      <c r="C36" s="47"/>
      <c r="D36" s="48"/>
      <c r="E36" s="7" t="str">
        <f t="shared" si="0"/>
        <v/>
      </c>
      <c r="F36" s="8" t="str">
        <f t="shared" si="1"/>
        <v/>
      </c>
      <c r="G36" s="8" t="str">
        <f t="shared" si="2"/>
        <v/>
      </c>
      <c r="H36" s="37" t="str">
        <f t="shared" si="3"/>
        <v/>
      </c>
      <c r="I36" s="37" t="str">
        <f t="shared" si="4"/>
        <v/>
      </c>
      <c r="J36" s="8" t="str">
        <f t="shared" si="5"/>
        <v/>
      </c>
      <c r="K36" s="38" t="str">
        <f t="shared" si="6"/>
        <v/>
      </c>
      <c r="N36" s="59" t="str">
        <f t="shared" si="8"/>
        <v/>
      </c>
      <c r="O36" s="59" t="str">
        <f t="shared" si="7"/>
        <v/>
      </c>
    </row>
    <row r="37" spans="3:15" x14ac:dyDescent="0.25">
      <c r="C37" s="47"/>
      <c r="D37" s="48"/>
      <c r="E37" s="7" t="str">
        <f t="shared" si="0"/>
        <v/>
      </c>
      <c r="F37" s="8" t="str">
        <f t="shared" si="1"/>
        <v/>
      </c>
      <c r="G37" s="8" t="str">
        <f t="shared" si="2"/>
        <v/>
      </c>
      <c r="H37" s="37" t="str">
        <f t="shared" si="3"/>
        <v/>
      </c>
      <c r="I37" s="37" t="str">
        <f t="shared" si="4"/>
        <v/>
      </c>
      <c r="J37" s="8" t="str">
        <f t="shared" si="5"/>
        <v/>
      </c>
      <c r="K37" s="38" t="str">
        <f t="shared" si="6"/>
        <v/>
      </c>
      <c r="N37" s="59" t="str">
        <f t="shared" si="8"/>
        <v/>
      </c>
      <c r="O37" s="59" t="str">
        <f t="shared" si="7"/>
        <v/>
      </c>
    </row>
    <row r="38" spans="3:15" x14ac:dyDescent="0.25">
      <c r="C38" s="47"/>
      <c r="D38" s="48"/>
      <c r="E38" s="7" t="str">
        <f t="shared" si="0"/>
        <v/>
      </c>
      <c r="F38" s="8" t="str">
        <f t="shared" si="1"/>
        <v/>
      </c>
      <c r="G38" s="8" t="str">
        <f t="shared" si="2"/>
        <v/>
      </c>
      <c r="H38" s="37" t="str">
        <f t="shared" si="3"/>
        <v/>
      </c>
      <c r="I38" s="37" t="str">
        <f t="shared" si="4"/>
        <v/>
      </c>
      <c r="J38" s="8" t="str">
        <f t="shared" si="5"/>
        <v/>
      </c>
      <c r="K38" s="38" t="str">
        <f t="shared" si="6"/>
        <v/>
      </c>
      <c r="N38" s="59" t="str">
        <f t="shared" si="8"/>
        <v/>
      </c>
      <c r="O38" s="59" t="str">
        <f t="shared" si="7"/>
        <v/>
      </c>
    </row>
    <row r="39" spans="3:15" x14ac:dyDescent="0.25">
      <c r="C39" s="47"/>
      <c r="D39" s="48"/>
      <c r="E39" s="7" t="str">
        <f t="shared" si="0"/>
        <v/>
      </c>
      <c r="F39" s="8" t="str">
        <f t="shared" si="1"/>
        <v/>
      </c>
      <c r="G39" s="8" t="str">
        <f t="shared" si="2"/>
        <v/>
      </c>
      <c r="H39" s="37" t="str">
        <f t="shared" si="3"/>
        <v/>
      </c>
      <c r="I39" s="37" t="str">
        <f t="shared" si="4"/>
        <v/>
      </c>
      <c r="J39" s="8" t="str">
        <f t="shared" si="5"/>
        <v/>
      </c>
      <c r="K39" s="38" t="str">
        <f t="shared" si="6"/>
        <v/>
      </c>
      <c r="N39" s="59" t="str">
        <f t="shared" si="8"/>
        <v/>
      </c>
      <c r="O39" s="59" t="str">
        <f t="shared" si="7"/>
        <v/>
      </c>
    </row>
    <row r="40" spans="3:15" x14ac:dyDescent="0.25">
      <c r="C40" s="47"/>
      <c r="D40" s="48"/>
      <c r="E40" s="7" t="str">
        <f t="shared" si="0"/>
        <v/>
      </c>
      <c r="F40" s="8" t="str">
        <f t="shared" si="1"/>
        <v/>
      </c>
      <c r="G40" s="8" t="str">
        <f t="shared" si="2"/>
        <v/>
      </c>
      <c r="H40" s="37" t="str">
        <f t="shared" si="3"/>
        <v/>
      </c>
      <c r="I40" s="37" t="str">
        <f t="shared" si="4"/>
        <v/>
      </c>
      <c r="J40" s="8" t="str">
        <f t="shared" si="5"/>
        <v/>
      </c>
      <c r="K40" s="38" t="str">
        <f t="shared" si="6"/>
        <v/>
      </c>
      <c r="N40" s="59" t="str">
        <f t="shared" si="8"/>
        <v/>
      </c>
      <c r="O40" s="59" t="str">
        <f t="shared" si="7"/>
        <v/>
      </c>
    </row>
    <row r="41" spans="3:15" x14ac:dyDescent="0.25">
      <c r="C41" s="47"/>
      <c r="D41" s="48"/>
      <c r="E41" s="7" t="str">
        <f t="shared" si="0"/>
        <v/>
      </c>
      <c r="F41" s="8" t="str">
        <f t="shared" si="1"/>
        <v/>
      </c>
      <c r="G41" s="8" t="str">
        <f t="shared" si="2"/>
        <v/>
      </c>
      <c r="H41" s="37" t="str">
        <f t="shared" si="3"/>
        <v/>
      </c>
      <c r="I41" s="37" t="str">
        <f t="shared" si="4"/>
        <v/>
      </c>
      <c r="J41" s="8" t="str">
        <f t="shared" si="5"/>
        <v/>
      </c>
      <c r="K41" s="38" t="str">
        <f t="shared" si="6"/>
        <v/>
      </c>
      <c r="N41" s="59" t="str">
        <f t="shared" si="8"/>
        <v/>
      </c>
      <c r="O41" s="59" t="str">
        <f t="shared" si="7"/>
        <v/>
      </c>
    </row>
    <row r="42" spans="3:15" x14ac:dyDescent="0.25">
      <c r="C42" s="47"/>
      <c r="D42" s="48"/>
      <c r="E42" s="7" t="str">
        <f t="shared" si="0"/>
        <v/>
      </c>
      <c r="F42" s="8" t="str">
        <f t="shared" si="1"/>
        <v/>
      </c>
      <c r="G42" s="8" t="str">
        <f t="shared" si="2"/>
        <v/>
      </c>
      <c r="H42" s="37" t="str">
        <f t="shared" si="3"/>
        <v/>
      </c>
      <c r="I42" s="37" t="str">
        <f t="shared" si="4"/>
        <v/>
      </c>
      <c r="J42" s="8" t="str">
        <f t="shared" si="5"/>
        <v/>
      </c>
      <c r="K42" s="38" t="str">
        <f t="shared" si="6"/>
        <v/>
      </c>
      <c r="N42" s="59" t="str">
        <f t="shared" si="8"/>
        <v/>
      </c>
      <c r="O42" s="59" t="str">
        <f t="shared" si="7"/>
        <v/>
      </c>
    </row>
    <row r="43" spans="3:15" x14ac:dyDescent="0.25">
      <c r="C43" s="47"/>
      <c r="D43" s="48"/>
      <c r="E43" s="7" t="str">
        <f t="shared" si="0"/>
        <v/>
      </c>
      <c r="F43" s="8" t="str">
        <f t="shared" si="1"/>
        <v/>
      </c>
      <c r="G43" s="8" t="str">
        <f t="shared" si="2"/>
        <v/>
      </c>
      <c r="H43" s="37" t="str">
        <f t="shared" si="3"/>
        <v/>
      </c>
      <c r="I43" s="37" t="str">
        <f t="shared" si="4"/>
        <v/>
      </c>
      <c r="J43" s="8" t="str">
        <f t="shared" si="5"/>
        <v/>
      </c>
      <c r="K43" s="38" t="str">
        <f t="shared" si="6"/>
        <v/>
      </c>
      <c r="N43" s="59" t="str">
        <f t="shared" si="8"/>
        <v/>
      </c>
      <c r="O43" s="59" t="str">
        <f t="shared" si="7"/>
        <v/>
      </c>
    </row>
    <row r="44" spans="3:15" x14ac:dyDescent="0.25">
      <c r="C44" s="47"/>
      <c r="D44" s="48"/>
      <c r="E44" s="7" t="str">
        <f t="shared" si="0"/>
        <v/>
      </c>
      <c r="F44" s="8" t="str">
        <f t="shared" si="1"/>
        <v/>
      </c>
      <c r="G44" s="8" t="str">
        <f t="shared" si="2"/>
        <v/>
      </c>
      <c r="H44" s="37" t="str">
        <f t="shared" si="3"/>
        <v/>
      </c>
      <c r="I44" s="37" t="str">
        <f t="shared" si="4"/>
        <v/>
      </c>
      <c r="J44" s="8" t="str">
        <f t="shared" si="5"/>
        <v/>
      </c>
      <c r="K44" s="38" t="str">
        <f t="shared" si="6"/>
        <v/>
      </c>
      <c r="N44" s="59" t="str">
        <f t="shared" si="8"/>
        <v/>
      </c>
      <c r="O44" s="59" t="str">
        <f t="shared" si="7"/>
        <v/>
      </c>
    </row>
    <row r="45" spans="3:15" x14ac:dyDescent="0.25">
      <c r="C45" s="47"/>
      <c r="D45" s="48"/>
      <c r="E45" s="7" t="str">
        <f t="shared" si="0"/>
        <v/>
      </c>
      <c r="F45" s="8" t="str">
        <f t="shared" si="1"/>
        <v/>
      </c>
      <c r="G45" s="8" t="str">
        <f t="shared" si="2"/>
        <v/>
      </c>
      <c r="H45" s="37" t="str">
        <f t="shared" si="3"/>
        <v/>
      </c>
      <c r="I45" s="37" t="str">
        <f t="shared" si="4"/>
        <v/>
      </c>
      <c r="J45" s="8" t="str">
        <f t="shared" si="5"/>
        <v/>
      </c>
      <c r="K45" s="38" t="str">
        <f t="shared" si="6"/>
        <v/>
      </c>
      <c r="N45" s="59" t="str">
        <f t="shared" si="8"/>
        <v/>
      </c>
      <c r="O45" s="59" t="str">
        <f t="shared" si="7"/>
        <v/>
      </c>
    </row>
    <row r="46" spans="3:15" x14ac:dyDescent="0.25">
      <c r="C46" s="47"/>
      <c r="D46" s="48"/>
      <c r="E46" s="7" t="str">
        <f t="shared" si="0"/>
        <v/>
      </c>
      <c r="F46" s="8" t="str">
        <f t="shared" si="1"/>
        <v/>
      </c>
      <c r="G46" s="8" t="str">
        <f t="shared" si="2"/>
        <v/>
      </c>
      <c r="H46" s="37" t="str">
        <f t="shared" si="3"/>
        <v/>
      </c>
      <c r="I46" s="37" t="str">
        <f t="shared" si="4"/>
        <v/>
      </c>
      <c r="J46" s="8" t="str">
        <f t="shared" si="5"/>
        <v/>
      </c>
      <c r="K46" s="38" t="str">
        <f t="shared" si="6"/>
        <v/>
      </c>
      <c r="N46" s="59" t="str">
        <f t="shared" si="8"/>
        <v/>
      </c>
      <c r="O46" s="59" t="str">
        <f t="shared" si="7"/>
        <v/>
      </c>
    </row>
    <row r="47" spans="3:15" x14ac:dyDescent="0.25">
      <c r="C47" s="47"/>
      <c r="D47" s="48"/>
      <c r="E47" s="7" t="str">
        <f t="shared" si="0"/>
        <v/>
      </c>
      <c r="F47" s="8" t="str">
        <f t="shared" si="1"/>
        <v/>
      </c>
      <c r="G47" s="8" t="str">
        <f t="shared" si="2"/>
        <v/>
      </c>
      <c r="H47" s="37" t="str">
        <f t="shared" si="3"/>
        <v/>
      </c>
      <c r="I47" s="37" t="str">
        <f t="shared" si="4"/>
        <v/>
      </c>
      <c r="J47" s="8" t="str">
        <f t="shared" si="5"/>
        <v/>
      </c>
      <c r="K47" s="38" t="str">
        <f t="shared" si="6"/>
        <v/>
      </c>
      <c r="N47" s="59" t="str">
        <f t="shared" si="8"/>
        <v/>
      </c>
      <c r="O47" s="59" t="str">
        <f t="shared" si="7"/>
        <v/>
      </c>
    </row>
    <row r="48" spans="3:15" x14ac:dyDescent="0.25">
      <c r="C48" s="47"/>
      <c r="D48" s="48"/>
      <c r="E48" s="7" t="str">
        <f t="shared" si="0"/>
        <v/>
      </c>
      <c r="F48" s="8" t="str">
        <f t="shared" si="1"/>
        <v/>
      </c>
      <c r="G48" s="8" t="str">
        <f t="shared" si="2"/>
        <v/>
      </c>
      <c r="H48" s="37" t="str">
        <f t="shared" si="3"/>
        <v/>
      </c>
      <c r="I48" s="37" t="str">
        <f t="shared" si="4"/>
        <v/>
      </c>
      <c r="J48" s="8" t="str">
        <f t="shared" si="5"/>
        <v/>
      </c>
      <c r="K48" s="38" t="str">
        <f t="shared" si="6"/>
        <v/>
      </c>
      <c r="N48" s="59" t="str">
        <f t="shared" si="8"/>
        <v/>
      </c>
      <c r="O48" s="59" t="str">
        <f t="shared" si="7"/>
        <v/>
      </c>
    </row>
    <row r="49" spans="3:15" x14ac:dyDescent="0.25">
      <c r="C49" s="47"/>
      <c r="D49" s="48"/>
      <c r="E49" s="7" t="str">
        <f t="shared" si="0"/>
        <v/>
      </c>
      <c r="F49" s="8" t="str">
        <f t="shared" si="1"/>
        <v/>
      </c>
      <c r="G49" s="8" t="str">
        <f t="shared" si="2"/>
        <v/>
      </c>
      <c r="H49" s="37" t="str">
        <f t="shared" si="3"/>
        <v/>
      </c>
      <c r="I49" s="37" t="str">
        <f t="shared" si="4"/>
        <v/>
      </c>
      <c r="J49" s="8" t="str">
        <f t="shared" si="5"/>
        <v/>
      </c>
      <c r="K49" s="38" t="str">
        <f t="shared" si="6"/>
        <v/>
      </c>
      <c r="N49" s="59" t="str">
        <f t="shared" si="8"/>
        <v/>
      </c>
      <c r="O49" s="59" t="str">
        <f t="shared" si="7"/>
        <v/>
      </c>
    </row>
    <row r="50" spans="3:15" x14ac:dyDescent="0.25">
      <c r="C50" s="47"/>
      <c r="D50" s="48"/>
      <c r="E50" s="7" t="str">
        <f t="shared" si="0"/>
        <v/>
      </c>
      <c r="F50" s="8" t="str">
        <f t="shared" si="1"/>
        <v/>
      </c>
      <c r="G50" s="8" t="str">
        <f t="shared" si="2"/>
        <v/>
      </c>
      <c r="H50" s="37" t="str">
        <f t="shared" si="3"/>
        <v/>
      </c>
      <c r="I50" s="37" t="str">
        <f t="shared" si="4"/>
        <v/>
      </c>
      <c r="J50" s="8" t="str">
        <f t="shared" si="5"/>
        <v/>
      </c>
      <c r="K50" s="38" t="str">
        <f t="shared" si="6"/>
        <v/>
      </c>
      <c r="N50" s="59" t="str">
        <f t="shared" si="8"/>
        <v/>
      </c>
      <c r="O50" s="59" t="str">
        <f t="shared" si="7"/>
        <v/>
      </c>
    </row>
    <row r="51" spans="3:15" x14ac:dyDescent="0.25">
      <c r="C51" s="47"/>
      <c r="D51" s="48"/>
      <c r="E51" s="7" t="str">
        <f t="shared" si="0"/>
        <v/>
      </c>
      <c r="F51" s="8" t="str">
        <f t="shared" si="1"/>
        <v/>
      </c>
      <c r="G51" s="8" t="str">
        <f t="shared" si="2"/>
        <v/>
      </c>
      <c r="H51" s="37" t="str">
        <f t="shared" si="3"/>
        <v/>
      </c>
      <c r="I51" s="37" t="str">
        <f t="shared" si="4"/>
        <v/>
      </c>
      <c r="J51" s="8" t="str">
        <f t="shared" si="5"/>
        <v/>
      </c>
      <c r="K51" s="38" t="str">
        <f t="shared" si="6"/>
        <v/>
      </c>
      <c r="N51" s="59" t="str">
        <f t="shared" si="8"/>
        <v/>
      </c>
      <c r="O51" s="59" t="str">
        <f t="shared" si="7"/>
        <v/>
      </c>
    </row>
    <row r="52" spans="3:15" x14ac:dyDescent="0.25">
      <c r="C52" s="47"/>
      <c r="D52" s="48"/>
      <c r="E52" s="7" t="str">
        <f t="shared" si="0"/>
        <v/>
      </c>
      <c r="F52" s="8" t="str">
        <f t="shared" si="1"/>
        <v/>
      </c>
      <c r="G52" s="8" t="str">
        <f t="shared" si="2"/>
        <v/>
      </c>
      <c r="H52" s="37" t="str">
        <f t="shared" si="3"/>
        <v/>
      </c>
      <c r="I52" s="37" t="str">
        <f t="shared" si="4"/>
        <v/>
      </c>
      <c r="J52" s="8" t="str">
        <f t="shared" si="5"/>
        <v/>
      </c>
      <c r="K52" s="38" t="str">
        <f t="shared" si="6"/>
        <v/>
      </c>
      <c r="N52" s="59" t="str">
        <f t="shared" si="8"/>
        <v/>
      </c>
      <c r="O52" s="59" t="str">
        <f t="shared" si="7"/>
        <v/>
      </c>
    </row>
    <row r="53" spans="3:15" x14ac:dyDescent="0.25">
      <c r="C53" s="47"/>
      <c r="D53" s="48"/>
      <c r="E53" s="7" t="str">
        <f t="shared" si="0"/>
        <v/>
      </c>
      <c r="F53" s="8" t="str">
        <f t="shared" si="1"/>
        <v/>
      </c>
      <c r="G53" s="8" t="str">
        <f t="shared" si="2"/>
        <v/>
      </c>
      <c r="H53" s="37" t="str">
        <f t="shared" si="3"/>
        <v/>
      </c>
      <c r="I53" s="37" t="str">
        <f t="shared" si="4"/>
        <v/>
      </c>
      <c r="J53" s="8" t="str">
        <f t="shared" si="5"/>
        <v/>
      </c>
      <c r="K53" s="38" t="str">
        <f t="shared" si="6"/>
        <v/>
      </c>
      <c r="N53" s="59" t="str">
        <f t="shared" si="8"/>
        <v/>
      </c>
      <c r="O53" s="59" t="str">
        <f t="shared" si="7"/>
        <v/>
      </c>
    </row>
    <row r="54" spans="3:15" x14ac:dyDescent="0.25">
      <c r="C54" s="47"/>
      <c r="D54" s="48"/>
      <c r="E54" s="7" t="str">
        <f t="shared" si="0"/>
        <v/>
      </c>
      <c r="F54" s="8" t="str">
        <f t="shared" si="1"/>
        <v/>
      </c>
      <c r="G54" s="8" t="str">
        <f t="shared" si="2"/>
        <v/>
      </c>
      <c r="H54" s="37" t="str">
        <f t="shared" si="3"/>
        <v/>
      </c>
      <c r="I54" s="37" t="str">
        <f t="shared" si="4"/>
        <v/>
      </c>
      <c r="J54" s="8" t="str">
        <f t="shared" si="5"/>
        <v/>
      </c>
      <c r="K54" s="38" t="str">
        <f t="shared" si="6"/>
        <v/>
      </c>
      <c r="N54" s="59" t="str">
        <f t="shared" si="8"/>
        <v/>
      </c>
      <c r="O54" s="59" t="str">
        <f t="shared" si="7"/>
        <v/>
      </c>
    </row>
    <row r="55" spans="3:15" x14ac:dyDescent="0.25">
      <c r="C55" s="47"/>
      <c r="D55" s="48"/>
      <c r="E55" s="7" t="str">
        <f t="shared" si="0"/>
        <v/>
      </c>
      <c r="F55" s="8" t="str">
        <f t="shared" si="1"/>
        <v/>
      </c>
      <c r="G55" s="8" t="str">
        <f t="shared" si="2"/>
        <v/>
      </c>
      <c r="H55" s="37" t="str">
        <f t="shared" si="3"/>
        <v/>
      </c>
      <c r="I55" s="37" t="str">
        <f t="shared" si="4"/>
        <v/>
      </c>
      <c r="J55" s="8" t="str">
        <f t="shared" si="5"/>
        <v/>
      </c>
      <c r="K55" s="38" t="str">
        <f t="shared" si="6"/>
        <v/>
      </c>
      <c r="N55" s="59" t="str">
        <f t="shared" si="8"/>
        <v/>
      </c>
      <c r="O55" s="59" t="str">
        <f t="shared" si="7"/>
        <v/>
      </c>
    </row>
    <row r="56" spans="3:15" x14ac:dyDescent="0.25">
      <c r="C56" s="47"/>
      <c r="D56" s="48"/>
      <c r="E56" s="7" t="str">
        <f t="shared" si="0"/>
        <v/>
      </c>
      <c r="F56" s="8" t="str">
        <f t="shared" si="1"/>
        <v/>
      </c>
      <c r="G56" s="8" t="str">
        <f t="shared" si="2"/>
        <v/>
      </c>
      <c r="H56" s="37" t="str">
        <f t="shared" si="3"/>
        <v/>
      </c>
      <c r="I56" s="37" t="str">
        <f t="shared" si="4"/>
        <v/>
      </c>
      <c r="J56" s="8" t="str">
        <f t="shared" si="5"/>
        <v/>
      </c>
      <c r="K56" s="38" t="str">
        <f t="shared" si="6"/>
        <v/>
      </c>
      <c r="N56" s="59" t="str">
        <f t="shared" si="8"/>
        <v/>
      </c>
      <c r="O56" s="59" t="str">
        <f t="shared" si="7"/>
        <v/>
      </c>
    </row>
    <row r="57" spans="3:15" x14ac:dyDescent="0.25">
      <c r="C57" s="47"/>
      <c r="D57" s="48"/>
      <c r="E57" s="7" t="str">
        <f t="shared" si="0"/>
        <v/>
      </c>
      <c r="F57" s="8" t="str">
        <f t="shared" si="1"/>
        <v/>
      </c>
      <c r="G57" s="8" t="str">
        <f t="shared" si="2"/>
        <v/>
      </c>
      <c r="H57" s="37" t="str">
        <f t="shared" si="3"/>
        <v/>
      </c>
      <c r="I57" s="37" t="str">
        <f t="shared" si="4"/>
        <v/>
      </c>
      <c r="J57" s="8" t="str">
        <f t="shared" si="5"/>
        <v/>
      </c>
      <c r="K57" s="38" t="str">
        <f t="shared" si="6"/>
        <v/>
      </c>
      <c r="N57" s="59" t="str">
        <f t="shared" si="8"/>
        <v/>
      </c>
      <c r="O57" s="59" t="str">
        <f t="shared" si="7"/>
        <v/>
      </c>
    </row>
    <row r="58" spans="3:15" x14ac:dyDescent="0.25">
      <c r="C58" s="47"/>
      <c r="D58" s="48"/>
      <c r="E58" s="7" t="str">
        <f t="shared" si="0"/>
        <v/>
      </c>
      <c r="F58" s="8" t="str">
        <f t="shared" si="1"/>
        <v/>
      </c>
      <c r="G58" s="8" t="str">
        <f t="shared" si="2"/>
        <v/>
      </c>
      <c r="H58" s="37" t="str">
        <f t="shared" si="3"/>
        <v/>
      </c>
      <c r="I58" s="37" t="str">
        <f t="shared" si="4"/>
        <v/>
      </c>
      <c r="J58" s="8" t="str">
        <f t="shared" si="5"/>
        <v/>
      </c>
      <c r="K58" s="38" t="str">
        <f t="shared" si="6"/>
        <v/>
      </c>
      <c r="N58" s="59" t="str">
        <f t="shared" si="8"/>
        <v/>
      </c>
      <c r="O58" s="59" t="str">
        <f t="shared" si="7"/>
        <v/>
      </c>
    </row>
    <row r="59" spans="3:15" x14ac:dyDescent="0.25">
      <c r="C59" s="47"/>
      <c r="D59" s="48"/>
      <c r="E59" s="7" t="str">
        <f t="shared" si="0"/>
        <v/>
      </c>
      <c r="F59" s="8" t="str">
        <f t="shared" si="1"/>
        <v/>
      </c>
      <c r="G59" s="8" t="str">
        <f t="shared" si="2"/>
        <v/>
      </c>
      <c r="H59" s="37" t="str">
        <f t="shared" si="3"/>
        <v/>
      </c>
      <c r="I59" s="37" t="str">
        <f t="shared" si="4"/>
        <v/>
      </c>
      <c r="J59" s="8" t="str">
        <f t="shared" si="5"/>
        <v/>
      </c>
      <c r="K59" s="38" t="str">
        <f t="shared" si="6"/>
        <v/>
      </c>
      <c r="N59" s="59" t="str">
        <f t="shared" si="8"/>
        <v/>
      </c>
      <c r="O59" s="59" t="str">
        <f t="shared" si="7"/>
        <v/>
      </c>
    </row>
    <row r="60" spans="3:15" x14ac:dyDescent="0.25">
      <c r="C60" s="47"/>
      <c r="D60" s="48"/>
      <c r="E60" s="7" t="str">
        <f t="shared" si="0"/>
        <v/>
      </c>
      <c r="F60" s="8" t="str">
        <f t="shared" si="1"/>
        <v/>
      </c>
      <c r="G60" s="8" t="str">
        <f t="shared" si="2"/>
        <v/>
      </c>
      <c r="H60" s="37" t="str">
        <f t="shared" si="3"/>
        <v/>
      </c>
      <c r="I60" s="37" t="str">
        <f t="shared" si="4"/>
        <v/>
      </c>
      <c r="J60" s="8" t="str">
        <f t="shared" si="5"/>
        <v/>
      </c>
      <c r="K60" s="38" t="str">
        <f t="shared" si="6"/>
        <v/>
      </c>
      <c r="N60" s="59" t="str">
        <f t="shared" si="8"/>
        <v/>
      </c>
      <c r="O60" s="59" t="str">
        <f t="shared" si="7"/>
        <v/>
      </c>
    </row>
    <row r="61" spans="3:15" x14ac:dyDescent="0.25">
      <c r="C61" s="47"/>
      <c r="D61" s="48"/>
      <c r="E61" s="7" t="str">
        <f t="shared" si="0"/>
        <v/>
      </c>
      <c r="F61" s="8" t="str">
        <f t="shared" si="1"/>
        <v/>
      </c>
      <c r="G61" s="8" t="str">
        <f t="shared" si="2"/>
        <v/>
      </c>
      <c r="H61" s="37" t="str">
        <f t="shared" si="3"/>
        <v/>
      </c>
      <c r="I61" s="37" t="str">
        <f t="shared" si="4"/>
        <v/>
      </c>
      <c r="J61" s="8" t="str">
        <f t="shared" si="5"/>
        <v/>
      </c>
      <c r="K61" s="38" t="str">
        <f t="shared" si="6"/>
        <v/>
      </c>
      <c r="N61" s="59" t="str">
        <f t="shared" si="8"/>
        <v/>
      </c>
      <c r="O61" s="59" t="str">
        <f t="shared" si="7"/>
        <v/>
      </c>
    </row>
    <row r="62" spans="3:15" x14ac:dyDescent="0.25">
      <c r="C62" s="47"/>
      <c r="D62" s="48"/>
      <c r="E62" s="7" t="str">
        <f t="shared" si="0"/>
        <v/>
      </c>
      <c r="F62" s="8" t="str">
        <f t="shared" si="1"/>
        <v/>
      </c>
      <c r="G62" s="8" t="str">
        <f t="shared" si="2"/>
        <v/>
      </c>
      <c r="H62" s="37" t="str">
        <f t="shared" si="3"/>
        <v/>
      </c>
      <c r="I62" s="37" t="str">
        <f t="shared" si="4"/>
        <v/>
      </c>
      <c r="J62" s="8" t="str">
        <f t="shared" si="5"/>
        <v/>
      </c>
      <c r="K62" s="38" t="str">
        <f t="shared" si="6"/>
        <v/>
      </c>
      <c r="N62" s="59" t="str">
        <f t="shared" si="8"/>
        <v/>
      </c>
      <c r="O62" s="59" t="str">
        <f t="shared" si="7"/>
        <v/>
      </c>
    </row>
    <row r="63" spans="3:15" x14ac:dyDescent="0.25">
      <c r="C63" s="47"/>
      <c r="D63" s="48"/>
      <c r="E63" s="7" t="str">
        <f t="shared" si="0"/>
        <v/>
      </c>
      <c r="F63" s="8" t="str">
        <f t="shared" si="1"/>
        <v/>
      </c>
      <c r="G63" s="8" t="str">
        <f t="shared" si="2"/>
        <v/>
      </c>
      <c r="H63" s="37" t="str">
        <f t="shared" si="3"/>
        <v/>
      </c>
      <c r="I63" s="37" t="str">
        <f t="shared" si="4"/>
        <v/>
      </c>
      <c r="J63" s="8" t="str">
        <f t="shared" si="5"/>
        <v/>
      </c>
      <c r="K63" s="38" t="str">
        <f t="shared" si="6"/>
        <v/>
      </c>
      <c r="N63" s="59" t="str">
        <f t="shared" si="8"/>
        <v/>
      </c>
      <c r="O63" s="59" t="str">
        <f t="shared" si="7"/>
        <v/>
      </c>
    </row>
    <row r="64" spans="3:15" x14ac:dyDescent="0.25">
      <c r="C64" s="47"/>
      <c r="D64" s="48"/>
      <c r="E64" s="7" t="str">
        <f t="shared" si="0"/>
        <v/>
      </c>
      <c r="F64" s="8" t="str">
        <f t="shared" si="1"/>
        <v/>
      </c>
      <c r="G64" s="8" t="str">
        <f t="shared" si="2"/>
        <v/>
      </c>
      <c r="H64" s="37" t="str">
        <f t="shared" si="3"/>
        <v/>
      </c>
      <c r="I64" s="37" t="str">
        <f t="shared" si="4"/>
        <v/>
      </c>
      <c r="J64" s="8" t="str">
        <f t="shared" si="5"/>
        <v/>
      </c>
      <c r="K64" s="38" t="str">
        <f t="shared" si="6"/>
        <v/>
      </c>
      <c r="N64" s="59" t="str">
        <f t="shared" si="8"/>
        <v/>
      </c>
      <c r="O64" s="59" t="str">
        <f t="shared" si="7"/>
        <v/>
      </c>
    </row>
    <row r="65" spans="3:15" x14ac:dyDescent="0.25">
      <c r="C65" s="47"/>
      <c r="D65" s="48"/>
      <c r="E65" s="7" t="str">
        <f t="shared" si="0"/>
        <v/>
      </c>
      <c r="F65" s="8" t="str">
        <f t="shared" si="1"/>
        <v/>
      </c>
      <c r="G65" s="8" t="str">
        <f t="shared" si="2"/>
        <v/>
      </c>
      <c r="H65" s="37" t="str">
        <f t="shared" si="3"/>
        <v/>
      </c>
      <c r="I65" s="37" t="str">
        <f t="shared" si="4"/>
        <v/>
      </c>
      <c r="J65" s="8" t="str">
        <f t="shared" si="5"/>
        <v/>
      </c>
      <c r="K65" s="38" t="str">
        <f t="shared" si="6"/>
        <v/>
      </c>
      <c r="N65" s="59" t="str">
        <f t="shared" si="8"/>
        <v/>
      </c>
      <c r="O65" s="59" t="str">
        <f t="shared" si="7"/>
        <v/>
      </c>
    </row>
    <row r="66" spans="3:15" x14ac:dyDescent="0.25">
      <c r="C66" s="47"/>
      <c r="D66" s="48"/>
      <c r="E66" s="7" t="str">
        <f t="shared" si="0"/>
        <v/>
      </c>
      <c r="F66" s="8" t="str">
        <f t="shared" si="1"/>
        <v/>
      </c>
      <c r="G66" s="8" t="str">
        <f t="shared" si="2"/>
        <v/>
      </c>
      <c r="H66" s="37" t="str">
        <f t="shared" si="3"/>
        <v/>
      </c>
      <c r="I66" s="37" t="str">
        <f t="shared" si="4"/>
        <v/>
      </c>
      <c r="J66" s="8" t="str">
        <f t="shared" si="5"/>
        <v/>
      </c>
      <c r="K66" s="38" t="str">
        <f t="shared" si="6"/>
        <v/>
      </c>
      <c r="N66" s="59" t="str">
        <f t="shared" si="8"/>
        <v/>
      </c>
      <c r="O66" s="59" t="str">
        <f t="shared" si="7"/>
        <v/>
      </c>
    </row>
    <row r="67" spans="3:15" x14ac:dyDescent="0.25">
      <c r="C67" s="47"/>
      <c r="D67" s="48"/>
      <c r="E67" s="7" t="str">
        <f t="shared" si="0"/>
        <v/>
      </c>
      <c r="F67" s="8" t="str">
        <f t="shared" si="1"/>
        <v/>
      </c>
      <c r="G67" s="8" t="str">
        <f t="shared" si="2"/>
        <v/>
      </c>
      <c r="H67" s="37" t="str">
        <f t="shared" si="3"/>
        <v/>
      </c>
      <c r="I67" s="37" t="str">
        <f t="shared" si="4"/>
        <v/>
      </c>
      <c r="J67" s="8" t="str">
        <f t="shared" si="5"/>
        <v/>
      </c>
      <c r="K67" s="38" t="str">
        <f t="shared" si="6"/>
        <v/>
      </c>
      <c r="N67" s="59" t="str">
        <f t="shared" si="8"/>
        <v/>
      </c>
      <c r="O67" s="59" t="str">
        <f t="shared" si="7"/>
        <v/>
      </c>
    </row>
    <row r="68" spans="3:15" x14ac:dyDescent="0.25">
      <c r="C68" s="47"/>
      <c r="D68" s="48"/>
      <c r="E68" s="7" t="str">
        <f t="shared" si="0"/>
        <v/>
      </c>
      <c r="F68" s="8" t="str">
        <f t="shared" si="1"/>
        <v/>
      </c>
      <c r="G68" s="8" t="str">
        <f t="shared" si="2"/>
        <v/>
      </c>
      <c r="H68" s="37" t="str">
        <f t="shared" si="3"/>
        <v/>
      </c>
      <c r="I68" s="37" t="str">
        <f t="shared" si="4"/>
        <v/>
      </c>
      <c r="J68" s="8" t="str">
        <f t="shared" si="5"/>
        <v/>
      </c>
      <c r="K68" s="38" t="str">
        <f t="shared" si="6"/>
        <v/>
      </c>
      <c r="N68" s="59" t="str">
        <f t="shared" si="8"/>
        <v/>
      </c>
      <c r="O68" s="59" t="str">
        <f t="shared" si="7"/>
        <v/>
      </c>
    </row>
    <row r="69" spans="3:15" x14ac:dyDescent="0.25">
      <c r="C69" s="47"/>
      <c r="D69" s="48"/>
      <c r="E69" s="7" t="str">
        <f t="shared" si="0"/>
        <v/>
      </c>
      <c r="F69" s="8" t="str">
        <f t="shared" si="1"/>
        <v/>
      </c>
      <c r="G69" s="8" t="str">
        <f t="shared" si="2"/>
        <v/>
      </c>
      <c r="H69" s="37" t="str">
        <f t="shared" si="3"/>
        <v/>
      </c>
      <c r="I69" s="37" t="str">
        <f t="shared" si="4"/>
        <v/>
      </c>
      <c r="J69" s="8" t="str">
        <f t="shared" si="5"/>
        <v/>
      </c>
      <c r="K69" s="38" t="str">
        <f t="shared" si="6"/>
        <v/>
      </c>
      <c r="N69" s="59" t="str">
        <f t="shared" si="8"/>
        <v/>
      </c>
      <c r="O69" s="59" t="str">
        <f t="shared" si="7"/>
        <v/>
      </c>
    </row>
    <row r="70" spans="3:15" x14ac:dyDescent="0.25">
      <c r="C70" s="47"/>
      <c r="D70" s="48"/>
      <c r="E70" s="7" t="str">
        <f t="shared" si="0"/>
        <v/>
      </c>
      <c r="F70" s="8" t="str">
        <f t="shared" si="1"/>
        <v/>
      </c>
      <c r="G70" s="8" t="str">
        <f t="shared" si="2"/>
        <v/>
      </c>
      <c r="H70" s="37" t="str">
        <f t="shared" si="3"/>
        <v/>
      </c>
      <c r="I70" s="37" t="str">
        <f t="shared" si="4"/>
        <v/>
      </c>
      <c r="J70" s="8" t="str">
        <f t="shared" si="5"/>
        <v/>
      </c>
      <c r="K70" s="38" t="str">
        <f t="shared" si="6"/>
        <v/>
      </c>
      <c r="N70" s="59" t="str">
        <f t="shared" si="8"/>
        <v/>
      </c>
      <c r="O70" s="59" t="str">
        <f t="shared" si="7"/>
        <v/>
      </c>
    </row>
    <row r="71" spans="3:15" x14ac:dyDescent="0.25">
      <c r="C71" s="47"/>
      <c r="D71" s="48"/>
      <c r="E71" s="7" t="str">
        <f t="shared" si="0"/>
        <v/>
      </c>
      <c r="F71" s="8" t="str">
        <f t="shared" si="1"/>
        <v/>
      </c>
      <c r="G71" s="8" t="str">
        <f t="shared" si="2"/>
        <v/>
      </c>
      <c r="H71" s="37" t="str">
        <f t="shared" si="3"/>
        <v/>
      </c>
      <c r="I71" s="37" t="str">
        <f t="shared" si="4"/>
        <v/>
      </c>
      <c r="J71" s="8" t="str">
        <f t="shared" si="5"/>
        <v/>
      </c>
      <c r="K71" s="38" t="str">
        <f t="shared" si="6"/>
        <v/>
      </c>
      <c r="N71" s="59" t="str">
        <f t="shared" si="8"/>
        <v/>
      </c>
      <c r="O71" s="59" t="str">
        <f t="shared" si="7"/>
        <v/>
      </c>
    </row>
    <row r="72" spans="3:15" x14ac:dyDescent="0.25">
      <c r="C72" s="47"/>
      <c r="D72" s="48"/>
      <c r="E72" s="7" t="str">
        <f t="shared" si="0"/>
        <v/>
      </c>
      <c r="F72" s="8" t="str">
        <f t="shared" si="1"/>
        <v/>
      </c>
      <c r="G72" s="8" t="str">
        <f t="shared" si="2"/>
        <v/>
      </c>
      <c r="H72" s="37" t="str">
        <f t="shared" si="3"/>
        <v/>
      </c>
      <c r="I72" s="37" t="str">
        <f t="shared" si="4"/>
        <v/>
      </c>
      <c r="J72" s="8" t="str">
        <f t="shared" si="5"/>
        <v/>
      </c>
      <c r="K72" s="38" t="str">
        <f t="shared" si="6"/>
        <v/>
      </c>
      <c r="N72" s="59" t="str">
        <f t="shared" si="8"/>
        <v/>
      </c>
      <c r="O72" s="59" t="str">
        <f t="shared" si="7"/>
        <v/>
      </c>
    </row>
    <row r="73" spans="3:15" x14ac:dyDescent="0.25">
      <c r="C73" s="47"/>
      <c r="D73" s="48"/>
      <c r="E73" s="7" t="str">
        <f t="shared" si="0"/>
        <v/>
      </c>
      <c r="F73" s="8" t="str">
        <f t="shared" si="1"/>
        <v/>
      </c>
      <c r="G73" s="8" t="str">
        <f t="shared" si="2"/>
        <v/>
      </c>
      <c r="H73" s="37" t="str">
        <f t="shared" si="3"/>
        <v/>
      </c>
      <c r="I73" s="37" t="str">
        <f t="shared" si="4"/>
        <v/>
      </c>
      <c r="J73" s="8" t="str">
        <f t="shared" si="5"/>
        <v/>
      </c>
      <c r="K73" s="38" t="str">
        <f t="shared" si="6"/>
        <v/>
      </c>
      <c r="N73" s="59" t="str">
        <f t="shared" si="8"/>
        <v/>
      </c>
      <c r="O73" s="59" t="str">
        <f t="shared" si="7"/>
        <v/>
      </c>
    </row>
    <row r="74" spans="3:15" x14ac:dyDescent="0.25">
      <c r="C74" s="47"/>
      <c r="D74" s="48"/>
      <c r="E74" s="7" t="str">
        <f t="shared" si="0"/>
        <v/>
      </c>
      <c r="F74" s="8" t="str">
        <f t="shared" si="1"/>
        <v/>
      </c>
      <c r="G74" s="8" t="str">
        <f t="shared" si="2"/>
        <v/>
      </c>
      <c r="H74" s="37" t="str">
        <f t="shared" si="3"/>
        <v/>
      </c>
      <c r="I74" s="37" t="str">
        <f t="shared" si="4"/>
        <v/>
      </c>
      <c r="J74" s="8" t="str">
        <f t="shared" si="5"/>
        <v/>
      </c>
      <c r="K74" s="38" t="str">
        <f t="shared" si="6"/>
        <v/>
      </c>
      <c r="N74" s="59" t="str">
        <f t="shared" si="8"/>
        <v/>
      </c>
      <c r="O74" s="59" t="str">
        <f t="shared" si="7"/>
        <v/>
      </c>
    </row>
    <row r="75" spans="3:15" x14ac:dyDescent="0.25">
      <c r="C75" s="47"/>
      <c r="D75" s="48"/>
      <c r="E75" s="7" t="str">
        <f t="shared" si="0"/>
        <v/>
      </c>
      <c r="F75" s="8" t="str">
        <f t="shared" si="1"/>
        <v/>
      </c>
      <c r="G75" s="8" t="str">
        <f t="shared" si="2"/>
        <v/>
      </c>
      <c r="H75" s="37" t="str">
        <f t="shared" si="3"/>
        <v/>
      </c>
      <c r="I75" s="37" t="str">
        <f t="shared" si="4"/>
        <v/>
      </c>
      <c r="J75" s="8" t="str">
        <f t="shared" si="5"/>
        <v/>
      </c>
      <c r="K75" s="38" t="str">
        <f t="shared" si="6"/>
        <v/>
      </c>
      <c r="N75" s="59" t="str">
        <f t="shared" si="8"/>
        <v/>
      </c>
      <c r="O75" s="59" t="str">
        <f t="shared" si="7"/>
        <v/>
      </c>
    </row>
    <row r="76" spans="3:15" x14ac:dyDescent="0.25">
      <c r="C76" s="47"/>
      <c r="D76" s="48"/>
      <c r="E76" s="7" t="str">
        <f t="shared" si="0"/>
        <v/>
      </c>
      <c r="F76" s="8" t="str">
        <f t="shared" si="1"/>
        <v/>
      </c>
      <c r="G76" s="8" t="str">
        <f t="shared" si="2"/>
        <v/>
      </c>
      <c r="H76" s="37" t="str">
        <f t="shared" si="3"/>
        <v/>
      </c>
      <c r="I76" s="37" t="str">
        <f t="shared" si="4"/>
        <v/>
      </c>
      <c r="J76" s="8" t="str">
        <f t="shared" si="5"/>
        <v/>
      </c>
      <c r="K76" s="38" t="str">
        <f t="shared" si="6"/>
        <v/>
      </c>
      <c r="N76" s="59" t="str">
        <f t="shared" si="8"/>
        <v/>
      </c>
      <c r="O76" s="59" t="str">
        <f t="shared" si="7"/>
        <v/>
      </c>
    </row>
    <row r="77" spans="3:15" x14ac:dyDescent="0.25">
      <c r="C77" s="47"/>
      <c r="D77" s="48"/>
      <c r="E77" s="7" t="str">
        <f t="shared" si="0"/>
        <v/>
      </c>
      <c r="F77" s="8" t="str">
        <f t="shared" si="1"/>
        <v/>
      </c>
      <c r="G77" s="8" t="str">
        <f t="shared" si="2"/>
        <v/>
      </c>
      <c r="H77" s="37" t="str">
        <f t="shared" si="3"/>
        <v/>
      </c>
      <c r="I77" s="37" t="str">
        <f t="shared" si="4"/>
        <v/>
      </c>
      <c r="J77" s="8" t="str">
        <f t="shared" si="5"/>
        <v/>
      </c>
      <c r="K77" s="38" t="str">
        <f t="shared" si="6"/>
        <v/>
      </c>
      <c r="N77" s="59" t="str">
        <f t="shared" si="8"/>
        <v/>
      </c>
      <c r="O77" s="59" t="str">
        <f t="shared" si="7"/>
        <v/>
      </c>
    </row>
    <row r="78" spans="3:15" x14ac:dyDescent="0.25">
      <c r="C78" s="47"/>
      <c r="D78" s="48"/>
      <c r="E78" s="7" t="str">
        <f t="shared" si="0"/>
        <v/>
      </c>
      <c r="F78" s="8" t="str">
        <f t="shared" si="1"/>
        <v/>
      </c>
      <c r="G78" s="8" t="str">
        <f t="shared" si="2"/>
        <v/>
      </c>
      <c r="H78" s="37" t="str">
        <f t="shared" si="3"/>
        <v/>
      </c>
      <c r="I78" s="37" t="str">
        <f t="shared" si="4"/>
        <v/>
      </c>
      <c r="J78" s="8" t="str">
        <f t="shared" si="5"/>
        <v/>
      </c>
      <c r="K78" s="38" t="str">
        <f t="shared" si="6"/>
        <v/>
      </c>
      <c r="N78" s="59" t="str">
        <f t="shared" si="8"/>
        <v/>
      </c>
      <c r="O78" s="59" t="str">
        <f t="shared" si="7"/>
        <v/>
      </c>
    </row>
    <row r="79" spans="3:15" x14ac:dyDescent="0.25">
      <c r="C79" s="47"/>
      <c r="D79" s="48"/>
      <c r="E79" s="7" t="str">
        <f t="shared" si="0"/>
        <v/>
      </c>
      <c r="F79" s="8" t="str">
        <f t="shared" si="1"/>
        <v/>
      </c>
      <c r="G79" s="8" t="str">
        <f t="shared" si="2"/>
        <v/>
      </c>
      <c r="H79" s="37" t="str">
        <f t="shared" si="3"/>
        <v/>
      </c>
      <c r="I79" s="37" t="str">
        <f t="shared" si="4"/>
        <v/>
      </c>
      <c r="J79" s="8" t="str">
        <f t="shared" si="5"/>
        <v/>
      </c>
      <c r="K79" s="38" t="str">
        <f t="shared" si="6"/>
        <v/>
      </c>
      <c r="N79" s="59" t="str">
        <f t="shared" si="8"/>
        <v/>
      </c>
      <c r="O79" s="59" t="str">
        <f t="shared" si="7"/>
        <v/>
      </c>
    </row>
    <row r="80" spans="3:15" x14ac:dyDescent="0.25">
      <c r="C80" s="47"/>
      <c r="D80" s="48"/>
      <c r="E80" s="7" t="str">
        <f t="shared" si="0"/>
        <v/>
      </c>
      <c r="F80" s="8" t="str">
        <f t="shared" si="1"/>
        <v/>
      </c>
      <c r="G80" s="8" t="str">
        <f t="shared" si="2"/>
        <v/>
      </c>
      <c r="H80" s="37" t="str">
        <f t="shared" si="3"/>
        <v/>
      </c>
      <c r="I80" s="37" t="str">
        <f t="shared" si="4"/>
        <v/>
      </c>
      <c r="J80" s="8" t="str">
        <f t="shared" si="5"/>
        <v/>
      </c>
      <c r="K80" s="38" t="str">
        <f t="shared" si="6"/>
        <v/>
      </c>
      <c r="N80" s="59" t="str">
        <f t="shared" si="8"/>
        <v/>
      </c>
      <c r="O80" s="59" t="str">
        <f t="shared" si="7"/>
        <v/>
      </c>
    </row>
    <row r="81" spans="3:15" x14ac:dyDescent="0.25">
      <c r="C81" s="47"/>
      <c r="D81" s="48"/>
      <c r="E81" s="7" t="str">
        <f t="shared" si="0"/>
        <v/>
      </c>
      <c r="F81" s="8" t="str">
        <f t="shared" si="1"/>
        <v/>
      </c>
      <c r="G81" s="8" t="str">
        <f t="shared" si="2"/>
        <v/>
      </c>
      <c r="H81" s="37" t="str">
        <f t="shared" si="3"/>
        <v/>
      </c>
      <c r="I81" s="37" t="str">
        <f t="shared" si="4"/>
        <v/>
      </c>
      <c r="J81" s="8" t="str">
        <f t="shared" si="5"/>
        <v/>
      </c>
      <c r="K81" s="38" t="str">
        <f t="shared" si="6"/>
        <v/>
      </c>
      <c r="N81" s="59" t="str">
        <f t="shared" si="8"/>
        <v/>
      </c>
      <c r="O81" s="59" t="str">
        <f t="shared" si="7"/>
        <v/>
      </c>
    </row>
    <row r="82" spans="3:15" x14ac:dyDescent="0.25">
      <c r="C82" s="47"/>
      <c r="D82" s="48"/>
      <c r="E82" s="7" t="str">
        <f t="shared" si="0"/>
        <v/>
      </c>
      <c r="F82" s="8" t="str">
        <f t="shared" si="1"/>
        <v/>
      </c>
      <c r="G82" s="8" t="str">
        <f t="shared" si="2"/>
        <v/>
      </c>
      <c r="H82" s="37" t="str">
        <f t="shared" si="3"/>
        <v/>
      </c>
      <c r="I82" s="37" t="str">
        <f t="shared" si="4"/>
        <v/>
      </c>
      <c r="J82" s="8" t="str">
        <f t="shared" si="5"/>
        <v/>
      </c>
      <c r="K82" s="38" t="str">
        <f t="shared" si="6"/>
        <v/>
      </c>
      <c r="N82" s="59" t="str">
        <f t="shared" si="8"/>
        <v/>
      </c>
      <c r="O82" s="59" t="str">
        <f t="shared" si="7"/>
        <v/>
      </c>
    </row>
    <row r="83" spans="3:15" x14ac:dyDescent="0.25">
      <c r="C83" s="47"/>
      <c r="D83" s="48"/>
      <c r="E83" s="7" t="str">
        <f t="shared" ref="E83:E146" si="9">IF(OR(DataRecebimento="",C83=""),"",IF(C83&lt;DataRecebimento,"ERRO!",C83+$F$9-$F$7))</f>
        <v/>
      </c>
      <c r="F83" s="8" t="str">
        <f t="shared" ref="F83:F146" si="10">IF(OR(TaxaJuros="",C83=""),"",IF(C83&lt;DataRecebimento,"DATA",-D83*E83*($F$8/30)))</f>
        <v/>
      </c>
      <c r="G83" s="8" t="str">
        <f t="shared" ref="G83:G146" si="11">IF(OR(TaxaJuros="",C83=""),"",IF(C83&lt;DataRecebimento,"NÃO",-$F$10))</f>
        <v/>
      </c>
      <c r="H83" s="37" t="str">
        <f t="shared" ref="H83:H146" si="12">IF(OR(TaxaJuros="",C83=""),"",IF(C83&lt;DataRecebimento,"PODE",IF(ComSemIOF=FALSE,0,IF(E83&gt;365,-(D83+F83)*365*IOFDiario,-(D83+F83)*E83*IOFDiario))))</f>
        <v/>
      </c>
      <c r="I83" s="37" t="str">
        <f t="shared" ref="I83:I146" si="13">IF(OR(TaxaJuros="",C83=""),"",IF(C83&lt;DataRecebimento,"SER",IF(ComSemIOF=FALSE,0,-(D83+F83)*IOFAdic)))</f>
        <v/>
      </c>
      <c r="J83" s="8" t="str">
        <f t="shared" ref="J83:J146" si="14">IF(OR(TaxaJuros="",C83=""),"",IF(C83&lt;DataRecebimento,"INFERIOR!",D83+SUM(F83:I83)))</f>
        <v/>
      </c>
      <c r="K83" s="38" t="str">
        <f t="shared" ref="K83:K146" si="15">IF(OR(TaxaJuros="",C83=""),"",IF(C83&lt;DataRecebimento,"ERRO!",100%-J83/D83))</f>
        <v/>
      </c>
      <c r="N83" s="59" t="str">
        <f t="shared" si="8"/>
        <v/>
      </c>
      <c r="O83" s="59" t="str">
        <f t="shared" ref="O83:O146" si="16">IF(N83="","",PV(TMA_Dia,E83,,-N83))</f>
        <v/>
      </c>
    </row>
    <row r="84" spans="3:15" x14ac:dyDescent="0.25">
      <c r="C84" s="47"/>
      <c r="D84" s="48"/>
      <c r="E84" s="7" t="str">
        <f t="shared" si="9"/>
        <v/>
      </c>
      <c r="F84" s="8" t="str">
        <f t="shared" si="10"/>
        <v/>
      </c>
      <c r="G84" s="8" t="str">
        <f t="shared" si="11"/>
        <v/>
      </c>
      <c r="H84" s="37" t="str">
        <f t="shared" si="12"/>
        <v/>
      </c>
      <c r="I84" s="37" t="str">
        <f t="shared" si="13"/>
        <v/>
      </c>
      <c r="J84" s="8" t="str">
        <f t="shared" si="14"/>
        <v/>
      </c>
      <c r="K84" s="38" t="str">
        <f t="shared" si="15"/>
        <v/>
      </c>
      <c r="N84" s="59" t="str">
        <f t="shared" ref="N84:N147" si="17">IF(C84="","",-D84)</f>
        <v/>
      </c>
      <c r="O84" s="59" t="str">
        <f t="shared" si="16"/>
        <v/>
      </c>
    </row>
    <row r="85" spans="3:15" x14ac:dyDescent="0.25">
      <c r="C85" s="47"/>
      <c r="D85" s="48"/>
      <c r="E85" s="7" t="str">
        <f t="shared" si="9"/>
        <v/>
      </c>
      <c r="F85" s="8" t="str">
        <f t="shared" si="10"/>
        <v/>
      </c>
      <c r="G85" s="8" t="str">
        <f t="shared" si="11"/>
        <v/>
      </c>
      <c r="H85" s="37" t="str">
        <f t="shared" si="12"/>
        <v/>
      </c>
      <c r="I85" s="37" t="str">
        <f t="shared" si="13"/>
        <v/>
      </c>
      <c r="J85" s="8" t="str">
        <f t="shared" si="14"/>
        <v/>
      </c>
      <c r="K85" s="38" t="str">
        <f t="shared" si="15"/>
        <v/>
      </c>
      <c r="N85" s="59" t="str">
        <f t="shared" si="17"/>
        <v/>
      </c>
      <c r="O85" s="59" t="str">
        <f t="shared" si="16"/>
        <v/>
      </c>
    </row>
    <row r="86" spans="3:15" x14ac:dyDescent="0.25">
      <c r="C86" s="47"/>
      <c r="D86" s="48"/>
      <c r="E86" s="7" t="str">
        <f t="shared" si="9"/>
        <v/>
      </c>
      <c r="F86" s="8" t="str">
        <f t="shared" si="10"/>
        <v/>
      </c>
      <c r="G86" s="8" t="str">
        <f t="shared" si="11"/>
        <v/>
      </c>
      <c r="H86" s="37" t="str">
        <f t="shared" si="12"/>
        <v/>
      </c>
      <c r="I86" s="37" t="str">
        <f t="shared" si="13"/>
        <v/>
      </c>
      <c r="J86" s="8" t="str">
        <f t="shared" si="14"/>
        <v/>
      </c>
      <c r="K86" s="38" t="str">
        <f t="shared" si="15"/>
        <v/>
      </c>
      <c r="N86" s="59" t="str">
        <f t="shared" si="17"/>
        <v/>
      </c>
      <c r="O86" s="59" t="str">
        <f t="shared" si="16"/>
        <v/>
      </c>
    </row>
    <row r="87" spans="3:15" x14ac:dyDescent="0.25">
      <c r="C87" s="47"/>
      <c r="D87" s="48"/>
      <c r="E87" s="7" t="str">
        <f t="shared" si="9"/>
        <v/>
      </c>
      <c r="F87" s="8" t="str">
        <f t="shared" si="10"/>
        <v/>
      </c>
      <c r="G87" s="8" t="str">
        <f t="shared" si="11"/>
        <v/>
      </c>
      <c r="H87" s="37" t="str">
        <f t="shared" si="12"/>
        <v/>
      </c>
      <c r="I87" s="37" t="str">
        <f t="shared" si="13"/>
        <v/>
      </c>
      <c r="J87" s="8" t="str">
        <f t="shared" si="14"/>
        <v/>
      </c>
      <c r="K87" s="38" t="str">
        <f t="shared" si="15"/>
        <v/>
      </c>
      <c r="N87" s="59" t="str">
        <f t="shared" si="17"/>
        <v/>
      </c>
      <c r="O87" s="59" t="str">
        <f t="shared" si="16"/>
        <v/>
      </c>
    </row>
    <row r="88" spans="3:15" x14ac:dyDescent="0.25">
      <c r="C88" s="47"/>
      <c r="D88" s="48"/>
      <c r="E88" s="7" t="str">
        <f t="shared" si="9"/>
        <v/>
      </c>
      <c r="F88" s="8" t="str">
        <f t="shared" si="10"/>
        <v/>
      </c>
      <c r="G88" s="8" t="str">
        <f t="shared" si="11"/>
        <v/>
      </c>
      <c r="H88" s="37" t="str">
        <f t="shared" si="12"/>
        <v/>
      </c>
      <c r="I88" s="37" t="str">
        <f t="shared" si="13"/>
        <v/>
      </c>
      <c r="J88" s="8" t="str">
        <f t="shared" si="14"/>
        <v/>
      </c>
      <c r="K88" s="38" t="str">
        <f t="shared" si="15"/>
        <v/>
      </c>
      <c r="N88" s="59" t="str">
        <f t="shared" si="17"/>
        <v/>
      </c>
      <c r="O88" s="59" t="str">
        <f t="shared" si="16"/>
        <v/>
      </c>
    </row>
    <row r="89" spans="3:15" x14ac:dyDescent="0.25">
      <c r="C89" s="47"/>
      <c r="D89" s="48"/>
      <c r="E89" s="7" t="str">
        <f t="shared" si="9"/>
        <v/>
      </c>
      <c r="F89" s="8" t="str">
        <f t="shared" si="10"/>
        <v/>
      </c>
      <c r="G89" s="8" t="str">
        <f t="shared" si="11"/>
        <v/>
      </c>
      <c r="H89" s="37" t="str">
        <f t="shared" si="12"/>
        <v/>
      </c>
      <c r="I89" s="37" t="str">
        <f t="shared" si="13"/>
        <v/>
      </c>
      <c r="J89" s="8" t="str">
        <f t="shared" si="14"/>
        <v/>
      </c>
      <c r="K89" s="38" t="str">
        <f t="shared" si="15"/>
        <v/>
      </c>
      <c r="N89" s="59" t="str">
        <f t="shared" si="17"/>
        <v/>
      </c>
      <c r="O89" s="59" t="str">
        <f t="shared" si="16"/>
        <v/>
      </c>
    </row>
    <row r="90" spans="3:15" x14ac:dyDescent="0.25">
      <c r="C90" s="47"/>
      <c r="D90" s="48"/>
      <c r="E90" s="7" t="str">
        <f t="shared" si="9"/>
        <v/>
      </c>
      <c r="F90" s="8" t="str">
        <f t="shared" si="10"/>
        <v/>
      </c>
      <c r="G90" s="8" t="str">
        <f t="shared" si="11"/>
        <v/>
      </c>
      <c r="H90" s="37" t="str">
        <f t="shared" si="12"/>
        <v/>
      </c>
      <c r="I90" s="37" t="str">
        <f t="shared" si="13"/>
        <v/>
      </c>
      <c r="J90" s="8" t="str">
        <f t="shared" si="14"/>
        <v/>
      </c>
      <c r="K90" s="38" t="str">
        <f t="shared" si="15"/>
        <v/>
      </c>
      <c r="N90" s="59" t="str">
        <f t="shared" si="17"/>
        <v/>
      </c>
      <c r="O90" s="59" t="str">
        <f t="shared" si="16"/>
        <v/>
      </c>
    </row>
    <row r="91" spans="3:15" x14ac:dyDescent="0.25">
      <c r="C91" s="47"/>
      <c r="D91" s="48"/>
      <c r="E91" s="7" t="str">
        <f t="shared" si="9"/>
        <v/>
      </c>
      <c r="F91" s="8" t="str">
        <f t="shared" si="10"/>
        <v/>
      </c>
      <c r="G91" s="8" t="str">
        <f t="shared" si="11"/>
        <v/>
      </c>
      <c r="H91" s="37" t="str">
        <f t="shared" si="12"/>
        <v/>
      </c>
      <c r="I91" s="37" t="str">
        <f t="shared" si="13"/>
        <v/>
      </c>
      <c r="J91" s="8" t="str">
        <f t="shared" si="14"/>
        <v/>
      </c>
      <c r="K91" s="38" t="str">
        <f t="shared" si="15"/>
        <v/>
      </c>
      <c r="N91" s="59" t="str">
        <f t="shared" si="17"/>
        <v/>
      </c>
      <c r="O91" s="59" t="str">
        <f t="shared" si="16"/>
        <v/>
      </c>
    </row>
    <row r="92" spans="3:15" x14ac:dyDescent="0.25">
      <c r="C92" s="47"/>
      <c r="D92" s="48"/>
      <c r="E92" s="7" t="str">
        <f t="shared" si="9"/>
        <v/>
      </c>
      <c r="F92" s="8" t="str">
        <f t="shared" si="10"/>
        <v/>
      </c>
      <c r="G92" s="8" t="str">
        <f t="shared" si="11"/>
        <v/>
      </c>
      <c r="H92" s="37" t="str">
        <f t="shared" si="12"/>
        <v/>
      </c>
      <c r="I92" s="37" t="str">
        <f t="shared" si="13"/>
        <v/>
      </c>
      <c r="J92" s="8" t="str">
        <f t="shared" si="14"/>
        <v/>
      </c>
      <c r="K92" s="38" t="str">
        <f t="shared" si="15"/>
        <v/>
      </c>
      <c r="N92" s="59" t="str">
        <f t="shared" si="17"/>
        <v/>
      </c>
      <c r="O92" s="59" t="str">
        <f t="shared" si="16"/>
        <v/>
      </c>
    </row>
    <row r="93" spans="3:15" x14ac:dyDescent="0.25">
      <c r="C93" s="47"/>
      <c r="D93" s="48"/>
      <c r="E93" s="7" t="str">
        <f t="shared" si="9"/>
        <v/>
      </c>
      <c r="F93" s="8" t="str">
        <f t="shared" si="10"/>
        <v/>
      </c>
      <c r="G93" s="8" t="str">
        <f t="shared" si="11"/>
        <v/>
      </c>
      <c r="H93" s="37" t="str">
        <f t="shared" si="12"/>
        <v/>
      </c>
      <c r="I93" s="37" t="str">
        <f t="shared" si="13"/>
        <v/>
      </c>
      <c r="J93" s="8" t="str">
        <f t="shared" si="14"/>
        <v/>
      </c>
      <c r="K93" s="38" t="str">
        <f t="shared" si="15"/>
        <v/>
      </c>
      <c r="N93" s="59" t="str">
        <f t="shared" si="17"/>
        <v/>
      </c>
      <c r="O93" s="59" t="str">
        <f t="shared" si="16"/>
        <v/>
      </c>
    </row>
    <row r="94" spans="3:15" x14ac:dyDescent="0.25">
      <c r="C94" s="47"/>
      <c r="D94" s="48"/>
      <c r="E94" s="7" t="str">
        <f t="shared" si="9"/>
        <v/>
      </c>
      <c r="F94" s="8" t="str">
        <f t="shared" si="10"/>
        <v/>
      </c>
      <c r="G94" s="8" t="str">
        <f t="shared" si="11"/>
        <v/>
      </c>
      <c r="H94" s="37" t="str">
        <f t="shared" si="12"/>
        <v/>
      </c>
      <c r="I94" s="37" t="str">
        <f t="shared" si="13"/>
        <v/>
      </c>
      <c r="J94" s="8" t="str">
        <f t="shared" si="14"/>
        <v/>
      </c>
      <c r="K94" s="38" t="str">
        <f t="shared" si="15"/>
        <v/>
      </c>
      <c r="N94" s="59" t="str">
        <f t="shared" si="17"/>
        <v/>
      </c>
      <c r="O94" s="59" t="str">
        <f t="shared" si="16"/>
        <v/>
      </c>
    </row>
    <row r="95" spans="3:15" x14ac:dyDescent="0.25">
      <c r="C95" s="47"/>
      <c r="D95" s="48"/>
      <c r="E95" s="7" t="str">
        <f t="shared" si="9"/>
        <v/>
      </c>
      <c r="F95" s="8" t="str">
        <f t="shared" si="10"/>
        <v/>
      </c>
      <c r="G95" s="8" t="str">
        <f t="shared" si="11"/>
        <v/>
      </c>
      <c r="H95" s="37" t="str">
        <f t="shared" si="12"/>
        <v/>
      </c>
      <c r="I95" s="37" t="str">
        <f t="shared" si="13"/>
        <v/>
      </c>
      <c r="J95" s="8" t="str">
        <f t="shared" si="14"/>
        <v/>
      </c>
      <c r="K95" s="38" t="str">
        <f t="shared" si="15"/>
        <v/>
      </c>
      <c r="N95" s="59" t="str">
        <f t="shared" si="17"/>
        <v/>
      </c>
      <c r="O95" s="59" t="str">
        <f t="shared" si="16"/>
        <v/>
      </c>
    </row>
    <row r="96" spans="3:15" x14ac:dyDescent="0.25">
      <c r="C96" s="47"/>
      <c r="D96" s="48"/>
      <c r="E96" s="7" t="str">
        <f t="shared" si="9"/>
        <v/>
      </c>
      <c r="F96" s="8" t="str">
        <f t="shared" si="10"/>
        <v/>
      </c>
      <c r="G96" s="8" t="str">
        <f t="shared" si="11"/>
        <v/>
      </c>
      <c r="H96" s="37" t="str">
        <f t="shared" si="12"/>
        <v/>
      </c>
      <c r="I96" s="37" t="str">
        <f t="shared" si="13"/>
        <v/>
      </c>
      <c r="J96" s="8" t="str">
        <f t="shared" si="14"/>
        <v/>
      </c>
      <c r="K96" s="38" t="str">
        <f t="shared" si="15"/>
        <v/>
      </c>
      <c r="N96" s="59" t="str">
        <f t="shared" si="17"/>
        <v/>
      </c>
      <c r="O96" s="59" t="str">
        <f t="shared" si="16"/>
        <v/>
      </c>
    </row>
    <row r="97" spans="3:15" x14ac:dyDescent="0.25">
      <c r="C97" s="47"/>
      <c r="D97" s="48"/>
      <c r="E97" s="7" t="str">
        <f t="shared" si="9"/>
        <v/>
      </c>
      <c r="F97" s="8" t="str">
        <f t="shared" si="10"/>
        <v/>
      </c>
      <c r="G97" s="8" t="str">
        <f t="shared" si="11"/>
        <v/>
      </c>
      <c r="H97" s="37" t="str">
        <f t="shared" si="12"/>
        <v/>
      </c>
      <c r="I97" s="37" t="str">
        <f t="shared" si="13"/>
        <v/>
      </c>
      <c r="J97" s="8" t="str">
        <f t="shared" si="14"/>
        <v/>
      </c>
      <c r="K97" s="38" t="str">
        <f t="shared" si="15"/>
        <v/>
      </c>
      <c r="N97" s="59" t="str">
        <f t="shared" si="17"/>
        <v/>
      </c>
      <c r="O97" s="59" t="str">
        <f t="shared" si="16"/>
        <v/>
      </c>
    </row>
    <row r="98" spans="3:15" x14ac:dyDescent="0.25">
      <c r="C98" s="47"/>
      <c r="D98" s="48"/>
      <c r="E98" s="7" t="str">
        <f t="shared" si="9"/>
        <v/>
      </c>
      <c r="F98" s="8" t="str">
        <f t="shared" si="10"/>
        <v/>
      </c>
      <c r="G98" s="8" t="str">
        <f t="shared" si="11"/>
        <v/>
      </c>
      <c r="H98" s="37" t="str">
        <f t="shared" si="12"/>
        <v/>
      </c>
      <c r="I98" s="37" t="str">
        <f t="shared" si="13"/>
        <v/>
      </c>
      <c r="J98" s="8" t="str">
        <f t="shared" si="14"/>
        <v/>
      </c>
      <c r="K98" s="38" t="str">
        <f t="shared" si="15"/>
        <v/>
      </c>
      <c r="N98" s="59" t="str">
        <f t="shared" si="17"/>
        <v/>
      </c>
      <c r="O98" s="59" t="str">
        <f t="shared" si="16"/>
        <v/>
      </c>
    </row>
    <row r="99" spans="3:15" x14ac:dyDescent="0.25">
      <c r="C99" s="47"/>
      <c r="D99" s="48"/>
      <c r="E99" s="7" t="str">
        <f t="shared" si="9"/>
        <v/>
      </c>
      <c r="F99" s="8" t="str">
        <f t="shared" si="10"/>
        <v/>
      </c>
      <c r="G99" s="8" t="str">
        <f t="shared" si="11"/>
        <v/>
      </c>
      <c r="H99" s="37" t="str">
        <f t="shared" si="12"/>
        <v/>
      </c>
      <c r="I99" s="37" t="str">
        <f t="shared" si="13"/>
        <v/>
      </c>
      <c r="J99" s="8" t="str">
        <f t="shared" si="14"/>
        <v/>
      </c>
      <c r="K99" s="38" t="str">
        <f t="shared" si="15"/>
        <v/>
      </c>
      <c r="N99" s="59" t="str">
        <f t="shared" si="17"/>
        <v/>
      </c>
      <c r="O99" s="59" t="str">
        <f t="shared" si="16"/>
        <v/>
      </c>
    </row>
    <row r="100" spans="3:15" x14ac:dyDescent="0.25">
      <c r="C100" s="47"/>
      <c r="D100" s="48"/>
      <c r="E100" s="7" t="str">
        <f t="shared" si="9"/>
        <v/>
      </c>
      <c r="F100" s="8" t="str">
        <f t="shared" si="10"/>
        <v/>
      </c>
      <c r="G100" s="8" t="str">
        <f t="shared" si="11"/>
        <v/>
      </c>
      <c r="H100" s="37" t="str">
        <f t="shared" si="12"/>
        <v/>
      </c>
      <c r="I100" s="37" t="str">
        <f t="shared" si="13"/>
        <v/>
      </c>
      <c r="J100" s="8" t="str">
        <f t="shared" si="14"/>
        <v/>
      </c>
      <c r="K100" s="38" t="str">
        <f t="shared" si="15"/>
        <v/>
      </c>
      <c r="N100" s="59" t="str">
        <f t="shared" si="17"/>
        <v/>
      </c>
      <c r="O100" s="59" t="str">
        <f t="shared" si="16"/>
        <v/>
      </c>
    </row>
    <row r="101" spans="3:15" x14ac:dyDescent="0.25">
      <c r="C101" s="47"/>
      <c r="D101" s="48"/>
      <c r="E101" s="7" t="str">
        <f t="shared" si="9"/>
        <v/>
      </c>
      <c r="F101" s="8" t="str">
        <f t="shared" si="10"/>
        <v/>
      </c>
      <c r="G101" s="8" t="str">
        <f t="shared" si="11"/>
        <v/>
      </c>
      <c r="H101" s="37" t="str">
        <f t="shared" si="12"/>
        <v/>
      </c>
      <c r="I101" s="37" t="str">
        <f t="shared" si="13"/>
        <v/>
      </c>
      <c r="J101" s="8" t="str">
        <f t="shared" si="14"/>
        <v/>
      </c>
      <c r="K101" s="38" t="str">
        <f t="shared" si="15"/>
        <v/>
      </c>
      <c r="N101" s="59" t="str">
        <f t="shared" si="17"/>
        <v/>
      </c>
      <c r="O101" s="59" t="str">
        <f t="shared" si="16"/>
        <v/>
      </c>
    </row>
    <row r="102" spans="3:15" x14ac:dyDescent="0.25">
      <c r="C102" s="47"/>
      <c r="D102" s="48"/>
      <c r="E102" s="7" t="str">
        <f t="shared" si="9"/>
        <v/>
      </c>
      <c r="F102" s="8" t="str">
        <f t="shared" si="10"/>
        <v/>
      </c>
      <c r="G102" s="8" t="str">
        <f t="shared" si="11"/>
        <v/>
      </c>
      <c r="H102" s="37" t="str">
        <f t="shared" si="12"/>
        <v/>
      </c>
      <c r="I102" s="37" t="str">
        <f t="shared" si="13"/>
        <v/>
      </c>
      <c r="J102" s="8" t="str">
        <f t="shared" si="14"/>
        <v/>
      </c>
      <c r="K102" s="38" t="str">
        <f t="shared" si="15"/>
        <v/>
      </c>
      <c r="N102" s="59" t="str">
        <f t="shared" si="17"/>
        <v/>
      </c>
      <c r="O102" s="59" t="str">
        <f t="shared" si="16"/>
        <v/>
      </c>
    </row>
    <row r="103" spans="3:15" x14ac:dyDescent="0.25">
      <c r="C103" s="47"/>
      <c r="D103" s="48"/>
      <c r="E103" s="7" t="str">
        <f t="shared" si="9"/>
        <v/>
      </c>
      <c r="F103" s="8" t="str">
        <f t="shared" si="10"/>
        <v/>
      </c>
      <c r="G103" s="8" t="str">
        <f t="shared" si="11"/>
        <v/>
      </c>
      <c r="H103" s="37" t="str">
        <f t="shared" si="12"/>
        <v/>
      </c>
      <c r="I103" s="37" t="str">
        <f t="shared" si="13"/>
        <v/>
      </c>
      <c r="J103" s="8" t="str">
        <f t="shared" si="14"/>
        <v/>
      </c>
      <c r="K103" s="38" t="str">
        <f t="shared" si="15"/>
        <v/>
      </c>
      <c r="N103" s="59" t="str">
        <f t="shared" si="17"/>
        <v/>
      </c>
      <c r="O103" s="59" t="str">
        <f t="shared" si="16"/>
        <v/>
      </c>
    </row>
    <row r="104" spans="3:15" x14ac:dyDescent="0.25">
      <c r="C104" s="47"/>
      <c r="D104" s="48"/>
      <c r="E104" s="7" t="str">
        <f t="shared" si="9"/>
        <v/>
      </c>
      <c r="F104" s="8" t="str">
        <f t="shared" si="10"/>
        <v/>
      </c>
      <c r="G104" s="8" t="str">
        <f t="shared" si="11"/>
        <v/>
      </c>
      <c r="H104" s="37" t="str">
        <f t="shared" si="12"/>
        <v/>
      </c>
      <c r="I104" s="37" t="str">
        <f t="shared" si="13"/>
        <v/>
      </c>
      <c r="J104" s="8" t="str">
        <f t="shared" si="14"/>
        <v/>
      </c>
      <c r="K104" s="38" t="str">
        <f t="shared" si="15"/>
        <v/>
      </c>
      <c r="N104" s="59" t="str">
        <f t="shared" si="17"/>
        <v/>
      </c>
      <c r="O104" s="59" t="str">
        <f t="shared" si="16"/>
        <v/>
      </c>
    </row>
    <row r="105" spans="3:15" x14ac:dyDescent="0.25">
      <c r="C105" s="47"/>
      <c r="D105" s="48"/>
      <c r="E105" s="7" t="str">
        <f t="shared" si="9"/>
        <v/>
      </c>
      <c r="F105" s="8" t="str">
        <f t="shared" si="10"/>
        <v/>
      </c>
      <c r="G105" s="8" t="str">
        <f t="shared" si="11"/>
        <v/>
      </c>
      <c r="H105" s="37" t="str">
        <f t="shared" si="12"/>
        <v/>
      </c>
      <c r="I105" s="37" t="str">
        <f t="shared" si="13"/>
        <v/>
      </c>
      <c r="J105" s="8" t="str">
        <f t="shared" si="14"/>
        <v/>
      </c>
      <c r="K105" s="38" t="str">
        <f t="shared" si="15"/>
        <v/>
      </c>
      <c r="N105" s="59" t="str">
        <f t="shared" si="17"/>
        <v/>
      </c>
      <c r="O105" s="59" t="str">
        <f t="shared" si="16"/>
        <v/>
      </c>
    </row>
    <row r="106" spans="3:15" x14ac:dyDescent="0.25">
      <c r="C106" s="47"/>
      <c r="D106" s="48"/>
      <c r="E106" s="7" t="str">
        <f t="shared" si="9"/>
        <v/>
      </c>
      <c r="F106" s="8" t="str">
        <f t="shared" si="10"/>
        <v/>
      </c>
      <c r="G106" s="8" t="str">
        <f t="shared" si="11"/>
        <v/>
      </c>
      <c r="H106" s="37" t="str">
        <f t="shared" si="12"/>
        <v/>
      </c>
      <c r="I106" s="37" t="str">
        <f t="shared" si="13"/>
        <v/>
      </c>
      <c r="J106" s="8" t="str">
        <f t="shared" si="14"/>
        <v/>
      </c>
      <c r="K106" s="38" t="str">
        <f t="shared" si="15"/>
        <v/>
      </c>
      <c r="N106" s="59" t="str">
        <f t="shared" si="17"/>
        <v/>
      </c>
      <c r="O106" s="59" t="str">
        <f t="shared" si="16"/>
        <v/>
      </c>
    </row>
    <row r="107" spans="3:15" x14ac:dyDescent="0.25">
      <c r="C107" s="47"/>
      <c r="D107" s="48"/>
      <c r="E107" s="7" t="str">
        <f t="shared" si="9"/>
        <v/>
      </c>
      <c r="F107" s="8" t="str">
        <f t="shared" si="10"/>
        <v/>
      </c>
      <c r="G107" s="8" t="str">
        <f t="shared" si="11"/>
        <v/>
      </c>
      <c r="H107" s="37" t="str">
        <f t="shared" si="12"/>
        <v/>
      </c>
      <c r="I107" s="37" t="str">
        <f t="shared" si="13"/>
        <v/>
      </c>
      <c r="J107" s="8" t="str">
        <f t="shared" si="14"/>
        <v/>
      </c>
      <c r="K107" s="38" t="str">
        <f t="shared" si="15"/>
        <v/>
      </c>
      <c r="N107" s="59" t="str">
        <f t="shared" si="17"/>
        <v/>
      </c>
      <c r="O107" s="59" t="str">
        <f t="shared" si="16"/>
        <v/>
      </c>
    </row>
    <row r="108" spans="3:15" x14ac:dyDescent="0.25">
      <c r="C108" s="47"/>
      <c r="D108" s="48"/>
      <c r="E108" s="7" t="str">
        <f t="shared" si="9"/>
        <v/>
      </c>
      <c r="F108" s="8" t="str">
        <f t="shared" si="10"/>
        <v/>
      </c>
      <c r="G108" s="8" t="str">
        <f t="shared" si="11"/>
        <v/>
      </c>
      <c r="H108" s="37" t="str">
        <f t="shared" si="12"/>
        <v/>
      </c>
      <c r="I108" s="37" t="str">
        <f t="shared" si="13"/>
        <v/>
      </c>
      <c r="J108" s="8" t="str">
        <f t="shared" si="14"/>
        <v/>
      </c>
      <c r="K108" s="38" t="str">
        <f t="shared" si="15"/>
        <v/>
      </c>
      <c r="N108" s="59" t="str">
        <f t="shared" si="17"/>
        <v/>
      </c>
      <c r="O108" s="59" t="str">
        <f t="shared" si="16"/>
        <v/>
      </c>
    </row>
    <row r="109" spans="3:15" x14ac:dyDescent="0.25">
      <c r="C109" s="47"/>
      <c r="D109" s="48"/>
      <c r="E109" s="7" t="str">
        <f t="shared" si="9"/>
        <v/>
      </c>
      <c r="F109" s="8" t="str">
        <f t="shared" si="10"/>
        <v/>
      </c>
      <c r="G109" s="8" t="str">
        <f t="shared" si="11"/>
        <v/>
      </c>
      <c r="H109" s="37" t="str">
        <f t="shared" si="12"/>
        <v/>
      </c>
      <c r="I109" s="37" t="str">
        <f t="shared" si="13"/>
        <v/>
      </c>
      <c r="J109" s="8" t="str">
        <f t="shared" si="14"/>
        <v/>
      </c>
      <c r="K109" s="38" t="str">
        <f t="shared" si="15"/>
        <v/>
      </c>
      <c r="N109" s="59" t="str">
        <f t="shared" si="17"/>
        <v/>
      </c>
      <c r="O109" s="59" t="str">
        <f t="shared" si="16"/>
        <v/>
      </c>
    </row>
    <row r="110" spans="3:15" x14ac:dyDescent="0.25">
      <c r="C110" s="47"/>
      <c r="D110" s="48"/>
      <c r="E110" s="7" t="str">
        <f t="shared" si="9"/>
        <v/>
      </c>
      <c r="F110" s="8" t="str">
        <f t="shared" si="10"/>
        <v/>
      </c>
      <c r="G110" s="8" t="str">
        <f t="shared" si="11"/>
        <v/>
      </c>
      <c r="H110" s="37" t="str">
        <f t="shared" si="12"/>
        <v/>
      </c>
      <c r="I110" s="37" t="str">
        <f t="shared" si="13"/>
        <v/>
      </c>
      <c r="J110" s="8" t="str">
        <f t="shared" si="14"/>
        <v/>
      </c>
      <c r="K110" s="38" t="str">
        <f t="shared" si="15"/>
        <v/>
      </c>
      <c r="N110" s="59" t="str">
        <f t="shared" si="17"/>
        <v/>
      </c>
      <c r="O110" s="59" t="str">
        <f t="shared" si="16"/>
        <v/>
      </c>
    </row>
    <row r="111" spans="3:15" x14ac:dyDescent="0.25">
      <c r="C111" s="47"/>
      <c r="D111" s="48"/>
      <c r="E111" s="7" t="str">
        <f t="shared" si="9"/>
        <v/>
      </c>
      <c r="F111" s="8" t="str">
        <f t="shared" si="10"/>
        <v/>
      </c>
      <c r="G111" s="8" t="str">
        <f t="shared" si="11"/>
        <v/>
      </c>
      <c r="H111" s="37" t="str">
        <f t="shared" si="12"/>
        <v/>
      </c>
      <c r="I111" s="37" t="str">
        <f t="shared" si="13"/>
        <v/>
      </c>
      <c r="J111" s="8" t="str">
        <f t="shared" si="14"/>
        <v/>
      </c>
      <c r="K111" s="38" t="str">
        <f t="shared" si="15"/>
        <v/>
      </c>
      <c r="N111" s="59" t="str">
        <f t="shared" si="17"/>
        <v/>
      </c>
      <c r="O111" s="59" t="str">
        <f t="shared" si="16"/>
        <v/>
      </c>
    </row>
    <row r="112" spans="3:15" x14ac:dyDescent="0.25">
      <c r="C112" s="47"/>
      <c r="D112" s="48"/>
      <c r="E112" s="7" t="str">
        <f t="shared" si="9"/>
        <v/>
      </c>
      <c r="F112" s="8" t="str">
        <f t="shared" si="10"/>
        <v/>
      </c>
      <c r="G112" s="8" t="str">
        <f t="shared" si="11"/>
        <v/>
      </c>
      <c r="H112" s="37" t="str">
        <f t="shared" si="12"/>
        <v/>
      </c>
      <c r="I112" s="37" t="str">
        <f t="shared" si="13"/>
        <v/>
      </c>
      <c r="J112" s="8" t="str">
        <f t="shared" si="14"/>
        <v/>
      </c>
      <c r="K112" s="38" t="str">
        <f t="shared" si="15"/>
        <v/>
      </c>
      <c r="N112" s="59" t="str">
        <f t="shared" si="17"/>
        <v/>
      </c>
      <c r="O112" s="59" t="str">
        <f t="shared" si="16"/>
        <v/>
      </c>
    </row>
    <row r="113" spans="3:15" x14ac:dyDescent="0.25">
      <c r="C113" s="47"/>
      <c r="D113" s="48"/>
      <c r="E113" s="7" t="str">
        <f t="shared" si="9"/>
        <v/>
      </c>
      <c r="F113" s="8" t="str">
        <f t="shared" si="10"/>
        <v/>
      </c>
      <c r="G113" s="8" t="str">
        <f t="shared" si="11"/>
        <v/>
      </c>
      <c r="H113" s="37" t="str">
        <f t="shared" si="12"/>
        <v/>
      </c>
      <c r="I113" s="37" t="str">
        <f t="shared" si="13"/>
        <v/>
      </c>
      <c r="J113" s="8" t="str">
        <f t="shared" si="14"/>
        <v/>
      </c>
      <c r="K113" s="38" t="str">
        <f t="shared" si="15"/>
        <v/>
      </c>
      <c r="N113" s="59" t="str">
        <f t="shared" si="17"/>
        <v/>
      </c>
      <c r="O113" s="59" t="str">
        <f t="shared" si="16"/>
        <v/>
      </c>
    </row>
    <row r="114" spans="3:15" x14ac:dyDescent="0.25">
      <c r="C114" s="47"/>
      <c r="D114" s="48"/>
      <c r="E114" s="7" t="str">
        <f t="shared" si="9"/>
        <v/>
      </c>
      <c r="F114" s="8" t="str">
        <f t="shared" si="10"/>
        <v/>
      </c>
      <c r="G114" s="8" t="str">
        <f t="shared" si="11"/>
        <v/>
      </c>
      <c r="H114" s="37" t="str">
        <f t="shared" si="12"/>
        <v/>
      </c>
      <c r="I114" s="37" t="str">
        <f t="shared" si="13"/>
        <v/>
      </c>
      <c r="J114" s="8" t="str">
        <f t="shared" si="14"/>
        <v/>
      </c>
      <c r="K114" s="38" t="str">
        <f t="shared" si="15"/>
        <v/>
      </c>
      <c r="N114" s="59" t="str">
        <f t="shared" si="17"/>
        <v/>
      </c>
      <c r="O114" s="59" t="str">
        <f t="shared" si="16"/>
        <v/>
      </c>
    </row>
    <row r="115" spans="3:15" x14ac:dyDescent="0.25">
      <c r="C115" s="47"/>
      <c r="D115" s="48"/>
      <c r="E115" s="7" t="str">
        <f t="shared" si="9"/>
        <v/>
      </c>
      <c r="F115" s="8" t="str">
        <f t="shared" si="10"/>
        <v/>
      </c>
      <c r="G115" s="8" t="str">
        <f t="shared" si="11"/>
        <v/>
      </c>
      <c r="H115" s="37" t="str">
        <f t="shared" si="12"/>
        <v/>
      </c>
      <c r="I115" s="37" t="str">
        <f t="shared" si="13"/>
        <v/>
      </c>
      <c r="J115" s="8" t="str">
        <f t="shared" si="14"/>
        <v/>
      </c>
      <c r="K115" s="38" t="str">
        <f t="shared" si="15"/>
        <v/>
      </c>
      <c r="N115" s="59" t="str">
        <f t="shared" si="17"/>
        <v/>
      </c>
      <c r="O115" s="59" t="str">
        <f t="shared" si="16"/>
        <v/>
      </c>
    </row>
    <row r="116" spans="3:15" x14ac:dyDescent="0.25">
      <c r="C116" s="47"/>
      <c r="D116" s="48"/>
      <c r="E116" s="7" t="str">
        <f t="shared" si="9"/>
        <v/>
      </c>
      <c r="F116" s="8" t="str">
        <f t="shared" si="10"/>
        <v/>
      </c>
      <c r="G116" s="8" t="str">
        <f t="shared" si="11"/>
        <v/>
      </c>
      <c r="H116" s="37" t="str">
        <f t="shared" si="12"/>
        <v/>
      </c>
      <c r="I116" s="37" t="str">
        <f t="shared" si="13"/>
        <v/>
      </c>
      <c r="J116" s="8" t="str">
        <f t="shared" si="14"/>
        <v/>
      </c>
      <c r="K116" s="38" t="str">
        <f t="shared" si="15"/>
        <v/>
      </c>
      <c r="N116" s="59" t="str">
        <f t="shared" si="17"/>
        <v/>
      </c>
      <c r="O116" s="59" t="str">
        <f t="shared" si="16"/>
        <v/>
      </c>
    </row>
    <row r="117" spans="3:15" x14ac:dyDescent="0.25">
      <c r="C117" s="47"/>
      <c r="D117" s="48"/>
      <c r="E117" s="7" t="str">
        <f t="shared" si="9"/>
        <v/>
      </c>
      <c r="F117" s="8" t="str">
        <f t="shared" si="10"/>
        <v/>
      </c>
      <c r="G117" s="8" t="str">
        <f t="shared" si="11"/>
        <v/>
      </c>
      <c r="H117" s="37" t="str">
        <f t="shared" si="12"/>
        <v/>
      </c>
      <c r="I117" s="37" t="str">
        <f t="shared" si="13"/>
        <v/>
      </c>
      <c r="J117" s="8" t="str">
        <f t="shared" si="14"/>
        <v/>
      </c>
      <c r="K117" s="38" t="str">
        <f t="shared" si="15"/>
        <v/>
      </c>
      <c r="N117" s="59" t="str">
        <f t="shared" si="17"/>
        <v/>
      </c>
      <c r="O117" s="59" t="str">
        <f t="shared" si="16"/>
        <v/>
      </c>
    </row>
    <row r="118" spans="3:15" x14ac:dyDescent="0.25">
      <c r="C118" s="47"/>
      <c r="D118" s="48"/>
      <c r="E118" s="7" t="str">
        <f t="shared" si="9"/>
        <v/>
      </c>
      <c r="F118" s="8" t="str">
        <f t="shared" si="10"/>
        <v/>
      </c>
      <c r="G118" s="8" t="str">
        <f t="shared" si="11"/>
        <v/>
      </c>
      <c r="H118" s="37" t="str">
        <f t="shared" si="12"/>
        <v/>
      </c>
      <c r="I118" s="37" t="str">
        <f t="shared" si="13"/>
        <v/>
      </c>
      <c r="J118" s="8" t="str">
        <f t="shared" si="14"/>
        <v/>
      </c>
      <c r="K118" s="38" t="str">
        <f t="shared" si="15"/>
        <v/>
      </c>
      <c r="N118" s="59" t="str">
        <f t="shared" si="17"/>
        <v/>
      </c>
      <c r="O118" s="59" t="str">
        <f t="shared" si="16"/>
        <v/>
      </c>
    </row>
    <row r="119" spans="3:15" x14ac:dyDescent="0.25">
      <c r="C119" s="47"/>
      <c r="D119" s="48"/>
      <c r="E119" s="7" t="str">
        <f t="shared" si="9"/>
        <v/>
      </c>
      <c r="F119" s="8" t="str">
        <f t="shared" si="10"/>
        <v/>
      </c>
      <c r="G119" s="8" t="str">
        <f t="shared" si="11"/>
        <v/>
      </c>
      <c r="H119" s="37" t="str">
        <f t="shared" si="12"/>
        <v/>
      </c>
      <c r="I119" s="37" t="str">
        <f t="shared" si="13"/>
        <v/>
      </c>
      <c r="J119" s="8" t="str">
        <f t="shared" si="14"/>
        <v/>
      </c>
      <c r="K119" s="38" t="str">
        <f t="shared" si="15"/>
        <v/>
      </c>
      <c r="N119" s="59" t="str">
        <f t="shared" si="17"/>
        <v/>
      </c>
      <c r="O119" s="59" t="str">
        <f t="shared" si="16"/>
        <v/>
      </c>
    </row>
    <row r="120" spans="3:15" x14ac:dyDescent="0.25">
      <c r="C120" s="47"/>
      <c r="D120" s="48"/>
      <c r="E120" s="7" t="str">
        <f t="shared" si="9"/>
        <v/>
      </c>
      <c r="F120" s="8" t="str">
        <f t="shared" si="10"/>
        <v/>
      </c>
      <c r="G120" s="8" t="str">
        <f t="shared" si="11"/>
        <v/>
      </c>
      <c r="H120" s="37" t="str">
        <f t="shared" si="12"/>
        <v/>
      </c>
      <c r="I120" s="37" t="str">
        <f t="shared" si="13"/>
        <v/>
      </c>
      <c r="J120" s="8" t="str">
        <f t="shared" si="14"/>
        <v/>
      </c>
      <c r="K120" s="38" t="str">
        <f t="shared" si="15"/>
        <v/>
      </c>
      <c r="N120" s="59" t="str">
        <f t="shared" si="17"/>
        <v/>
      </c>
      <c r="O120" s="59" t="str">
        <f t="shared" si="16"/>
        <v/>
      </c>
    </row>
    <row r="121" spans="3:15" x14ac:dyDescent="0.25">
      <c r="C121" s="47"/>
      <c r="D121" s="48"/>
      <c r="E121" s="7" t="str">
        <f t="shared" si="9"/>
        <v/>
      </c>
      <c r="F121" s="8" t="str">
        <f t="shared" si="10"/>
        <v/>
      </c>
      <c r="G121" s="8" t="str">
        <f t="shared" si="11"/>
        <v/>
      </c>
      <c r="H121" s="37" t="str">
        <f t="shared" si="12"/>
        <v/>
      </c>
      <c r="I121" s="37" t="str">
        <f t="shared" si="13"/>
        <v/>
      </c>
      <c r="J121" s="8" t="str">
        <f t="shared" si="14"/>
        <v/>
      </c>
      <c r="K121" s="38" t="str">
        <f t="shared" si="15"/>
        <v/>
      </c>
      <c r="N121" s="59" t="str">
        <f t="shared" si="17"/>
        <v/>
      </c>
      <c r="O121" s="59" t="str">
        <f t="shared" si="16"/>
        <v/>
      </c>
    </row>
    <row r="122" spans="3:15" x14ac:dyDescent="0.25">
      <c r="C122" s="47"/>
      <c r="D122" s="48"/>
      <c r="E122" s="7" t="str">
        <f t="shared" si="9"/>
        <v/>
      </c>
      <c r="F122" s="8" t="str">
        <f t="shared" si="10"/>
        <v/>
      </c>
      <c r="G122" s="8" t="str">
        <f t="shared" si="11"/>
        <v/>
      </c>
      <c r="H122" s="37" t="str">
        <f t="shared" si="12"/>
        <v/>
      </c>
      <c r="I122" s="37" t="str">
        <f t="shared" si="13"/>
        <v/>
      </c>
      <c r="J122" s="8" t="str">
        <f t="shared" si="14"/>
        <v/>
      </c>
      <c r="K122" s="38" t="str">
        <f t="shared" si="15"/>
        <v/>
      </c>
      <c r="N122" s="59" t="str">
        <f t="shared" si="17"/>
        <v/>
      </c>
      <c r="O122" s="59" t="str">
        <f t="shared" si="16"/>
        <v/>
      </c>
    </row>
    <row r="123" spans="3:15" x14ac:dyDescent="0.25">
      <c r="C123" s="47"/>
      <c r="D123" s="48"/>
      <c r="E123" s="7" t="str">
        <f t="shared" si="9"/>
        <v/>
      </c>
      <c r="F123" s="8" t="str">
        <f t="shared" si="10"/>
        <v/>
      </c>
      <c r="G123" s="8" t="str">
        <f t="shared" si="11"/>
        <v/>
      </c>
      <c r="H123" s="37" t="str">
        <f t="shared" si="12"/>
        <v/>
      </c>
      <c r="I123" s="37" t="str">
        <f t="shared" si="13"/>
        <v/>
      </c>
      <c r="J123" s="8" t="str">
        <f t="shared" si="14"/>
        <v/>
      </c>
      <c r="K123" s="38" t="str">
        <f t="shared" si="15"/>
        <v/>
      </c>
      <c r="N123" s="59" t="str">
        <f t="shared" si="17"/>
        <v/>
      </c>
      <c r="O123" s="59" t="str">
        <f t="shared" si="16"/>
        <v/>
      </c>
    </row>
    <row r="124" spans="3:15" x14ac:dyDescent="0.25">
      <c r="C124" s="47"/>
      <c r="D124" s="48"/>
      <c r="E124" s="7" t="str">
        <f t="shared" si="9"/>
        <v/>
      </c>
      <c r="F124" s="8" t="str">
        <f t="shared" si="10"/>
        <v/>
      </c>
      <c r="G124" s="8" t="str">
        <f t="shared" si="11"/>
        <v/>
      </c>
      <c r="H124" s="37" t="str">
        <f t="shared" si="12"/>
        <v/>
      </c>
      <c r="I124" s="37" t="str">
        <f t="shared" si="13"/>
        <v/>
      </c>
      <c r="J124" s="8" t="str">
        <f t="shared" si="14"/>
        <v/>
      </c>
      <c r="K124" s="38" t="str">
        <f t="shared" si="15"/>
        <v/>
      </c>
      <c r="N124" s="59" t="str">
        <f t="shared" si="17"/>
        <v/>
      </c>
      <c r="O124" s="59" t="str">
        <f t="shared" si="16"/>
        <v/>
      </c>
    </row>
    <row r="125" spans="3:15" x14ac:dyDescent="0.25">
      <c r="C125" s="47"/>
      <c r="D125" s="48"/>
      <c r="E125" s="7" t="str">
        <f t="shared" si="9"/>
        <v/>
      </c>
      <c r="F125" s="8" t="str">
        <f t="shared" si="10"/>
        <v/>
      </c>
      <c r="G125" s="8" t="str">
        <f t="shared" si="11"/>
        <v/>
      </c>
      <c r="H125" s="37" t="str">
        <f t="shared" si="12"/>
        <v/>
      </c>
      <c r="I125" s="37" t="str">
        <f t="shared" si="13"/>
        <v/>
      </c>
      <c r="J125" s="8" t="str">
        <f t="shared" si="14"/>
        <v/>
      </c>
      <c r="K125" s="38" t="str">
        <f t="shared" si="15"/>
        <v/>
      </c>
      <c r="N125" s="59" t="str">
        <f t="shared" si="17"/>
        <v/>
      </c>
      <c r="O125" s="59" t="str">
        <f t="shared" si="16"/>
        <v/>
      </c>
    </row>
    <row r="126" spans="3:15" x14ac:dyDescent="0.25">
      <c r="C126" s="47"/>
      <c r="D126" s="48"/>
      <c r="E126" s="7" t="str">
        <f t="shared" si="9"/>
        <v/>
      </c>
      <c r="F126" s="8" t="str">
        <f t="shared" si="10"/>
        <v/>
      </c>
      <c r="G126" s="8" t="str">
        <f t="shared" si="11"/>
        <v/>
      </c>
      <c r="H126" s="37" t="str">
        <f t="shared" si="12"/>
        <v/>
      </c>
      <c r="I126" s="37" t="str">
        <f t="shared" si="13"/>
        <v/>
      </c>
      <c r="J126" s="8" t="str">
        <f t="shared" si="14"/>
        <v/>
      </c>
      <c r="K126" s="38" t="str">
        <f t="shared" si="15"/>
        <v/>
      </c>
      <c r="N126" s="59" t="str">
        <f t="shared" si="17"/>
        <v/>
      </c>
      <c r="O126" s="59" t="str">
        <f t="shared" si="16"/>
        <v/>
      </c>
    </row>
    <row r="127" spans="3:15" x14ac:dyDescent="0.25">
      <c r="C127" s="47"/>
      <c r="D127" s="48"/>
      <c r="E127" s="7" t="str">
        <f t="shared" si="9"/>
        <v/>
      </c>
      <c r="F127" s="8" t="str">
        <f t="shared" si="10"/>
        <v/>
      </c>
      <c r="G127" s="8" t="str">
        <f t="shared" si="11"/>
        <v/>
      </c>
      <c r="H127" s="37" t="str">
        <f t="shared" si="12"/>
        <v/>
      </c>
      <c r="I127" s="37" t="str">
        <f t="shared" si="13"/>
        <v/>
      </c>
      <c r="J127" s="8" t="str">
        <f t="shared" si="14"/>
        <v/>
      </c>
      <c r="K127" s="38" t="str">
        <f t="shared" si="15"/>
        <v/>
      </c>
      <c r="N127" s="59" t="str">
        <f t="shared" si="17"/>
        <v/>
      </c>
      <c r="O127" s="59" t="str">
        <f t="shared" si="16"/>
        <v/>
      </c>
    </row>
    <row r="128" spans="3:15" x14ac:dyDescent="0.25">
      <c r="C128" s="47"/>
      <c r="D128" s="48"/>
      <c r="E128" s="7" t="str">
        <f t="shared" si="9"/>
        <v/>
      </c>
      <c r="F128" s="8" t="str">
        <f t="shared" si="10"/>
        <v/>
      </c>
      <c r="G128" s="8" t="str">
        <f t="shared" si="11"/>
        <v/>
      </c>
      <c r="H128" s="37" t="str">
        <f t="shared" si="12"/>
        <v/>
      </c>
      <c r="I128" s="37" t="str">
        <f t="shared" si="13"/>
        <v/>
      </c>
      <c r="J128" s="8" t="str">
        <f t="shared" si="14"/>
        <v/>
      </c>
      <c r="K128" s="38" t="str">
        <f t="shared" si="15"/>
        <v/>
      </c>
      <c r="N128" s="59" t="str">
        <f t="shared" si="17"/>
        <v/>
      </c>
      <c r="O128" s="59" t="str">
        <f t="shared" si="16"/>
        <v/>
      </c>
    </row>
    <row r="129" spans="3:15" x14ac:dyDescent="0.25">
      <c r="C129" s="47"/>
      <c r="D129" s="48"/>
      <c r="E129" s="7" t="str">
        <f t="shared" si="9"/>
        <v/>
      </c>
      <c r="F129" s="8" t="str">
        <f t="shared" si="10"/>
        <v/>
      </c>
      <c r="G129" s="8" t="str">
        <f t="shared" si="11"/>
        <v/>
      </c>
      <c r="H129" s="37" t="str">
        <f t="shared" si="12"/>
        <v/>
      </c>
      <c r="I129" s="37" t="str">
        <f t="shared" si="13"/>
        <v/>
      </c>
      <c r="J129" s="8" t="str">
        <f t="shared" si="14"/>
        <v/>
      </c>
      <c r="K129" s="38" t="str">
        <f t="shared" si="15"/>
        <v/>
      </c>
      <c r="N129" s="59" t="str">
        <f t="shared" si="17"/>
        <v/>
      </c>
      <c r="O129" s="59" t="str">
        <f t="shared" si="16"/>
        <v/>
      </c>
    </row>
    <row r="130" spans="3:15" x14ac:dyDescent="0.25">
      <c r="C130" s="47"/>
      <c r="D130" s="48"/>
      <c r="E130" s="7" t="str">
        <f t="shared" si="9"/>
        <v/>
      </c>
      <c r="F130" s="8" t="str">
        <f t="shared" si="10"/>
        <v/>
      </c>
      <c r="G130" s="8" t="str">
        <f t="shared" si="11"/>
        <v/>
      </c>
      <c r="H130" s="37" t="str">
        <f t="shared" si="12"/>
        <v/>
      </c>
      <c r="I130" s="37" t="str">
        <f t="shared" si="13"/>
        <v/>
      </c>
      <c r="J130" s="8" t="str">
        <f t="shared" si="14"/>
        <v/>
      </c>
      <c r="K130" s="38" t="str">
        <f t="shared" si="15"/>
        <v/>
      </c>
      <c r="N130" s="59" t="str">
        <f t="shared" si="17"/>
        <v/>
      </c>
      <c r="O130" s="59" t="str">
        <f t="shared" si="16"/>
        <v/>
      </c>
    </row>
    <row r="131" spans="3:15" x14ac:dyDescent="0.25">
      <c r="C131" s="47"/>
      <c r="D131" s="48"/>
      <c r="E131" s="7" t="str">
        <f t="shared" si="9"/>
        <v/>
      </c>
      <c r="F131" s="8" t="str">
        <f t="shared" si="10"/>
        <v/>
      </c>
      <c r="G131" s="8" t="str">
        <f t="shared" si="11"/>
        <v/>
      </c>
      <c r="H131" s="37" t="str">
        <f t="shared" si="12"/>
        <v/>
      </c>
      <c r="I131" s="37" t="str">
        <f t="shared" si="13"/>
        <v/>
      </c>
      <c r="J131" s="8" t="str">
        <f t="shared" si="14"/>
        <v/>
      </c>
      <c r="K131" s="38" t="str">
        <f t="shared" si="15"/>
        <v/>
      </c>
      <c r="N131" s="59" t="str">
        <f t="shared" si="17"/>
        <v/>
      </c>
      <c r="O131" s="59" t="str">
        <f t="shared" si="16"/>
        <v/>
      </c>
    </row>
    <row r="132" spans="3:15" x14ac:dyDescent="0.25">
      <c r="C132" s="47"/>
      <c r="D132" s="48"/>
      <c r="E132" s="7" t="str">
        <f t="shared" si="9"/>
        <v/>
      </c>
      <c r="F132" s="8" t="str">
        <f t="shared" si="10"/>
        <v/>
      </c>
      <c r="G132" s="8" t="str">
        <f t="shared" si="11"/>
        <v/>
      </c>
      <c r="H132" s="37" t="str">
        <f t="shared" si="12"/>
        <v/>
      </c>
      <c r="I132" s="37" t="str">
        <f t="shared" si="13"/>
        <v/>
      </c>
      <c r="J132" s="8" t="str">
        <f t="shared" si="14"/>
        <v/>
      </c>
      <c r="K132" s="38" t="str">
        <f t="shared" si="15"/>
        <v/>
      </c>
      <c r="N132" s="59" t="str">
        <f t="shared" si="17"/>
        <v/>
      </c>
      <c r="O132" s="59" t="str">
        <f t="shared" si="16"/>
        <v/>
      </c>
    </row>
    <row r="133" spans="3:15" x14ac:dyDescent="0.25">
      <c r="C133" s="47"/>
      <c r="D133" s="48"/>
      <c r="E133" s="7" t="str">
        <f t="shared" si="9"/>
        <v/>
      </c>
      <c r="F133" s="8" t="str">
        <f t="shared" si="10"/>
        <v/>
      </c>
      <c r="G133" s="8" t="str">
        <f t="shared" si="11"/>
        <v/>
      </c>
      <c r="H133" s="37" t="str">
        <f t="shared" si="12"/>
        <v/>
      </c>
      <c r="I133" s="37" t="str">
        <f t="shared" si="13"/>
        <v/>
      </c>
      <c r="J133" s="8" t="str">
        <f t="shared" si="14"/>
        <v/>
      </c>
      <c r="K133" s="38" t="str">
        <f t="shared" si="15"/>
        <v/>
      </c>
      <c r="N133" s="59" t="str">
        <f t="shared" si="17"/>
        <v/>
      </c>
      <c r="O133" s="59" t="str">
        <f t="shared" si="16"/>
        <v/>
      </c>
    </row>
    <row r="134" spans="3:15" x14ac:dyDescent="0.25">
      <c r="C134" s="47"/>
      <c r="D134" s="48"/>
      <c r="E134" s="7" t="str">
        <f t="shared" si="9"/>
        <v/>
      </c>
      <c r="F134" s="8" t="str">
        <f t="shared" si="10"/>
        <v/>
      </c>
      <c r="G134" s="8" t="str">
        <f t="shared" si="11"/>
        <v/>
      </c>
      <c r="H134" s="37" t="str">
        <f t="shared" si="12"/>
        <v/>
      </c>
      <c r="I134" s="37" t="str">
        <f t="shared" si="13"/>
        <v/>
      </c>
      <c r="J134" s="8" t="str">
        <f t="shared" si="14"/>
        <v/>
      </c>
      <c r="K134" s="38" t="str">
        <f t="shared" si="15"/>
        <v/>
      </c>
      <c r="N134" s="59" t="str">
        <f t="shared" si="17"/>
        <v/>
      </c>
      <c r="O134" s="59" t="str">
        <f t="shared" si="16"/>
        <v/>
      </c>
    </row>
    <row r="135" spans="3:15" x14ac:dyDescent="0.25">
      <c r="C135" s="47"/>
      <c r="D135" s="48"/>
      <c r="E135" s="7" t="str">
        <f t="shared" si="9"/>
        <v/>
      </c>
      <c r="F135" s="8" t="str">
        <f t="shared" si="10"/>
        <v/>
      </c>
      <c r="G135" s="8" t="str">
        <f t="shared" si="11"/>
        <v/>
      </c>
      <c r="H135" s="37" t="str">
        <f t="shared" si="12"/>
        <v/>
      </c>
      <c r="I135" s="37" t="str">
        <f t="shared" si="13"/>
        <v/>
      </c>
      <c r="J135" s="8" t="str">
        <f t="shared" si="14"/>
        <v/>
      </c>
      <c r="K135" s="38" t="str">
        <f t="shared" si="15"/>
        <v/>
      </c>
      <c r="N135" s="59" t="str">
        <f t="shared" si="17"/>
        <v/>
      </c>
      <c r="O135" s="59" t="str">
        <f t="shared" si="16"/>
        <v/>
      </c>
    </row>
    <row r="136" spans="3:15" x14ac:dyDescent="0.25">
      <c r="C136" s="47"/>
      <c r="D136" s="48"/>
      <c r="E136" s="7" t="str">
        <f t="shared" si="9"/>
        <v/>
      </c>
      <c r="F136" s="8" t="str">
        <f t="shared" si="10"/>
        <v/>
      </c>
      <c r="G136" s="8" t="str">
        <f t="shared" si="11"/>
        <v/>
      </c>
      <c r="H136" s="37" t="str">
        <f t="shared" si="12"/>
        <v/>
      </c>
      <c r="I136" s="37" t="str">
        <f t="shared" si="13"/>
        <v/>
      </c>
      <c r="J136" s="8" t="str">
        <f t="shared" si="14"/>
        <v/>
      </c>
      <c r="K136" s="38" t="str">
        <f t="shared" si="15"/>
        <v/>
      </c>
      <c r="N136" s="59" t="str">
        <f t="shared" si="17"/>
        <v/>
      </c>
      <c r="O136" s="59" t="str">
        <f t="shared" si="16"/>
        <v/>
      </c>
    </row>
    <row r="137" spans="3:15" x14ac:dyDescent="0.25">
      <c r="C137" s="47"/>
      <c r="D137" s="48"/>
      <c r="E137" s="7" t="str">
        <f t="shared" si="9"/>
        <v/>
      </c>
      <c r="F137" s="8" t="str">
        <f t="shared" si="10"/>
        <v/>
      </c>
      <c r="G137" s="8" t="str">
        <f t="shared" si="11"/>
        <v/>
      </c>
      <c r="H137" s="37" t="str">
        <f t="shared" si="12"/>
        <v/>
      </c>
      <c r="I137" s="37" t="str">
        <f t="shared" si="13"/>
        <v/>
      </c>
      <c r="J137" s="8" t="str">
        <f t="shared" si="14"/>
        <v/>
      </c>
      <c r="K137" s="38" t="str">
        <f t="shared" si="15"/>
        <v/>
      </c>
      <c r="N137" s="59" t="str">
        <f t="shared" si="17"/>
        <v/>
      </c>
      <c r="O137" s="59" t="str">
        <f t="shared" si="16"/>
        <v/>
      </c>
    </row>
    <row r="138" spans="3:15" x14ac:dyDescent="0.25">
      <c r="C138" s="47"/>
      <c r="D138" s="48"/>
      <c r="E138" s="7" t="str">
        <f t="shared" si="9"/>
        <v/>
      </c>
      <c r="F138" s="8" t="str">
        <f t="shared" si="10"/>
        <v/>
      </c>
      <c r="G138" s="8" t="str">
        <f t="shared" si="11"/>
        <v/>
      </c>
      <c r="H138" s="37" t="str">
        <f t="shared" si="12"/>
        <v/>
      </c>
      <c r="I138" s="37" t="str">
        <f t="shared" si="13"/>
        <v/>
      </c>
      <c r="J138" s="8" t="str">
        <f t="shared" si="14"/>
        <v/>
      </c>
      <c r="K138" s="38" t="str">
        <f t="shared" si="15"/>
        <v/>
      </c>
      <c r="N138" s="59" t="str">
        <f t="shared" si="17"/>
        <v/>
      </c>
      <c r="O138" s="59" t="str">
        <f t="shared" si="16"/>
        <v/>
      </c>
    </row>
    <row r="139" spans="3:15" x14ac:dyDescent="0.25">
      <c r="C139" s="47"/>
      <c r="D139" s="48"/>
      <c r="E139" s="7" t="str">
        <f t="shared" si="9"/>
        <v/>
      </c>
      <c r="F139" s="8" t="str">
        <f t="shared" si="10"/>
        <v/>
      </c>
      <c r="G139" s="8" t="str">
        <f t="shared" si="11"/>
        <v/>
      </c>
      <c r="H139" s="37" t="str">
        <f t="shared" si="12"/>
        <v/>
      </c>
      <c r="I139" s="37" t="str">
        <f t="shared" si="13"/>
        <v/>
      </c>
      <c r="J139" s="8" t="str">
        <f t="shared" si="14"/>
        <v/>
      </c>
      <c r="K139" s="38" t="str">
        <f t="shared" si="15"/>
        <v/>
      </c>
      <c r="N139" s="59" t="str">
        <f t="shared" si="17"/>
        <v/>
      </c>
      <c r="O139" s="59" t="str">
        <f t="shared" si="16"/>
        <v/>
      </c>
    </row>
    <row r="140" spans="3:15" x14ac:dyDescent="0.25">
      <c r="C140" s="47"/>
      <c r="D140" s="48"/>
      <c r="E140" s="7" t="str">
        <f t="shared" si="9"/>
        <v/>
      </c>
      <c r="F140" s="8" t="str">
        <f t="shared" si="10"/>
        <v/>
      </c>
      <c r="G140" s="8" t="str">
        <f t="shared" si="11"/>
        <v/>
      </c>
      <c r="H140" s="37" t="str">
        <f t="shared" si="12"/>
        <v/>
      </c>
      <c r="I140" s="37" t="str">
        <f t="shared" si="13"/>
        <v/>
      </c>
      <c r="J140" s="8" t="str">
        <f t="shared" si="14"/>
        <v/>
      </c>
      <c r="K140" s="38" t="str">
        <f t="shared" si="15"/>
        <v/>
      </c>
      <c r="N140" s="59" t="str">
        <f t="shared" si="17"/>
        <v/>
      </c>
      <c r="O140" s="59" t="str">
        <f t="shared" si="16"/>
        <v/>
      </c>
    </row>
    <row r="141" spans="3:15" x14ac:dyDescent="0.25">
      <c r="C141" s="47"/>
      <c r="D141" s="48"/>
      <c r="E141" s="7" t="str">
        <f t="shared" si="9"/>
        <v/>
      </c>
      <c r="F141" s="8" t="str">
        <f t="shared" si="10"/>
        <v/>
      </c>
      <c r="G141" s="8" t="str">
        <f t="shared" si="11"/>
        <v/>
      </c>
      <c r="H141" s="37" t="str">
        <f t="shared" si="12"/>
        <v/>
      </c>
      <c r="I141" s="37" t="str">
        <f t="shared" si="13"/>
        <v/>
      </c>
      <c r="J141" s="8" t="str">
        <f t="shared" si="14"/>
        <v/>
      </c>
      <c r="K141" s="38" t="str">
        <f t="shared" si="15"/>
        <v/>
      </c>
      <c r="N141" s="59" t="str">
        <f t="shared" si="17"/>
        <v/>
      </c>
      <c r="O141" s="59" t="str">
        <f t="shared" si="16"/>
        <v/>
      </c>
    </row>
    <row r="142" spans="3:15" x14ac:dyDescent="0.25">
      <c r="C142" s="47"/>
      <c r="D142" s="48"/>
      <c r="E142" s="7" t="str">
        <f t="shared" si="9"/>
        <v/>
      </c>
      <c r="F142" s="8" t="str">
        <f t="shared" si="10"/>
        <v/>
      </c>
      <c r="G142" s="8" t="str">
        <f t="shared" si="11"/>
        <v/>
      </c>
      <c r="H142" s="37" t="str">
        <f t="shared" si="12"/>
        <v/>
      </c>
      <c r="I142" s="37" t="str">
        <f t="shared" si="13"/>
        <v/>
      </c>
      <c r="J142" s="8" t="str">
        <f t="shared" si="14"/>
        <v/>
      </c>
      <c r="K142" s="38" t="str">
        <f t="shared" si="15"/>
        <v/>
      </c>
      <c r="N142" s="59" t="str">
        <f t="shared" si="17"/>
        <v/>
      </c>
      <c r="O142" s="59" t="str">
        <f t="shared" si="16"/>
        <v/>
      </c>
    </row>
    <row r="143" spans="3:15" x14ac:dyDescent="0.25">
      <c r="C143" s="47"/>
      <c r="D143" s="48"/>
      <c r="E143" s="7" t="str">
        <f t="shared" si="9"/>
        <v/>
      </c>
      <c r="F143" s="8" t="str">
        <f t="shared" si="10"/>
        <v/>
      </c>
      <c r="G143" s="8" t="str">
        <f t="shared" si="11"/>
        <v/>
      </c>
      <c r="H143" s="37" t="str">
        <f t="shared" si="12"/>
        <v/>
      </c>
      <c r="I143" s="37" t="str">
        <f t="shared" si="13"/>
        <v/>
      </c>
      <c r="J143" s="8" t="str">
        <f t="shared" si="14"/>
        <v/>
      </c>
      <c r="K143" s="38" t="str">
        <f t="shared" si="15"/>
        <v/>
      </c>
      <c r="N143" s="59" t="str">
        <f t="shared" si="17"/>
        <v/>
      </c>
      <c r="O143" s="59" t="str">
        <f t="shared" si="16"/>
        <v/>
      </c>
    </row>
    <row r="144" spans="3:15" x14ac:dyDescent="0.25">
      <c r="C144" s="47"/>
      <c r="D144" s="48"/>
      <c r="E144" s="7" t="str">
        <f t="shared" si="9"/>
        <v/>
      </c>
      <c r="F144" s="8" t="str">
        <f t="shared" si="10"/>
        <v/>
      </c>
      <c r="G144" s="8" t="str">
        <f t="shared" si="11"/>
        <v/>
      </c>
      <c r="H144" s="37" t="str">
        <f t="shared" si="12"/>
        <v/>
      </c>
      <c r="I144" s="37" t="str">
        <f t="shared" si="13"/>
        <v/>
      </c>
      <c r="J144" s="8" t="str">
        <f t="shared" si="14"/>
        <v/>
      </c>
      <c r="K144" s="38" t="str">
        <f t="shared" si="15"/>
        <v/>
      </c>
      <c r="N144" s="59" t="str">
        <f t="shared" si="17"/>
        <v/>
      </c>
      <c r="O144" s="59" t="str">
        <f t="shared" si="16"/>
        <v/>
      </c>
    </row>
    <row r="145" spans="3:15" x14ac:dyDescent="0.25">
      <c r="C145" s="47"/>
      <c r="D145" s="48"/>
      <c r="E145" s="7" t="str">
        <f t="shared" si="9"/>
        <v/>
      </c>
      <c r="F145" s="8" t="str">
        <f t="shared" si="10"/>
        <v/>
      </c>
      <c r="G145" s="8" t="str">
        <f t="shared" si="11"/>
        <v/>
      </c>
      <c r="H145" s="37" t="str">
        <f t="shared" si="12"/>
        <v/>
      </c>
      <c r="I145" s="37" t="str">
        <f t="shared" si="13"/>
        <v/>
      </c>
      <c r="J145" s="8" t="str">
        <f t="shared" si="14"/>
        <v/>
      </c>
      <c r="K145" s="38" t="str">
        <f t="shared" si="15"/>
        <v/>
      </c>
      <c r="N145" s="59" t="str">
        <f t="shared" si="17"/>
        <v/>
      </c>
      <c r="O145" s="59" t="str">
        <f t="shared" si="16"/>
        <v/>
      </c>
    </row>
    <row r="146" spans="3:15" x14ac:dyDescent="0.25">
      <c r="C146" s="47"/>
      <c r="D146" s="48"/>
      <c r="E146" s="7" t="str">
        <f t="shared" si="9"/>
        <v/>
      </c>
      <c r="F146" s="8" t="str">
        <f t="shared" si="10"/>
        <v/>
      </c>
      <c r="G146" s="8" t="str">
        <f t="shared" si="11"/>
        <v/>
      </c>
      <c r="H146" s="37" t="str">
        <f t="shared" si="12"/>
        <v/>
      </c>
      <c r="I146" s="37" t="str">
        <f t="shared" si="13"/>
        <v/>
      </c>
      <c r="J146" s="8" t="str">
        <f t="shared" si="14"/>
        <v/>
      </c>
      <c r="K146" s="38" t="str">
        <f t="shared" si="15"/>
        <v/>
      </c>
      <c r="N146" s="59" t="str">
        <f t="shared" si="17"/>
        <v/>
      </c>
      <c r="O146" s="59" t="str">
        <f t="shared" si="16"/>
        <v/>
      </c>
    </row>
    <row r="147" spans="3:15" x14ac:dyDescent="0.25">
      <c r="C147" s="47"/>
      <c r="D147" s="48"/>
      <c r="E147" s="7" t="str">
        <f t="shared" ref="E147:E210" si="18">IF(OR(DataRecebimento="",C147=""),"",IF(C147&lt;DataRecebimento,"ERRO!",C147+$F$9-$F$7))</f>
        <v/>
      </c>
      <c r="F147" s="8" t="str">
        <f t="shared" ref="F147:F210" si="19">IF(OR(TaxaJuros="",C147=""),"",IF(C147&lt;DataRecebimento,"DATA",-D147*E147*($F$8/30)))</f>
        <v/>
      </c>
      <c r="G147" s="8" t="str">
        <f t="shared" ref="G147:G210" si="20">IF(OR(TaxaJuros="",C147=""),"",IF(C147&lt;DataRecebimento,"NÃO",-$F$10))</f>
        <v/>
      </c>
      <c r="H147" s="37" t="str">
        <f t="shared" ref="H147:H210" si="21">IF(OR(TaxaJuros="",C147=""),"",IF(C147&lt;DataRecebimento,"PODE",IF(ComSemIOF=FALSE,0,IF(E147&gt;365,-(D147+F147)*365*IOFDiario,-(D147+F147)*E147*IOFDiario))))</f>
        <v/>
      </c>
      <c r="I147" s="37" t="str">
        <f t="shared" ref="I147:I210" si="22">IF(OR(TaxaJuros="",C147=""),"",IF(C147&lt;DataRecebimento,"SER",IF(ComSemIOF=FALSE,0,-(D147+F147)*IOFAdic)))</f>
        <v/>
      </c>
      <c r="J147" s="8" t="str">
        <f t="shared" ref="J147:J210" si="23">IF(OR(TaxaJuros="",C147=""),"",IF(C147&lt;DataRecebimento,"INFERIOR!",D147+SUM(F147:I147)))</f>
        <v/>
      </c>
      <c r="K147" s="38" t="str">
        <f t="shared" ref="K147:K210" si="24">IF(OR(TaxaJuros="",C147=""),"",IF(C147&lt;DataRecebimento,"ERRO!",100%-J147/D147))</f>
        <v/>
      </c>
      <c r="N147" s="59" t="str">
        <f t="shared" si="17"/>
        <v/>
      </c>
      <c r="O147" s="59" t="str">
        <f t="shared" ref="O147:O210" si="25">IF(N147="","",PV(TMA_Dia,E147,,-N147))</f>
        <v/>
      </c>
    </row>
    <row r="148" spans="3:15" x14ac:dyDescent="0.25">
      <c r="C148" s="47"/>
      <c r="D148" s="48"/>
      <c r="E148" s="7" t="str">
        <f t="shared" si="18"/>
        <v/>
      </c>
      <c r="F148" s="8" t="str">
        <f t="shared" si="19"/>
        <v/>
      </c>
      <c r="G148" s="8" t="str">
        <f t="shared" si="20"/>
        <v/>
      </c>
      <c r="H148" s="37" t="str">
        <f t="shared" si="21"/>
        <v/>
      </c>
      <c r="I148" s="37" t="str">
        <f t="shared" si="22"/>
        <v/>
      </c>
      <c r="J148" s="8" t="str">
        <f t="shared" si="23"/>
        <v/>
      </c>
      <c r="K148" s="38" t="str">
        <f t="shared" si="24"/>
        <v/>
      </c>
      <c r="N148" s="59" t="str">
        <f t="shared" ref="N148:N211" si="26">IF(C148="","",-D148)</f>
        <v/>
      </c>
      <c r="O148" s="59" t="str">
        <f t="shared" si="25"/>
        <v/>
      </c>
    </row>
    <row r="149" spans="3:15" x14ac:dyDescent="0.25">
      <c r="C149" s="47"/>
      <c r="D149" s="48"/>
      <c r="E149" s="7" t="str">
        <f t="shared" si="18"/>
        <v/>
      </c>
      <c r="F149" s="8" t="str">
        <f t="shared" si="19"/>
        <v/>
      </c>
      <c r="G149" s="8" t="str">
        <f t="shared" si="20"/>
        <v/>
      </c>
      <c r="H149" s="37" t="str">
        <f t="shared" si="21"/>
        <v/>
      </c>
      <c r="I149" s="37" t="str">
        <f t="shared" si="22"/>
        <v/>
      </c>
      <c r="J149" s="8" t="str">
        <f t="shared" si="23"/>
        <v/>
      </c>
      <c r="K149" s="38" t="str">
        <f t="shared" si="24"/>
        <v/>
      </c>
      <c r="N149" s="59" t="str">
        <f t="shared" si="26"/>
        <v/>
      </c>
      <c r="O149" s="59" t="str">
        <f t="shared" si="25"/>
        <v/>
      </c>
    </row>
    <row r="150" spans="3:15" x14ac:dyDescent="0.25">
      <c r="C150" s="47"/>
      <c r="D150" s="48"/>
      <c r="E150" s="7" t="str">
        <f t="shared" si="18"/>
        <v/>
      </c>
      <c r="F150" s="8" t="str">
        <f t="shared" si="19"/>
        <v/>
      </c>
      <c r="G150" s="8" t="str">
        <f t="shared" si="20"/>
        <v/>
      </c>
      <c r="H150" s="37" t="str">
        <f t="shared" si="21"/>
        <v/>
      </c>
      <c r="I150" s="37" t="str">
        <f t="shared" si="22"/>
        <v/>
      </c>
      <c r="J150" s="8" t="str">
        <f t="shared" si="23"/>
        <v/>
      </c>
      <c r="K150" s="38" t="str">
        <f t="shared" si="24"/>
        <v/>
      </c>
      <c r="N150" s="59" t="str">
        <f t="shared" si="26"/>
        <v/>
      </c>
      <c r="O150" s="59" t="str">
        <f t="shared" si="25"/>
        <v/>
      </c>
    </row>
    <row r="151" spans="3:15" x14ac:dyDescent="0.25">
      <c r="C151" s="47"/>
      <c r="D151" s="48"/>
      <c r="E151" s="7" t="str">
        <f t="shared" si="18"/>
        <v/>
      </c>
      <c r="F151" s="8" t="str">
        <f t="shared" si="19"/>
        <v/>
      </c>
      <c r="G151" s="8" t="str">
        <f t="shared" si="20"/>
        <v/>
      </c>
      <c r="H151" s="37" t="str">
        <f t="shared" si="21"/>
        <v/>
      </c>
      <c r="I151" s="37" t="str">
        <f t="shared" si="22"/>
        <v/>
      </c>
      <c r="J151" s="8" t="str">
        <f t="shared" si="23"/>
        <v/>
      </c>
      <c r="K151" s="38" t="str">
        <f t="shared" si="24"/>
        <v/>
      </c>
      <c r="N151" s="59" t="str">
        <f t="shared" si="26"/>
        <v/>
      </c>
      <c r="O151" s="59" t="str">
        <f t="shared" si="25"/>
        <v/>
      </c>
    </row>
    <row r="152" spans="3:15" x14ac:dyDescent="0.25">
      <c r="C152" s="47"/>
      <c r="D152" s="48"/>
      <c r="E152" s="7" t="str">
        <f t="shared" si="18"/>
        <v/>
      </c>
      <c r="F152" s="8" t="str">
        <f t="shared" si="19"/>
        <v/>
      </c>
      <c r="G152" s="8" t="str">
        <f t="shared" si="20"/>
        <v/>
      </c>
      <c r="H152" s="37" t="str">
        <f t="shared" si="21"/>
        <v/>
      </c>
      <c r="I152" s="37" t="str">
        <f t="shared" si="22"/>
        <v/>
      </c>
      <c r="J152" s="8" t="str">
        <f t="shared" si="23"/>
        <v/>
      </c>
      <c r="K152" s="38" t="str">
        <f t="shared" si="24"/>
        <v/>
      </c>
      <c r="N152" s="59" t="str">
        <f t="shared" si="26"/>
        <v/>
      </c>
      <c r="O152" s="59" t="str">
        <f t="shared" si="25"/>
        <v/>
      </c>
    </row>
    <row r="153" spans="3:15" x14ac:dyDescent="0.25">
      <c r="C153" s="47"/>
      <c r="D153" s="48"/>
      <c r="E153" s="7" t="str">
        <f t="shared" si="18"/>
        <v/>
      </c>
      <c r="F153" s="8" t="str">
        <f t="shared" si="19"/>
        <v/>
      </c>
      <c r="G153" s="8" t="str">
        <f t="shared" si="20"/>
        <v/>
      </c>
      <c r="H153" s="37" t="str">
        <f t="shared" si="21"/>
        <v/>
      </c>
      <c r="I153" s="37" t="str">
        <f t="shared" si="22"/>
        <v/>
      </c>
      <c r="J153" s="8" t="str">
        <f t="shared" si="23"/>
        <v/>
      </c>
      <c r="K153" s="38" t="str">
        <f t="shared" si="24"/>
        <v/>
      </c>
      <c r="N153" s="59" t="str">
        <f t="shared" si="26"/>
        <v/>
      </c>
      <c r="O153" s="59" t="str">
        <f t="shared" si="25"/>
        <v/>
      </c>
    </row>
    <row r="154" spans="3:15" x14ac:dyDescent="0.25">
      <c r="C154" s="47"/>
      <c r="D154" s="48"/>
      <c r="E154" s="7" t="str">
        <f t="shared" si="18"/>
        <v/>
      </c>
      <c r="F154" s="8" t="str">
        <f t="shared" si="19"/>
        <v/>
      </c>
      <c r="G154" s="8" t="str">
        <f t="shared" si="20"/>
        <v/>
      </c>
      <c r="H154" s="37" t="str">
        <f t="shared" si="21"/>
        <v/>
      </c>
      <c r="I154" s="37" t="str">
        <f t="shared" si="22"/>
        <v/>
      </c>
      <c r="J154" s="8" t="str">
        <f t="shared" si="23"/>
        <v/>
      </c>
      <c r="K154" s="38" t="str">
        <f t="shared" si="24"/>
        <v/>
      </c>
      <c r="N154" s="59" t="str">
        <f t="shared" si="26"/>
        <v/>
      </c>
      <c r="O154" s="59" t="str">
        <f t="shared" si="25"/>
        <v/>
      </c>
    </row>
    <row r="155" spans="3:15" x14ac:dyDescent="0.25">
      <c r="C155" s="47"/>
      <c r="D155" s="48"/>
      <c r="E155" s="7" t="str">
        <f t="shared" si="18"/>
        <v/>
      </c>
      <c r="F155" s="8" t="str">
        <f t="shared" si="19"/>
        <v/>
      </c>
      <c r="G155" s="8" t="str">
        <f t="shared" si="20"/>
        <v/>
      </c>
      <c r="H155" s="37" t="str">
        <f t="shared" si="21"/>
        <v/>
      </c>
      <c r="I155" s="37" t="str">
        <f t="shared" si="22"/>
        <v/>
      </c>
      <c r="J155" s="8" t="str">
        <f t="shared" si="23"/>
        <v/>
      </c>
      <c r="K155" s="38" t="str">
        <f t="shared" si="24"/>
        <v/>
      </c>
      <c r="N155" s="59" t="str">
        <f t="shared" si="26"/>
        <v/>
      </c>
      <c r="O155" s="59" t="str">
        <f t="shared" si="25"/>
        <v/>
      </c>
    </row>
    <row r="156" spans="3:15" x14ac:dyDescent="0.25">
      <c r="C156" s="47"/>
      <c r="D156" s="48"/>
      <c r="E156" s="7" t="str">
        <f t="shared" si="18"/>
        <v/>
      </c>
      <c r="F156" s="8" t="str">
        <f t="shared" si="19"/>
        <v/>
      </c>
      <c r="G156" s="8" t="str">
        <f t="shared" si="20"/>
        <v/>
      </c>
      <c r="H156" s="37" t="str">
        <f t="shared" si="21"/>
        <v/>
      </c>
      <c r="I156" s="37" t="str">
        <f t="shared" si="22"/>
        <v/>
      </c>
      <c r="J156" s="8" t="str">
        <f t="shared" si="23"/>
        <v/>
      </c>
      <c r="K156" s="38" t="str">
        <f t="shared" si="24"/>
        <v/>
      </c>
      <c r="N156" s="59" t="str">
        <f t="shared" si="26"/>
        <v/>
      </c>
      <c r="O156" s="59" t="str">
        <f t="shared" si="25"/>
        <v/>
      </c>
    </row>
    <row r="157" spans="3:15" x14ac:dyDescent="0.25">
      <c r="C157" s="47"/>
      <c r="D157" s="48"/>
      <c r="E157" s="7" t="str">
        <f t="shared" si="18"/>
        <v/>
      </c>
      <c r="F157" s="8" t="str">
        <f t="shared" si="19"/>
        <v/>
      </c>
      <c r="G157" s="8" t="str">
        <f t="shared" si="20"/>
        <v/>
      </c>
      <c r="H157" s="37" t="str">
        <f t="shared" si="21"/>
        <v/>
      </c>
      <c r="I157" s="37" t="str">
        <f t="shared" si="22"/>
        <v/>
      </c>
      <c r="J157" s="8" t="str">
        <f t="shared" si="23"/>
        <v/>
      </c>
      <c r="K157" s="38" t="str">
        <f t="shared" si="24"/>
        <v/>
      </c>
      <c r="N157" s="59" t="str">
        <f t="shared" si="26"/>
        <v/>
      </c>
      <c r="O157" s="59" t="str">
        <f t="shared" si="25"/>
        <v/>
      </c>
    </row>
    <row r="158" spans="3:15" x14ac:dyDescent="0.25">
      <c r="C158" s="47"/>
      <c r="D158" s="48"/>
      <c r="E158" s="7" t="str">
        <f t="shared" si="18"/>
        <v/>
      </c>
      <c r="F158" s="8" t="str">
        <f t="shared" si="19"/>
        <v/>
      </c>
      <c r="G158" s="8" t="str">
        <f t="shared" si="20"/>
        <v/>
      </c>
      <c r="H158" s="37" t="str">
        <f t="shared" si="21"/>
        <v/>
      </c>
      <c r="I158" s="37" t="str">
        <f t="shared" si="22"/>
        <v/>
      </c>
      <c r="J158" s="8" t="str">
        <f t="shared" si="23"/>
        <v/>
      </c>
      <c r="K158" s="38" t="str">
        <f t="shared" si="24"/>
        <v/>
      </c>
      <c r="N158" s="59" t="str">
        <f t="shared" si="26"/>
        <v/>
      </c>
      <c r="O158" s="59" t="str">
        <f t="shared" si="25"/>
        <v/>
      </c>
    </row>
    <row r="159" spans="3:15" x14ac:dyDescent="0.25">
      <c r="C159" s="47"/>
      <c r="D159" s="48"/>
      <c r="E159" s="7" t="str">
        <f t="shared" si="18"/>
        <v/>
      </c>
      <c r="F159" s="8" t="str">
        <f t="shared" si="19"/>
        <v/>
      </c>
      <c r="G159" s="8" t="str">
        <f t="shared" si="20"/>
        <v/>
      </c>
      <c r="H159" s="37" t="str">
        <f t="shared" si="21"/>
        <v/>
      </c>
      <c r="I159" s="37" t="str">
        <f t="shared" si="22"/>
        <v/>
      </c>
      <c r="J159" s="8" t="str">
        <f t="shared" si="23"/>
        <v/>
      </c>
      <c r="K159" s="38" t="str">
        <f t="shared" si="24"/>
        <v/>
      </c>
      <c r="N159" s="59" t="str">
        <f t="shared" si="26"/>
        <v/>
      </c>
      <c r="O159" s="59" t="str">
        <f t="shared" si="25"/>
        <v/>
      </c>
    </row>
    <row r="160" spans="3:15" x14ac:dyDescent="0.25">
      <c r="C160" s="47"/>
      <c r="D160" s="48"/>
      <c r="E160" s="7" t="str">
        <f t="shared" si="18"/>
        <v/>
      </c>
      <c r="F160" s="8" t="str">
        <f t="shared" si="19"/>
        <v/>
      </c>
      <c r="G160" s="8" t="str">
        <f t="shared" si="20"/>
        <v/>
      </c>
      <c r="H160" s="37" t="str">
        <f t="shared" si="21"/>
        <v/>
      </c>
      <c r="I160" s="37" t="str">
        <f t="shared" si="22"/>
        <v/>
      </c>
      <c r="J160" s="8" t="str">
        <f t="shared" si="23"/>
        <v/>
      </c>
      <c r="K160" s="38" t="str">
        <f t="shared" si="24"/>
        <v/>
      </c>
      <c r="N160" s="59" t="str">
        <f t="shared" si="26"/>
        <v/>
      </c>
      <c r="O160" s="59" t="str">
        <f t="shared" si="25"/>
        <v/>
      </c>
    </row>
    <row r="161" spans="3:15" x14ac:dyDescent="0.25">
      <c r="C161" s="47"/>
      <c r="D161" s="48"/>
      <c r="E161" s="7" t="str">
        <f t="shared" si="18"/>
        <v/>
      </c>
      <c r="F161" s="8" t="str">
        <f t="shared" si="19"/>
        <v/>
      </c>
      <c r="G161" s="8" t="str">
        <f t="shared" si="20"/>
        <v/>
      </c>
      <c r="H161" s="37" t="str">
        <f t="shared" si="21"/>
        <v/>
      </c>
      <c r="I161" s="37" t="str">
        <f t="shared" si="22"/>
        <v/>
      </c>
      <c r="J161" s="8" t="str">
        <f t="shared" si="23"/>
        <v/>
      </c>
      <c r="K161" s="38" t="str">
        <f t="shared" si="24"/>
        <v/>
      </c>
      <c r="N161" s="59" t="str">
        <f t="shared" si="26"/>
        <v/>
      </c>
      <c r="O161" s="59" t="str">
        <f t="shared" si="25"/>
        <v/>
      </c>
    </row>
    <row r="162" spans="3:15" x14ac:dyDescent="0.25">
      <c r="C162" s="47"/>
      <c r="D162" s="48"/>
      <c r="E162" s="7" t="str">
        <f t="shared" si="18"/>
        <v/>
      </c>
      <c r="F162" s="8" t="str">
        <f t="shared" si="19"/>
        <v/>
      </c>
      <c r="G162" s="8" t="str">
        <f t="shared" si="20"/>
        <v/>
      </c>
      <c r="H162" s="37" t="str">
        <f t="shared" si="21"/>
        <v/>
      </c>
      <c r="I162" s="37" t="str">
        <f t="shared" si="22"/>
        <v/>
      </c>
      <c r="J162" s="8" t="str">
        <f t="shared" si="23"/>
        <v/>
      </c>
      <c r="K162" s="38" t="str">
        <f t="shared" si="24"/>
        <v/>
      </c>
      <c r="N162" s="59" t="str">
        <f t="shared" si="26"/>
        <v/>
      </c>
      <c r="O162" s="59" t="str">
        <f t="shared" si="25"/>
        <v/>
      </c>
    </row>
    <row r="163" spans="3:15" x14ac:dyDescent="0.25">
      <c r="C163" s="47"/>
      <c r="D163" s="48"/>
      <c r="E163" s="7" t="str">
        <f t="shared" si="18"/>
        <v/>
      </c>
      <c r="F163" s="8" t="str">
        <f t="shared" si="19"/>
        <v/>
      </c>
      <c r="G163" s="8" t="str">
        <f t="shared" si="20"/>
        <v/>
      </c>
      <c r="H163" s="37" t="str">
        <f t="shared" si="21"/>
        <v/>
      </c>
      <c r="I163" s="37" t="str">
        <f t="shared" si="22"/>
        <v/>
      </c>
      <c r="J163" s="8" t="str">
        <f t="shared" si="23"/>
        <v/>
      </c>
      <c r="K163" s="38" t="str">
        <f t="shared" si="24"/>
        <v/>
      </c>
      <c r="N163" s="59" t="str">
        <f t="shared" si="26"/>
        <v/>
      </c>
      <c r="O163" s="59" t="str">
        <f t="shared" si="25"/>
        <v/>
      </c>
    </row>
    <row r="164" spans="3:15" x14ac:dyDescent="0.25">
      <c r="C164" s="47"/>
      <c r="D164" s="48"/>
      <c r="E164" s="7" t="str">
        <f t="shared" si="18"/>
        <v/>
      </c>
      <c r="F164" s="8" t="str">
        <f t="shared" si="19"/>
        <v/>
      </c>
      <c r="G164" s="8" t="str">
        <f t="shared" si="20"/>
        <v/>
      </c>
      <c r="H164" s="37" t="str">
        <f t="shared" si="21"/>
        <v/>
      </c>
      <c r="I164" s="37" t="str">
        <f t="shared" si="22"/>
        <v/>
      </c>
      <c r="J164" s="8" t="str">
        <f t="shared" si="23"/>
        <v/>
      </c>
      <c r="K164" s="38" t="str">
        <f t="shared" si="24"/>
        <v/>
      </c>
      <c r="N164" s="59" t="str">
        <f t="shared" si="26"/>
        <v/>
      </c>
      <c r="O164" s="59" t="str">
        <f t="shared" si="25"/>
        <v/>
      </c>
    </row>
    <row r="165" spans="3:15" x14ac:dyDescent="0.25">
      <c r="C165" s="47"/>
      <c r="D165" s="48"/>
      <c r="E165" s="7" t="str">
        <f t="shared" si="18"/>
        <v/>
      </c>
      <c r="F165" s="8" t="str">
        <f t="shared" si="19"/>
        <v/>
      </c>
      <c r="G165" s="8" t="str">
        <f t="shared" si="20"/>
        <v/>
      </c>
      <c r="H165" s="37" t="str">
        <f t="shared" si="21"/>
        <v/>
      </c>
      <c r="I165" s="37" t="str">
        <f t="shared" si="22"/>
        <v/>
      </c>
      <c r="J165" s="8" t="str">
        <f t="shared" si="23"/>
        <v/>
      </c>
      <c r="K165" s="38" t="str">
        <f t="shared" si="24"/>
        <v/>
      </c>
      <c r="N165" s="59" t="str">
        <f t="shared" si="26"/>
        <v/>
      </c>
      <c r="O165" s="59" t="str">
        <f t="shared" si="25"/>
        <v/>
      </c>
    </row>
    <row r="166" spans="3:15" x14ac:dyDescent="0.25">
      <c r="C166" s="47"/>
      <c r="D166" s="48"/>
      <c r="E166" s="7" t="str">
        <f t="shared" si="18"/>
        <v/>
      </c>
      <c r="F166" s="8" t="str">
        <f t="shared" si="19"/>
        <v/>
      </c>
      <c r="G166" s="8" t="str">
        <f t="shared" si="20"/>
        <v/>
      </c>
      <c r="H166" s="37" t="str">
        <f t="shared" si="21"/>
        <v/>
      </c>
      <c r="I166" s="37" t="str">
        <f t="shared" si="22"/>
        <v/>
      </c>
      <c r="J166" s="8" t="str">
        <f t="shared" si="23"/>
        <v/>
      </c>
      <c r="K166" s="38" t="str">
        <f t="shared" si="24"/>
        <v/>
      </c>
      <c r="N166" s="59" t="str">
        <f t="shared" si="26"/>
        <v/>
      </c>
      <c r="O166" s="59" t="str">
        <f t="shared" si="25"/>
        <v/>
      </c>
    </row>
    <row r="167" spans="3:15" x14ac:dyDescent="0.25">
      <c r="C167" s="47"/>
      <c r="D167" s="48"/>
      <c r="E167" s="7" t="str">
        <f t="shared" si="18"/>
        <v/>
      </c>
      <c r="F167" s="8" t="str">
        <f t="shared" si="19"/>
        <v/>
      </c>
      <c r="G167" s="8" t="str">
        <f t="shared" si="20"/>
        <v/>
      </c>
      <c r="H167" s="37" t="str">
        <f t="shared" si="21"/>
        <v/>
      </c>
      <c r="I167" s="37" t="str">
        <f t="shared" si="22"/>
        <v/>
      </c>
      <c r="J167" s="8" t="str">
        <f t="shared" si="23"/>
        <v/>
      </c>
      <c r="K167" s="38" t="str">
        <f t="shared" si="24"/>
        <v/>
      </c>
      <c r="N167" s="59" t="str">
        <f t="shared" si="26"/>
        <v/>
      </c>
      <c r="O167" s="59" t="str">
        <f t="shared" si="25"/>
        <v/>
      </c>
    </row>
    <row r="168" spans="3:15" x14ac:dyDescent="0.25">
      <c r="C168" s="47"/>
      <c r="D168" s="48"/>
      <c r="E168" s="7" t="str">
        <f t="shared" si="18"/>
        <v/>
      </c>
      <c r="F168" s="8" t="str">
        <f t="shared" si="19"/>
        <v/>
      </c>
      <c r="G168" s="8" t="str">
        <f t="shared" si="20"/>
        <v/>
      </c>
      <c r="H168" s="37" t="str">
        <f t="shared" si="21"/>
        <v/>
      </c>
      <c r="I168" s="37" t="str">
        <f t="shared" si="22"/>
        <v/>
      </c>
      <c r="J168" s="8" t="str">
        <f t="shared" si="23"/>
        <v/>
      </c>
      <c r="K168" s="38" t="str">
        <f t="shared" si="24"/>
        <v/>
      </c>
      <c r="N168" s="59" t="str">
        <f t="shared" si="26"/>
        <v/>
      </c>
      <c r="O168" s="59" t="str">
        <f t="shared" si="25"/>
        <v/>
      </c>
    </row>
    <row r="169" spans="3:15" x14ac:dyDescent="0.25">
      <c r="C169" s="47"/>
      <c r="D169" s="48"/>
      <c r="E169" s="7" t="str">
        <f t="shared" si="18"/>
        <v/>
      </c>
      <c r="F169" s="8" t="str">
        <f t="shared" si="19"/>
        <v/>
      </c>
      <c r="G169" s="8" t="str">
        <f t="shared" si="20"/>
        <v/>
      </c>
      <c r="H169" s="37" t="str">
        <f t="shared" si="21"/>
        <v/>
      </c>
      <c r="I169" s="37" t="str">
        <f t="shared" si="22"/>
        <v/>
      </c>
      <c r="J169" s="8" t="str">
        <f t="shared" si="23"/>
        <v/>
      </c>
      <c r="K169" s="38" t="str">
        <f t="shared" si="24"/>
        <v/>
      </c>
      <c r="N169" s="59" t="str">
        <f t="shared" si="26"/>
        <v/>
      </c>
      <c r="O169" s="59" t="str">
        <f t="shared" si="25"/>
        <v/>
      </c>
    </row>
    <row r="170" spans="3:15" x14ac:dyDescent="0.25">
      <c r="C170" s="47"/>
      <c r="D170" s="48"/>
      <c r="E170" s="7" t="str">
        <f t="shared" si="18"/>
        <v/>
      </c>
      <c r="F170" s="8" t="str">
        <f t="shared" si="19"/>
        <v/>
      </c>
      <c r="G170" s="8" t="str">
        <f t="shared" si="20"/>
        <v/>
      </c>
      <c r="H170" s="37" t="str">
        <f t="shared" si="21"/>
        <v/>
      </c>
      <c r="I170" s="37" t="str">
        <f t="shared" si="22"/>
        <v/>
      </c>
      <c r="J170" s="8" t="str">
        <f t="shared" si="23"/>
        <v/>
      </c>
      <c r="K170" s="38" t="str">
        <f t="shared" si="24"/>
        <v/>
      </c>
      <c r="N170" s="59" t="str">
        <f t="shared" si="26"/>
        <v/>
      </c>
      <c r="O170" s="59" t="str">
        <f t="shared" si="25"/>
        <v/>
      </c>
    </row>
    <row r="171" spans="3:15" x14ac:dyDescent="0.25">
      <c r="C171" s="47"/>
      <c r="D171" s="48"/>
      <c r="E171" s="7" t="str">
        <f t="shared" si="18"/>
        <v/>
      </c>
      <c r="F171" s="8" t="str">
        <f t="shared" si="19"/>
        <v/>
      </c>
      <c r="G171" s="8" t="str">
        <f t="shared" si="20"/>
        <v/>
      </c>
      <c r="H171" s="37" t="str">
        <f t="shared" si="21"/>
        <v/>
      </c>
      <c r="I171" s="37" t="str">
        <f t="shared" si="22"/>
        <v/>
      </c>
      <c r="J171" s="8" t="str">
        <f t="shared" si="23"/>
        <v/>
      </c>
      <c r="K171" s="38" t="str">
        <f t="shared" si="24"/>
        <v/>
      </c>
      <c r="N171" s="59" t="str">
        <f t="shared" si="26"/>
        <v/>
      </c>
      <c r="O171" s="59" t="str">
        <f t="shared" si="25"/>
        <v/>
      </c>
    </row>
    <row r="172" spans="3:15" x14ac:dyDescent="0.25">
      <c r="C172" s="47"/>
      <c r="D172" s="48"/>
      <c r="E172" s="7" t="str">
        <f t="shared" si="18"/>
        <v/>
      </c>
      <c r="F172" s="8" t="str">
        <f t="shared" si="19"/>
        <v/>
      </c>
      <c r="G172" s="8" t="str">
        <f t="shared" si="20"/>
        <v/>
      </c>
      <c r="H172" s="37" t="str">
        <f t="shared" si="21"/>
        <v/>
      </c>
      <c r="I172" s="37" t="str">
        <f t="shared" si="22"/>
        <v/>
      </c>
      <c r="J172" s="8" t="str">
        <f t="shared" si="23"/>
        <v/>
      </c>
      <c r="K172" s="38" t="str">
        <f t="shared" si="24"/>
        <v/>
      </c>
      <c r="N172" s="59" t="str">
        <f t="shared" si="26"/>
        <v/>
      </c>
      <c r="O172" s="59" t="str">
        <f t="shared" si="25"/>
        <v/>
      </c>
    </row>
    <row r="173" spans="3:15" x14ac:dyDescent="0.25">
      <c r="C173" s="47"/>
      <c r="D173" s="48"/>
      <c r="E173" s="7" t="str">
        <f t="shared" si="18"/>
        <v/>
      </c>
      <c r="F173" s="8" t="str">
        <f t="shared" si="19"/>
        <v/>
      </c>
      <c r="G173" s="8" t="str">
        <f t="shared" si="20"/>
        <v/>
      </c>
      <c r="H173" s="37" t="str">
        <f t="shared" si="21"/>
        <v/>
      </c>
      <c r="I173" s="37" t="str">
        <f t="shared" si="22"/>
        <v/>
      </c>
      <c r="J173" s="8" t="str">
        <f t="shared" si="23"/>
        <v/>
      </c>
      <c r="K173" s="38" t="str">
        <f t="shared" si="24"/>
        <v/>
      </c>
      <c r="N173" s="59" t="str">
        <f t="shared" si="26"/>
        <v/>
      </c>
      <c r="O173" s="59" t="str">
        <f t="shared" si="25"/>
        <v/>
      </c>
    </row>
    <row r="174" spans="3:15" x14ac:dyDescent="0.25">
      <c r="C174" s="47"/>
      <c r="D174" s="48"/>
      <c r="E174" s="7" t="str">
        <f t="shared" si="18"/>
        <v/>
      </c>
      <c r="F174" s="8" t="str">
        <f t="shared" si="19"/>
        <v/>
      </c>
      <c r="G174" s="8" t="str">
        <f t="shared" si="20"/>
        <v/>
      </c>
      <c r="H174" s="37" t="str">
        <f t="shared" si="21"/>
        <v/>
      </c>
      <c r="I174" s="37" t="str">
        <f t="shared" si="22"/>
        <v/>
      </c>
      <c r="J174" s="8" t="str">
        <f t="shared" si="23"/>
        <v/>
      </c>
      <c r="K174" s="38" t="str">
        <f t="shared" si="24"/>
        <v/>
      </c>
      <c r="N174" s="59" t="str">
        <f t="shared" si="26"/>
        <v/>
      </c>
      <c r="O174" s="59" t="str">
        <f t="shared" si="25"/>
        <v/>
      </c>
    </row>
    <row r="175" spans="3:15" x14ac:dyDescent="0.25">
      <c r="C175" s="47"/>
      <c r="D175" s="48"/>
      <c r="E175" s="7" t="str">
        <f t="shared" si="18"/>
        <v/>
      </c>
      <c r="F175" s="8" t="str">
        <f t="shared" si="19"/>
        <v/>
      </c>
      <c r="G175" s="8" t="str">
        <f t="shared" si="20"/>
        <v/>
      </c>
      <c r="H175" s="37" t="str">
        <f t="shared" si="21"/>
        <v/>
      </c>
      <c r="I175" s="37" t="str">
        <f t="shared" si="22"/>
        <v/>
      </c>
      <c r="J175" s="8" t="str">
        <f t="shared" si="23"/>
        <v/>
      </c>
      <c r="K175" s="38" t="str">
        <f t="shared" si="24"/>
        <v/>
      </c>
      <c r="N175" s="59" t="str">
        <f t="shared" si="26"/>
        <v/>
      </c>
      <c r="O175" s="59" t="str">
        <f t="shared" si="25"/>
        <v/>
      </c>
    </row>
    <row r="176" spans="3:15" x14ac:dyDescent="0.25">
      <c r="C176" s="47"/>
      <c r="D176" s="48"/>
      <c r="E176" s="7" t="str">
        <f t="shared" si="18"/>
        <v/>
      </c>
      <c r="F176" s="8" t="str">
        <f t="shared" si="19"/>
        <v/>
      </c>
      <c r="G176" s="8" t="str">
        <f t="shared" si="20"/>
        <v/>
      </c>
      <c r="H176" s="37" t="str">
        <f t="shared" si="21"/>
        <v/>
      </c>
      <c r="I176" s="37" t="str">
        <f t="shared" si="22"/>
        <v/>
      </c>
      <c r="J176" s="8" t="str">
        <f t="shared" si="23"/>
        <v/>
      </c>
      <c r="K176" s="38" t="str">
        <f t="shared" si="24"/>
        <v/>
      </c>
      <c r="N176" s="59" t="str">
        <f t="shared" si="26"/>
        <v/>
      </c>
      <c r="O176" s="59" t="str">
        <f t="shared" si="25"/>
        <v/>
      </c>
    </row>
    <row r="177" spans="3:15" x14ac:dyDescent="0.25">
      <c r="C177" s="47"/>
      <c r="D177" s="48"/>
      <c r="E177" s="7" t="str">
        <f t="shared" si="18"/>
        <v/>
      </c>
      <c r="F177" s="8" t="str">
        <f t="shared" si="19"/>
        <v/>
      </c>
      <c r="G177" s="8" t="str">
        <f t="shared" si="20"/>
        <v/>
      </c>
      <c r="H177" s="37" t="str">
        <f t="shared" si="21"/>
        <v/>
      </c>
      <c r="I177" s="37" t="str">
        <f t="shared" si="22"/>
        <v/>
      </c>
      <c r="J177" s="8" t="str">
        <f t="shared" si="23"/>
        <v/>
      </c>
      <c r="K177" s="38" t="str">
        <f t="shared" si="24"/>
        <v/>
      </c>
      <c r="N177" s="59" t="str">
        <f t="shared" si="26"/>
        <v/>
      </c>
      <c r="O177" s="59" t="str">
        <f t="shared" si="25"/>
        <v/>
      </c>
    </row>
    <row r="178" spans="3:15" x14ac:dyDescent="0.25">
      <c r="C178" s="47"/>
      <c r="D178" s="48"/>
      <c r="E178" s="7" t="str">
        <f t="shared" si="18"/>
        <v/>
      </c>
      <c r="F178" s="8" t="str">
        <f t="shared" si="19"/>
        <v/>
      </c>
      <c r="G178" s="8" t="str">
        <f t="shared" si="20"/>
        <v/>
      </c>
      <c r="H178" s="37" t="str">
        <f t="shared" si="21"/>
        <v/>
      </c>
      <c r="I178" s="37" t="str">
        <f t="shared" si="22"/>
        <v/>
      </c>
      <c r="J178" s="8" t="str">
        <f t="shared" si="23"/>
        <v/>
      </c>
      <c r="K178" s="38" t="str">
        <f t="shared" si="24"/>
        <v/>
      </c>
      <c r="N178" s="59" t="str">
        <f t="shared" si="26"/>
        <v/>
      </c>
      <c r="O178" s="59" t="str">
        <f t="shared" si="25"/>
        <v/>
      </c>
    </row>
    <row r="179" spans="3:15" x14ac:dyDescent="0.25">
      <c r="C179" s="47"/>
      <c r="D179" s="48"/>
      <c r="E179" s="7" t="str">
        <f t="shared" si="18"/>
        <v/>
      </c>
      <c r="F179" s="8" t="str">
        <f t="shared" si="19"/>
        <v/>
      </c>
      <c r="G179" s="8" t="str">
        <f t="shared" si="20"/>
        <v/>
      </c>
      <c r="H179" s="37" t="str">
        <f t="shared" si="21"/>
        <v/>
      </c>
      <c r="I179" s="37" t="str">
        <f t="shared" si="22"/>
        <v/>
      </c>
      <c r="J179" s="8" t="str">
        <f t="shared" si="23"/>
        <v/>
      </c>
      <c r="K179" s="38" t="str">
        <f t="shared" si="24"/>
        <v/>
      </c>
      <c r="N179" s="59" t="str">
        <f t="shared" si="26"/>
        <v/>
      </c>
      <c r="O179" s="59" t="str">
        <f t="shared" si="25"/>
        <v/>
      </c>
    </row>
    <row r="180" spans="3:15" x14ac:dyDescent="0.25">
      <c r="C180" s="47"/>
      <c r="D180" s="48"/>
      <c r="E180" s="7" t="str">
        <f t="shared" si="18"/>
        <v/>
      </c>
      <c r="F180" s="8" t="str">
        <f t="shared" si="19"/>
        <v/>
      </c>
      <c r="G180" s="8" t="str">
        <f t="shared" si="20"/>
        <v/>
      </c>
      <c r="H180" s="37" t="str">
        <f t="shared" si="21"/>
        <v/>
      </c>
      <c r="I180" s="37" t="str">
        <f t="shared" si="22"/>
        <v/>
      </c>
      <c r="J180" s="8" t="str">
        <f t="shared" si="23"/>
        <v/>
      </c>
      <c r="K180" s="38" t="str">
        <f t="shared" si="24"/>
        <v/>
      </c>
      <c r="N180" s="59" t="str">
        <f t="shared" si="26"/>
        <v/>
      </c>
      <c r="O180" s="59" t="str">
        <f t="shared" si="25"/>
        <v/>
      </c>
    </row>
    <row r="181" spans="3:15" x14ac:dyDescent="0.25">
      <c r="C181" s="47"/>
      <c r="D181" s="48"/>
      <c r="E181" s="7" t="str">
        <f t="shared" si="18"/>
        <v/>
      </c>
      <c r="F181" s="8" t="str">
        <f t="shared" si="19"/>
        <v/>
      </c>
      <c r="G181" s="8" t="str">
        <f t="shared" si="20"/>
        <v/>
      </c>
      <c r="H181" s="37" t="str">
        <f t="shared" si="21"/>
        <v/>
      </c>
      <c r="I181" s="37" t="str">
        <f t="shared" si="22"/>
        <v/>
      </c>
      <c r="J181" s="8" t="str">
        <f t="shared" si="23"/>
        <v/>
      </c>
      <c r="K181" s="38" t="str">
        <f t="shared" si="24"/>
        <v/>
      </c>
      <c r="N181" s="59" t="str">
        <f t="shared" si="26"/>
        <v/>
      </c>
      <c r="O181" s="59" t="str">
        <f t="shared" si="25"/>
        <v/>
      </c>
    </row>
    <row r="182" spans="3:15" x14ac:dyDescent="0.25">
      <c r="C182" s="47"/>
      <c r="D182" s="48"/>
      <c r="E182" s="7" t="str">
        <f t="shared" si="18"/>
        <v/>
      </c>
      <c r="F182" s="8" t="str">
        <f t="shared" si="19"/>
        <v/>
      </c>
      <c r="G182" s="8" t="str">
        <f t="shared" si="20"/>
        <v/>
      </c>
      <c r="H182" s="37" t="str">
        <f t="shared" si="21"/>
        <v/>
      </c>
      <c r="I182" s="37" t="str">
        <f t="shared" si="22"/>
        <v/>
      </c>
      <c r="J182" s="8" t="str">
        <f t="shared" si="23"/>
        <v/>
      </c>
      <c r="K182" s="38" t="str">
        <f t="shared" si="24"/>
        <v/>
      </c>
      <c r="N182" s="59" t="str">
        <f t="shared" si="26"/>
        <v/>
      </c>
      <c r="O182" s="59" t="str">
        <f t="shared" si="25"/>
        <v/>
      </c>
    </row>
    <row r="183" spans="3:15" x14ac:dyDescent="0.25">
      <c r="C183" s="47"/>
      <c r="D183" s="48"/>
      <c r="E183" s="7" t="str">
        <f t="shared" si="18"/>
        <v/>
      </c>
      <c r="F183" s="8" t="str">
        <f t="shared" si="19"/>
        <v/>
      </c>
      <c r="G183" s="8" t="str">
        <f t="shared" si="20"/>
        <v/>
      </c>
      <c r="H183" s="37" t="str">
        <f t="shared" si="21"/>
        <v/>
      </c>
      <c r="I183" s="37" t="str">
        <f t="shared" si="22"/>
        <v/>
      </c>
      <c r="J183" s="8" t="str">
        <f t="shared" si="23"/>
        <v/>
      </c>
      <c r="K183" s="38" t="str">
        <f t="shared" si="24"/>
        <v/>
      </c>
      <c r="N183" s="59" t="str">
        <f t="shared" si="26"/>
        <v/>
      </c>
      <c r="O183" s="59" t="str">
        <f t="shared" si="25"/>
        <v/>
      </c>
    </row>
    <row r="184" spans="3:15" x14ac:dyDescent="0.25">
      <c r="C184" s="47"/>
      <c r="D184" s="48"/>
      <c r="E184" s="7" t="str">
        <f t="shared" si="18"/>
        <v/>
      </c>
      <c r="F184" s="8" t="str">
        <f t="shared" si="19"/>
        <v/>
      </c>
      <c r="G184" s="8" t="str">
        <f t="shared" si="20"/>
        <v/>
      </c>
      <c r="H184" s="37" t="str">
        <f t="shared" si="21"/>
        <v/>
      </c>
      <c r="I184" s="37" t="str">
        <f t="shared" si="22"/>
        <v/>
      </c>
      <c r="J184" s="8" t="str">
        <f t="shared" si="23"/>
        <v/>
      </c>
      <c r="K184" s="38" t="str">
        <f t="shared" si="24"/>
        <v/>
      </c>
      <c r="N184" s="59" t="str">
        <f t="shared" si="26"/>
        <v/>
      </c>
      <c r="O184" s="59" t="str">
        <f t="shared" si="25"/>
        <v/>
      </c>
    </row>
    <row r="185" spans="3:15" x14ac:dyDescent="0.25">
      <c r="C185" s="47"/>
      <c r="D185" s="48"/>
      <c r="E185" s="7" t="str">
        <f t="shared" si="18"/>
        <v/>
      </c>
      <c r="F185" s="8" t="str">
        <f t="shared" si="19"/>
        <v/>
      </c>
      <c r="G185" s="8" t="str">
        <f t="shared" si="20"/>
        <v/>
      </c>
      <c r="H185" s="37" t="str">
        <f t="shared" si="21"/>
        <v/>
      </c>
      <c r="I185" s="37" t="str">
        <f t="shared" si="22"/>
        <v/>
      </c>
      <c r="J185" s="8" t="str">
        <f t="shared" si="23"/>
        <v/>
      </c>
      <c r="K185" s="38" t="str">
        <f t="shared" si="24"/>
        <v/>
      </c>
      <c r="N185" s="59" t="str">
        <f t="shared" si="26"/>
        <v/>
      </c>
      <c r="O185" s="59" t="str">
        <f t="shared" si="25"/>
        <v/>
      </c>
    </row>
    <row r="186" spans="3:15" x14ac:dyDescent="0.25">
      <c r="C186" s="47"/>
      <c r="D186" s="48"/>
      <c r="E186" s="7" t="str">
        <f t="shared" si="18"/>
        <v/>
      </c>
      <c r="F186" s="8" t="str">
        <f t="shared" si="19"/>
        <v/>
      </c>
      <c r="G186" s="8" t="str">
        <f t="shared" si="20"/>
        <v/>
      </c>
      <c r="H186" s="37" t="str">
        <f t="shared" si="21"/>
        <v/>
      </c>
      <c r="I186" s="37" t="str">
        <f t="shared" si="22"/>
        <v/>
      </c>
      <c r="J186" s="8" t="str">
        <f t="shared" si="23"/>
        <v/>
      </c>
      <c r="K186" s="38" t="str">
        <f t="shared" si="24"/>
        <v/>
      </c>
      <c r="N186" s="59" t="str">
        <f t="shared" si="26"/>
        <v/>
      </c>
      <c r="O186" s="59" t="str">
        <f t="shared" si="25"/>
        <v/>
      </c>
    </row>
    <row r="187" spans="3:15" x14ac:dyDescent="0.25">
      <c r="C187" s="47"/>
      <c r="D187" s="48"/>
      <c r="E187" s="7" t="str">
        <f t="shared" si="18"/>
        <v/>
      </c>
      <c r="F187" s="8" t="str">
        <f t="shared" si="19"/>
        <v/>
      </c>
      <c r="G187" s="8" t="str">
        <f t="shared" si="20"/>
        <v/>
      </c>
      <c r="H187" s="37" t="str">
        <f t="shared" si="21"/>
        <v/>
      </c>
      <c r="I187" s="37" t="str">
        <f t="shared" si="22"/>
        <v/>
      </c>
      <c r="J187" s="8" t="str">
        <f t="shared" si="23"/>
        <v/>
      </c>
      <c r="K187" s="38" t="str">
        <f t="shared" si="24"/>
        <v/>
      </c>
      <c r="N187" s="59" t="str">
        <f t="shared" si="26"/>
        <v/>
      </c>
      <c r="O187" s="59" t="str">
        <f t="shared" si="25"/>
        <v/>
      </c>
    </row>
    <row r="188" spans="3:15" x14ac:dyDescent="0.25">
      <c r="C188" s="47"/>
      <c r="D188" s="48"/>
      <c r="E188" s="7" t="str">
        <f t="shared" si="18"/>
        <v/>
      </c>
      <c r="F188" s="8" t="str">
        <f t="shared" si="19"/>
        <v/>
      </c>
      <c r="G188" s="8" t="str">
        <f t="shared" si="20"/>
        <v/>
      </c>
      <c r="H188" s="37" t="str">
        <f t="shared" si="21"/>
        <v/>
      </c>
      <c r="I188" s="37" t="str">
        <f t="shared" si="22"/>
        <v/>
      </c>
      <c r="J188" s="8" t="str">
        <f t="shared" si="23"/>
        <v/>
      </c>
      <c r="K188" s="38" t="str">
        <f t="shared" si="24"/>
        <v/>
      </c>
      <c r="N188" s="59" t="str">
        <f t="shared" si="26"/>
        <v/>
      </c>
      <c r="O188" s="59" t="str">
        <f t="shared" si="25"/>
        <v/>
      </c>
    </row>
    <row r="189" spans="3:15" x14ac:dyDescent="0.25">
      <c r="C189" s="47"/>
      <c r="D189" s="48"/>
      <c r="E189" s="7" t="str">
        <f t="shared" si="18"/>
        <v/>
      </c>
      <c r="F189" s="8" t="str">
        <f t="shared" si="19"/>
        <v/>
      </c>
      <c r="G189" s="8" t="str">
        <f t="shared" si="20"/>
        <v/>
      </c>
      <c r="H189" s="37" t="str">
        <f t="shared" si="21"/>
        <v/>
      </c>
      <c r="I189" s="37" t="str">
        <f t="shared" si="22"/>
        <v/>
      </c>
      <c r="J189" s="8" t="str">
        <f t="shared" si="23"/>
        <v/>
      </c>
      <c r="K189" s="38" t="str">
        <f t="shared" si="24"/>
        <v/>
      </c>
      <c r="N189" s="59" t="str">
        <f t="shared" si="26"/>
        <v/>
      </c>
      <c r="O189" s="59" t="str">
        <f t="shared" si="25"/>
        <v/>
      </c>
    </row>
    <row r="190" spans="3:15" x14ac:dyDescent="0.25">
      <c r="C190" s="47"/>
      <c r="D190" s="48"/>
      <c r="E190" s="7" t="str">
        <f t="shared" si="18"/>
        <v/>
      </c>
      <c r="F190" s="8" t="str">
        <f t="shared" si="19"/>
        <v/>
      </c>
      <c r="G190" s="8" t="str">
        <f t="shared" si="20"/>
        <v/>
      </c>
      <c r="H190" s="37" t="str">
        <f t="shared" si="21"/>
        <v/>
      </c>
      <c r="I190" s="37" t="str">
        <f t="shared" si="22"/>
        <v/>
      </c>
      <c r="J190" s="8" t="str">
        <f t="shared" si="23"/>
        <v/>
      </c>
      <c r="K190" s="38" t="str">
        <f t="shared" si="24"/>
        <v/>
      </c>
      <c r="N190" s="59" t="str">
        <f t="shared" si="26"/>
        <v/>
      </c>
      <c r="O190" s="59" t="str">
        <f t="shared" si="25"/>
        <v/>
      </c>
    </row>
    <row r="191" spans="3:15" x14ac:dyDescent="0.25">
      <c r="C191" s="47"/>
      <c r="D191" s="48"/>
      <c r="E191" s="7" t="str">
        <f t="shared" si="18"/>
        <v/>
      </c>
      <c r="F191" s="8" t="str">
        <f t="shared" si="19"/>
        <v/>
      </c>
      <c r="G191" s="8" t="str">
        <f t="shared" si="20"/>
        <v/>
      </c>
      <c r="H191" s="37" t="str">
        <f t="shared" si="21"/>
        <v/>
      </c>
      <c r="I191" s="37" t="str">
        <f t="shared" si="22"/>
        <v/>
      </c>
      <c r="J191" s="8" t="str">
        <f t="shared" si="23"/>
        <v/>
      </c>
      <c r="K191" s="38" t="str">
        <f t="shared" si="24"/>
        <v/>
      </c>
      <c r="N191" s="59" t="str">
        <f t="shared" si="26"/>
        <v/>
      </c>
      <c r="O191" s="59" t="str">
        <f t="shared" si="25"/>
        <v/>
      </c>
    </row>
    <row r="192" spans="3:15" x14ac:dyDescent="0.25">
      <c r="C192" s="47"/>
      <c r="D192" s="48"/>
      <c r="E192" s="7" t="str">
        <f t="shared" si="18"/>
        <v/>
      </c>
      <c r="F192" s="8" t="str">
        <f t="shared" si="19"/>
        <v/>
      </c>
      <c r="G192" s="8" t="str">
        <f t="shared" si="20"/>
        <v/>
      </c>
      <c r="H192" s="37" t="str">
        <f t="shared" si="21"/>
        <v/>
      </c>
      <c r="I192" s="37" t="str">
        <f t="shared" si="22"/>
        <v/>
      </c>
      <c r="J192" s="8" t="str">
        <f t="shared" si="23"/>
        <v/>
      </c>
      <c r="K192" s="38" t="str">
        <f t="shared" si="24"/>
        <v/>
      </c>
      <c r="N192" s="59" t="str">
        <f t="shared" si="26"/>
        <v/>
      </c>
      <c r="O192" s="59" t="str">
        <f t="shared" si="25"/>
        <v/>
      </c>
    </row>
    <row r="193" spans="3:15" x14ac:dyDescent="0.25">
      <c r="C193" s="47"/>
      <c r="D193" s="48"/>
      <c r="E193" s="7" t="str">
        <f t="shared" si="18"/>
        <v/>
      </c>
      <c r="F193" s="8" t="str">
        <f t="shared" si="19"/>
        <v/>
      </c>
      <c r="G193" s="8" t="str">
        <f t="shared" si="20"/>
        <v/>
      </c>
      <c r="H193" s="37" t="str">
        <f t="shared" si="21"/>
        <v/>
      </c>
      <c r="I193" s="37" t="str">
        <f t="shared" si="22"/>
        <v/>
      </c>
      <c r="J193" s="8" t="str">
        <f t="shared" si="23"/>
        <v/>
      </c>
      <c r="K193" s="38" t="str">
        <f t="shared" si="24"/>
        <v/>
      </c>
      <c r="N193" s="59" t="str">
        <f t="shared" si="26"/>
        <v/>
      </c>
      <c r="O193" s="59" t="str">
        <f t="shared" si="25"/>
        <v/>
      </c>
    </row>
    <row r="194" spans="3:15" x14ac:dyDescent="0.25">
      <c r="C194" s="47"/>
      <c r="D194" s="48"/>
      <c r="E194" s="7" t="str">
        <f t="shared" si="18"/>
        <v/>
      </c>
      <c r="F194" s="8" t="str">
        <f t="shared" si="19"/>
        <v/>
      </c>
      <c r="G194" s="8" t="str">
        <f t="shared" si="20"/>
        <v/>
      </c>
      <c r="H194" s="37" t="str">
        <f t="shared" si="21"/>
        <v/>
      </c>
      <c r="I194" s="37" t="str">
        <f t="shared" si="22"/>
        <v/>
      </c>
      <c r="J194" s="8" t="str">
        <f t="shared" si="23"/>
        <v/>
      </c>
      <c r="K194" s="38" t="str">
        <f t="shared" si="24"/>
        <v/>
      </c>
      <c r="N194" s="59" t="str">
        <f t="shared" si="26"/>
        <v/>
      </c>
      <c r="O194" s="59" t="str">
        <f t="shared" si="25"/>
        <v/>
      </c>
    </row>
    <row r="195" spans="3:15" x14ac:dyDescent="0.25">
      <c r="C195" s="47"/>
      <c r="D195" s="48"/>
      <c r="E195" s="7" t="str">
        <f t="shared" si="18"/>
        <v/>
      </c>
      <c r="F195" s="8" t="str">
        <f t="shared" si="19"/>
        <v/>
      </c>
      <c r="G195" s="8" t="str">
        <f t="shared" si="20"/>
        <v/>
      </c>
      <c r="H195" s="37" t="str">
        <f t="shared" si="21"/>
        <v/>
      </c>
      <c r="I195" s="37" t="str">
        <f t="shared" si="22"/>
        <v/>
      </c>
      <c r="J195" s="8" t="str">
        <f t="shared" si="23"/>
        <v/>
      </c>
      <c r="K195" s="38" t="str">
        <f t="shared" si="24"/>
        <v/>
      </c>
      <c r="N195" s="59" t="str">
        <f t="shared" si="26"/>
        <v/>
      </c>
      <c r="O195" s="59" t="str">
        <f t="shared" si="25"/>
        <v/>
      </c>
    </row>
    <row r="196" spans="3:15" x14ac:dyDescent="0.25">
      <c r="C196" s="47"/>
      <c r="D196" s="48"/>
      <c r="E196" s="7" t="str">
        <f t="shared" si="18"/>
        <v/>
      </c>
      <c r="F196" s="8" t="str">
        <f t="shared" si="19"/>
        <v/>
      </c>
      <c r="G196" s="8" t="str">
        <f t="shared" si="20"/>
        <v/>
      </c>
      <c r="H196" s="37" t="str">
        <f t="shared" si="21"/>
        <v/>
      </c>
      <c r="I196" s="37" t="str">
        <f t="shared" si="22"/>
        <v/>
      </c>
      <c r="J196" s="8" t="str">
        <f t="shared" si="23"/>
        <v/>
      </c>
      <c r="K196" s="38" t="str">
        <f t="shared" si="24"/>
        <v/>
      </c>
      <c r="N196" s="59" t="str">
        <f t="shared" si="26"/>
        <v/>
      </c>
      <c r="O196" s="59" t="str">
        <f t="shared" si="25"/>
        <v/>
      </c>
    </row>
    <row r="197" spans="3:15" x14ac:dyDescent="0.25">
      <c r="C197" s="47"/>
      <c r="D197" s="48"/>
      <c r="E197" s="7" t="str">
        <f t="shared" si="18"/>
        <v/>
      </c>
      <c r="F197" s="8" t="str">
        <f t="shared" si="19"/>
        <v/>
      </c>
      <c r="G197" s="8" t="str">
        <f t="shared" si="20"/>
        <v/>
      </c>
      <c r="H197" s="37" t="str">
        <f t="shared" si="21"/>
        <v/>
      </c>
      <c r="I197" s="37" t="str">
        <f t="shared" si="22"/>
        <v/>
      </c>
      <c r="J197" s="8" t="str">
        <f t="shared" si="23"/>
        <v/>
      </c>
      <c r="K197" s="38" t="str">
        <f t="shared" si="24"/>
        <v/>
      </c>
      <c r="N197" s="59" t="str">
        <f t="shared" si="26"/>
        <v/>
      </c>
      <c r="O197" s="59" t="str">
        <f t="shared" si="25"/>
        <v/>
      </c>
    </row>
    <row r="198" spans="3:15" x14ac:dyDescent="0.25">
      <c r="C198" s="47"/>
      <c r="D198" s="48"/>
      <c r="E198" s="7" t="str">
        <f t="shared" si="18"/>
        <v/>
      </c>
      <c r="F198" s="8" t="str">
        <f t="shared" si="19"/>
        <v/>
      </c>
      <c r="G198" s="8" t="str">
        <f t="shared" si="20"/>
        <v/>
      </c>
      <c r="H198" s="37" t="str">
        <f t="shared" si="21"/>
        <v/>
      </c>
      <c r="I198" s="37" t="str">
        <f t="shared" si="22"/>
        <v/>
      </c>
      <c r="J198" s="8" t="str">
        <f t="shared" si="23"/>
        <v/>
      </c>
      <c r="K198" s="38" t="str">
        <f t="shared" si="24"/>
        <v/>
      </c>
      <c r="N198" s="59" t="str">
        <f t="shared" si="26"/>
        <v/>
      </c>
      <c r="O198" s="59" t="str">
        <f t="shared" si="25"/>
        <v/>
      </c>
    </row>
    <row r="199" spans="3:15" x14ac:dyDescent="0.25">
      <c r="C199" s="47"/>
      <c r="D199" s="48"/>
      <c r="E199" s="7" t="str">
        <f t="shared" si="18"/>
        <v/>
      </c>
      <c r="F199" s="8" t="str">
        <f t="shared" si="19"/>
        <v/>
      </c>
      <c r="G199" s="8" t="str">
        <f t="shared" si="20"/>
        <v/>
      </c>
      <c r="H199" s="37" t="str">
        <f t="shared" si="21"/>
        <v/>
      </c>
      <c r="I199" s="37" t="str">
        <f t="shared" si="22"/>
        <v/>
      </c>
      <c r="J199" s="8" t="str">
        <f t="shared" si="23"/>
        <v/>
      </c>
      <c r="K199" s="38" t="str">
        <f t="shared" si="24"/>
        <v/>
      </c>
      <c r="N199" s="59" t="str">
        <f t="shared" si="26"/>
        <v/>
      </c>
      <c r="O199" s="59" t="str">
        <f t="shared" si="25"/>
        <v/>
      </c>
    </row>
    <row r="200" spans="3:15" x14ac:dyDescent="0.25">
      <c r="C200" s="47"/>
      <c r="D200" s="48"/>
      <c r="E200" s="7" t="str">
        <f t="shared" si="18"/>
        <v/>
      </c>
      <c r="F200" s="8" t="str">
        <f t="shared" si="19"/>
        <v/>
      </c>
      <c r="G200" s="8" t="str">
        <f t="shared" si="20"/>
        <v/>
      </c>
      <c r="H200" s="37" t="str">
        <f t="shared" si="21"/>
        <v/>
      </c>
      <c r="I200" s="37" t="str">
        <f t="shared" si="22"/>
        <v/>
      </c>
      <c r="J200" s="8" t="str">
        <f t="shared" si="23"/>
        <v/>
      </c>
      <c r="K200" s="38" t="str">
        <f t="shared" si="24"/>
        <v/>
      </c>
      <c r="N200" s="59" t="str">
        <f t="shared" si="26"/>
        <v/>
      </c>
      <c r="O200" s="59" t="str">
        <f t="shared" si="25"/>
        <v/>
      </c>
    </row>
    <row r="201" spans="3:15" x14ac:dyDescent="0.25">
      <c r="C201" s="47"/>
      <c r="D201" s="48"/>
      <c r="E201" s="7" t="str">
        <f t="shared" si="18"/>
        <v/>
      </c>
      <c r="F201" s="8" t="str">
        <f t="shared" si="19"/>
        <v/>
      </c>
      <c r="G201" s="8" t="str">
        <f t="shared" si="20"/>
        <v/>
      </c>
      <c r="H201" s="37" t="str">
        <f t="shared" si="21"/>
        <v/>
      </c>
      <c r="I201" s="37" t="str">
        <f t="shared" si="22"/>
        <v/>
      </c>
      <c r="J201" s="8" t="str">
        <f t="shared" si="23"/>
        <v/>
      </c>
      <c r="K201" s="38" t="str">
        <f t="shared" si="24"/>
        <v/>
      </c>
      <c r="N201" s="59" t="str">
        <f t="shared" si="26"/>
        <v/>
      </c>
      <c r="O201" s="59" t="str">
        <f t="shared" si="25"/>
        <v/>
      </c>
    </row>
    <row r="202" spans="3:15" x14ac:dyDescent="0.25">
      <c r="C202" s="47"/>
      <c r="D202" s="48"/>
      <c r="E202" s="7" t="str">
        <f t="shared" si="18"/>
        <v/>
      </c>
      <c r="F202" s="8" t="str">
        <f t="shared" si="19"/>
        <v/>
      </c>
      <c r="G202" s="8" t="str">
        <f t="shared" si="20"/>
        <v/>
      </c>
      <c r="H202" s="37" t="str">
        <f t="shared" si="21"/>
        <v/>
      </c>
      <c r="I202" s="37" t="str">
        <f t="shared" si="22"/>
        <v/>
      </c>
      <c r="J202" s="8" t="str">
        <f t="shared" si="23"/>
        <v/>
      </c>
      <c r="K202" s="38" t="str">
        <f t="shared" si="24"/>
        <v/>
      </c>
      <c r="N202" s="59" t="str">
        <f t="shared" si="26"/>
        <v/>
      </c>
      <c r="O202" s="59" t="str">
        <f t="shared" si="25"/>
        <v/>
      </c>
    </row>
    <row r="203" spans="3:15" x14ac:dyDescent="0.25">
      <c r="C203" s="47"/>
      <c r="D203" s="48"/>
      <c r="E203" s="7" t="str">
        <f t="shared" si="18"/>
        <v/>
      </c>
      <c r="F203" s="8" t="str">
        <f t="shared" si="19"/>
        <v/>
      </c>
      <c r="G203" s="8" t="str">
        <f t="shared" si="20"/>
        <v/>
      </c>
      <c r="H203" s="37" t="str">
        <f t="shared" si="21"/>
        <v/>
      </c>
      <c r="I203" s="37" t="str">
        <f t="shared" si="22"/>
        <v/>
      </c>
      <c r="J203" s="8" t="str">
        <f t="shared" si="23"/>
        <v/>
      </c>
      <c r="K203" s="38" t="str">
        <f t="shared" si="24"/>
        <v/>
      </c>
      <c r="N203" s="59" t="str">
        <f t="shared" si="26"/>
        <v/>
      </c>
      <c r="O203" s="59" t="str">
        <f t="shared" si="25"/>
        <v/>
      </c>
    </row>
    <row r="204" spans="3:15" x14ac:dyDescent="0.25">
      <c r="C204" s="47"/>
      <c r="D204" s="48"/>
      <c r="E204" s="7" t="str">
        <f t="shared" si="18"/>
        <v/>
      </c>
      <c r="F204" s="8" t="str">
        <f t="shared" si="19"/>
        <v/>
      </c>
      <c r="G204" s="8" t="str">
        <f t="shared" si="20"/>
        <v/>
      </c>
      <c r="H204" s="37" t="str">
        <f t="shared" si="21"/>
        <v/>
      </c>
      <c r="I204" s="37" t="str">
        <f t="shared" si="22"/>
        <v/>
      </c>
      <c r="J204" s="8" t="str">
        <f t="shared" si="23"/>
        <v/>
      </c>
      <c r="K204" s="38" t="str">
        <f t="shared" si="24"/>
        <v/>
      </c>
      <c r="N204" s="59" t="str">
        <f t="shared" si="26"/>
        <v/>
      </c>
      <c r="O204" s="59" t="str">
        <f t="shared" si="25"/>
        <v/>
      </c>
    </row>
    <row r="205" spans="3:15" x14ac:dyDescent="0.25">
      <c r="C205" s="47"/>
      <c r="D205" s="48"/>
      <c r="E205" s="7" t="str">
        <f t="shared" si="18"/>
        <v/>
      </c>
      <c r="F205" s="8" t="str">
        <f t="shared" si="19"/>
        <v/>
      </c>
      <c r="G205" s="8" t="str">
        <f t="shared" si="20"/>
        <v/>
      </c>
      <c r="H205" s="37" t="str">
        <f t="shared" si="21"/>
        <v/>
      </c>
      <c r="I205" s="37" t="str">
        <f t="shared" si="22"/>
        <v/>
      </c>
      <c r="J205" s="8" t="str">
        <f t="shared" si="23"/>
        <v/>
      </c>
      <c r="K205" s="38" t="str">
        <f t="shared" si="24"/>
        <v/>
      </c>
      <c r="N205" s="59" t="str">
        <f t="shared" si="26"/>
        <v/>
      </c>
      <c r="O205" s="59" t="str">
        <f t="shared" si="25"/>
        <v/>
      </c>
    </row>
    <row r="206" spans="3:15" x14ac:dyDescent="0.25">
      <c r="C206" s="47"/>
      <c r="D206" s="48"/>
      <c r="E206" s="7" t="str">
        <f t="shared" si="18"/>
        <v/>
      </c>
      <c r="F206" s="8" t="str">
        <f t="shared" si="19"/>
        <v/>
      </c>
      <c r="G206" s="8" t="str">
        <f t="shared" si="20"/>
        <v/>
      </c>
      <c r="H206" s="37" t="str">
        <f t="shared" si="21"/>
        <v/>
      </c>
      <c r="I206" s="37" t="str">
        <f t="shared" si="22"/>
        <v/>
      </c>
      <c r="J206" s="8" t="str">
        <f t="shared" si="23"/>
        <v/>
      </c>
      <c r="K206" s="38" t="str">
        <f t="shared" si="24"/>
        <v/>
      </c>
      <c r="N206" s="59" t="str">
        <f t="shared" si="26"/>
        <v/>
      </c>
      <c r="O206" s="59" t="str">
        <f t="shared" si="25"/>
        <v/>
      </c>
    </row>
    <row r="207" spans="3:15" x14ac:dyDescent="0.25">
      <c r="C207" s="47"/>
      <c r="D207" s="48"/>
      <c r="E207" s="7" t="str">
        <f t="shared" si="18"/>
        <v/>
      </c>
      <c r="F207" s="8" t="str">
        <f t="shared" si="19"/>
        <v/>
      </c>
      <c r="G207" s="8" t="str">
        <f t="shared" si="20"/>
        <v/>
      </c>
      <c r="H207" s="37" t="str">
        <f t="shared" si="21"/>
        <v/>
      </c>
      <c r="I207" s="37" t="str">
        <f t="shared" si="22"/>
        <v/>
      </c>
      <c r="J207" s="8" t="str">
        <f t="shared" si="23"/>
        <v/>
      </c>
      <c r="K207" s="38" t="str">
        <f t="shared" si="24"/>
        <v/>
      </c>
      <c r="N207" s="59" t="str">
        <f t="shared" si="26"/>
        <v/>
      </c>
      <c r="O207" s="59" t="str">
        <f t="shared" si="25"/>
        <v/>
      </c>
    </row>
    <row r="208" spans="3:15" x14ac:dyDescent="0.25">
      <c r="C208" s="47"/>
      <c r="D208" s="48"/>
      <c r="E208" s="7" t="str">
        <f t="shared" si="18"/>
        <v/>
      </c>
      <c r="F208" s="8" t="str">
        <f t="shared" si="19"/>
        <v/>
      </c>
      <c r="G208" s="8" t="str">
        <f t="shared" si="20"/>
        <v/>
      </c>
      <c r="H208" s="37" t="str">
        <f t="shared" si="21"/>
        <v/>
      </c>
      <c r="I208" s="37" t="str">
        <f t="shared" si="22"/>
        <v/>
      </c>
      <c r="J208" s="8" t="str">
        <f t="shared" si="23"/>
        <v/>
      </c>
      <c r="K208" s="38" t="str">
        <f t="shared" si="24"/>
        <v/>
      </c>
      <c r="N208" s="59" t="str">
        <f t="shared" si="26"/>
        <v/>
      </c>
      <c r="O208" s="59" t="str">
        <f t="shared" si="25"/>
        <v/>
      </c>
    </row>
    <row r="209" spans="3:15" x14ac:dyDescent="0.25">
      <c r="C209" s="47"/>
      <c r="D209" s="48"/>
      <c r="E209" s="7" t="str">
        <f t="shared" si="18"/>
        <v/>
      </c>
      <c r="F209" s="8" t="str">
        <f t="shared" si="19"/>
        <v/>
      </c>
      <c r="G209" s="8" t="str">
        <f t="shared" si="20"/>
        <v/>
      </c>
      <c r="H209" s="37" t="str">
        <f t="shared" si="21"/>
        <v/>
      </c>
      <c r="I209" s="37" t="str">
        <f t="shared" si="22"/>
        <v/>
      </c>
      <c r="J209" s="8" t="str">
        <f t="shared" si="23"/>
        <v/>
      </c>
      <c r="K209" s="38" t="str">
        <f t="shared" si="24"/>
        <v/>
      </c>
      <c r="N209" s="59" t="str">
        <f t="shared" si="26"/>
        <v/>
      </c>
      <c r="O209" s="59" t="str">
        <f t="shared" si="25"/>
        <v/>
      </c>
    </row>
    <row r="210" spans="3:15" x14ac:dyDescent="0.25">
      <c r="C210" s="47"/>
      <c r="D210" s="48"/>
      <c r="E210" s="7" t="str">
        <f t="shared" si="18"/>
        <v/>
      </c>
      <c r="F210" s="8" t="str">
        <f t="shared" si="19"/>
        <v/>
      </c>
      <c r="G210" s="8" t="str">
        <f t="shared" si="20"/>
        <v/>
      </c>
      <c r="H210" s="37" t="str">
        <f t="shared" si="21"/>
        <v/>
      </c>
      <c r="I210" s="37" t="str">
        <f t="shared" si="22"/>
        <v/>
      </c>
      <c r="J210" s="8" t="str">
        <f t="shared" si="23"/>
        <v/>
      </c>
      <c r="K210" s="38" t="str">
        <f t="shared" si="24"/>
        <v/>
      </c>
      <c r="N210" s="59" t="str">
        <f t="shared" si="26"/>
        <v/>
      </c>
      <c r="O210" s="59" t="str">
        <f t="shared" si="25"/>
        <v/>
      </c>
    </row>
    <row r="211" spans="3:15" x14ac:dyDescent="0.25">
      <c r="C211" s="47"/>
      <c r="D211" s="48"/>
      <c r="E211" s="7" t="str">
        <f t="shared" ref="E211:E274" si="27">IF(OR(DataRecebimento="",C211=""),"",IF(C211&lt;DataRecebimento,"ERRO!",C211+$F$9-$F$7))</f>
        <v/>
      </c>
      <c r="F211" s="8" t="str">
        <f t="shared" ref="F211:F274" si="28">IF(OR(TaxaJuros="",C211=""),"",IF(C211&lt;DataRecebimento,"DATA",-D211*E211*($F$8/30)))</f>
        <v/>
      </c>
      <c r="G211" s="8" t="str">
        <f t="shared" ref="G211:G274" si="29">IF(OR(TaxaJuros="",C211=""),"",IF(C211&lt;DataRecebimento,"NÃO",-$F$10))</f>
        <v/>
      </c>
      <c r="H211" s="37" t="str">
        <f t="shared" ref="H211:H274" si="30">IF(OR(TaxaJuros="",C211=""),"",IF(C211&lt;DataRecebimento,"PODE",IF(ComSemIOF=FALSE,0,IF(E211&gt;365,-(D211+F211)*365*IOFDiario,-(D211+F211)*E211*IOFDiario))))</f>
        <v/>
      </c>
      <c r="I211" s="37" t="str">
        <f t="shared" ref="I211:I274" si="31">IF(OR(TaxaJuros="",C211=""),"",IF(C211&lt;DataRecebimento,"SER",IF(ComSemIOF=FALSE,0,-(D211+F211)*IOFAdic)))</f>
        <v/>
      </c>
      <c r="J211" s="8" t="str">
        <f t="shared" ref="J211:J274" si="32">IF(OR(TaxaJuros="",C211=""),"",IF(C211&lt;DataRecebimento,"INFERIOR!",D211+SUM(F211:I211)))</f>
        <v/>
      </c>
      <c r="K211" s="38" t="str">
        <f t="shared" ref="K211:K274" si="33">IF(OR(TaxaJuros="",C211=""),"",IF(C211&lt;DataRecebimento,"ERRO!",100%-J211/D211))</f>
        <v/>
      </c>
      <c r="N211" s="59" t="str">
        <f t="shared" si="26"/>
        <v/>
      </c>
      <c r="O211" s="59" t="str">
        <f t="shared" ref="O211:O274" si="34">IF(N211="","",PV(TMA_Dia,E211,,-N211))</f>
        <v/>
      </c>
    </row>
    <row r="212" spans="3:15" x14ac:dyDescent="0.25">
      <c r="C212" s="47"/>
      <c r="D212" s="48"/>
      <c r="E212" s="7" t="str">
        <f t="shared" si="27"/>
        <v/>
      </c>
      <c r="F212" s="8" t="str">
        <f t="shared" si="28"/>
        <v/>
      </c>
      <c r="G212" s="8" t="str">
        <f t="shared" si="29"/>
        <v/>
      </c>
      <c r="H212" s="37" t="str">
        <f t="shared" si="30"/>
        <v/>
      </c>
      <c r="I212" s="37" t="str">
        <f t="shared" si="31"/>
        <v/>
      </c>
      <c r="J212" s="8" t="str">
        <f t="shared" si="32"/>
        <v/>
      </c>
      <c r="K212" s="38" t="str">
        <f t="shared" si="33"/>
        <v/>
      </c>
      <c r="N212" s="59" t="str">
        <f t="shared" ref="N212:N275" si="35">IF(C212="","",-D212)</f>
        <v/>
      </c>
      <c r="O212" s="59" t="str">
        <f t="shared" si="34"/>
        <v/>
      </c>
    </row>
    <row r="213" spans="3:15" x14ac:dyDescent="0.25">
      <c r="C213" s="47"/>
      <c r="D213" s="48"/>
      <c r="E213" s="7" t="str">
        <f t="shared" si="27"/>
        <v/>
      </c>
      <c r="F213" s="8" t="str">
        <f t="shared" si="28"/>
        <v/>
      </c>
      <c r="G213" s="8" t="str">
        <f t="shared" si="29"/>
        <v/>
      </c>
      <c r="H213" s="37" t="str">
        <f t="shared" si="30"/>
        <v/>
      </c>
      <c r="I213" s="37" t="str">
        <f t="shared" si="31"/>
        <v/>
      </c>
      <c r="J213" s="8" t="str">
        <f t="shared" si="32"/>
        <v/>
      </c>
      <c r="K213" s="38" t="str">
        <f t="shared" si="33"/>
        <v/>
      </c>
      <c r="N213" s="59" t="str">
        <f t="shared" si="35"/>
        <v/>
      </c>
      <c r="O213" s="59" t="str">
        <f t="shared" si="34"/>
        <v/>
      </c>
    </row>
    <row r="214" spans="3:15" x14ac:dyDescent="0.25">
      <c r="C214" s="47"/>
      <c r="D214" s="48"/>
      <c r="E214" s="7" t="str">
        <f t="shared" si="27"/>
        <v/>
      </c>
      <c r="F214" s="8" t="str">
        <f t="shared" si="28"/>
        <v/>
      </c>
      <c r="G214" s="8" t="str">
        <f t="shared" si="29"/>
        <v/>
      </c>
      <c r="H214" s="37" t="str">
        <f t="shared" si="30"/>
        <v/>
      </c>
      <c r="I214" s="37" t="str">
        <f t="shared" si="31"/>
        <v/>
      </c>
      <c r="J214" s="8" t="str">
        <f t="shared" si="32"/>
        <v/>
      </c>
      <c r="K214" s="38" t="str">
        <f t="shared" si="33"/>
        <v/>
      </c>
      <c r="N214" s="59" t="str">
        <f t="shared" si="35"/>
        <v/>
      </c>
      <c r="O214" s="59" t="str">
        <f t="shared" si="34"/>
        <v/>
      </c>
    </row>
    <row r="215" spans="3:15" x14ac:dyDescent="0.25">
      <c r="C215" s="47"/>
      <c r="D215" s="48"/>
      <c r="E215" s="7" t="str">
        <f t="shared" si="27"/>
        <v/>
      </c>
      <c r="F215" s="8" t="str">
        <f t="shared" si="28"/>
        <v/>
      </c>
      <c r="G215" s="8" t="str">
        <f t="shared" si="29"/>
        <v/>
      </c>
      <c r="H215" s="37" t="str">
        <f t="shared" si="30"/>
        <v/>
      </c>
      <c r="I215" s="37" t="str">
        <f t="shared" si="31"/>
        <v/>
      </c>
      <c r="J215" s="8" t="str">
        <f t="shared" si="32"/>
        <v/>
      </c>
      <c r="K215" s="38" t="str">
        <f t="shared" si="33"/>
        <v/>
      </c>
      <c r="N215" s="59" t="str">
        <f t="shared" si="35"/>
        <v/>
      </c>
      <c r="O215" s="59" t="str">
        <f t="shared" si="34"/>
        <v/>
      </c>
    </row>
    <row r="216" spans="3:15" x14ac:dyDescent="0.25">
      <c r="C216" s="47"/>
      <c r="D216" s="48"/>
      <c r="E216" s="7" t="str">
        <f t="shared" si="27"/>
        <v/>
      </c>
      <c r="F216" s="8" t="str">
        <f t="shared" si="28"/>
        <v/>
      </c>
      <c r="G216" s="8" t="str">
        <f t="shared" si="29"/>
        <v/>
      </c>
      <c r="H216" s="37" t="str">
        <f t="shared" si="30"/>
        <v/>
      </c>
      <c r="I216" s="37" t="str">
        <f t="shared" si="31"/>
        <v/>
      </c>
      <c r="J216" s="8" t="str">
        <f t="shared" si="32"/>
        <v/>
      </c>
      <c r="K216" s="38" t="str">
        <f t="shared" si="33"/>
        <v/>
      </c>
      <c r="N216" s="59" t="str">
        <f t="shared" si="35"/>
        <v/>
      </c>
      <c r="O216" s="59" t="str">
        <f t="shared" si="34"/>
        <v/>
      </c>
    </row>
    <row r="217" spans="3:15" x14ac:dyDescent="0.25">
      <c r="C217" s="47"/>
      <c r="D217" s="48"/>
      <c r="E217" s="7" t="str">
        <f t="shared" si="27"/>
        <v/>
      </c>
      <c r="F217" s="8" t="str">
        <f t="shared" si="28"/>
        <v/>
      </c>
      <c r="G217" s="8" t="str">
        <f t="shared" si="29"/>
        <v/>
      </c>
      <c r="H217" s="37" t="str">
        <f t="shared" si="30"/>
        <v/>
      </c>
      <c r="I217" s="37" t="str">
        <f t="shared" si="31"/>
        <v/>
      </c>
      <c r="J217" s="8" t="str">
        <f t="shared" si="32"/>
        <v/>
      </c>
      <c r="K217" s="38" t="str">
        <f t="shared" si="33"/>
        <v/>
      </c>
      <c r="N217" s="59" t="str">
        <f t="shared" si="35"/>
        <v/>
      </c>
      <c r="O217" s="59" t="str">
        <f t="shared" si="34"/>
        <v/>
      </c>
    </row>
    <row r="218" spans="3:15" x14ac:dyDescent="0.25">
      <c r="C218" s="47"/>
      <c r="D218" s="48"/>
      <c r="E218" s="7" t="str">
        <f t="shared" si="27"/>
        <v/>
      </c>
      <c r="F218" s="8" t="str">
        <f t="shared" si="28"/>
        <v/>
      </c>
      <c r="G218" s="8" t="str">
        <f t="shared" si="29"/>
        <v/>
      </c>
      <c r="H218" s="37" t="str">
        <f t="shared" si="30"/>
        <v/>
      </c>
      <c r="I218" s="37" t="str">
        <f t="shared" si="31"/>
        <v/>
      </c>
      <c r="J218" s="8" t="str">
        <f t="shared" si="32"/>
        <v/>
      </c>
      <c r="K218" s="38" t="str">
        <f t="shared" si="33"/>
        <v/>
      </c>
      <c r="N218" s="59" t="str">
        <f t="shared" si="35"/>
        <v/>
      </c>
      <c r="O218" s="59" t="str">
        <f t="shared" si="34"/>
        <v/>
      </c>
    </row>
    <row r="219" spans="3:15" x14ac:dyDescent="0.25">
      <c r="C219" s="47"/>
      <c r="D219" s="48"/>
      <c r="E219" s="7" t="str">
        <f t="shared" si="27"/>
        <v/>
      </c>
      <c r="F219" s="8" t="str">
        <f t="shared" si="28"/>
        <v/>
      </c>
      <c r="G219" s="8" t="str">
        <f t="shared" si="29"/>
        <v/>
      </c>
      <c r="H219" s="37" t="str">
        <f t="shared" si="30"/>
        <v/>
      </c>
      <c r="I219" s="37" t="str">
        <f t="shared" si="31"/>
        <v/>
      </c>
      <c r="J219" s="8" t="str">
        <f t="shared" si="32"/>
        <v/>
      </c>
      <c r="K219" s="38" t="str">
        <f t="shared" si="33"/>
        <v/>
      </c>
      <c r="N219" s="59" t="str">
        <f t="shared" si="35"/>
        <v/>
      </c>
      <c r="O219" s="59" t="str">
        <f t="shared" si="34"/>
        <v/>
      </c>
    </row>
    <row r="220" spans="3:15" x14ac:dyDescent="0.25">
      <c r="C220" s="47"/>
      <c r="D220" s="48"/>
      <c r="E220" s="7" t="str">
        <f t="shared" si="27"/>
        <v/>
      </c>
      <c r="F220" s="8" t="str">
        <f t="shared" si="28"/>
        <v/>
      </c>
      <c r="G220" s="8" t="str">
        <f t="shared" si="29"/>
        <v/>
      </c>
      <c r="H220" s="37" t="str">
        <f t="shared" si="30"/>
        <v/>
      </c>
      <c r="I220" s="37" t="str">
        <f t="shared" si="31"/>
        <v/>
      </c>
      <c r="J220" s="8" t="str">
        <f t="shared" si="32"/>
        <v/>
      </c>
      <c r="K220" s="38" t="str">
        <f t="shared" si="33"/>
        <v/>
      </c>
      <c r="N220" s="59" t="str">
        <f t="shared" si="35"/>
        <v/>
      </c>
      <c r="O220" s="59" t="str">
        <f t="shared" si="34"/>
        <v/>
      </c>
    </row>
    <row r="221" spans="3:15" x14ac:dyDescent="0.25">
      <c r="C221" s="47"/>
      <c r="D221" s="48"/>
      <c r="E221" s="7" t="str">
        <f t="shared" si="27"/>
        <v/>
      </c>
      <c r="F221" s="8" t="str">
        <f t="shared" si="28"/>
        <v/>
      </c>
      <c r="G221" s="8" t="str">
        <f t="shared" si="29"/>
        <v/>
      </c>
      <c r="H221" s="37" t="str">
        <f t="shared" si="30"/>
        <v/>
      </c>
      <c r="I221" s="37" t="str">
        <f t="shared" si="31"/>
        <v/>
      </c>
      <c r="J221" s="8" t="str">
        <f t="shared" si="32"/>
        <v/>
      </c>
      <c r="K221" s="38" t="str">
        <f t="shared" si="33"/>
        <v/>
      </c>
      <c r="N221" s="59" t="str">
        <f t="shared" si="35"/>
        <v/>
      </c>
      <c r="O221" s="59" t="str">
        <f t="shared" si="34"/>
        <v/>
      </c>
    </row>
    <row r="222" spans="3:15" x14ac:dyDescent="0.25">
      <c r="C222" s="47"/>
      <c r="D222" s="48"/>
      <c r="E222" s="7" t="str">
        <f t="shared" si="27"/>
        <v/>
      </c>
      <c r="F222" s="8" t="str">
        <f t="shared" si="28"/>
        <v/>
      </c>
      <c r="G222" s="8" t="str">
        <f t="shared" si="29"/>
        <v/>
      </c>
      <c r="H222" s="37" t="str">
        <f t="shared" si="30"/>
        <v/>
      </c>
      <c r="I222" s="37" t="str">
        <f t="shared" si="31"/>
        <v/>
      </c>
      <c r="J222" s="8" t="str">
        <f t="shared" si="32"/>
        <v/>
      </c>
      <c r="K222" s="38" t="str">
        <f t="shared" si="33"/>
        <v/>
      </c>
      <c r="N222" s="59" t="str">
        <f t="shared" si="35"/>
        <v/>
      </c>
      <c r="O222" s="59" t="str">
        <f t="shared" si="34"/>
        <v/>
      </c>
    </row>
    <row r="223" spans="3:15" x14ac:dyDescent="0.25">
      <c r="C223" s="47"/>
      <c r="D223" s="48"/>
      <c r="E223" s="7" t="str">
        <f t="shared" si="27"/>
        <v/>
      </c>
      <c r="F223" s="8" t="str">
        <f t="shared" si="28"/>
        <v/>
      </c>
      <c r="G223" s="8" t="str">
        <f t="shared" si="29"/>
        <v/>
      </c>
      <c r="H223" s="37" t="str">
        <f t="shared" si="30"/>
        <v/>
      </c>
      <c r="I223" s="37" t="str">
        <f t="shared" si="31"/>
        <v/>
      </c>
      <c r="J223" s="8" t="str">
        <f t="shared" si="32"/>
        <v/>
      </c>
      <c r="K223" s="38" t="str">
        <f t="shared" si="33"/>
        <v/>
      </c>
      <c r="N223" s="59" t="str">
        <f t="shared" si="35"/>
        <v/>
      </c>
      <c r="O223" s="59" t="str">
        <f t="shared" si="34"/>
        <v/>
      </c>
    </row>
    <row r="224" spans="3:15" x14ac:dyDescent="0.25">
      <c r="C224" s="47"/>
      <c r="D224" s="48"/>
      <c r="E224" s="7" t="str">
        <f t="shared" si="27"/>
        <v/>
      </c>
      <c r="F224" s="8" t="str">
        <f t="shared" si="28"/>
        <v/>
      </c>
      <c r="G224" s="8" t="str">
        <f t="shared" si="29"/>
        <v/>
      </c>
      <c r="H224" s="37" t="str">
        <f t="shared" si="30"/>
        <v/>
      </c>
      <c r="I224" s="37" t="str">
        <f t="shared" si="31"/>
        <v/>
      </c>
      <c r="J224" s="8" t="str">
        <f t="shared" si="32"/>
        <v/>
      </c>
      <c r="K224" s="38" t="str">
        <f t="shared" si="33"/>
        <v/>
      </c>
      <c r="N224" s="59" t="str">
        <f t="shared" si="35"/>
        <v/>
      </c>
      <c r="O224" s="59" t="str">
        <f t="shared" si="34"/>
        <v/>
      </c>
    </row>
    <row r="225" spans="3:15" x14ac:dyDescent="0.25">
      <c r="C225" s="47"/>
      <c r="D225" s="48"/>
      <c r="E225" s="7" t="str">
        <f t="shared" si="27"/>
        <v/>
      </c>
      <c r="F225" s="8" t="str">
        <f t="shared" si="28"/>
        <v/>
      </c>
      <c r="G225" s="8" t="str">
        <f t="shared" si="29"/>
        <v/>
      </c>
      <c r="H225" s="37" t="str">
        <f t="shared" si="30"/>
        <v/>
      </c>
      <c r="I225" s="37" t="str">
        <f t="shared" si="31"/>
        <v/>
      </c>
      <c r="J225" s="8" t="str">
        <f t="shared" si="32"/>
        <v/>
      </c>
      <c r="K225" s="38" t="str">
        <f t="shared" si="33"/>
        <v/>
      </c>
      <c r="N225" s="59" t="str">
        <f t="shared" si="35"/>
        <v/>
      </c>
      <c r="O225" s="59" t="str">
        <f t="shared" si="34"/>
        <v/>
      </c>
    </row>
    <row r="226" spans="3:15" x14ac:dyDescent="0.25">
      <c r="C226" s="47"/>
      <c r="D226" s="48"/>
      <c r="E226" s="7" t="str">
        <f t="shared" si="27"/>
        <v/>
      </c>
      <c r="F226" s="8" t="str">
        <f t="shared" si="28"/>
        <v/>
      </c>
      <c r="G226" s="8" t="str">
        <f t="shared" si="29"/>
        <v/>
      </c>
      <c r="H226" s="37" t="str">
        <f t="shared" si="30"/>
        <v/>
      </c>
      <c r="I226" s="37" t="str">
        <f t="shared" si="31"/>
        <v/>
      </c>
      <c r="J226" s="8" t="str">
        <f t="shared" si="32"/>
        <v/>
      </c>
      <c r="K226" s="38" t="str">
        <f t="shared" si="33"/>
        <v/>
      </c>
      <c r="N226" s="59" t="str">
        <f t="shared" si="35"/>
        <v/>
      </c>
      <c r="O226" s="59" t="str">
        <f t="shared" si="34"/>
        <v/>
      </c>
    </row>
    <row r="227" spans="3:15" x14ac:dyDescent="0.25">
      <c r="C227" s="47"/>
      <c r="D227" s="48"/>
      <c r="E227" s="7" t="str">
        <f t="shared" si="27"/>
        <v/>
      </c>
      <c r="F227" s="8" t="str">
        <f t="shared" si="28"/>
        <v/>
      </c>
      <c r="G227" s="8" t="str">
        <f t="shared" si="29"/>
        <v/>
      </c>
      <c r="H227" s="37" t="str">
        <f t="shared" si="30"/>
        <v/>
      </c>
      <c r="I227" s="37" t="str">
        <f t="shared" si="31"/>
        <v/>
      </c>
      <c r="J227" s="8" t="str">
        <f t="shared" si="32"/>
        <v/>
      </c>
      <c r="K227" s="38" t="str">
        <f t="shared" si="33"/>
        <v/>
      </c>
      <c r="N227" s="59" t="str">
        <f t="shared" si="35"/>
        <v/>
      </c>
      <c r="O227" s="59" t="str">
        <f t="shared" si="34"/>
        <v/>
      </c>
    </row>
    <row r="228" spans="3:15" x14ac:dyDescent="0.25">
      <c r="C228" s="47"/>
      <c r="D228" s="48"/>
      <c r="E228" s="7" t="str">
        <f t="shared" si="27"/>
        <v/>
      </c>
      <c r="F228" s="8" t="str">
        <f t="shared" si="28"/>
        <v/>
      </c>
      <c r="G228" s="8" t="str">
        <f t="shared" si="29"/>
        <v/>
      </c>
      <c r="H228" s="37" t="str">
        <f t="shared" si="30"/>
        <v/>
      </c>
      <c r="I228" s="37" t="str">
        <f t="shared" si="31"/>
        <v/>
      </c>
      <c r="J228" s="8" t="str">
        <f t="shared" si="32"/>
        <v/>
      </c>
      <c r="K228" s="38" t="str">
        <f t="shared" si="33"/>
        <v/>
      </c>
      <c r="N228" s="59" t="str">
        <f t="shared" si="35"/>
        <v/>
      </c>
      <c r="O228" s="59" t="str">
        <f t="shared" si="34"/>
        <v/>
      </c>
    </row>
    <row r="229" spans="3:15" x14ac:dyDescent="0.25">
      <c r="C229" s="47"/>
      <c r="D229" s="48"/>
      <c r="E229" s="7" t="str">
        <f t="shared" si="27"/>
        <v/>
      </c>
      <c r="F229" s="8" t="str">
        <f t="shared" si="28"/>
        <v/>
      </c>
      <c r="G229" s="8" t="str">
        <f t="shared" si="29"/>
        <v/>
      </c>
      <c r="H229" s="37" t="str">
        <f t="shared" si="30"/>
        <v/>
      </c>
      <c r="I229" s="37" t="str">
        <f t="shared" si="31"/>
        <v/>
      </c>
      <c r="J229" s="8" t="str">
        <f t="shared" si="32"/>
        <v/>
      </c>
      <c r="K229" s="38" t="str">
        <f t="shared" si="33"/>
        <v/>
      </c>
      <c r="N229" s="59" t="str">
        <f t="shared" si="35"/>
        <v/>
      </c>
      <c r="O229" s="59" t="str">
        <f t="shared" si="34"/>
        <v/>
      </c>
    </row>
    <row r="230" spans="3:15" x14ac:dyDescent="0.25">
      <c r="C230" s="47"/>
      <c r="D230" s="48"/>
      <c r="E230" s="7" t="str">
        <f t="shared" si="27"/>
        <v/>
      </c>
      <c r="F230" s="8" t="str">
        <f t="shared" si="28"/>
        <v/>
      </c>
      <c r="G230" s="8" t="str">
        <f t="shared" si="29"/>
        <v/>
      </c>
      <c r="H230" s="37" t="str">
        <f t="shared" si="30"/>
        <v/>
      </c>
      <c r="I230" s="37" t="str">
        <f t="shared" si="31"/>
        <v/>
      </c>
      <c r="J230" s="8" t="str">
        <f t="shared" si="32"/>
        <v/>
      </c>
      <c r="K230" s="38" t="str">
        <f t="shared" si="33"/>
        <v/>
      </c>
      <c r="N230" s="59" t="str">
        <f t="shared" si="35"/>
        <v/>
      </c>
      <c r="O230" s="59" t="str">
        <f t="shared" si="34"/>
        <v/>
      </c>
    </row>
    <row r="231" spans="3:15" x14ac:dyDescent="0.25">
      <c r="C231" s="47"/>
      <c r="D231" s="48"/>
      <c r="E231" s="7" t="str">
        <f t="shared" si="27"/>
        <v/>
      </c>
      <c r="F231" s="8" t="str">
        <f t="shared" si="28"/>
        <v/>
      </c>
      <c r="G231" s="8" t="str">
        <f t="shared" si="29"/>
        <v/>
      </c>
      <c r="H231" s="37" t="str">
        <f t="shared" si="30"/>
        <v/>
      </c>
      <c r="I231" s="37" t="str">
        <f t="shared" si="31"/>
        <v/>
      </c>
      <c r="J231" s="8" t="str">
        <f t="shared" si="32"/>
        <v/>
      </c>
      <c r="K231" s="38" t="str">
        <f t="shared" si="33"/>
        <v/>
      </c>
      <c r="N231" s="59" t="str">
        <f t="shared" si="35"/>
        <v/>
      </c>
      <c r="O231" s="59" t="str">
        <f t="shared" si="34"/>
        <v/>
      </c>
    </row>
    <row r="232" spans="3:15" x14ac:dyDescent="0.25">
      <c r="C232" s="47"/>
      <c r="D232" s="48"/>
      <c r="E232" s="7" t="str">
        <f t="shared" si="27"/>
        <v/>
      </c>
      <c r="F232" s="8" t="str">
        <f t="shared" si="28"/>
        <v/>
      </c>
      <c r="G232" s="8" t="str">
        <f t="shared" si="29"/>
        <v/>
      </c>
      <c r="H232" s="37" t="str">
        <f t="shared" si="30"/>
        <v/>
      </c>
      <c r="I232" s="37" t="str">
        <f t="shared" si="31"/>
        <v/>
      </c>
      <c r="J232" s="8" t="str">
        <f t="shared" si="32"/>
        <v/>
      </c>
      <c r="K232" s="38" t="str">
        <f t="shared" si="33"/>
        <v/>
      </c>
      <c r="N232" s="59" t="str">
        <f t="shared" si="35"/>
        <v/>
      </c>
      <c r="O232" s="59" t="str">
        <f t="shared" si="34"/>
        <v/>
      </c>
    </row>
    <row r="233" spans="3:15" x14ac:dyDescent="0.25">
      <c r="C233" s="47"/>
      <c r="D233" s="48"/>
      <c r="E233" s="7" t="str">
        <f t="shared" si="27"/>
        <v/>
      </c>
      <c r="F233" s="8" t="str">
        <f t="shared" si="28"/>
        <v/>
      </c>
      <c r="G233" s="8" t="str">
        <f t="shared" si="29"/>
        <v/>
      </c>
      <c r="H233" s="37" t="str">
        <f t="shared" si="30"/>
        <v/>
      </c>
      <c r="I233" s="37" t="str">
        <f t="shared" si="31"/>
        <v/>
      </c>
      <c r="J233" s="8" t="str">
        <f t="shared" si="32"/>
        <v/>
      </c>
      <c r="K233" s="38" t="str">
        <f t="shared" si="33"/>
        <v/>
      </c>
      <c r="N233" s="59" t="str">
        <f t="shared" si="35"/>
        <v/>
      </c>
      <c r="O233" s="59" t="str">
        <f t="shared" si="34"/>
        <v/>
      </c>
    </row>
    <row r="234" spans="3:15" x14ac:dyDescent="0.25">
      <c r="C234" s="47"/>
      <c r="D234" s="48"/>
      <c r="E234" s="7" t="str">
        <f t="shared" si="27"/>
        <v/>
      </c>
      <c r="F234" s="8" t="str">
        <f t="shared" si="28"/>
        <v/>
      </c>
      <c r="G234" s="8" t="str">
        <f t="shared" si="29"/>
        <v/>
      </c>
      <c r="H234" s="37" t="str">
        <f t="shared" si="30"/>
        <v/>
      </c>
      <c r="I234" s="37" t="str">
        <f t="shared" si="31"/>
        <v/>
      </c>
      <c r="J234" s="8" t="str">
        <f t="shared" si="32"/>
        <v/>
      </c>
      <c r="K234" s="38" t="str">
        <f t="shared" si="33"/>
        <v/>
      </c>
      <c r="N234" s="59" t="str">
        <f t="shared" si="35"/>
        <v/>
      </c>
      <c r="O234" s="59" t="str">
        <f t="shared" si="34"/>
        <v/>
      </c>
    </row>
    <row r="235" spans="3:15" x14ac:dyDescent="0.25">
      <c r="C235" s="47"/>
      <c r="D235" s="48"/>
      <c r="E235" s="7" t="str">
        <f t="shared" si="27"/>
        <v/>
      </c>
      <c r="F235" s="8" t="str">
        <f t="shared" si="28"/>
        <v/>
      </c>
      <c r="G235" s="8" t="str">
        <f t="shared" si="29"/>
        <v/>
      </c>
      <c r="H235" s="37" t="str">
        <f t="shared" si="30"/>
        <v/>
      </c>
      <c r="I235" s="37" t="str">
        <f t="shared" si="31"/>
        <v/>
      </c>
      <c r="J235" s="8" t="str">
        <f t="shared" si="32"/>
        <v/>
      </c>
      <c r="K235" s="38" t="str">
        <f t="shared" si="33"/>
        <v/>
      </c>
      <c r="N235" s="59" t="str">
        <f t="shared" si="35"/>
        <v/>
      </c>
      <c r="O235" s="59" t="str">
        <f t="shared" si="34"/>
        <v/>
      </c>
    </row>
    <row r="236" spans="3:15" x14ac:dyDescent="0.25">
      <c r="C236" s="47"/>
      <c r="D236" s="48"/>
      <c r="E236" s="7" t="str">
        <f t="shared" si="27"/>
        <v/>
      </c>
      <c r="F236" s="8" t="str">
        <f t="shared" si="28"/>
        <v/>
      </c>
      <c r="G236" s="8" t="str">
        <f t="shared" si="29"/>
        <v/>
      </c>
      <c r="H236" s="37" t="str">
        <f t="shared" si="30"/>
        <v/>
      </c>
      <c r="I236" s="37" t="str">
        <f t="shared" si="31"/>
        <v/>
      </c>
      <c r="J236" s="8" t="str">
        <f t="shared" si="32"/>
        <v/>
      </c>
      <c r="K236" s="38" t="str">
        <f t="shared" si="33"/>
        <v/>
      </c>
      <c r="N236" s="59" t="str">
        <f t="shared" si="35"/>
        <v/>
      </c>
      <c r="O236" s="59" t="str">
        <f t="shared" si="34"/>
        <v/>
      </c>
    </row>
    <row r="237" spans="3:15" x14ac:dyDescent="0.25">
      <c r="C237" s="47"/>
      <c r="D237" s="48"/>
      <c r="E237" s="7" t="str">
        <f t="shared" si="27"/>
        <v/>
      </c>
      <c r="F237" s="8" t="str">
        <f t="shared" si="28"/>
        <v/>
      </c>
      <c r="G237" s="8" t="str">
        <f t="shared" si="29"/>
        <v/>
      </c>
      <c r="H237" s="37" t="str">
        <f t="shared" si="30"/>
        <v/>
      </c>
      <c r="I237" s="37" t="str">
        <f t="shared" si="31"/>
        <v/>
      </c>
      <c r="J237" s="8" t="str">
        <f t="shared" si="32"/>
        <v/>
      </c>
      <c r="K237" s="38" t="str">
        <f t="shared" si="33"/>
        <v/>
      </c>
      <c r="N237" s="59" t="str">
        <f t="shared" si="35"/>
        <v/>
      </c>
      <c r="O237" s="59" t="str">
        <f t="shared" si="34"/>
        <v/>
      </c>
    </row>
    <row r="238" spans="3:15" x14ac:dyDescent="0.25">
      <c r="C238" s="47"/>
      <c r="D238" s="48"/>
      <c r="E238" s="7" t="str">
        <f t="shared" si="27"/>
        <v/>
      </c>
      <c r="F238" s="8" t="str">
        <f t="shared" si="28"/>
        <v/>
      </c>
      <c r="G238" s="8" t="str">
        <f t="shared" si="29"/>
        <v/>
      </c>
      <c r="H238" s="37" t="str">
        <f t="shared" si="30"/>
        <v/>
      </c>
      <c r="I238" s="37" t="str">
        <f t="shared" si="31"/>
        <v/>
      </c>
      <c r="J238" s="8" t="str">
        <f t="shared" si="32"/>
        <v/>
      </c>
      <c r="K238" s="38" t="str">
        <f t="shared" si="33"/>
        <v/>
      </c>
      <c r="N238" s="59" t="str">
        <f t="shared" si="35"/>
        <v/>
      </c>
      <c r="O238" s="59" t="str">
        <f t="shared" si="34"/>
        <v/>
      </c>
    </row>
    <row r="239" spans="3:15" x14ac:dyDescent="0.25">
      <c r="C239" s="47"/>
      <c r="D239" s="48"/>
      <c r="E239" s="7" t="str">
        <f t="shared" si="27"/>
        <v/>
      </c>
      <c r="F239" s="8" t="str">
        <f t="shared" si="28"/>
        <v/>
      </c>
      <c r="G239" s="8" t="str">
        <f t="shared" si="29"/>
        <v/>
      </c>
      <c r="H239" s="37" t="str">
        <f t="shared" si="30"/>
        <v/>
      </c>
      <c r="I239" s="37" t="str">
        <f t="shared" si="31"/>
        <v/>
      </c>
      <c r="J239" s="8" t="str">
        <f t="shared" si="32"/>
        <v/>
      </c>
      <c r="K239" s="38" t="str">
        <f t="shared" si="33"/>
        <v/>
      </c>
      <c r="N239" s="59" t="str">
        <f t="shared" si="35"/>
        <v/>
      </c>
      <c r="O239" s="59" t="str">
        <f t="shared" si="34"/>
        <v/>
      </c>
    </row>
    <row r="240" spans="3:15" x14ac:dyDescent="0.25">
      <c r="C240" s="47"/>
      <c r="D240" s="48"/>
      <c r="E240" s="7" t="str">
        <f t="shared" si="27"/>
        <v/>
      </c>
      <c r="F240" s="8" t="str">
        <f t="shared" si="28"/>
        <v/>
      </c>
      <c r="G240" s="8" t="str">
        <f t="shared" si="29"/>
        <v/>
      </c>
      <c r="H240" s="37" t="str">
        <f t="shared" si="30"/>
        <v/>
      </c>
      <c r="I240" s="37" t="str">
        <f t="shared" si="31"/>
        <v/>
      </c>
      <c r="J240" s="8" t="str">
        <f t="shared" si="32"/>
        <v/>
      </c>
      <c r="K240" s="38" t="str">
        <f t="shared" si="33"/>
        <v/>
      </c>
      <c r="N240" s="59" t="str">
        <f t="shared" si="35"/>
        <v/>
      </c>
      <c r="O240" s="59" t="str">
        <f t="shared" si="34"/>
        <v/>
      </c>
    </row>
    <row r="241" spans="3:15" x14ac:dyDescent="0.25">
      <c r="C241" s="47"/>
      <c r="D241" s="48"/>
      <c r="E241" s="7" t="str">
        <f t="shared" si="27"/>
        <v/>
      </c>
      <c r="F241" s="8" t="str">
        <f t="shared" si="28"/>
        <v/>
      </c>
      <c r="G241" s="8" t="str">
        <f t="shared" si="29"/>
        <v/>
      </c>
      <c r="H241" s="37" t="str">
        <f t="shared" si="30"/>
        <v/>
      </c>
      <c r="I241" s="37" t="str">
        <f t="shared" si="31"/>
        <v/>
      </c>
      <c r="J241" s="8" t="str">
        <f t="shared" si="32"/>
        <v/>
      </c>
      <c r="K241" s="38" t="str">
        <f t="shared" si="33"/>
        <v/>
      </c>
      <c r="N241" s="59" t="str">
        <f t="shared" si="35"/>
        <v/>
      </c>
      <c r="O241" s="59" t="str">
        <f t="shared" si="34"/>
        <v/>
      </c>
    </row>
    <row r="242" spans="3:15" x14ac:dyDescent="0.25">
      <c r="C242" s="47"/>
      <c r="D242" s="48"/>
      <c r="E242" s="7" t="str">
        <f t="shared" si="27"/>
        <v/>
      </c>
      <c r="F242" s="8" t="str">
        <f t="shared" si="28"/>
        <v/>
      </c>
      <c r="G242" s="8" t="str">
        <f t="shared" si="29"/>
        <v/>
      </c>
      <c r="H242" s="37" t="str">
        <f t="shared" si="30"/>
        <v/>
      </c>
      <c r="I242" s="37" t="str">
        <f t="shared" si="31"/>
        <v/>
      </c>
      <c r="J242" s="8" t="str">
        <f t="shared" si="32"/>
        <v/>
      </c>
      <c r="K242" s="38" t="str">
        <f t="shared" si="33"/>
        <v/>
      </c>
      <c r="N242" s="59" t="str">
        <f t="shared" si="35"/>
        <v/>
      </c>
      <c r="O242" s="59" t="str">
        <f t="shared" si="34"/>
        <v/>
      </c>
    </row>
    <row r="243" spans="3:15" x14ac:dyDescent="0.25">
      <c r="C243" s="47"/>
      <c r="D243" s="48"/>
      <c r="E243" s="7" t="str">
        <f t="shared" si="27"/>
        <v/>
      </c>
      <c r="F243" s="8" t="str">
        <f t="shared" si="28"/>
        <v/>
      </c>
      <c r="G243" s="8" t="str">
        <f t="shared" si="29"/>
        <v/>
      </c>
      <c r="H243" s="37" t="str">
        <f t="shared" si="30"/>
        <v/>
      </c>
      <c r="I243" s="37" t="str">
        <f t="shared" si="31"/>
        <v/>
      </c>
      <c r="J243" s="8" t="str">
        <f t="shared" si="32"/>
        <v/>
      </c>
      <c r="K243" s="38" t="str">
        <f t="shared" si="33"/>
        <v/>
      </c>
      <c r="N243" s="59" t="str">
        <f t="shared" si="35"/>
        <v/>
      </c>
      <c r="O243" s="59" t="str">
        <f t="shared" si="34"/>
        <v/>
      </c>
    </row>
    <row r="244" spans="3:15" x14ac:dyDescent="0.25">
      <c r="C244" s="47"/>
      <c r="D244" s="48"/>
      <c r="E244" s="7" t="str">
        <f t="shared" si="27"/>
        <v/>
      </c>
      <c r="F244" s="8" t="str">
        <f t="shared" si="28"/>
        <v/>
      </c>
      <c r="G244" s="8" t="str">
        <f t="shared" si="29"/>
        <v/>
      </c>
      <c r="H244" s="37" t="str">
        <f t="shared" si="30"/>
        <v/>
      </c>
      <c r="I244" s="37" t="str">
        <f t="shared" si="31"/>
        <v/>
      </c>
      <c r="J244" s="8" t="str">
        <f t="shared" si="32"/>
        <v/>
      </c>
      <c r="K244" s="38" t="str">
        <f t="shared" si="33"/>
        <v/>
      </c>
      <c r="N244" s="59" t="str">
        <f t="shared" si="35"/>
        <v/>
      </c>
      <c r="O244" s="59" t="str">
        <f t="shared" si="34"/>
        <v/>
      </c>
    </row>
    <row r="245" spans="3:15" x14ac:dyDescent="0.25">
      <c r="C245" s="47"/>
      <c r="D245" s="48"/>
      <c r="E245" s="7" t="str">
        <f t="shared" si="27"/>
        <v/>
      </c>
      <c r="F245" s="8" t="str">
        <f t="shared" si="28"/>
        <v/>
      </c>
      <c r="G245" s="8" t="str">
        <f t="shared" si="29"/>
        <v/>
      </c>
      <c r="H245" s="37" t="str">
        <f t="shared" si="30"/>
        <v/>
      </c>
      <c r="I245" s="37" t="str">
        <f t="shared" si="31"/>
        <v/>
      </c>
      <c r="J245" s="8" t="str">
        <f t="shared" si="32"/>
        <v/>
      </c>
      <c r="K245" s="38" t="str">
        <f t="shared" si="33"/>
        <v/>
      </c>
      <c r="N245" s="59" t="str">
        <f t="shared" si="35"/>
        <v/>
      </c>
      <c r="O245" s="59" t="str">
        <f t="shared" si="34"/>
        <v/>
      </c>
    </row>
    <row r="246" spans="3:15" x14ac:dyDescent="0.25">
      <c r="C246" s="47"/>
      <c r="D246" s="48"/>
      <c r="E246" s="7" t="str">
        <f t="shared" si="27"/>
        <v/>
      </c>
      <c r="F246" s="8" t="str">
        <f t="shared" si="28"/>
        <v/>
      </c>
      <c r="G246" s="8" t="str">
        <f t="shared" si="29"/>
        <v/>
      </c>
      <c r="H246" s="37" t="str">
        <f t="shared" si="30"/>
        <v/>
      </c>
      <c r="I246" s="37" t="str">
        <f t="shared" si="31"/>
        <v/>
      </c>
      <c r="J246" s="8" t="str">
        <f t="shared" si="32"/>
        <v/>
      </c>
      <c r="K246" s="38" t="str">
        <f t="shared" si="33"/>
        <v/>
      </c>
      <c r="N246" s="59" t="str">
        <f t="shared" si="35"/>
        <v/>
      </c>
      <c r="O246" s="59" t="str">
        <f t="shared" si="34"/>
        <v/>
      </c>
    </row>
    <row r="247" spans="3:15" x14ac:dyDescent="0.25">
      <c r="C247" s="47"/>
      <c r="D247" s="48"/>
      <c r="E247" s="7" t="str">
        <f t="shared" si="27"/>
        <v/>
      </c>
      <c r="F247" s="8" t="str">
        <f t="shared" si="28"/>
        <v/>
      </c>
      <c r="G247" s="8" t="str">
        <f t="shared" si="29"/>
        <v/>
      </c>
      <c r="H247" s="37" t="str">
        <f t="shared" si="30"/>
        <v/>
      </c>
      <c r="I247" s="37" t="str">
        <f t="shared" si="31"/>
        <v/>
      </c>
      <c r="J247" s="8" t="str">
        <f t="shared" si="32"/>
        <v/>
      </c>
      <c r="K247" s="38" t="str">
        <f t="shared" si="33"/>
        <v/>
      </c>
      <c r="N247" s="59" t="str">
        <f t="shared" si="35"/>
        <v/>
      </c>
      <c r="O247" s="59" t="str">
        <f t="shared" si="34"/>
        <v/>
      </c>
    </row>
    <row r="248" spans="3:15" x14ac:dyDescent="0.25">
      <c r="C248" s="47"/>
      <c r="D248" s="48"/>
      <c r="E248" s="7" t="str">
        <f t="shared" si="27"/>
        <v/>
      </c>
      <c r="F248" s="8" t="str">
        <f t="shared" si="28"/>
        <v/>
      </c>
      <c r="G248" s="8" t="str">
        <f t="shared" si="29"/>
        <v/>
      </c>
      <c r="H248" s="37" t="str">
        <f t="shared" si="30"/>
        <v/>
      </c>
      <c r="I248" s="37" t="str">
        <f t="shared" si="31"/>
        <v/>
      </c>
      <c r="J248" s="8" t="str">
        <f t="shared" si="32"/>
        <v/>
      </c>
      <c r="K248" s="38" t="str">
        <f t="shared" si="33"/>
        <v/>
      </c>
      <c r="N248" s="59" t="str">
        <f t="shared" si="35"/>
        <v/>
      </c>
      <c r="O248" s="59" t="str">
        <f t="shared" si="34"/>
        <v/>
      </c>
    </row>
    <row r="249" spans="3:15" x14ac:dyDescent="0.25">
      <c r="C249" s="47"/>
      <c r="D249" s="48"/>
      <c r="E249" s="7" t="str">
        <f t="shared" si="27"/>
        <v/>
      </c>
      <c r="F249" s="8" t="str">
        <f t="shared" si="28"/>
        <v/>
      </c>
      <c r="G249" s="8" t="str">
        <f t="shared" si="29"/>
        <v/>
      </c>
      <c r="H249" s="37" t="str">
        <f t="shared" si="30"/>
        <v/>
      </c>
      <c r="I249" s="37" t="str">
        <f t="shared" si="31"/>
        <v/>
      </c>
      <c r="J249" s="8" t="str">
        <f t="shared" si="32"/>
        <v/>
      </c>
      <c r="K249" s="38" t="str">
        <f t="shared" si="33"/>
        <v/>
      </c>
      <c r="N249" s="59" t="str">
        <f t="shared" si="35"/>
        <v/>
      </c>
      <c r="O249" s="59" t="str">
        <f t="shared" si="34"/>
        <v/>
      </c>
    </row>
    <row r="250" spans="3:15" x14ac:dyDescent="0.25">
      <c r="C250" s="47"/>
      <c r="D250" s="48"/>
      <c r="E250" s="7" t="str">
        <f t="shared" si="27"/>
        <v/>
      </c>
      <c r="F250" s="8" t="str">
        <f t="shared" si="28"/>
        <v/>
      </c>
      <c r="G250" s="8" t="str">
        <f t="shared" si="29"/>
        <v/>
      </c>
      <c r="H250" s="37" t="str">
        <f t="shared" si="30"/>
        <v/>
      </c>
      <c r="I250" s="37" t="str">
        <f t="shared" si="31"/>
        <v/>
      </c>
      <c r="J250" s="8" t="str">
        <f t="shared" si="32"/>
        <v/>
      </c>
      <c r="K250" s="38" t="str">
        <f t="shared" si="33"/>
        <v/>
      </c>
      <c r="N250" s="59" t="str">
        <f t="shared" si="35"/>
        <v/>
      </c>
      <c r="O250" s="59" t="str">
        <f t="shared" si="34"/>
        <v/>
      </c>
    </row>
    <row r="251" spans="3:15" x14ac:dyDescent="0.25">
      <c r="C251" s="47"/>
      <c r="D251" s="48"/>
      <c r="E251" s="7" t="str">
        <f t="shared" si="27"/>
        <v/>
      </c>
      <c r="F251" s="8" t="str">
        <f t="shared" si="28"/>
        <v/>
      </c>
      <c r="G251" s="8" t="str">
        <f t="shared" si="29"/>
        <v/>
      </c>
      <c r="H251" s="37" t="str">
        <f t="shared" si="30"/>
        <v/>
      </c>
      <c r="I251" s="37" t="str">
        <f t="shared" si="31"/>
        <v/>
      </c>
      <c r="J251" s="8" t="str">
        <f t="shared" si="32"/>
        <v/>
      </c>
      <c r="K251" s="38" t="str">
        <f t="shared" si="33"/>
        <v/>
      </c>
      <c r="N251" s="59" t="str">
        <f t="shared" si="35"/>
        <v/>
      </c>
      <c r="O251" s="59" t="str">
        <f t="shared" si="34"/>
        <v/>
      </c>
    </row>
    <row r="252" spans="3:15" x14ac:dyDescent="0.25">
      <c r="C252" s="47"/>
      <c r="D252" s="48"/>
      <c r="E252" s="7" t="str">
        <f t="shared" si="27"/>
        <v/>
      </c>
      <c r="F252" s="8" t="str">
        <f t="shared" si="28"/>
        <v/>
      </c>
      <c r="G252" s="8" t="str">
        <f t="shared" si="29"/>
        <v/>
      </c>
      <c r="H252" s="37" t="str">
        <f t="shared" si="30"/>
        <v/>
      </c>
      <c r="I252" s="37" t="str">
        <f t="shared" si="31"/>
        <v/>
      </c>
      <c r="J252" s="8" t="str">
        <f t="shared" si="32"/>
        <v/>
      </c>
      <c r="K252" s="38" t="str">
        <f t="shared" si="33"/>
        <v/>
      </c>
      <c r="N252" s="59" t="str">
        <f t="shared" si="35"/>
        <v/>
      </c>
      <c r="O252" s="59" t="str">
        <f t="shared" si="34"/>
        <v/>
      </c>
    </row>
    <row r="253" spans="3:15" x14ac:dyDescent="0.25">
      <c r="C253" s="47"/>
      <c r="D253" s="48"/>
      <c r="E253" s="7" t="str">
        <f t="shared" si="27"/>
        <v/>
      </c>
      <c r="F253" s="8" t="str">
        <f t="shared" si="28"/>
        <v/>
      </c>
      <c r="G253" s="8" t="str">
        <f t="shared" si="29"/>
        <v/>
      </c>
      <c r="H253" s="37" t="str">
        <f t="shared" si="30"/>
        <v/>
      </c>
      <c r="I253" s="37" t="str">
        <f t="shared" si="31"/>
        <v/>
      </c>
      <c r="J253" s="8" t="str">
        <f t="shared" si="32"/>
        <v/>
      </c>
      <c r="K253" s="38" t="str">
        <f t="shared" si="33"/>
        <v/>
      </c>
      <c r="N253" s="59" t="str">
        <f t="shared" si="35"/>
        <v/>
      </c>
      <c r="O253" s="59" t="str">
        <f t="shared" si="34"/>
        <v/>
      </c>
    </row>
    <row r="254" spans="3:15" x14ac:dyDescent="0.25">
      <c r="C254" s="47"/>
      <c r="D254" s="48"/>
      <c r="E254" s="7" t="str">
        <f t="shared" si="27"/>
        <v/>
      </c>
      <c r="F254" s="8" t="str">
        <f t="shared" si="28"/>
        <v/>
      </c>
      <c r="G254" s="8" t="str">
        <f t="shared" si="29"/>
        <v/>
      </c>
      <c r="H254" s="37" t="str">
        <f t="shared" si="30"/>
        <v/>
      </c>
      <c r="I254" s="37" t="str">
        <f t="shared" si="31"/>
        <v/>
      </c>
      <c r="J254" s="8" t="str">
        <f t="shared" si="32"/>
        <v/>
      </c>
      <c r="K254" s="38" t="str">
        <f t="shared" si="33"/>
        <v/>
      </c>
      <c r="N254" s="59" t="str">
        <f t="shared" si="35"/>
        <v/>
      </c>
      <c r="O254" s="59" t="str">
        <f t="shared" si="34"/>
        <v/>
      </c>
    </row>
    <row r="255" spans="3:15" x14ac:dyDescent="0.25">
      <c r="C255" s="47"/>
      <c r="D255" s="48"/>
      <c r="E255" s="7" t="str">
        <f t="shared" si="27"/>
        <v/>
      </c>
      <c r="F255" s="8" t="str">
        <f t="shared" si="28"/>
        <v/>
      </c>
      <c r="G255" s="8" t="str">
        <f t="shared" si="29"/>
        <v/>
      </c>
      <c r="H255" s="37" t="str">
        <f t="shared" si="30"/>
        <v/>
      </c>
      <c r="I255" s="37" t="str">
        <f t="shared" si="31"/>
        <v/>
      </c>
      <c r="J255" s="8" t="str">
        <f t="shared" si="32"/>
        <v/>
      </c>
      <c r="K255" s="38" t="str">
        <f t="shared" si="33"/>
        <v/>
      </c>
      <c r="N255" s="59" t="str">
        <f t="shared" si="35"/>
        <v/>
      </c>
      <c r="O255" s="59" t="str">
        <f t="shared" si="34"/>
        <v/>
      </c>
    </row>
    <row r="256" spans="3:15" x14ac:dyDescent="0.25">
      <c r="C256" s="47"/>
      <c r="D256" s="48"/>
      <c r="E256" s="7" t="str">
        <f t="shared" si="27"/>
        <v/>
      </c>
      <c r="F256" s="8" t="str">
        <f t="shared" si="28"/>
        <v/>
      </c>
      <c r="G256" s="8" t="str">
        <f t="shared" si="29"/>
        <v/>
      </c>
      <c r="H256" s="37" t="str">
        <f t="shared" si="30"/>
        <v/>
      </c>
      <c r="I256" s="37" t="str">
        <f t="shared" si="31"/>
        <v/>
      </c>
      <c r="J256" s="8" t="str">
        <f t="shared" si="32"/>
        <v/>
      </c>
      <c r="K256" s="38" t="str">
        <f t="shared" si="33"/>
        <v/>
      </c>
      <c r="N256" s="59" t="str">
        <f t="shared" si="35"/>
        <v/>
      </c>
      <c r="O256" s="59" t="str">
        <f t="shared" si="34"/>
        <v/>
      </c>
    </row>
    <row r="257" spans="3:15" x14ac:dyDescent="0.25">
      <c r="C257" s="47"/>
      <c r="D257" s="48"/>
      <c r="E257" s="7" t="str">
        <f t="shared" si="27"/>
        <v/>
      </c>
      <c r="F257" s="8" t="str">
        <f t="shared" si="28"/>
        <v/>
      </c>
      <c r="G257" s="8" t="str">
        <f t="shared" si="29"/>
        <v/>
      </c>
      <c r="H257" s="37" t="str">
        <f t="shared" si="30"/>
        <v/>
      </c>
      <c r="I257" s="37" t="str">
        <f t="shared" si="31"/>
        <v/>
      </c>
      <c r="J257" s="8" t="str">
        <f t="shared" si="32"/>
        <v/>
      </c>
      <c r="K257" s="38" t="str">
        <f t="shared" si="33"/>
        <v/>
      </c>
      <c r="N257" s="59" t="str">
        <f t="shared" si="35"/>
        <v/>
      </c>
      <c r="O257" s="59" t="str">
        <f t="shared" si="34"/>
        <v/>
      </c>
    </row>
    <row r="258" spans="3:15" x14ac:dyDescent="0.25">
      <c r="C258" s="47"/>
      <c r="D258" s="48"/>
      <c r="E258" s="7" t="str">
        <f t="shared" si="27"/>
        <v/>
      </c>
      <c r="F258" s="8" t="str">
        <f t="shared" si="28"/>
        <v/>
      </c>
      <c r="G258" s="8" t="str">
        <f t="shared" si="29"/>
        <v/>
      </c>
      <c r="H258" s="37" t="str">
        <f t="shared" si="30"/>
        <v/>
      </c>
      <c r="I258" s="37" t="str">
        <f t="shared" si="31"/>
        <v/>
      </c>
      <c r="J258" s="8" t="str">
        <f t="shared" si="32"/>
        <v/>
      </c>
      <c r="K258" s="38" t="str">
        <f t="shared" si="33"/>
        <v/>
      </c>
      <c r="N258" s="59" t="str">
        <f t="shared" si="35"/>
        <v/>
      </c>
      <c r="O258" s="59" t="str">
        <f t="shared" si="34"/>
        <v/>
      </c>
    </row>
    <row r="259" spans="3:15" x14ac:dyDescent="0.25">
      <c r="C259" s="47"/>
      <c r="D259" s="48"/>
      <c r="E259" s="7" t="str">
        <f t="shared" si="27"/>
        <v/>
      </c>
      <c r="F259" s="8" t="str">
        <f t="shared" si="28"/>
        <v/>
      </c>
      <c r="G259" s="8" t="str">
        <f t="shared" si="29"/>
        <v/>
      </c>
      <c r="H259" s="37" t="str">
        <f t="shared" si="30"/>
        <v/>
      </c>
      <c r="I259" s="37" t="str">
        <f t="shared" si="31"/>
        <v/>
      </c>
      <c r="J259" s="8" t="str">
        <f t="shared" si="32"/>
        <v/>
      </c>
      <c r="K259" s="38" t="str">
        <f t="shared" si="33"/>
        <v/>
      </c>
      <c r="N259" s="59" t="str">
        <f t="shared" si="35"/>
        <v/>
      </c>
      <c r="O259" s="59" t="str">
        <f t="shared" si="34"/>
        <v/>
      </c>
    </row>
    <row r="260" spans="3:15" x14ac:dyDescent="0.25">
      <c r="C260" s="47"/>
      <c r="D260" s="48"/>
      <c r="E260" s="7" t="str">
        <f t="shared" si="27"/>
        <v/>
      </c>
      <c r="F260" s="8" t="str">
        <f t="shared" si="28"/>
        <v/>
      </c>
      <c r="G260" s="8" t="str">
        <f t="shared" si="29"/>
        <v/>
      </c>
      <c r="H260" s="37" t="str">
        <f t="shared" si="30"/>
        <v/>
      </c>
      <c r="I260" s="37" t="str">
        <f t="shared" si="31"/>
        <v/>
      </c>
      <c r="J260" s="8" t="str">
        <f t="shared" si="32"/>
        <v/>
      </c>
      <c r="K260" s="38" t="str">
        <f t="shared" si="33"/>
        <v/>
      </c>
      <c r="N260" s="59" t="str">
        <f t="shared" si="35"/>
        <v/>
      </c>
      <c r="O260" s="59" t="str">
        <f t="shared" si="34"/>
        <v/>
      </c>
    </row>
    <row r="261" spans="3:15" x14ac:dyDescent="0.25">
      <c r="C261" s="47"/>
      <c r="D261" s="48"/>
      <c r="E261" s="7" t="str">
        <f t="shared" si="27"/>
        <v/>
      </c>
      <c r="F261" s="8" t="str">
        <f t="shared" si="28"/>
        <v/>
      </c>
      <c r="G261" s="8" t="str">
        <f t="shared" si="29"/>
        <v/>
      </c>
      <c r="H261" s="37" t="str">
        <f t="shared" si="30"/>
        <v/>
      </c>
      <c r="I261" s="37" t="str">
        <f t="shared" si="31"/>
        <v/>
      </c>
      <c r="J261" s="8" t="str">
        <f t="shared" si="32"/>
        <v/>
      </c>
      <c r="K261" s="38" t="str">
        <f t="shared" si="33"/>
        <v/>
      </c>
      <c r="N261" s="59" t="str">
        <f t="shared" si="35"/>
        <v/>
      </c>
      <c r="O261" s="59" t="str">
        <f t="shared" si="34"/>
        <v/>
      </c>
    </row>
    <row r="262" spans="3:15" x14ac:dyDescent="0.25">
      <c r="C262" s="47"/>
      <c r="D262" s="48"/>
      <c r="E262" s="7" t="str">
        <f t="shared" si="27"/>
        <v/>
      </c>
      <c r="F262" s="8" t="str">
        <f t="shared" si="28"/>
        <v/>
      </c>
      <c r="G262" s="8" t="str">
        <f t="shared" si="29"/>
        <v/>
      </c>
      <c r="H262" s="37" t="str">
        <f t="shared" si="30"/>
        <v/>
      </c>
      <c r="I262" s="37" t="str">
        <f t="shared" si="31"/>
        <v/>
      </c>
      <c r="J262" s="8" t="str">
        <f t="shared" si="32"/>
        <v/>
      </c>
      <c r="K262" s="38" t="str">
        <f t="shared" si="33"/>
        <v/>
      </c>
      <c r="N262" s="59" t="str">
        <f t="shared" si="35"/>
        <v/>
      </c>
      <c r="O262" s="59" t="str">
        <f t="shared" si="34"/>
        <v/>
      </c>
    </row>
    <row r="263" spans="3:15" x14ac:dyDescent="0.25">
      <c r="C263" s="47"/>
      <c r="D263" s="48"/>
      <c r="E263" s="7" t="str">
        <f t="shared" si="27"/>
        <v/>
      </c>
      <c r="F263" s="8" t="str">
        <f t="shared" si="28"/>
        <v/>
      </c>
      <c r="G263" s="8" t="str">
        <f t="shared" si="29"/>
        <v/>
      </c>
      <c r="H263" s="37" t="str">
        <f t="shared" si="30"/>
        <v/>
      </c>
      <c r="I263" s="37" t="str">
        <f t="shared" si="31"/>
        <v/>
      </c>
      <c r="J263" s="8" t="str">
        <f t="shared" si="32"/>
        <v/>
      </c>
      <c r="K263" s="38" t="str">
        <f t="shared" si="33"/>
        <v/>
      </c>
      <c r="N263" s="59" t="str">
        <f t="shared" si="35"/>
        <v/>
      </c>
      <c r="O263" s="59" t="str">
        <f t="shared" si="34"/>
        <v/>
      </c>
    </row>
    <row r="264" spans="3:15" x14ac:dyDescent="0.25">
      <c r="C264" s="47"/>
      <c r="D264" s="48"/>
      <c r="E264" s="7" t="str">
        <f t="shared" si="27"/>
        <v/>
      </c>
      <c r="F264" s="8" t="str">
        <f t="shared" si="28"/>
        <v/>
      </c>
      <c r="G264" s="8" t="str">
        <f t="shared" si="29"/>
        <v/>
      </c>
      <c r="H264" s="37" t="str">
        <f t="shared" si="30"/>
        <v/>
      </c>
      <c r="I264" s="37" t="str">
        <f t="shared" si="31"/>
        <v/>
      </c>
      <c r="J264" s="8" t="str">
        <f t="shared" si="32"/>
        <v/>
      </c>
      <c r="K264" s="38" t="str">
        <f t="shared" si="33"/>
        <v/>
      </c>
      <c r="N264" s="59" t="str">
        <f t="shared" si="35"/>
        <v/>
      </c>
      <c r="O264" s="59" t="str">
        <f t="shared" si="34"/>
        <v/>
      </c>
    </row>
    <row r="265" spans="3:15" x14ac:dyDescent="0.25">
      <c r="C265" s="47"/>
      <c r="D265" s="48"/>
      <c r="E265" s="7" t="str">
        <f t="shared" si="27"/>
        <v/>
      </c>
      <c r="F265" s="8" t="str">
        <f t="shared" si="28"/>
        <v/>
      </c>
      <c r="G265" s="8" t="str">
        <f t="shared" si="29"/>
        <v/>
      </c>
      <c r="H265" s="37" t="str">
        <f t="shared" si="30"/>
        <v/>
      </c>
      <c r="I265" s="37" t="str">
        <f t="shared" si="31"/>
        <v/>
      </c>
      <c r="J265" s="8" t="str">
        <f t="shared" si="32"/>
        <v/>
      </c>
      <c r="K265" s="38" t="str">
        <f t="shared" si="33"/>
        <v/>
      </c>
      <c r="N265" s="59" t="str">
        <f t="shared" si="35"/>
        <v/>
      </c>
      <c r="O265" s="59" t="str">
        <f t="shared" si="34"/>
        <v/>
      </c>
    </row>
    <row r="266" spans="3:15" x14ac:dyDescent="0.25">
      <c r="C266" s="47"/>
      <c r="D266" s="48"/>
      <c r="E266" s="7" t="str">
        <f t="shared" si="27"/>
        <v/>
      </c>
      <c r="F266" s="8" t="str">
        <f t="shared" si="28"/>
        <v/>
      </c>
      <c r="G266" s="8" t="str">
        <f t="shared" si="29"/>
        <v/>
      </c>
      <c r="H266" s="37" t="str">
        <f t="shared" si="30"/>
        <v/>
      </c>
      <c r="I266" s="37" t="str">
        <f t="shared" si="31"/>
        <v/>
      </c>
      <c r="J266" s="8" t="str">
        <f t="shared" si="32"/>
        <v/>
      </c>
      <c r="K266" s="38" t="str">
        <f t="shared" si="33"/>
        <v/>
      </c>
      <c r="N266" s="59" t="str">
        <f t="shared" si="35"/>
        <v/>
      </c>
      <c r="O266" s="59" t="str">
        <f t="shared" si="34"/>
        <v/>
      </c>
    </row>
    <row r="267" spans="3:15" x14ac:dyDescent="0.25">
      <c r="C267" s="47"/>
      <c r="D267" s="48"/>
      <c r="E267" s="7" t="str">
        <f t="shared" si="27"/>
        <v/>
      </c>
      <c r="F267" s="8" t="str">
        <f t="shared" si="28"/>
        <v/>
      </c>
      <c r="G267" s="8" t="str">
        <f t="shared" si="29"/>
        <v/>
      </c>
      <c r="H267" s="37" t="str">
        <f t="shared" si="30"/>
        <v/>
      </c>
      <c r="I267" s="37" t="str">
        <f t="shared" si="31"/>
        <v/>
      </c>
      <c r="J267" s="8" t="str">
        <f t="shared" si="32"/>
        <v/>
      </c>
      <c r="K267" s="38" t="str">
        <f t="shared" si="33"/>
        <v/>
      </c>
      <c r="N267" s="59" t="str">
        <f t="shared" si="35"/>
        <v/>
      </c>
      <c r="O267" s="59" t="str">
        <f t="shared" si="34"/>
        <v/>
      </c>
    </row>
    <row r="268" spans="3:15" x14ac:dyDescent="0.25">
      <c r="C268" s="47"/>
      <c r="D268" s="48"/>
      <c r="E268" s="7" t="str">
        <f t="shared" si="27"/>
        <v/>
      </c>
      <c r="F268" s="8" t="str">
        <f t="shared" si="28"/>
        <v/>
      </c>
      <c r="G268" s="8" t="str">
        <f t="shared" si="29"/>
        <v/>
      </c>
      <c r="H268" s="37" t="str">
        <f t="shared" si="30"/>
        <v/>
      </c>
      <c r="I268" s="37" t="str">
        <f t="shared" si="31"/>
        <v/>
      </c>
      <c r="J268" s="8" t="str">
        <f t="shared" si="32"/>
        <v/>
      </c>
      <c r="K268" s="38" t="str">
        <f t="shared" si="33"/>
        <v/>
      </c>
      <c r="N268" s="59" t="str">
        <f t="shared" si="35"/>
        <v/>
      </c>
      <c r="O268" s="59" t="str">
        <f t="shared" si="34"/>
        <v/>
      </c>
    </row>
    <row r="269" spans="3:15" x14ac:dyDescent="0.25">
      <c r="C269" s="47"/>
      <c r="D269" s="48"/>
      <c r="E269" s="7" t="str">
        <f t="shared" si="27"/>
        <v/>
      </c>
      <c r="F269" s="8" t="str">
        <f t="shared" si="28"/>
        <v/>
      </c>
      <c r="G269" s="8" t="str">
        <f t="shared" si="29"/>
        <v/>
      </c>
      <c r="H269" s="37" t="str">
        <f t="shared" si="30"/>
        <v/>
      </c>
      <c r="I269" s="37" t="str">
        <f t="shared" si="31"/>
        <v/>
      </c>
      <c r="J269" s="8" t="str">
        <f t="shared" si="32"/>
        <v/>
      </c>
      <c r="K269" s="38" t="str">
        <f t="shared" si="33"/>
        <v/>
      </c>
      <c r="N269" s="59" t="str">
        <f t="shared" si="35"/>
        <v/>
      </c>
      <c r="O269" s="59" t="str">
        <f t="shared" si="34"/>
        <v/>
      </c>
    </row>
    <row r="270" spans="3:15" x14ac:dyDescent="0.25">
      <c r="C270" s="47"/>
      <c r="D270" s="48"/>
      <c r="E270" s="7" t="str">
        <f t="shared" si="27"/>
        <v/>
      </c>
      <c r="F270" s="8" t="str">
        <f t="shared" si="28"/>
        <v/>
      </c>
      <c r="G270" s="8" t="str">
        <f t="shared" si="29"/>
        <v/>
      </c>
      <c r="H270" s="37" t="str">
        <f t="shared" si="30"/>
        <v/>
      </c>
      <c r="I270" s="37" t="str">
        <f t="shared" si="31"/>
        <v/>
      </c>
      <c r="J270" s="8" t="str">
        <f t="shared" si="32"/>
        <v/>
      </c>
      <c r="K270" s="38" t="str">
        <f t="shared" si="33"/>
        <v/>
      </c>
      <c r="N270" s="59" t="str">
        <f t="shared" si="35"/>
        <v/>
      </c>
      <c r="O270" s="59" t="str">
        <f t="shared" si="34"/>
        <v/>
      </c>
    </row>
    <row r="271" spans="3:15" x14ac:dyDescent="0.25">
      <c r="C271" s="47"/>
      <c r="D271" s="48"/>
      <c r="E271" s="7" t="str">
        <f t="shared" si="27"/>
        <v/>
      </c>
      <c r="F271" s="8" t="str">
        <f t="shared" si="28"/>
        <v/>
      </c>
      <c r="G271" s="8" t="str">
        <f t="shared" si="29"/>
        <v/>
      </c>
      <c r="H271" s="37" t="str">
        <f t="shared" si="30"/>
        <v/>
      </c>
      <c r="I271" s="37" t="str">
        <f t="shared" si="31"/>
        <v/>
      </c>
      <c r="J271" s="8" t="str">
        <f t="shared" si="32"/>
        <v/>
      </c>
      <c r="K271" s="38" t="str">
        <f t="shared" si="33"/>
        <v/>
      </c>
      <c r="N271" s="59" t="str">
        <f t="shared" si="35"/>
        <v/>
      </c>
      <c r="O271" s="59" t="str">
        <f t="shared" si="34"/>
        <v/>
      </c>
    </row>
    <row r="272" spans="3:15" x14ac:dyDescent="0.25">
      <c r="C272" s="47"/>
      <c r="D272" s="48"/>
      <c r="E272" s="7" t="str">
        <f t="shared" si="27"/>
        <v/>
      </c>
      <c r="F272" s="8" t="str">
        <f t="shared" si="28"/>
        <v/>
      </c>
      <c r="G272" s="8" t="str">
        <f t="shared" si="29"/>
        <v/>
      </c>
      <c r="H272" s="37" t="str">
        <f t="shared" si="30"/>
        <v/>
      </c>
      <c r="I272" s="37" t="str">
        <f t="shared" si="31"/>
        <v/>
      </c>
      <c r="J272" s="8" t="str">
        <f t="shared" si="32"/>
        <v/>
      </c>
      <c r="K272" s="38" t="str">
        <f t="shared" si="33"/>
        <v/>
      </c>
      <c r="N272" s="59" t="str">
        <f t="shared" si="35"/>
        <v/>
      </c>
      <c r="O272" s="59" t="str">
        <f t="shared" si="34"/>
        <v/>
      </c>
    </row>
    <row r="273" spans="3:15" x14ac:dyDescent="0.25">
      <c r="C273" s="47"/>
      <c r="D273" s="48"/>
      <c r="E273" s="7" t="str">
        <f t="shared" si="27"/>
        <v/>
      </c>
      <c r="F273" s="8" t="str">
        <f t="shared" si="28"/>
        <v/>
      </c>
      <c r="G273" s="8" t="str">
        <f t="shared" si="29"/>
        <v/>
      </c>
      <c r="H273" s="37" t="str">
        <f t="shared" si="30"/>
        <v/>
      </c>
      <c r="I273" s="37" t="str">
        <f t="shared" si="31"/>
        <v/>
      </c>
      <c r="J273" s="8" t="str">
        <f t="shared" si="32"/>
        <v/>
      </c>
      <c r="K273" s="38" t="str">
        <f t="shared" si="33"/>
        <v/>
      </c>
      <c r="N273" s="59" t="str">
        <f t="shared" si="35"/>
        <v/>
      </c>
      <c r="O273" s="59" t="str">
        <f t="shared" si="34"/>
        <v/>
      </c>
    </row>
    <row r="274" spans="3:15" x14ac:dyDescent="0.25">
      <c r="C274" s="47"/>
      <c r="D274" s="48"/>
      <c r="E274" s="7" t="str">
        <f t="shared" si="27"/>
        <v/>
      </c>
      <c r="F274" s="8" t="str">
        <f t="shared" si="28"/>
        <v/>
      </c>
      <c r="G274" s="8" t="str">
        <f t="shared" si="29"/>
        <v/>
      </c>
      <c r="H274" s="37" t="str">
        <f t="shared" si="30"/>
        <v/>
      </c>
      <c r="I274" s="37" t="str">
        <f t="shared" si="31"/>
        <v/>
      </c>
      <c r="J274" s="8" t="str">
        <f t="shared" si="32"/>
        <v/>
      </c>
      <c r="K274" s="38" t="str">
        <f t="shared" si="33"/>
        <v/>
      </c>
      <c r="N274" s="59" t="str">
        <f t="shared" si="35"/>
        <v/>
      </c>
      <c r="O274" s="59" t="str">
        <f t="shared" si="34"/>
        <v/>
      </c>
    </row>
    <row r="275" spans="3:15" x14ac:dyDescent="0.25">
      <c r="C275" s="47"/>
      <c r="D275" s="48"/>
      <c r="E275" s="7" t="str">
        <f t="shared" ref="E275:E338" si="36">IF(OR(DataRecebimento="",C275=""),"",IF(C275&lt;DataRecebimento,"ERRO!",C275+$F$9-$F$7))</f>
        <v/>
      </c>
      <c r="F275" s="8" t="str">
        <f t="shared" ref="F275:F338" si="37">IF(OR(TaxaJuros="",C275=""),"",IF(C275&lt;DataRecebimento,"DATA",-D275*E275*($F$8/30)))</f>
        <v/>
      </c>
      <c r="G275" s="8" t="str">
        <f t="shared" ref="G275:G338" si="38">IF(OR(TaxaJuros="",C275=""),"",IF(C275&lt;DataRecebimento,"NÃO",-$F$10))</f>
        <v/>
      </c>
      <c r="H275" s="37" t="str">
        <f t="shared" ref="H275:H338" si="39">IF(OR(TaxaJuros="",C275=""),"",IF(C275&lt;DataRecebimento,"PODE",IF(ComSemIOF=FALSE,0,IF(E275&gt;365,-(D275+F275)*365*IOFDiario,-(D275+F275)*E275*IOFDiario))))</f>
        <v/>
      </c>
      <c r="I275" s="37" t="str">
        <f t="shared" ref="I275:I338" si="40">IF(OR(TaxaJuros="",C275=""),"",IF(C275&lt;DataRecebimento,"SER",IF(ComSemIOF=FALSE,0,-(D275+F275)*IOFAdic)))</f>
        <v/>
      </c>
      <c r="J275" s="8" t="str">
        <f t="shared" ref="J275:J338" si="41">IF(OR(TaxaJuros="",C275=""),"",IF(C275&lt;DataRecebimento,"INFERIOR!",D275+SUM(F275:I275)))</f>
        <v/>
      </c>
      <c r="K275" s="38" t="str">
        <f t="shared" ref="K275:K338" si="42">IF(OR(TaxaJuros="",C275=""),"",IF(C275&lt;DataRecebimento,"ERRO!",100%-J275/D275))</f>
        <v/>
      </c>
      <c r="N275" s="59" t="str">
        <f t="shared" si="35"/>
        <v/>
      </c>
      <c r="O275" s="59" t="str">
        <f t="shared" ref="O275:O338" si="43">IF(N275="","",PV(TMA_Dia,E275,,-N275))</f>
        <v/>
      </c>
    </row>
    <row r="276" spans="3:15" x14ac:dyDescent="0.25">
      <c r="C276" s="47"/>
      <c r="D276" s="48"/>
      <c r="E276" s="7" t="str">
        <f t="shared" si="36"/>
        <v/>
      </c>
      <c r="F276" s="8" t="str">
        <f t="shared" si="37"/>
        <v/>
      </c>
      <c r="G276" s="8" t="str">
        <f t="shared" si="38"/>
        <v/>
      </c>
      <c r="H276" s="37" t="str">
        <f t="shared" si="39"/>
        <v/>
      </c>
      <c r="I276" s="37" t="str">
        <f t="shared" si="40"/>
        <v/>
      </c>
      <c r="J276" s="8" t="str">
        <f t="shared" si="41"/>
        <v/>
      </c>
      <c r="K276" s="38" t="str">
        <f t="shared" si="42"/>
        <v/>
      </c>
      <c r="N276" s="59" t="str">
        <f t="shared" ref="N276:N339" si="44">IF(C276="","",-D276)</f>
        <v/>
      </c>
      <c r="O276" s="59" t="str">
        <f t="shared" si="43"/>
        <v/>
      </c>
    </row>
    <row r="277" spans="3:15" x14ac:dyDescent="0.25">
      <c r="C277" s="47"/>
      <c r="D277" s="48"/>
      <c r="E277" s="7" t="str">
        <f t="shared" si="36"/>
        <v/>
      </c>
      <c r="F277" s="8" t="str">
        <f t="shared" si="37"/>
        <v/>
      </c>
      <c r="G277" s="8" t="str">
        <f t="shared" si="38"/>
        <v/>
      </c>
      <c r="H277" s="37" t="str">
        <f t="shared" si="39"/>
        <v/>
      </c>
      <c r="I277" s="37" t="str">
        <f t="shared" si="40"/>
        <v/>
      </c>
      <c r="J277" s="8" t="str">
        <f t="shared" si="41"/>
        <v/>
      </c>
      <c r="K277" s="38" t="str">
        <f t="shared" si="42"/>
        <v/>
      </c>
      <c r="N277" s="59" t="str">
        <f t="shared" si="44"/>
        <v/>
      </c>
      <c r="O277" s="59" t="str">
        <f t="shared" si="43"/>
        <v/>
      </c>
    </row>
    <row r="278" spans="3:15" x14ac:dyDescent="0.25">
      <c r="C278" s="47"/>
      <c r="D278" s="48"/>
      <c r="E278" s="7" t="str">
        <f t="shared" si="36"/>
        <v/>
      </c>
      <c r="F278" s="8" t="str">
        <f t="shared" si="37"/>
        <v/>
      </c>
      <c r="G278" s="8" t="str">
        <f t="shared" si="38"/>
        <v/>
      </c>
      <c r="H278" s="37" t="str">
        <f t="shared" si="39"/>
        <v/>
      </c>
      <c r="I278" s="37" t="str">
        <f t="shared" si="40"/>
        <v/>
      </c>
      <c r="J278" s="8" t="str">
        <f t="shared" si="41"/>
        <v/>
      </c>
      <c r="K278" s="38" t="str">
        <f t="shared" si="42"/>
        <v/>
      </c>
      <c r="N278" s="59" t="str">
        <f t="shared" si="44"/>
        <v/>
      </c>
      <c r="O278" s="59" t="str">
        <f t="shared" si="43"/>
        <v/>
      </c>
    </row>
    <row r="279" spans="3:15" x14ac:dyDescent="0.25">
      <c r="C279" s="47"/>
      <c r="D279" s="48"/>
      <c r="E279" s="7" t="str">
        <f t="shared" si="36"/>
        <v/>
      </c>
      <c r="F279" s="8" t="str">
        <f t="shared" si="37"/>
        <v/>
      </c>
      <c r="G279" s="8" t="str">
        <f t="shared" si="38"/>
        <v/>
      </c>
      <c r="H279" s="37" t="str">
        <f t="shared" si="39"/>
        <v/>
      </c>
      <c r="I279" s="37" t="str">
        <f t="shared" si="40"/>
        <v/>
      </c>
      <c r="J279" s="8" t="str">
        <f t="shared" si="41"/>
        <v/>
      </c>
      <c r="K279" s="38" t="str">
        <f t="shared" si="42"/>
        <v/>
      </c>
      <c r="N279" s="59" t="str">
        <f t="shared" si="44"/>
        <v/>
      </c>
      <c r="O279" s="59" t="str">
        <f t="shared" si="43"/>
        <v/>
      </c>
    </row>
    <row r="280" spans="3:15" x14ac:dyDescent="0.25">
      <c r="C280" s="47"/>
      <c r="D280" s="48"/>
      <c r="E280" s="7" t="str">
        <f t="shared" si="36"/>
        <v/>
      </c>
      <c r="F280" s="8" t="str">
        <f t="shared" si="37"/>
        <v/>
      </c>
      <c r="G280" s="8" t="str">
        <f t="shared" si="38"/>
        <v/>
      </c>
      <c r="H280" s="37" t="str">
        <f t="shared" si="39"/>
        <v/>
      </c>
      <c r="I280" s="37" t="str">
        <f t="shared" si="40"/>
        <v/>
      </c>
      <c r="J280" s="8" t="str">
        <f t="shared" si="41"/>
        <v/>
      </c>
      <c r="K280" s="38" t="str">
        <f t="shared" si="42"/>
        <v/>
      </c>
      <c r="N280" s="59" t="str">
        <f t="shared" si="44"/>
        <v/>
      </c>
      <c r="O280" s="59" t="str">
        <f t="shared" si="43"/>
        <v/>
      </c>
    </row>
    <row r="281" spans="3:15" x14ac:dyDescent="0.25">
      <c r="C281" s="47"/>
      <c r="D281" s="48"/>
      <c r="E281" s="7" t="str">
        <f t="shared" si="36"/>
        <v/>
      </c>
      <c r="F281" s="8" t="str">
        <f t="shared" si="37"/>
        <v/>
      </c>
      <c r="G281" s="8" t="str">
        <f t="shared" si="38"/>
        <v/>
      </c>
      <c r="H281" s="37" t="str">
        <f t="shared" si="39"/>
        <v/>
      </c>
      <c r="I281" s="37" t="str">
        <f t="shared" si="40"/>
        <v/>
      </c>
      <c r="J281" s="8" t="str">
        <f t="shared" si="41"/>
        <v/>
      </c>
      <c r="K281" s="38" t="str">
        <f t="shared" si="42"/>
        <v/>
      </c>
      <c r="N281" s="59" t="str">
        <f t="shared" si="44"/>
        <v/>
      </c>
      <c r="O281" s="59" t="str">
        <f t="shared" si="43"/>
        <v/>
      </c>
    </row>
    <row r="282" spans="3:15" x14ac:dyDescent="0.25">
      <c r="C282" s="47"/>
      <c r="D282" s="48"/>
      <c r="E282" s="7" t="str">
        <f t="shared" si="36"/>
        <v/>
      </c>
      <c r="F282" s="8" t="str">
        <f t="shared" si="37"/>
        <v/>
      </c>
      <c r="G282" s="8" t="str">
        <f t="shared" si="38"/>
        <v/>
      </c>
      <c r="H282" s="37" t="str">
        <f t="shared" si="39"/>
        <v/>
      </c>
      <c r="I282" s="37" t="str">
        <f t="shared" si="40"/>
        <v/>
      </c>
      <c r="J282" s="8" t="str">
        <f t="shared" si="41"/>
        <v/>
      </c>
      <c r="K282" s="38" t="str">
        <f t="shared" si="42"/>
        <v/>
      </c>
      <c r="N282" s="59" t="str">
        <f t="shared" si="44"/>
        <v/>
      </c>
      <c r="O282" s="59" t="str">
        <f t="shared" si="43"/>
        <v/>
      </c>
    </row>
    <row r="283" spans="3:15" x14ac:dyDescent="0.25">
      <c r="C283" s="47"/>
      <c r="D283" s="48"/>
      <c r="E283" s="7" t="str">
        <f t="shared" si="36"/>
        <v/>
      </c>
      <c r="F283" s="8" t="str">
        <f t="shared" si="37"/>
        <v/>
      </c>
      <c r="G283" s="8" t="str">
        <f t="shared" si="38"/>
        <v/>
      </c>
      <c r="H283" s="37" t="str">
        <f t="shared" si="39"/>
        <v/>
      </c>
      <c r="I283" s="37" t="str">
        <f t="shared" si="40"/>
        <v/>
      </c>
      <c r="J283" s="8" t="str">
        <f t="shared" si="41"/>
        <v/>
      </c>
      <c r="K283" s="38" t="str">
        <f t="shared" si="42"/>
        <v/>
      </c>
      <c r="N283" s="59" t="str">
        <f t="shared" si="44"/>
        <v/>
      </c>
      <c r="O283" s="59" t="str">
        <f t="shared" si="43"/>
        <v/>
      </c>
    </row>
    <row r="284" spans="3:15" x14ac:dyDescent="0.25">
      <c r="C284" s="47"/>
      <c r="D284" s="48"/>
      <c r="E284" s="7" t="str">
        <f t="shared" si="36"/>
        <v/>
      </c>
      <c r="F284" s="8" t="str">
        <f t="shared" si="37"/>
        <v/>
      </c>
      <c r="G284" s="8" t="str">
        <f t="shared" si="38"/>
        <v/>
      </c>
      <c r="H284" s="37" t="str">
        <f t="shared" si="39"/>
        <v/>
      </c>
      <c r="I284" s="37" t="str">
        <f t="shared" si="40"/>
        <v/>
      </c>
      <c r="J284" s="8" t="str">
        <f t="shared" si="41"/>
        <v/>
      </c>
      <c r="K284" s="38" t="str">
        <f t="shared" si="42"/>
        <v/>
      </c>
      <c r="N284" s="59" t="str">
        <f t="shared" si="44"/>
        <v/>
      </c>
      <c r="O284" s="59" t="str">
        <f t="shared" si="43"/>
        <v/>
      </c>
    </row>
    <row r="285" spans="3:15" x14ac:dyDescent="0.25">
      <c r="C285" s="47"/>
      <c r="D285" s="48"/>
      <c r="E285" s="7" t="str">
        <f t="shared" si="36"/>
        <v/>
      </c>
      <c r="F285" s="8" t="str">
        <f t="shared" si="37"/>
        <v/>
      </c>
      <c r="G285" s="8" t="str">
        <f t="shared" si="38"/>
        <v/>
      </c>
      <c r="H285" s="37" t="str">
        <f t="shared" si="39"/>
        <v/>
      </c>
      <c r="I285" s="37" t="str">
        <f t="shared" si="40"/>
        <v/>
      </c>
      <c r="J285" s="8" t="str">
        <f t="shared" si="41"/>
        <v/>
      </c>
      <c r="K285" s="38" t="str">
        <f t="shared" si="42"/>
        <v/>
      </c>
      <c r="N285" s="59" t="str">
        <f t="shared" si="44"/>
        <v/>
      </c>
      <c r="O285" s="59" t="str">
        <f t="shared" si="43"/>
        <v/>
      </c>
    </row>
    <row r="286" spans="3:15" x14ac:dyDescent="0.25">
      <c r="C286" s="47"/>
      <c r="D286" s="48"/>
      <c r="E286" s="7" t="str">
        <f t="shared" si="36"/>
        <v/>
      </c>
      <c r="F286" s="8" t="str">
        <f t="shared" si="37"/>
        <v/>
      </c>
      <c r="G286" s="8" t="str">
        <f t="shared" si="38"/>
        <v/>
      </c>
      <c r="H286" s="37" t="str">
        <f t="shared" si="39"/>
        <v/>
      </c>
      <c r="I286" s="37" t="str">
        <f t="shared" si="40"/>
        <v/>
      </c>
      <c r="J286" s="8" t="str">
        <f t="shared" si="41"/>
        <v/>
      </c>
      <c r="K286" s="38" t="str">
        <f t="shared" si="42"/>
        <v/>
      </c>
      <c r="N286" s="59" t="str">
        <f t="shared" si="44"/>
        <v/>
      </c>
      <c r="O286" s="59" t="str">
        <f t="shared" si="43"/>
        <v/>
      </c>
    </row>
    <row r="287" spans="3:15" x14ac:dyDescent="0.25">
      <c r="C287" s="47"/>
      <c r="D287" s="48"/>
      <c r="E287" s="7" t="str">
        <f t="shared" si="36"/>
        <v/>
      </c>
      <c r="F287" s="8" t="str">
        <f t="shared" si="37"/>
        <v/>
      </c>
      <c r="G287" s="8" t="str">
        <f t="shared" si="38"/>
        <v/>
      </c>
      <c r="H287" s="37" t="str">
        <f t="shared" si="39"/>
        <v/>
      </c>
      <c r="I287" s="37" t="str">
        <f t="shared" si="40"/>
        <v/>
      </c>
      <c r="J287" s="8" t="str">
        <f t="shared" si="41"/>
        <v/>
      </c>
      <c r="K287" s="38" t="str">
        <f t="shared" si="42"/>
        <v/>
      </c>
      <c r="N287" s="59" t="str">
        <f t="shared" si="44"/>
        <v/>
      </c>
      <c r="O287" s="59" t="str">
        <f t="shared" si="43"/>
        <v/>
      </c>
    </row>
    <row r="288" spans="3:15" x14ac:dyDescent="0.25">
      <c r="C288" s="47"/>
      <c r="D288" s="48"/>
      <c r="E288" s="7" t="str">
        <f t="shared" si="36"/>
        <v/>
      </c>
      <c r="F288" s="8" t="str">
        <f t="shared" si="37"/>
        <v/>
      </c>
      <c r="G288" s="8" t="str">
        <f t="shared" si="38"/>
        <v/>
      </c>
      <c r="H288" s="37" t="str">
        <f t="shared" si="39"/>
        <v/>
      </c>
      <c r="I288" s="37" t="str">
        <f t="shared" si="40"/>
        <v/>
      </c>
      <c r="J288" s="8" t="str">
        <f t="shared" si="41"/>
        <v/>
      </c>
      <c r="K288" s="38" t="str">
        <f t="shared" si="42"/>
        <v/>
      </c>
      <c r="N288" s="59" t="str">
        <f t="shared" si="44"/>
        <v/>
      </c>
      <c r="O288" s="59" t="str">
        <f t="shared" si="43"/>
        <v/>
      </c>
    </row>
    <row r="289" spans="3:15" x14ac:dyDescent="0.25">
      <c r="C289" s="47"/>
      <c r="D289" s="48"/>
      <c r="E289" s="7" t="str">
        <f t="shared" si="36"/>
        <v/>
      </c>
      <c r="F289" s="8" t="str">
        <f t="shared" si="37"/>
        <v/>
      </c>
      <c r="G289" s="8" t="str">
        <f t="shared" si="38"/>
        <v/>
      </c>
      <c r="H289" s="37" t="str">
        <f t="shared" si="39"/>
        <v/>
      </c>
      <c r="I289" s="37" t="str">
        <f t="shared" si="40"/>
        <v/>
      </c>
      <c r="J289" s="8" t="str">
        <f t="shared" si="41"/>
        <v/>
      </c>
      <c r="K289" s="38" t="str">
        <f t="shared" si="42"/>
        <v/>
      </c>
      <c r="N289" s="59" t="str">
        <f t="shared" si="44"/>
        <v/>
      </c>
      <c r="O289" s="59" t="str">
        <f t="shared" si="43"/>
        <v/>
      </c>
    </row>
    <row r="290" spans="3:15" x14ac:dyDescent="0.25">
      <c r="C290" s="47"/>
      <c r="D290" s="48"/>
      <c r="E290" s="7" t="str">
        <f t="shared" si="36"/>
        <v/>
      </c>
      <c r="F290" s="8" t="str">
        <f t="shared" si="37"/>
        <v/>
      </c>
      <c r="G290" s="8" t="str">
        <f t="shared" si="38"/>
        <v/>
      </c>
      <c r="H290" s="37" t="str">
        <f t="shared" si="39"/>
        <v/>
      </c>
      <c r="I290" s="37" t="str">
        <f t="shared" si="40"/>
        <v/>
      </c>
      <c r="J290" s="8" t="str">
        <f t="shared" si="41"/>
        <v/>
      </c>
      <c r="K290" s="38" t="str">
        <f t="shared" si="42"/>
        <v/>
      </c>
      <c r="N290" s="59" t="str">
        <f t="shared" si="44"/>
        <v/>
      </c>
      <c r="O290" s="59" t="str">
        <f t="shared" si="43"/>
        <v/>
      </c>
    </row>
    <row r="291" spans="3:15" x14ac:dyDescent="0.25">
      <c r="C291" s="47"/>
      <c r="D291" s="48"/>
      <c r="E291" s="7" t="str">
        <f t="shared" si="36"/>
        <v/>
      </c>
      <c r="F291" s="8" t="str">
        <f t="shared" si="37"/>
        <v/>
      </c>
      <c r="G291" s="8" t="str">
        <f t="shared" si="38"/>
        <v/>
      </c>
      <c r="H291" s="37" t="str">
        <f t="shared" si="39"/>
        <v/>
      </c>
      <c r="I291" s="37" t="str">
        <f t="shared" si="40"/>
        <v/>
      </c>
      <c r="J291" s="8" t="str">
        <f t="shared" si="41"/>
        <v/>
      </c>
      <c r="K291" s="38" t="str">
        <f t="shared" si="42"/>
        <v/>
      </c>
      <c r="N291" s="59" t="str">
        <f t="shared" si="44"/>
        <v/>
      </c>
      <c r="O291" s="59" t="str">
        <f t="shared" si="43"/>
        <v/>
      </c>
    </row>
    <row r="292" spans="3:15" x14ac:dyDescent="0.25">
      <c r="C292" s="47"/>
      <c r="D292" s="48"/>
      <c r="E292" s="7" t="str">
        <f t="shared" si="36"/>
        <v/>
      </c>
      <c r="F292" s="8" t="str">
        <f t="shared" si="37"/>
        <v/>
      </c>
      <c r="G292" s="8" t="str">
        <f t="shared" si="38"/>
        <v/>
      </c>
      <c r="H292" s="37" t="str">
        <f t="shared" si="39"/>
        <v/>
      </c>
      <c r="I292" s="37" t="str">
        <f t="shared" si="40"/>
        <v/>
      </c>
      <c r="J292" s="8" t="str">
        <f t="shared" si="41"/>
        <v/>
      </c>
      <c r="K292" s="38" t="str">
        <f t="shared" si="42"/>
        <v/>
      </c>
      <c r="N292" s="59" t="str">
        <f t="shared" si="44"/>
        <v/>
      </c>
      <c r="O292" s="59" t="str">
        <f t="shared" si="43"/>
        <v/>
      </c>
    </row>
    <row r="293" spans="3:15" x14ac:dyDescent="0.25">
      <c r="C293" s="47"/>
      <c r="D293" s="48"/>
      <c r="E293" s="7" t="str">
        <f t="shared" si="36"/>
        <v/>
      </c>
      <c r="F293" s="8" t="str">
        <f t="shared" si="37"/>
        <v/>
      </c>
      <c r="G293" s="8" t="str">
        <f t="shared" si="38"/>
        <v/>
      </c>
      <c r="H293" s="37" t="str">
        <f t="shared" si="39"/>
        <v/>
      </c>
      <c r="I293" s="37" t="str">
        <f t="shared" si="40"/>
        <v/>
      </c>
      <c r="J293" s="8" t="str">
        <f t="shared" si="41"/>
        <v/>
      </c>
      <c r="K293" s="38" t="str">
        <f t="shared" si="42"/>
        <v/>
      </c>
      <c r="N293" s="59" t="str">
        <f t="shared" si="44"/>
        <v/>
      </c>
      <c r="O293" s="59" t="str">
        <f t="shared" si="43"/>
        <v/>
      </c>
    </row>
    <row r="294" spans="3:15" x14ac:dyDescent="0.25">
      <c r="C294" s="47"/>
      <c r="D294" s="48"/>
      <c r="E294" s="7" t="str">
        <f t="shared" si="36"/>
        <v/>
      </c>
      <c r="F294" s="8" t="str">
        <f t="shared" si="37"/>
        <v/>
      </c>
      <c r="G294" s="8" t="str">
        <f t="shared" si="38"/>
        <v/>
      </c>
      <c r="H294" s="37" t="str">
        <f t="shared" si="39"/>
        <v/>
      </c>
      <c r="I294" s="37" t="str">
        <f t="shared" si="40"/>
        <v/>
      </c>
      <c r="J294" s="8" t="str">
        <f t="shared" si="41"/>
        <v/>
      </c>
      <c r="K294" s="38" t="str">
        <f t="shared" si="42"/>
        <v/>
      </c>
      <c r="N294" s="59" t="str">
        <f t="shared" si="44"/>
        <v/>
      </c>
      <c r="O294" s="59" t="str">
        <f t="shared" si="43"/>
        <v/>
      </c>
    </row>
    <row r="295" spans="3:15" x14ac:dyDescent="0.25">
      <c r="C295" s="47"/>
      <c r="D295" s="48"/>
      <c r="E295" s="7" t="str">
        <f t="shared" si="36"/>
        <v/>
      </c>
      <c r="F295" s="8" t="str">
        <f t="shared" si="37"/>
        <v/>
      </c>
      <c r="G295" s="8" t="str">
        <f t="shared" si="38"/>
        <v/>
      </c>
      <c r="H295" s="37" t="str">
        <f t="shared" si="39"/>
        <v/>
      </c>
      <c r="I295" s="37" t="str">
        <f t="shared" si="40"/>
        <v/>
      </c>
      <c r="J295" s="8" t="str">
        <f t="shared" si="41"/>
        <v/>
      </c>
      <c r="K295" s="38" t="str">
        <f t="shared" si="42"/>
        <v/>
      </c>
      <c r="N295" s="59" t="str">
        <f t="shared" si="44"/>
        <v/>
      </c>
      <c r="O295" s="59" t="str">
        <f t="shared" si="43"/>
        <v/>
      </c>
    </row>
    <row r="296" spans="3:15" x14ac:dyDescent="0.25">
      <c r="C296" s="47"/>
      <c r="D296" s="48"/>
      <c r="E296" s="7" t="str">
        <f t="shared" si="36"/>
        <v/>
      </c>
      <c r="F296" s="8" t="str">
        <f t="shared" si="37"/>
        <v/>
      </c>
      <c r="G296" s="8" t="str">
        <f t="shared" si="38"/>
        <v/>
      </c>
      <c r="H296" s="37" t="str">
        <f t="shared" si="39"/>
        <v/>
      </c>
      <c r="I296" s="37" t="str">
        <f t="shared" si="40"/>
        <v/>
      </c>
      <c r="J296" s="8" t="str">
        <f t="shared" si="41"/>
        <v/>
      </c>
      <c r="K296" s="38" t="str">
        <f t="shared" si="42"/>
        <v/>
      </c>
      <c r="N296" s="59" t="str">
        <f t="shared" si="44"/>
        <v/>
      </c>
      <c r="O296" s="59" t="str">
        <f t="shared" si="43"/>
        <v/>
      </c>
    </row>
    <row r="297" spans="3:15" x14ac:dyDescent="0.25">
      <c r="C297" s="47"/>
      <c r="D297" s="48"/>
      <c r="E297" s="7" t="str">
        <f t="shared" si="36"/>
        <v/>
      </c>
      <c r="F297" s="8" t="str">
        <f t="shared" si="37"/>
        <v/>
      </c>
      <c r="G297" s="8" t="str">
        <f t="shared" si="38"/>
        <v/>
      </c>
      <c r="H297" s="37" t="str">
        <f t="shared" si="39"/>
        <v/>
      </c>
      <c r="I297" s="37" t="str">
        <f t="shared" si="40"/>
        <v/>
      </c>
      <c r="J297" s="8" t="str">
        <f t="shared" si="41"/>
        <v/>
      </c>
      <c r="K297" s="38" t="str">
        <f t="shared" si="42"/>
        <v/>
      </c>
      <c r="N297" s="59" t="str">
        <f t="shared" si="44"/>
        <v/>
      </c>
      <c r="O297" s="59" t="str">
        <f t="shared" si="43"/>
        <v/>
      </c>
    </row>
    <row r="298" spans="3:15" x14ac:dyDescent="0.25">
      <c r="C298" s="47"/>
      <c r="D298" s="48"/>
      <c r="E298" s="7" t="str">
        <f t="shared" si="36"/>
        <v/>
      </c>
      <c r="F298" s="8" t="str">
        <f t="shared" si="37"/>
        <v/>
      </c>
      <c r="G298" s="8" t="str">
        <f t="shared" si="38"/>
        <v/>
      </c>
      <c r="H298" s="37" t="str">
        <f t="shared" si="39"/>
        <v/>
      </c>
      <c r="I298" s="37" t="str">
        <f t="shared" si="40"/>
        <v/>
      </c>
      <c r="J298" s="8" t="str">
        <f t="shared" si="41"/>
        <v/>
      </c>
      <c r="K298" s="38" t="str">
        <f t="shared" si="42"/>
        <v/>
      </c>
      <c r="N298" s="59" t="str">
        <f t="shared" si="44"/>
        <v/>
      </c>
      <c r="O298" s="59" t="str">
        <f t="shared" si="43"/>
        <v/>
      </c>
    </row>
    <row r="299" spans="3:15" x14ac:dyDescent="0.25">
      <c r="C299" s="47"/>
      <c r="D299" s="48"/>
      <c r="E299" s="7" t="str">
        <f t="shared" si="36"/>
        <v/>
      </c>
      <c r="F299" s="8" t="str">
        <f t="shared" si="37"/>
        <v/>
      </c>
      <c r="G299" s="8" t="str">
        <f t="shared" si="38"/>
        <v/>
      </c>
      <c r="H299" s="37" t="str">
        <f t="shared" si="39"/>
        <v/>
      </c>
      <c r="I299" s="37" t="str">
        <f t="shared" si="40"/>
        <v/>
      </c>
      <c r="J299" s="8" t="str">
        <f t="shared" si="41"/>
        <v/>
      </c>
      <c r="K299" s="38" t="str">
        <f t="shared" si="42"/>
        <v/>
      </c>
      <c r="N299" s="59" t="str">
        <f t="shared" si="44"/>
        <v/>
      </c>
      <c r="O299" s="59" t="str">
        <f t="shared" si="43"/>
        <v/>
      </c>
    </row>
    <row r="300" spans="3:15" x14ac:dyDescent="0.25">
      <c r="C300" s="47"/>
      <c r="D300" s="48"/>
      <c r="E300" s="7" t="str">
        <f t="shared" si="36"/>
        <v/>
      </c>
      <c r="F300" s="8" t="str">
        <f t="shared" si="37"/>
        <v/>
      </c>
      <c r="G300" s="8" t="str">
        <f t="shared" si="38"/>
        <v/>
      </c>
      <c r="H300" s="37" t="str">
        <f t="shared" si="39"/>
        <v/>
      </c>
      <c r="I300" s="37" t="str">
        <f t="shared" si="40"/>
        <v/>
      </c>
      <c r="J300" s="8" t="str">
        <f t="shared" si="41"/>
        <v/>
      </c>
      <c r="K300" s="38" t="str">
        <f t="shared" si="42"/>
        <v/>
      </c>
      <c r="N300" s="59" t="str">
        <f t="shared" si="44"/>
        <v/>
      </c>
      <c r="O300" s="59" t="str">
        <f t="shared" si="43"/>
        <v/>
      </c>
    </row>
    <row r="301" spans="3:15" x14ac:dyDescent="0.25">
      <c r="C301" s="47"/>
      <c r="D301" s="48"/>
      <c r="E301" s="7" t="str">
        <f t="shared" si="36"/>
        <v/>
      </c>
      <c r="F301" s="8" t="str">
        <f t="shared" si="37"/>
        <v/>
      </c>
      <c r="G301" s="8" t="str">
        <f t="shared" si="38"/>
        <v/>
      </c>
      <c r="H301" s="37" t="str">
        <f t="shared" si="39"/>
        <v/>
      </c>
      <c r="I301" s="37" t="str">
        <f t="shared" si="40"/>
        <v/>
      </c>
      <c r="J301" s="8" t="str">
        <f t="shared" si="41"/>
        <v/>
      </c>
      <c r="K301" s="38" t="str">
        <f t="shared" si="42"/>
        <v/>
      </c>
      <c r="N301" s="59" t="str">
        <f t="shared" si="44"/>
        <v/>
      </c>
      <c r="O301" s="59" t="str">
        <f t="shared" si="43"/>
        <v/>
      </c>
    </row>
    <row r="302" spans="3:15" x14ac:dyDescent="0.25">
      <c r="C302" s="47"/>
      <c r="D302" s="48"/>
      <c r="E302" s="7" t="str">
        <f t="shared" si="36"/>
        <v/>
      </c>
      <c r="F302" s="8" t="str">
        <f t="shared" si="37"/>
        <v/>
      </c>
      <c r="G302" s="8" t="str">
        <f t="shared" si="38"/>
        <v/>
      </c>
      <c r="H302" s="37" t="str">
        <f t="shared" si="39"/>
        <v/>
      </c>
      <c r="I302" s="37" t="str">
        <f t="shared" si="40"/>
        <v/>
      </c>
      <c r="J302" s="8" t="str">
        <f t="shared" si="41"/>
        <v/>
      </c>
      <c r="K302" s="38" t="str">
        <f t="shared" si="42"/>
        <v/>
      </c>
      <c r="N302" s="59" t="str">
        <f t="shared" si="44"/>
        <v/>
      </c>
      <c r="O302" s="59" t="str">
        <f t="shared" si="43"/>
        <v/>
      </c>
    </row>
    <row r="303" spans="3:15" x14ac:dyDescent="0.25">
      <c r="C303" s="47"/>
      <c r="D303" s="48"/>
      <c r="E303" s="7" t="str">
        <f t="shared" si="36"/>
        <v/>
      </c>
      <c r="F303" s="8" t="str">
        <f t="shared" si="37"/>
        <v/>
      </c>
      <c r="G303" s="8" t="str">
        <f t="shared" si="38"/>
        <v/>
      </c>
      <c r="H303" s="37" t="str">
        <f t="shared" si="39"/>
        <v/>
      </c>
      <c r="I303" s="37" t="str">
        <f t="shared" si="40"/>
        <v/>
      </c>
      <c r="J303" s="8" t="str">
        <f t="shared" si="41"/>
        <v/>
      </c>
      <c r="K303" s="38" t="str">
        <f t="shared" si="42"/>
        <v/>
      </c>
      <c r="N303" s="59" t="str">
        <f t="shared" si="44"/>
        <v/>
      </c>
      <c r="O303" s="59" t="str">
        <f t="shared" si="43"/>
        <v/>
      </c>
    </row>
    <row r="304" spans="3:15" x14ac:dyDescent="0.25">
      <c r="C304" s="47"/>
      <c r="D304" s="48"/>
      <c r="E304" s="7" t="str">
        <f t="shared" si="36"/>
        <v/>
      </c>
      <c r="F304" s="8" t="str">
        <f t="shared" si="37"/>
        <v/>
      </c>
      <c r="G304" s="8" t="str">
        <f t="shared" si="38"/>
        <v/>
      </c>
      <c r="H304" s="37" t="str">
        <f t="shared" si="39"/>
        <v/>
      </c>
      <c r="I304" s="37" t="str">
        <f t="shared" si="40"/>
        <v/>
      </c>
      <c r="J304" s="8" t="str">
        <f t="shared" si="41"/>
        <v/>
      </c>
      <c r="K304" s="38" t="str">
        <f t="shared" si="42"/>
        <v/>
      </c>
      <c r="N304" s="59" t="str">
        <f t="shared" si="44"/>
        <v/>
      </c>
      <c r="O304" s="59" t="str">
        <f t="shared" si="43"/>
        <v/>
      </c>
    </row>
    <row r="305" spans="3:15" x14ac:dyDescent="0.25">
      <c r="C305" s="47"/>
      <c r="D305" s="48"/>
      <c r="E305" s="7" t="str">
        <f t="shared" si="36"/>
        <v/>
      </c>
      <c r="F305" s="8" t="str">
        <f t="shared" si="37"/>
        <v/>
      </c>
      <c r="G305" s="8" t="str">
        <f t="shared" si="38"/>
        <v/>
      </c>
      <c r="H305" s="37" t="str">
        <f t="shared" si="39"/>
        <v/>
      </c>
      <c r="I305" s="37" t="str">
        <f t="shared" si="40"/>
        <v/>
      </c>
      <c r="J305" s="8" t="str">
        <f t="shared" si="41"/>
        <v/>
      </c>
      <c r="K305" s="38" t="str">
        <f t="shared" si="42"/>
        <v/>
      </c>
      <c r="N305" s="59" t="str">
        <f t="shared" si="44"/>
        <v/>
      </c>
      <c r="O305" s="59" t="str">
        <f t="shared" si="43"/>
        <v/>
      </c>
    </row>
    <row r="306" spans="3:15" x14ac:dyDescent="0.25">
      <c r="C306" s="47"/>
      <c r="D306" s="48"/>
      <c r="E306" s="7" t="str">
        <f t="shared" si="36"/>
        <v/>
      </c>
      <c r="F306" s="8" t="str">
        <f t="shared" si="37"/>
        <v/>
      </c>
      <c r="G306" s="8" t="str">
        <f t="shared" si="38"/>
        <v/>
      </c>
      <c r="H306" s="37" t="str">
        <f t="shared" si="39"/>
        <v/>
      </c>
      <c r="I306" s="37" t="str">
        <f t="shared" si="40"/>
        <v/>
      </c>
      <c r="J306" s="8" t="str">
        <f t="shared" si="41"/>
        <v/>
      </c>
      <c r="K306" s="38" t="str">
        <f t="shared" si="42"/>
        <v/>
      </c>
      <c r="N306" s="59" t="str">
        <f t="shared" si="44"/>
        <v/>
      </c>
      <c r="O306" s="59" t="str">
        <f t="shared" si="43"/>
        <v/>
      </c>
    </row>
    <row r="307" spans="3:15" x14ac:dyDescent="0.25">
      <c r="C307" s="47"/>
      <c r="D307" s="48"/>
      <c r="E307" s="7" t="str">
        <f t="shared" si="36"/>
        <v/>
      </c>
      <c r="F307" s="8" t="str">
        <f t="shared" si="37"/>
        <v/>
      </c>
      <c r="G307" s="8" t="str">
        <f t="shared" si="38"/>
        <v/>
      </c>
      <c r="H307" s="37" t="str">
        <f t="shared" si="39"/>
        <v/>
      </c>
      <c r="I307" s="37" t="str">
        <f t="shared" si="40"/>
        <v/>
      </c>
      <c r="J307" s="8" t="str">
        <f t="shared" si="41"/>
        <v/>
      </c>
      <c r="K307" s="38" t="str">
        <f t="shared" si="42"/>
        <v/>
      </c>
      <c r="N307" s="59" t="str">
        <f t="shared" si="44"/>
        <v/>
      </c>
      <c r="O307" s="59" t="str">
        <f t="shared" si="43"/>
        <v/>
      </c>
    </row>
    <row r="308" spans="3:15" x14ac:dyDescent="0.25">
      <c r="C308" s="47"/>
      <c r="D308" s="48"/>
      <c r="E308" s="7" t="str">
        <f t="shared" si="36"/>
        <v/>
      </c>
      <c r="F308" s="8" t="str">
        <f t="shared" si="37"/>
        <v/>
      </c>
      <c r="G308" s="8" t="str">
        <f t="shared" si="38"/>
        <v/>
      </c>
      <c r="H308" s="37" t="str">
        <f t="shared" si="39"/>
        <v/>
      </c>
      <c r="I308" s="37" t="str">
        <f t="shared" si="40"/>
        <v/>
      </c>
      <c r="J308" s="8" t="str">
        <f t="shared" si="41"/>
        <v/>
      </c>
      <c r="K308" s="38" t="str">
        <f t="shared" si="42"/>
        <v/>
      </c>
      <c r="N308" s="59" t="str">
        <f t="shared" si="44"/>
        <v/>
      </c>
      <c r="O308" s="59" t="str">
        <f t="shared" si="43"/>
        <v/>
      </c>
    </row>
    <row r="309" spans="3:15" x14ac:dyDescent="0.25">
      <c r="C309" s="47"/>
      <c r="D309" s="48"/>
      <c r="E309" s="7" t="str">
        <f t="shared" si="36"/>
        <v/>
      </c>
      <c r="F309" s="8" t="str">
        <f t="shared" si="37"/>
        <v/>
      </c>
      <c r="G309" s="8" t="str">
        <f t="shared" si="38"/>
        <v/>
      </c>
      <c r="H309" s="37" t="str">
        <f t="shared" si="39"/>
        <v/>
      </c>
      <c r="I309" s="37" t="str">
        <f t="shared" si="40"/>
        <v/>
      </c>
      <c r="J309" s="8" t="str">
        <f t="shared" si="41"/>
        <v/>
      </c>
      <c r="K309" s="38" t="str">
        <f t="shared" si="42"/>
        <v/>
      </c>
      <c r="N309" s="59" t="str">
        <f t="shared" si="44"/>
        <v/>
      </c>
      <c r="O309" s="59" t="str">
        <f t="shared" si="43"/>
        <v/>
      </c>
    </row>
    <row r="310" spans="3:15" x14ac:dyDescent="0.25">
      <c r="C310" s="47"/>
      <c r="D310" s="48"/>
      <c r="E310" s="7" t="str">
        <f t="shared" si="36"/>
        <v/>
      </c>
      <c r="F310" s="8" t="str">
        <f t="shared" si="37"/>
        <v/>
      </c>
      <c r="G310" s="8" t="str">
        <f t="shared" si="38"/>
        <v/>
      </c>
      <c r="H310" s="37" t="str">
        <f t="shared" si="39"/>
        <v/>
      </c>
      <c r="I310" s="37" t="str">
        <f t="shared" si="40"/>
        <v/>
      </c>
      <c r="J310" s="8" t="str">
        <f t="shared" si="41"/>
        <v/>
      </c>
      <c r="K310" s="38" t="str">
        <f t="shared" si="42"/>
        <v/>
      </c>
      <c r="N310" s="59" t="str">
        <f t="shared" si="44"/>
        <v/>
      </c>
      <c r="O310" s="59" t="str">
        <f t="shared" si="43"/>
        <v/>
      </c>
    </row>
    <row r="311" spans="3:15" x14ac:dyDescent="0.25">
      <c r="C311" s="47"/>
      <c r="D311" s="48"/>
      <c r="E311" s="7" t="str">
        <f t="shared" si="36"/>
        <v/>
      </c>
      <c r="F311" s="8" t="str">
        <f t="shared" si="37"/>
        <v/>
      </c>
      <c r="G311" s="8" t="str">
        <f t="shared" si="38"/>
        <v/>
      </c>
      <c r="H311" s="37" t="str">
        <f t="shared" si="39"/>
        <v/>
      </c>
      <c r="I311" s="37" t="str">
        <f t="shared" si="40"/>
        <v/>
      </c>
      <c r="J311" s="8" t="str">
        <f t="shared" si="41"/>
        <v/>
      </c>
      <c r="K311" s="38" t="str">
        <f t="shared" si="42"/>
        <v/>
      </c>
      <c r="N311" s="59" t="str">
        <f t="shared" si="44"/>
        <v/>
      </c>
      <c r="O311" s="59" t="str">
        <f t="shared" si="43"/>
        <v/>
      </c>
    </row>
    <row r="312" spans="3:15" x14ac:dyDescent="0.25">
      <c r="C312" s="47"/>
      <c r="D312" s="48"/>
      <c r="E312" s="7" t="str">
        <f t="shared" si="36"/>
        <v/>
      </c>
      <c r="F312" s="8" t="str">
        <f t="shared" si="37"/>
        <v/>
      </c>
      <c r="G312" s="8" t="str">
        <f t="shared" si="38"/>
        <v/>
      </c>
      <c r="H312" s="37" t="str">
        <f t="shared" si="39"/>
        <v/>
      </c>
      <c r="I312" s="37" t="str">
        <f t="shared" si="40"/>
        <v/>
      </c>
      <c r="J312" s="8" t="str">
        <f t="shared" si="41"/>
        <v/>
      </c>
      <c r="K312" s="38" t="str">
        <f t="shared" si="42"/>
        <v/>
      </c>
      <c r="N312" s="59" t="str">
        <f t="shared" si="44"/>
        <v/>
      </c>
      <c r="O312" s="59" t="str">
        <f t="shared" si="43"/>
        <v/>
      </c>
    </row>
    <row r="313" spans="3:15" x14ac:dyDescent="0.25">
      <c r="C313" s="47"/>
      <c r="D313" s="48"/>
      <c r="E313" s="7" t="str">
        <f t="shared" si="36"/>
        <v/>
      </c>
      <c r="F313" s="8" t="str">
        <f t="shared" si="37"/>
        <v/>
      </c>
      <c r="G313" s="8" t="str">
        <f t="shared" si="38"/>
        <v/>
      </c>
      <c r="H313" s="37" t="str">
        <f t="shared" si="39"/>
        <v/>
      </c>
      <c r="I313" s="37" t="str">
        <f t="shared" si="40"/>
        <v/>
      </c>
      <c r="J313" s="8" t="str">
        <f t="shared" si="41"/>
        <v/>
      </c>
      <c r="K313" s="38" t="str">
        <f t="shared" si="42"/>
        <v/>
      </c>
      <c r="N313" s="59" t="str">
        <f t="shared" si="44"/>
        <v/>
      </c>
      <c r="O313" s="59" t="str">
        <f t="shared" si="43"/>
        <v/>
      </c>
    </row>
    <row r="314" spans="3:15" x14ac:dyDescent="0.25">
      <c r="C314" s="47"/>
      <c r="D314" s="48"/>
      <c r="E314" s="7" t="str">
        <f t="shared" si="36"/>
        <v/>
      </c>
      <c r="F314" s="8" t="str">
        <f t="shared" si="37"/>
        <v/>
      </c>
      <c r="G314" s="8" t="str">
        <f t="shared" si="38"/>
        <v/>
      </c>
      <c r="H314" s="37" t="str">
        <f t="shared" si="39"/>
        <v/>
      </c>
      <c r="I314" s="37" t="str">
        <f t="shared" si="40"/>
        <v/>
      </c>
      <c r="J314" s="8" t="str">
        <f t="shared" si="41"/>
        <v/>
      </c>
      <c r="K314" s="38" t="str">
        <f t="shared" si="42"/>
        <v/>
      </c>
      <c r="N314" s="59" t="str">
        <f t="shared" si="44"/>
        <v/>
      </c>
      <c r="O314" s="59" t="str">
        <f t="shared" si="43"/>
        <v/>
      </c>
    </row>
    <row r="315" spans="3:15" x14ac:dyDescent="0.25">
      <c r="C315" s="47"/>
      <c r="D315" s="48"/>
      <c r="E315" s="7" t="str">
        <f t="shared" si="36"/>
        <v/>
      </c>
      <c r="F315" s="8" t="str">
        <f t="shared" si="37"/>
        <v/>
      </c>
      <c r="G315" s="8" t="str">
        <f t="shared" si="38"/>
        <v/>
      </c>
      <c r="H315" s="37" t="str">
        <f t="shared" si="39"/>
        <v/>
      </c>
      <c r="I315" s="37" t="str">
        <f t="shared" si="40"/>
        <v/>
      </c>
      <c r="J315" s="8" t="str">
        <f t="shared" si="41"/>
        <v/>
      </c>
      <c r="K315" s="38" t="str">
        <f t="shared" si="42"/>
        <v/>
      </c>
      <c r="N315" s="59" t="str">
        <f t="shared" si="44"/>
        <v/>
      </c>
      <c r="O315" s="59" t="str">
        <f t="shared" si="43"/>
        <v/>
      </c>
    </row>
    <row r="316" spans="3:15" x14ac:dyDescent="0.25">
      <c r="C316" s="47"/>
      <c r="D316" s="48"/>
      <c r="E316" s="7" t="str">
        <f t="shared" si="36"/>
        <v/>
      </c>
      <c r="F316" s="8" t="str">
        <f t="shared" si="37"/>
        <v/>
      </c>
      <c r="G316" s="8" t="str">
        <f t="shared" si="38"/>
        <v/>
      </c>
      <c r="H316" s="37" t="str">
        <f t="shared" si="39"/>
        <v/>
      </c>
      <c r="I316" s="37" t="str">
        <f t="shared" si="40"/>
        <v/>
      </c>
      <c r="J316" s="8" t="str">
        <f t="shared" si="41"/>
        <v/>
      </c>
      <c r="K316" s="38" t="str">
        <f t="shared" si="42"/>
        <v/>
      </c>
      <c r="N316" s="59" t="str">
        <f t="shared" si="44"/>
        <v/>
      </c>
      <c r="O316" s="59" t="str">
        <f t="shared" si="43"/>
        <v/>
      </c>
    </row>
    <row r="317" spans="3:15" x14ac:dyDescent="0.25">
      <c r="C317" s="47"/>
      <c r="D317" s="48"/>
      <c r="E317" s="7" t="str">
        <f t="shared" si="36"/>
        <v/>
      </c>
      <c r="F317" s="8" t="str">
        <f t="shared" si="37"/>
        <v/>
      </c>
      <c r="G317" s="8" t="str">
        <f t="shared" si="38"/>
        <v/>
      </c>
      <c r="H317" s="37" t="str">
        <f t="shared" si="39"/>
        <v/>
      </c>
      <c r="I317" s="37" t="str">
        <f t="shared" si="40"/>
        <v/>
      </c>
      <c r="J317" s="8" t="str">
        <f t="shared" si="41"/>
        <v/>
      </c>
      <c r="K317" s="38" t="str">
        <f t="shared" si="42"/>
        <v/>
      </c>
      <c r="N317" s="59" t="str">
        <f t="shared" si="44"/>
        <v/>
      </c>
      <c r="O317" s="59" t="str">
        <f t="shared" si="43"/>
        <v/>
      </c>
    </row>
    <row r="318" spans="3:15" x14ac:dyDescent="0.25">
      <c r="C318" s="47"/>
      <c r="D318" s="48"/>
      <c r="E318" s="7" t="str">
        <f t="shared" si="36"/>
        <v/>
      </c>
      <c r="F318" s="8" t="str">
        <f t="shared" si="37"/>
        <v/>
      </c>
      <c r="G318" s="8" t="str">
        <f t="shared" si="38"/>
        <v/>
      </c>
      <c r="H318" s="37" t="str">
        <f t="shared" si="39"/>
        <v/>
      </c>
      <c r="I318" s="37" t="str">
        <f t="shared" si="40"/>
        <v/>
      </c>
      <c r="J318" s="8" t="str">
        <f t="shared" si="41"/>
        <v/>
      </c>
      <c r="K318" s="38" t="str">
        <f t="shared" si="42"/>
        <v/>
      </c>
      <c r="N318" s="59" t="str">
        <f t="shared" si="44"/>
        <v/>
      </c>
      <c r="O318" s="59" t="str">
        <f t="shared" si="43"/>
        <v/>
      </c>
    </row>
    <row r="319" spans="3:15" x14ac:dyDescent="0.25">
      <c r="C319" s="47"/>
      <c r="D319" s="48"/>
      <c r="E319" s="7" t="str">
        <f t="shared" si="36"/>
        <v/>
      </c>
      <c r="F319" s="8" t="str">
        <f t="shared" si="37"/>
        <v/>
      </c>
      <c r="G319" s="8" t="str">
        <f t="shared" si="38"/>
        <v/>
      </c>
      <c r="H319" s="37" t="str">
        <f t="shared" si="39"/>
        <v/>
      </c>
      <c r="I319" s="37" t="str">
        <f t="shared" si="40"/>
        <v/>
      </c>
      <c r="J319" s="8" t="str">
        <f t="shared" si="41"/>
        <v/>
      </c>
      <c r="K319" s="38" t="str">
        <f t="shared" si="42"/>
        <v/>
      </c>
      <c r="N319" s="59" t="str">
        <f t="shared" si="44"/>
        <v/>
      </c>
      <c r="O319" s="59" t="str">
        <f t="shared" si="43"/>
        <v/>
      </c>
    </row>
    <row r="320" spans="3:15" x14ac:dyDescent="0.25">
      <c r="C320" s="47"/>
      <c r="D320" s="48"/>
      <c r="E320" s="7" t="str">
        <f t="shared" si="36"/>
        <v/>
      </c>
      <c r="F320" s="8" t="str">
        <f t="shared" si="37"/>
        <v/>
      </c>
      <c r="G320" s="8" t="str">
        <f t="shared" si="38"/>
        <v/>
      </c>
      <c r="H320" s="37" t="str">
        <f t="shared" si="39"/>
        <v/>
      </c>
      <c r="I320" s="37" t="str">
        <f t="shared" si="40"/>
        <v/>
      </c>
      <c r="J320" s="8" t="str">
        <f t="shared" si="41"/>
        <v/>
      </c>
      <c r="K320" s="38" t="str">
        <f t="shared" si="42"/>
        <v/>
      </c>
      <c r="N320" s="59" t="str">
        <f t="shared" si="44"/>
        <v/>
      </c>
      <c r="O320" s="59" t="str">
        <f t="shared" si="43"/>
        <v/>
      </c>
    </row>
    <row r="321" spans="3:15" x14ac:dyDescent="0.25">
      <c r="C321" s="47"/>
      <c r="D321" s="48"/>
      <c r="E321" s="7" t="str">
        <f t="shared" si="36"/>
        <v/>
      </c>
      <c r="F321" s="8" t="str">
        <f t="shared" si="37"/>
        <v/>
      </c>
      <c r="G321" s="8" t="str">
        <f t="shared" si="38"/>
        <v/>
      </c>
      <c r="H321" s="37" t="str">
        <f t="shared" si="39"/>
        <v/>
      </c>
      <c r="I321" s="37" t="str">
        <f t="shared" si="40"/>
        <v/>
      </c>
      <c r="J321" s="8" t="str">
        <f t="shared" si="41"/>
        <v/>
      </c>
      <c r="K321" s="38" t="str">
        <f t="shared" si="42"/>
        <v/>
      </c>
      <c r="N321" s="59" t="str">
        <f t="shared" si="44"/>
        <v/>
      </c>
      <c r="O321" s="59" t="str">
        <f t="shared" si="43"/>
        <v/>
      </c>
    </row>
    <row r="322" spans="3:15" x14ac:dyDescent="0.25">
      <c r="C322" s="47"/>
      <c r="D322" s="48"/>
      <c r="E322" s="7" t="str">
        <f t="shared" si="36"/>
        <v/>
      </c>
      <c r="F322" s="8" t="str">
        <f t="shared" si="37"/>
        <v/>
      </c>
      <c r="G322" s="8" t="str">
        <f t="shared" si="38"/>
        <v/>
      </c>
      <c r="H322" s="37" t="str">
        <f t="shared" si="39"/>
        <v/>
      </c>
      <c r="I322" s="37" t="str">
        <f t="shared" si="40"/>
        <v/>
      </c>
      <c r="J322" s="8" t="str">
        <f t="shared" si="41"/>
        <v/>
      </c>
      <c r="K322" s="38" t="str">
        <f t="shared" si="42"/>
        <v/>
      </c>
      <c r="N322" s="59" t="str">
        <f t="shared" si="44"/>
        <v/>
      </c>
      <c r="O322" s="59" t="str">
        <f t="shared" si="43"/>
        <v/>
      </c>
    </row>
    <row r="323" spans="3:15" x14ac:dyDescent="0.25">
      <c r="C323" s="47"/>
      <c r="D323" s="48"/>
      <c r="E323" s="7" t="str">
        <f t="shared" si="36"/>
        <v/>
      </c>
      <c r="F323" s="8" t="str">
        <f t="shared" si="37"/>
        <v/>
      </c>
      <c r="G323" s="8" t="str">
        <f t="shared" si="38"/>
        <v/>
      </c>
      <c r="H323" s="37" t="str">
        <f t="shared" si="39"/>
        <v/>
      </c>
      <c r="I323" s="37" t="str">
        <f t="shared" si="40"/>
        <v/>
      </c>
      <c r="J323" s="8" t="str">
        <f t="shared" si="41"/>
        <v/>
      </c>
      <c r="K323" s="38" t="str">
        <f t="shared" si="42"/>
        <v/>
      </c>
      <c r="N323" s="59" t="str">
        <f t="shared" si="44"/>
        <v/>
      </c>
      <c r="O323" s="59" t="str">
        <f t="shared" si="43"/>
        <v/>
      </c>
    </row>
    <row r="324" spans="3:15" x14ac:dyDescent="0.25">
      <c r="C324" s="47"/>
      <c r="D324" s="48"/>
      <c r="E324" s="7" t="str">
        <f t="shared" si="36"/>
        <v/>
      </c>
      <c r="F324" s="8" t="str">
        <f t="shared" si="37"/>
        <v/>
      </c>
      <c r="G324" s="8" t="str">
        <f t="shared" si="38"/>
        <v/>
      </c>
      <c r="H324" s="37" t="str">
        <f t="shared" si="39"/>
        <v/>
      </c>
      <c r="I324" s="37" t="str">
        <f t="shared" si="40"/>
        <v/>
      </c>
      <c r="J324" s="8" t="str">
        <f t="shared" si="41"/>
        <v/>
      </c>
      <c r="K324" s="38" t="str">
        <f t="shared" si="42"/>
        <v/>
      </c>
      <c r="N324" s="59" t="str">
        <f t="shared" si="44"/>
        <v/>
      </c>
      <c r="O324" s="59" t="str">
        <f t="shared" si="43"/>
        <v/>
      </c>
    </row>
    <row r="325" spans="3:15" x14ac:dyDescent="0.25">
      <c r="C325" s="47"/>
      <c r="D325" s="48"/>
      <c r="E325" s="7" t="str">
        <f t="shared" si="36"/>
        <v/>
      </c>
      <c r="F325" s="8" t="str">
        <f t="shared" si="37"/>
        <v/>
      </c>
      <c r="G325" s="8" t="str">
        <f t="shared" si="38"/>
        <v/>
      </c>
      <c r="H325" s="37" t="str">
        <f t="shared" si="39"/>
        <v/>
      </c>
      <c r="I325" s="37" t="str">
        <f t="shared" si="40"/>
        <v/>
      </c>
      <c r="J325" s="8" t="str">
        <f t="shared" si="41"/>
        <v/>
      </c>
      <c r="K325" s="38" t="str">
        <f t="shared" si="42"/>
        <v/>
      </c>
      <c r="N325" s="59" t="str">
        <f t="shared" si="44"/>
        <v/>
      </c>
      <c r="O325" s="59" t="str">
        <f t="shared" si="43"/>
        <v/>
      </c>
    </row>
    <row r="326" spans="3:15" x14ac:dyDescent="0.25">
      <c r="C326" s="47"/>
      <c r="D326" s="48"/>
      <c r="E326" s="7" t="str">
        <f t="shared" si="36"/>
        <v/>
      </c>
      <c r="F326" s="8" t="str">
        <f t="shared" si="37"/>
        <v/>
      </c>
      <c r="G326" s="8" t="str">
        <f t="shared" si="38"/>
        <v/>
      </c>
      <c r="H326" s="37" t="str">
        <f t="shared" si="39"/>
        <v/>
      </c>
      <c r="I326" s="37" t="str">
        <f t="shared" si="40"/>
        <v/>
      </c>
      <c r="J326" s="8" t="str">
        <f t="shared" si="41"/>
        <v/>
      </c>
      <c r="K326" s="38" t="str">
        <f t="shared" si="42"/>
        <v/>
      </c>
      <c r="N326" s="59" t="str">
        <f t="shared" si="44"/>
        <v/>
      </c>
      <c r="O326" s="59" t="str">
        <f t="shared" si="43"/>
        <v/>
      </c>
    </row>
    <row r="327" spans="3:15" x14ac:dyDescent="0.25">
      <c r="C327" s="47"/>
      <c r="D327" s="48"/>
      <c r="E327" s="7" t="str">
        <f t="shared" si="36"/>
        <v/>
      </c>
      <c r="F327" s="8" t="str">
        <f t="shared" si="37"/>
        <v/>
      </c>
      <c r="G327" s="8" t="str">
        <f t="shared" si="38"/>
        <v/>
      </c>
      <c r="H327" s="37" t="str">
        <f t="shared" si="39"/>
        <v/>
      </c>
      <c r="I327" s="37" t="str">
        <f t="shared" si="40"/>
        <v/>
      </c>
      <c r="J327" s="8" t="str">
        <f t="shared" si="41"/>
        <v/>
      </c>
      <c r="K327" s="38" t="str">
        <f t="shared" si="42"/>
        <v/>
      </c>
      <c r="N327" s="59" t="str">
        <f t="shared" si="44"/>
        <v/>
      </c>
      <c r="O327" s="59" t="str">
        <f t="shared" si="43"/>
        <v/>
      </c>
    </row>
    <row r="328" spans="3:15" x14ac:dyDescent="0.25">
      <c r="C328" s="47"/>
      <c r="D328" s="48"/>
      <c r="E328" s="7" t="str">
        <f t="shared" si="36"/>
        <v/>
      </c>
      <c r="F328" s="8" t="str">
        <f t="shared" si="37"/>
        <v/>
      </c>
      <c r="G328" s="8" t="str">
        <f t="shared" si="38"/>
        <v/>
      </c>
      <c r="H328" s="37" t="str">
        <f t="shared" si="39"/>
        <v/>
      </c>
      <c r="I328" s="37" t="str">
        <f t="shared" si="40"/>
        <v/>
      </c>
      <c r="J328" s="8" t="str">
        <f t="shared" si="41"/>
        <v/>
      </c>
      <c r="K328" s="38" t="str">
        <f t="shared" si="42"/>
        <v/>
      </c>
      <c r="N328" s="59" t="str">
        <f t="shared" si="44"/>
        <v/>
      </c>
      <c r="O328" s="59" t="str">
        <f t="shared" si="43"/>
        <v/>
      </c>
    </row>
    <row r="329" spans="3:15" x14ac:dyDescent="0.25">
      <c r="C329" s="47"/>
      <c r="D329" s="48"/>
      <c r="E329" s="7" t="str">
        <f t="shared" si="36"/>
        <v/>
      </c>
      <c r="F329" s="8" t="str">
        <f t="shared" si="37"/>
        <v/>
      </c>
      <c r="G329" s="8" t="str">
        <f t="shared" si="38"/>
        <v/>
      </c>
      <c r="H329" s="37" t="str">
        <f t="shared" si="39"/>
        <v/>
      </c>
      <c r="I329" s="37" t="str">
        <f t="shared" si="40"/>
        <v/>
      </c>
      <c r="J329" s="8" t="str">
        <f t="shared" si="41"/>
        <v/>
      </c>
      <c r="K329" s="38" t="str">
        <f t="shared" si="42"/>
        <v/>
      </c>
      <c r="N329" s="59" t="str">
        <f t="shared" si="44"/>
        <v/>
      </c>
      <c r="O329" s="59" t="str">
        <f t="shared" si="43"/>
        <v/>
      </c>
    </row>
    <row r="330" spans="3:15" x14ac:dyDescent="0.25">
      <c r="C330" s="47"/>
      <c r="D330" s="48"/>
      <c r="E330" s="7" t="str">
        <f t="shared" si="36"/>
        <v/>
      </c>
      <c r="F330" s="8" t="str">
        <f t="shared" si="37"/>
        <v/>
      </c>
      <c r="G330" s="8" t="str">
        <f t="shared" si="38"/>
        <v/>
      </c>
      <c r="H330" s="37" t="str">
        <f t="shared" si="39"/>
        <v/>
      </c>
      <c r="I330" s="37" t="str">
        <f t="shared" si="40"/>
        <v/>
      </c>
      <c r="J330" s="8" t="str">
        <f t="shared" si="41"/>
        <v/>
      </c>
      <c r="K330" s="38" t="str">
        <f t="shared" si="42"/>
        <v/>
      </c>
      <c r="N330" s="59" t="str">
        <f t="shared" si="44"/>
        <v/>
      </c>
      <c r="O330" s="59" t="str">
        <f t="shared" si="43"/>
        <v/>
      </c>
    </row>
    <row r="331" spans="3:15" x14ac:dyDescent="0.25">
      <c r="C331" s="47"/>
      <c r="D331" s="48"/>
      <c r="E331" s="7" t="str">
        <f t="shared" si="36"/>
        <v/>
      </c>
      <c r="F331" s="8" t="str">
        <f t="shared" si="37"/>
        <v/>
      </c>
      <c r="G331" s="8" t="str">
        <f t="shared" si="38"/>
        <v/>
      </c>
      <c r="H331" s="37" t="str">
        <f t="shared" si="39"/>
        <v/>
      </c>
      <c r="I331" s="37" t="str">
        <f t="shared" si="40"/>
        <v/>
      </c>
      <c r="J331" s="8" t="str">
        <f t="shared" si="41"/>
        <v/>
      </c>
      <c r="K331" s="38" t="str">
        <f t="shared" si="42"/>
        <v/>
      </c>
      <c r="N331" s="59" t="str">
        <f t="shared" si="44"/>
        <v/>
      </c>
      <c r="O331" s="59" t="str">
        <f t="shared" si="43"/>
        <v/>
      </c>
    </row>
    <row r="332" spans="3:15" x14ac:dyDescent="0.25">
      <c r="C332" s="47"/>
      <c r="D332" s="48"/>
      <c r="E332" s="7" t="str">
        <f t="shared" si="36"/>
        <v/>
      </c>
      <c r="F332" s="8" t="str">
        <f t="shared" si="37"/>
        <v/>
      </c>
      <c r="G332" s="8" t="str">
        <f t="shared" si="38"/>
        <v/>
      </c>
      <c r="H332" s="37" t="str">
        <f t="shared" si="39"/>
        <v/>
      </c>
      <c r="I332" s="37" t="str">
        <f t="shared" si="40"/>
        <v/>
      </c>
      <c r="J332" s="8" t="str">
        <f t="shared" si="41"/>
        <v/>
      </c>
      <c r="K332" s="38" t="str">
        <f t="shared" si="42"/>
        <v/>
      </c>
      <c r="N332" s="59" t="str">
        <f t="shared" si="44"/>
        <v/>
      </c>
      <c r="O332" s="59" t="str">
        <f t="shared" si="43"/>
        <v/>
      </c>
    </row>
    <row r="333" spans="3:15" x14ac:dyDescent="0.25">
      <c r="C333" s="47"/>
      <c r="D333" s="48"/>
      <c r="E333" s="7" t="str">
        <f t="shared" si="36"/>
        <v/>
      </c>
      <c r="F333" s="8" t="str">
        <f t="shared" si="37"/>
        <v/>
      </c>
      <c r="G333" s="8" t="str">
        <f t="shared" si="38"/>
        <v/>
      </c>
      <c r="H333" s="37" t="str">
        <f t="shared" si="39"/>
        <v/>
      </c>
      <c r="I333" s="37" t="str">
        <f t="shared" si="40"/>
        <v/>
      </c>
      <c r="J333" s="8" t="str">
        <f t="shared" si="41"/>
        <v/>
      </c>
      <c r="K333" s="38" t="str">
        <f t="shared" si="42"/>
        <v/>
      </c>
      <c r="N333" s="59" t="str">
        <f t="shared" si="44"/>
        <v/>
      </c>
      <c r="O333" s="59" t="str">
        <f t="shared" si="43"/>
        <v/>
      </c>
    </row>
    <row r="334" spans="3:15" x14ac:dyDescent="0.25">
      <c r="C334" s="47"/>
      <c r="D334" s="48"/>
      <c r="E334" s="7" t="str">
        <f t="shared" si="36"/>
        <v/>
      </c>
      <c r="F334" s="8" t="str">
        <f t="shared" si="37"/>
        <v/>
      </c>
      <c r="G334" s="8" t="str">
        <f t="shared" si="38"/>
        <v/>
      </c>
      <c r="H334" s="37" t="str">
        <f t="shared" si="39"/>
        <v/>
      </c>
      <c r="I334" s="37" t="str">
        <f t="shared" si="40"/>
        <v/>
      </c>
      <c r="J334" s="8" t="str">
        <f t="shared" si="41"/>
        <v/>
      </c>
      <c r="K334" s="38" t="str">
        <f t="shared" si="42"/>
        <v/>
      </c>
      <c r="N334" s="59" t="str">
        <f t="shared" si="44"/>
        <v/>
      </c>
      <c r="O334" s="59" t="str">
        <f t="shared" si="43"/>
        <v/>
      </c>
    </row>
    <row r="335" spans="3:15" x14ac:dyDescent="0.25">
      <c r="C335" s="47"/>
      <c r="D335" s="48"/>
      <c r="E335" s="7" t="str">
        <f t="shared" si="36"/>
        <v/>
      </c>
      <c r="F335" s="8" t="str">
        <f t="shared" si="37"/>
        <v/>
      </c>
      <c r="G335" s="8" t="str">
        <f t="shared" si="38"/>
        <v/>
      </c>
      <c r="H335" s="37" t="str">
        <f t="shared" si="39"/>
        <v/>
      </c>
      <c r="I335" s="37" t="str">
        <f t="shared" si="40"/>
        <v/>
      </c>
      <c r="J335" s="8" t="str">
        <f t="shared" si="41"/>
        <v/>
      </c>
      <c r="K335" s="38" t="str">
        <f t="shared" si="42"/>
        <v/>
      </c>
      <c r="N335" s="59" t="str">
        <f t="shared" si="44"/>
        <v/>
      </c>
      <c r="O335" s="59" t="str">
        <f t="shared" si="43"/>
        <v/>
      </c>
    </row>
    <row r="336" spans="3:15" x14ac:dyDescent="0.25">
      <c r="C336" s="47"/>
      <c r="D336" s="48"/>
      <c r="E336" s="7" t="str">
        <f t="shared" si="36"/>
        <v/>
      </c>
      <c r="F336" s="8" t="str">
        <f t="shared" si="37"/>
        <v/>
      </c>
      <c r="G336" s="8" t="str">
        <f t="shared" si="38"/>
        <v/>
      </c>
      <c r="H336" s="37" t="str">
        <f t="shared" si="39"/>
        <v/>
      </c>
      <c r="I336" s="37" t="str">
        <f t="shared" si="40"/>
        <v/>
      </c>
      <c r="J336" s="8" t="str">
        <f t="shared" si="41"/>
        <v/>
      </c>
      <c r="K336" s="38" t="str">
        <f t="shared" si="42"/>
        <v/>
      </c>
      <c r="N336" s="59" t="str">
        <f t="shared" si="44"/>
        <v/>
      </c>
      <c r="O336" s="59" t="str">
        <f t="shared" si="43"/>
        <v/>
      </c>
    </row>
    <row r="337" spans="3:15" x14ac:dyDescent="0.25">
      <c r="C337" s="47"/>
      <c r="D337" s="48"/>
      <c r="E337" s="7" t="str">
        <f t="shared" si="36"/>
        <v/>
      </c>
      <c r="F337" s="8" t="str">
        <f t="shared" si="37"/>
        <v/>
      </c>
      <c r="G337" s="8" t="str">
        <f t="shared" si="38"/>
        <v/>
      </c>
      <c r="H337" s="37" t="str">
        <f t="shared" si="39"/>
        <v/>
      </c>
      <c r="I337" s="37" t="str">
        <f t="shared" si="40"/>
        <v/>
      </c>
      <c r="J337" s="8" t="str">
        <f t="shared" si="41"/>
        <v/>
      </c>
      <c r="K337" s="38" t="str">
        <f t="shared" si="42"/>
        <v/>
      </c>
      <c r="N337" s="59" t="str">
        <f t="shared" si="44"/>
        <v/>
      </c>
      <c r="O337" s="59" t="str">
        <f t="shared" si="43"/>
        <v/>
      </c>
    </row>
    <row r="338" spans="3:15" x14ac:dyDescent="0.25">
      <c r="C338" s="47"/>
      <c r="D338" s="48"/>
      <c r="E338" s="7" t="str">
        <f t="shared" si="36"/>
        <v/>
      </c>
      <c r="F338" s="8" t="str">
        <f t="shared" si="37"/>
        <v/>
      </c>
      <c r="G338" s="8" t="str">
        <f t="shared" si="38"/>
        <v/>
      </c>
      <c r="H338" s="37" t="str">
        <f t="shared" si="39"/>
        <v/>
      </c>
      <c r="I338" s="37" t="str">
        <f t="shared" si="40"/>
        <v/>
      </c>
      <c r="J338" s="8" t="str">
        <f t="shared" si="41"/>
        <v/>
      </c>
      <c r="K338" s="38" t="str">
        <f t="shared" si="42"/>
        <v/>
      </c>
      <c r="N338" s="59" t="str">
        <f t="shared" si="44"/>
        <v/>
      </c>
      <c r="O338" s="59" t="str">
        <f t="shared" si="43"/>
        <v/>
      </c>
    </row>
    <row r="339" spans="3:15" x14ac:dyDescent="0.25">
      <c r="C339" s="47"/>
      <c r="D339" s="48"/>
      <c r="E339" s="7" t="str">
        <f t="shared" ref="E339:E402" si="45">IF(OR(DataRecebimento="",C339=""),"",IF(C339&lt;DataRecebimento,"ERRO!",C339+$F$9-$F$7))</f>
        <v/>
      </c>
      <c r="F339" s="8" t="str">
        <f t="shared" ref="F339:F402" si="46">IF(OR(TaxaJuros="",C339=""),"",IF(C339&lt;DataRecebimento,"DATA",-D339*E339*($F$8/30)))</f>
        <v/>
      </c>
      <c r="G339" s="8" t="str">
        <f t="shared" ref="G339:G402" si="47">IF(OR(TaxaJuros="",C339=""),"",IF(C339&lt;DataRecebimento,"NÃO",-$F$10))</f>
        <v/>
      </c>
      <c r="H339" s="37" t="str">
        <f t="shared" ref="H339:H402" si="48">IF(OR(TaxaJuros="",C339=""),"",IF(C339&lt;DataRecebimento,"PODE",IF(ComSemIOF=FALSE,0,IF(E339&gt;365,-(D339+F339)*365*IOFDiario,-(D339+F339)*E339*IOFDiario))))</f>
        <v/>
      </c>
      <c r="I339" s="37" t="str">
        <f t="shared" ref="I339:I402" si="49">IF(OR(TaxaJuros="",C339=""),"",IF(C339&lt;DataRecebimento,"SER",IF(ComSemIOF=FALSE,0,-(D339+F339)*IOFAdic)))</f>
        <v/>
      </c>
      <c r="J339" s="8" t="str">
        <f t="shared" ref="J339:J402" si="50">IF(OR(TaxaJuros="",C339=""),"",IF(C339&lt;DataRecebimento,"INFERIOR!",D339+SUM(F339:I339)))</f>
        <v/>
      </c>
      <c r="K339" s="38" t="str">
        <f t="shared" ref="K339:K402" si="51">IF(OR(TaxaJuros="",C339=""),"",IF(C339&lt;DataRecebimento,"ERRO!",100%-J339/D339))</f>
        <v/>
      </c>
      <c r="N339" s="59" t="str">
        <f t="shared" si="44"/>
        <v/>
      </c>
      <c r="O339" s="59" t="str">
        <f t="shared" ref="O339:O402" si="52">IF(N339="","",PV(TMA_Dia,E339,,-N339))</f>
        <v/>
      </c>
    </row>
    <row r="340" spans="3:15" x14ac:dyDescent="0.25">
      <c r="C340" s="47"/>
      <c r="D340" s="48"/>
      <c r="E340" s="7" t="str">
        <f t="shared" si="45"/>
        <v/>
      </c>
      <c r="F340" s="8" t="str">
        <f t="shared" si="46"/>
        <v/>
      </c>
      <c r="G340" s="8" t="str">
        <f t="shared" si="47"/>
        <v/>
      </c>
      <c r="H340" s="37" t="str">
        <f t="shared" si="48"/>
        <v/>
      </c>
      <c r="I340" s="37" t="str">
        <f t="shared" si="49"/>
        <v/>
      </c>
      <c r="J340" s="8" t="str">
        <f t="shared" si="50"/>
        <v/>
      </c>
      <c r="K340" s="38" t="str">
        <f t="shared" si="51"/>
        <v/>
      </c>
      <c r="N340" s="59" t="str">
        <f t="shared" ref="N340:N403" si="53">IF(C340="","",-D340)</f>
        <v/>
      </c>
      <c r="O340" s="59" t="str">
        <f t="shared" si="52"/>
        <v/>
      </c>
    </row>
    <row r="341" spans="3:15" x14ac:dyDescent="0.25">
      <c r="C341" s="47"/>
      <c r="D341" s="48"/>
      <c r="E341" s="7" t="str">
        <f t="shared" si="45"/>
        <v/>
      </c>
      <c r="F341" s="8" t="str">
        <f t="shared" si="46"/>
        <v/>
      </c>
      <c r="G341" s="8" t="str">
        <f t="shared" si="47"/>
        <v/>
      </c>
      <c r="H341" s="37" t="str">
        <f t="shared" si="48"/>
        <v/>
      </c>
      <c r="I341" s="37" t="str">
        <f t="shared" si="49"/>
        <v/>
      </c>
      <c r="J341" s="8" t="str">
        <f t="shared" si="50"/>
        <v/>
      </c>
      <c r="K341" s="38" t="str">
        <f t="shared" si="51"/>
        <v/>
      </c>
      <c r="N341" s="59" t="str">
        <f t="shared" si="53"/>
        <v/>
      </c>
      <c r="O341" s="59" t="str">
        <f t="shared" si="52"/>
        <v/>
      </c>
    </row>
    <row r="342" spans="3:15" x14ac:dyDescent="0.25">
      <c r="C342" s="47"/>
      <c r="D342" s="48"/>
      <c r="E342" s="7" t="str">
        <f t="shared" si="45"/>
        <v/>
      </c>
      <c r="F342" s="8" t="str">
        <f t="shared" si="46"/>
        <v/>
      </c>
      <c r="G342" s="8" t="str">
        <f t="shared" si="47"/>
        <v/>
      </c>
      <c r="H342" s="37" t="str">
        <f t="shared" si="48"/>
        <v/>
      </c>
      <c r="I342" s="37" t="str">
        <f t="shared" si="49"/>
        <v/>
      </c>
      <c r="J342" s="8" t="str">
        <f t="shared" si="50"/>
        <v/>
      </c>
      <c r="K342" s="38" t="str">
        <f t="shared" si="51"/>
        <v/>
      </c>
      <c r="N342" s="59" t="str">
        <f t="shared" si="53"/>
        <v/>
      </c>
      <c r="O342" s="59" t="str">
        <f t="shared" si="52"/>
        <v/>
      </c>
    </row>
    <row r="343" spans="3:15" x14ac:dyDescent="0.25">
      <c r="C343" s="47"/>
      <c r="D343" s="48"/>
      <c r="E343" s="7" t="str">
        <f t="shared" si="45"/>
        <v/>
      </c>
      <c r="F343" s="8" t="str">
        <f t="shared" si="46"/>
        <v/>
      </c>
      <c r="G343" s="8" t="str">
        <f t="shared" si="47"/>
        <v/>
      </c>
      <c r="H343" s="37" t="str">
        <f t="shared" si="48"/>
        <v/>
      </c>
      <c r="I343" s="37" t="str">
        <f t="shared" si="49"/>
        <v/>
      </c>
      <c r="J343" s="8" t="str">
        <f t="shared" si="50"/>
        <v/>
      </c>
      <c r="K343" s="38" t="str">
        <f t="shared" si="51"/>
        <v/>
      </c>
      <c r="N343" s="59" t="str">
        <f t="shared" si="53"/>
        <v/>
      </c>
      <c r="O343" s="59" t="str">
        <f t="shared" si="52"/>
        <v/>
      </c>
    </row>
    <row r="344" spans="3:15" x14ac:dyDescent="0.25">
      <c r="C344" s="47"/>
      <c r="D344" s="48"/>
      <c r="E344" s="7" t="str">
        <f t="shared" si="45"/>
        <v/>
      </c>
      <c r="F344" s="8" t="str">
        <f t="shared" si="46"/>
        <v/>
      </c>
      <c r="G344" s="8" t="str">
        <f t="shared" si="47"/>
        <v/>
      </c>
      <c r="H344" s="37" t="str">
        <f t="shared" si="48"/>
        <v/>
      </c>
      <c r="I344" s="37" t="str">
        <f t="shared" si="49"/>
        <v/>
      </c>
      <c r="J344" s="8" t="str">
        <f t="shared" si="50"/>
        <v/>
      </c>
      <c r="K344" s="38" t="str">
        <f t="shared" si="51"/>
        <v/>
      </c>
      <c r="N344" s="59" t="str">
        <f t="shared" si="53"/>
        <v/>
      </c>
      <c r="O344" s="59" t="str">
        <f t="shared" si="52"/>
        <v/>
      </c>
    </row>
    <row r="345" spans="3:15" x14ac:dyDescent="0.25">
      <c r="C345" s="47"/>
      <c r="D345" s="48"/>
      <c r="E345" s="7" t="str">
        <f t="shared" si="45"/>
        <v/>
      </c>
      <c r="F345" s="8" t="str">
        <f t="shared" si="46"/>
        <v/>
      </c>
      <c r="G345" s="8" t="str">
        <f t="shared" si="47"/>
        <v/>
      </c>
      <c r="H345" s="37" t="str">
        <f t="shared" si="48"/>
        <v/>
      </c>
      <c r="I345" s="37" t="str">
        <f t="shared" si="49"/>
        <v/>
      </c>
      <c r="J345" s="8" t="str">
        <f t="shared" si="50"/>
        <v/>
      </c>
      <c r="K345" s="38" t="str">
        <f t="shared" si="51"/>
        <v/>
      </c>
      <c r="N345" s="59" t="str">
        <f t="shared" si="53"/>
        <v/>
      </c>
      <c r="O345" s="59" t="str">
        <f t="shared" si="52"/>
        <v/>
      </c>
    </row>
    <row r="346" spans="3:15" x14ac:dyDescent="0.25">
      <c r="C346" s="47"/>
      <c r="D346" s="48"/>
      <c r="E346" s="7" t="str">
        <f t="shared" si="45"/>
        <v/>
      </c>
      <c r="F346" s="8" t="str">
        <f t="shared" si="46"/>
        <v/>
      </c>
      <c r="G346" s="8" t="str">
        <f t="shared" si="47"/>
        <v/>
      </c>
      <c r="H346" s="37" t="str">
        <f t="shared" si="48"/>
        <v/>
      </c>
      <c r="I346" s="37" t="str">
        <f t="shared" si="49"/>
        <v/>
      </c>
      <c r="J346" s="8" t="str">
        <f t="shared" si="50"/>
        <v/>
      </c>
      <c r="K346" s="38" t="str">
        <f t="shared" si="51"/>
        <v/>
      </c>
      <c r="N346" s="59" t="str">
        <f t="shared" si="53"/>
        <v/>
      </c>
      <c r="O346" s="59" t="str">
        <f t="shared" si="52"/>
        <v/>
      </c>
    </row>
    <row r="347" spans="3:15" x14ac:dyDescent="0.25">
      <c r="C347" s="47"/>
      <c r="D347" s="48"/>
      <c r="E347" s="7" t="str">
        <f t="shared" si="45"/>
        <v/>
      </c>
      <c r="F347" s="8" t="str">
        <f t="shared" si="46"/>
        <v/>
      </c>
      <c r="G347" s="8" t="str">
        <f t="shared" si="47"/>
        <v/>
      </c>
      <c r="H347" s="37" t="str">
        <f t="shared" si="48"/>
        <v/>
      </c>
      <c r="I347" s="37" t="str">
        <f t="shared" si="49"/>
        <v/>
      </c>
      <c r="J347" s="8" t="str">
        <f t="shared" si="50"/>
        <v/>
      </c>
      <c r="K347" s="38" t="str">
        <f t="shared" si="51"/>
        <v/>
      </c>
      <c r="N347" s="59" t="str">
        <f t="shared" si="53"/>
        <v/>
      </c>
      <c r="O347" s="59" t="str">
        <f t="shared" si="52"/>
        <v/>
      </c>
    </row>
    <row r="348" spans="3:15" x14ac:dyDescent="0.25">
      <c r="C348" s="47"/>
      <c r="D348" s="48"/>
      <c r="E348" s="7" t="str">
        <f t="shared" si="45"/>
        <v/>
      </c>
      <c r="F348" s="8" t="str">
        <f t="shared" si="46"/>
        <v/>
      </c>
      <c r="G348" s="8" t="str">
        <f t="shared" si="47"/>
        <v/>
      </c>
      <c r="H348" s="37" t="str">
        <f t="shared" si="48"/>
        <v/>
      </c>
      <c r="I348" s="37" t="str">
        <f t="shared" si="49"/>
        <v/>
      </c>
      <c r="J348" s="8" t="str">
        <f t="shared" si="50"/>
        <v/>
      </c>
      <c r="K348" s="38" t="str">
        <f t="shared" si="51"/>
        <v/>
      </c>
      <c r="N348" s="59" t="str">
        <f t="shared" si="53"/>
        <v/>
      </c>
      <c r="O348" s="59" t="str">
        <f t="shared" si="52"/>
        <v/>
      </c>
    </row>
    <row r="349" spans="3:15" x14ac:dyDescent="0.25">
      <c r="C349" s="47"/>
      <c r="D349" s="48"/>
      <c r="E349" s="7" t="str">
        <f t="shared" si="45"/>
        <v/>
      </c>
      <c r="F349" s="8" t="str">
        <f t="shared" si="46"/>
        <v/>
      </c>
      <c r="G349" s="8" t="str">
        <f t="shared" si="47"/>
        <v/>
      </c>
      <c r="H349" s="37" t="str">
        <f t="shared" si="48"/>
        <v/>
      </c>
      <c r="I349" s="37" t="str">
        <f t="shared" si="49"/>
        <v/>
      </c>
      <c r="J349" s="8" t="str">
        <f t="shared" si="50"/>
        <v/>
      </c>
      <c r="K349" s="38" t="str">
        <f t="shared" si="51"/>
        <v/>
      </c>
      <c r="N349" s="59" t="str">
        <f t="shared" si="53"/>
        <v/>
      </c>
      <c r="O349" s="59" t="str">
        <f t="shared" si="52"/>
        <v/>
      </c>
    </row>
    <row r="350" spans="3:15" x14ac:dyDescent="0.25">
      <c r="C350" s="47"/>
      <c r="D350" s="48"/>
      <c r="E350" s="7" t="str">
        <f t="shared" si="45"/>
        <v/>
      </c>
      <c r="F350" s="8" t="str">
        <f t="shared" si="46"/>
        <v/>
      </c>
      <c r="G350" s="8" t="str">
        <f t="shared" si="47"/>
        <v/>
      </c>
      <c r="H350" s="37" t="str">
        <f t="shared" si="48"/>
        <v/>
      </c>
      <c r="I350" s="37" t="str">
        <f t="shared" si="49"/>
        <v/>
      </c>
      <c r="J350" s="8" t="str">
        <f t="shared" si="50"/>
        <v/>
      </c>
      <c r="K350" s="38" t="str">
        <f t="shared" si="51"/>
        <v/>
      </c>
      <c r="N350" s="59" t="str">
        <f t="shared" si="53"/>
        <v/>
      </c>
      <c r="O350" s="59" t="str">
        <f t="shared" si="52"/>
        <v/>
      </c>
    </row>
    <row r="351" spans="3:15" x14ac:dyDescent="0.25">
      <c r="C351" s="47"/>
      <c r="D351" s="48"/>
      <c r="E351" s="7" t="str">
        <f t="shared" si="45"/>
        <v/>
      </c>
      <c r="F351" s="8" t="str">
        <f t="shared" si="46"/>
        <v/>
      </c>
      <c r="G351" s="8" t="str">
        <f t="shared" si="47"/>
        <v/>
      </c>
      <c r="H351" s="37" t="str">
        <f t="shared" si="48"/>
        <v/>
      </c>
      <c r="I351" s="37" t="str">
        <f t="shared" si="49"/>
        <v/>
      </c>
      <c r="J351" s="8" t="str">
        <f t="shared" si="50"/>
        <v/>
      </c>
      <c r="K351" s="38" t="str">
        <f t="shared" si="51"/>
        <v/>
      </c>
      <c r="N351" s="59" t="str">
        <f t="shared" si="53"/>
        <v/>
      </c>
      <c r="O351" s="59" t="str">
        <f t="shared" si="52"/>
        <v/>
      </c>
    </row>
    <row r="352" spans="3:15" x14ac:dyDescent="0.25">
      <c r="C352" s="47"/>
      <c r="D352" s="48"/>
      <c r="E352" s="7" t="str">
        <f t="shared" si="45"/>
        <v/>
      </c>
      <c r="F352" s="8" t="str">
        <f t="shared" si="46"/>
        <v/>
      </c>
      <c r="G352" s="8" t="str">
        <f t="shared" si="47"/>
        <v/>
      </c>
      <c r="H352" s="37" t="str">
        <f t="shared" si="48"/>
        <v/>
      </c>
      <c r="I352" s="37" t="str">
        <f t="shared" si="49"/>
        <v/>
      </c>
      <c r="J352" s="8" t="str">
        <f t="shared" si="50"/>
        <v/>
      </c>
      <c r="K352" s="38" t="str">
        <f t="shared" si="51"/>
        <v/>
      </c>
      <c r="N352" s="59" t="str">
        <f t="shared" si="53"/>
        <v/>
      </c>
      <c r="O352" s="59" t="str">
        <f t="shared" si="52"/>
        <v/>
      </c>
    </row>
    <row r="353" spans="3:15" x14ac:dyDescent="0.25">
      <c r="C353" s="47"/>
      <c r="D353" s="48"/>
      <c r="E353" s="7" t="str">
        <f t="shared" si="45"/>
        <v/>
      </c>
      <c r="F353" s="8" t="str">
        <f t="shared" si="46"/>
        <v/>
      </c>
      <c r="G353" s="8" t="str">
        <f t="shared" si="47"/>
        <v/>
      </c>
      <c r="H353" s="37" t="str">
        <f t="shared" si="48"/>
        <v/>
      </c>
      <c r="I353" s="37" t="str">
        <f t="shared" si="49"/>
        <v/>
      </c>
      <c r="J353" s="8" t="str">
        <f t="shared" si="50"/>
        <v/>
      </c>
      <c r="K353" s="38" t="str">
        <f t="shared" si="51"/>
        <v/>
      </c>
      <c r="N353" s="59" t="str">
        <f t="shared" si="53"/>
        <v/>
      </c>
      <c r="O353" s="59" t="str">
        <f t="shared" si="52"/>
        <v/>
      </c>
    </row>
    <row r="354" spans="3:15" x14ac:dyDescent="0.25">
      <c r="C354" s="47"/>
      <c r="D354" s="48"/>
      <c r="E354" s="7" t="str">
        <f t="shared" si="45"/>
        <v/>
      </c>
      <c r="F354" s="8" t="str">
        <f t="shared" si="46"/>
        <v/>
      </c>
      <c r="G354" s="8" t="str">
        <f t="shared" si="47"/>
        <v/>
      </c>
      <c r="H354" s="37" t="str">
        <f t="shared" si="48"/>
        <v/>
      </c>
      <c r="I354" s="37" t="str">
        <f t="shared" si="49"/>
        <v/>
      </c>
      <c r="J354" s="8" t="str">
        <f t="shared" si="50"/>
        <v/>
      </c>
      <c r="K354" s="38" t="str">
        <f t="shared" si="51"/>
        <v/>
      </c>
      <c r="N354" s="59" t="str">
        <f t="shared" si="53"/>
        <v/>
      </c>
      <c r="O354" s="59" t="str">
        <f t="shared" si="52"/>
        <v/>
      </c>
    </row>
    <row r="355" spans="3:15" x14ac:dyDescent="0.25">
      <c r="C355" s="47"/>
      <c r="D355" s="48"/>
      <c r="E355" s="7" t="str">
        <f t="shared" si="45"/>
        <v/>
      </c>
      <c r="F355" s="8" t="str">
        <f t="shared" si="46"/>
        <v/>
      </c>
      <c r="G355" s="8" t="str">
        <f t="shared" si="47"/>
        <v/>
      </c>
      <c r="H355" s="37" t="str">
        <f t="shared" si="48"/>
        <v/>
      </c>
      <c r="I355" s="37" t="str">
        <f t="shared" si="49"/>
        <v/>
      </c>
      <c r="J355" s="8" t="str">
        <f t="shared" si="50"/>
        <v/>
      </c>
      <c r="K355" s="38" t="str">
        <f t="shared" si="51"/>
        <v/>
      </c>
      <c r="N355" s="59" t="str">
        <f t="shared" si="53"/>
        <v/>
      </c>
      <c r="O355" s="59" t="str">
        <f t="shared" si="52"/>
        <v/>
      </c>
    </row>
    <row r="356" spans="3:15" x14ac:dyDescent="0.25">
      <c r="C356" s="47"/>
      <c r="D356" s="48"/>
      <c r="E356" s="7" t="str">
        <f t="shared" si="45"/>
        <v/>
      </c>
      <c r="F356" s="8" t="str">
        <f t="shared" si="46"/>
        <v/>
      </c>
      <c r="G356" s="8" t="str">
        <f t="shared" si="47"/>
        <v/>
      </c>
      <c r="H356" s="37" t="str">
        <f t="shared" si="48"/>
        <v/>
      </c>
      <c r="I356" s="37" t="str">
        <f t="shared" si="49"/>
        <v/>
      </c>
      <c r="J356" s="8" t="str">
        <f t="shared" si="50"/>
        <v/>
      </c>
      <c r="K356" s="38" t="str">
        <f t="shared" si="51"/>
        <v/>
      </c>
      <c r="N356" s="59" t="str">
        <f t="shared" si="53"/>
        <v/>
      </c>
      <c r="O356" s="59" t="str">
        <f t="shared" si="52"/>
        <v/>
      </c>
    </row>
    <row r="357" spans="3:15" x14ac:dyDescent="0.25">
      <c r="C357" s="47"/>
      <c r="D357" s="48"/>
      <c r="E357" s="7" t="str">
        <f t="shared" si="45"/>
        <v/>
      </c>
      <c r="F357" s="8" t="str">
        <f t="shared" si="46"/>
        <v/>
      </c>
      <c r="G357" s="8" t="str">
        <f t="shared" si="47"/>
        <v/>
      </c>
      <c r="H357" s="37" t="str">
        <f t="shared" si="48"/>
        <v/>
      </c>
      <c r="I357" s="37" t="str">
        <f t="shared" si="49"/>
        <v/>
      </c>
      <c r="J357" s="8" t="str">
        <f t="shared" si="50"/>
        <v/>
      </c>
      <c r="K357" s="38" t="str">
        <f t="shared" si="51"/>
        <v/>
      </c>
      <c r="N357" s="59" t="str">
        <f t="shared" si="53"/>
        <v/>
      </c>
      <c r="O357" s="59" t="str">
        <f t="shared" si="52"/>
        <v/>
      </c>
    </row>
    <row r="358" spans="3:15" x14ac:dyDescent="0.25">
      <c r="C358" s="47"/>
      <c r="D358" s="48"/>
      <c r="E358" s="7" t="str">
        <f t="shared" si="45"/>
        <v/>
      </c>
      <c r="F358" s="8" t="str">
        <f t="shared" si="46"/>
        <v/>
      </c>
      <c r="G358" s="8" t="str">
        <f t="shared" si="47"/>
        <v/>
      </c>
      <c r="H358" s="37" t="str">
        <f t="shared" si="48"/>
        <v/>
      </c>
      <c r="I358" s="37" t="str">
        <f t="shared" si="49"/>
        <v/>
      </c>
      <c r="J358" s="8" t="str">
        <f t="shared" si="50"/>
        <v/>
      </c>
      <c r="K358" s="38" t="str">
        <f t="shared" si="51"/>
        <v/>
      </c>
      <c r="N358" s="59" t="str">
        <f t="shared" si="53"/>
        <v/>
      </c>
      <c r="O358" s="59" t="str">
        <f t="shared" si="52"/>
        <v/>
      </c>
    </row>
    <row r="359" spans="3:15" x14ac:dyDescent="0.25">
      <c r="C359" s="47"/>
      <c r="D359" s="48"/>
      <c r="E359" s="7" t="str">
        <f t="shared" si="45"/>
        <v/>
      </c>
      <c r="F359" s="8" t="str">
        <f t="shared" si="46"/>
        <v/>
      </c>
      <c r="G359" s="8" t="str">
        <f t="shared" si="47"/>
        <v/>
      </c>
      <c r="H359" s="37" t="str">
        <f t="shared" si="48"/>
        <v/>
      </c>
      <c r="I359" s="37" t="str">
        <f t="shared" si="49"/>
        <v/>
      </c>
      <c r="J359" s="8" t="str">
        <f t="shared" si="50"/>
        <v/>
      </c>
      <c r="K359" s="38" t="str">
        <f t="shared" si="51"/>
        <v/>
      </c>
      <c r="N359" s="59" t="str">
        <f t="shared" si="53"/>
        <v/>
      </c>
      <c r="O359" s="59" t="str">
        <f t="shared" si="52"/>
        <v/>
      </c>
    </row>
    <row r="360" spans="3:15" x14ac:dyDescent="0.25">
      <c r="C360" s="47"/>
      <c r="D360" s="48"/>
      <c r="E360" s="7" t="str">
        <f t="shared" si="45"/>
        <v/>
      </c>
      <c r="F360" s="8" t="str">
        <f t="shared" si="46"/>
        <v/>
      </c>
      <c r="G360" s="8" t="str">
        <f t="shared" si="47"/>
        <v/>
      </c>
      <c r="H360" s="37" t="str">
        <f t="shared" si="48"/>
        <v/>
      </c>
      <c r="I360" s="37" t="str">
        <f t="shared" si="49"/>
        <v/>
      </c>
      <c r="J360" s="8" t="str">
        <f t="shared" si="50"/>
        <v/>
      </c>
      <c r="K360" s="38" t="str">
        <f t="shared" si="51"/>
        <v/>
      </c>
      <c r="N360" s="59" t="str">
        <f t="shared" si="53"/>
        <v/>
      </c>
      <c r="O360" s="59" t="str">
        <f t="shared" si="52"/>
        <v/>
      </c>
    </row>
    <row r="361" spans="3:15" x14ac:dyDescent="0.25">
      <c r="C361" s="47"/>
      <c r="D361" s="48"/>
      <c r="E361" s="7" t="str">
        <f t="shared" si="45"/>
        <v/>
      </c>
      <c r="F361" s="8" t="str">
        <f t="shared" si="46"/>
        <v/>
      </c>
      <c r="G361" s="8" t="str">
        <f t="shared" si="47"/>
        <v/>
      </c>
      <c r="H361" s="37" t="str">
        <f t="shared" si="48"/>
        <v/>
      </c>
      <c r="I361" s="37" t="str">
        <f t="shared" si="49"/>
        <v/>
      </c>
      <c r="J361" s="8" t="str">
        <f t="shared" si="50"/>
        <v/>
      </c>
      <c r="K361" s="38" t="str">
        <f t="shared" si="51"/>
        <v/>
      </c>
      <c r="N361" s="59" t="str">
        <f t="shared" si="53"/>
        <v/>
      </c>
      <c r="O361" s="59" t="str">
        <f t="shared" si="52"/>
        <v/>
      </c>
    </row>
    <row r="362" spans="3:15" x14ac:dyDescent="0.25">
      <c r="C362" s="47"/>
      <c r="D362" s="48"/>
      <c r="E362" s="7" t="str">
        <f t="shared" si="45"/>
        <v/>
      </c>
      <c r="F362" s="8" t="str">
        <f t="shared" si="46"/>
        <v/>
      </c>
      <c r="G362" s="8" t="str">
        <f t="shared" si="47"/>
        <v/>
      </c>
      <c r="H362" s="37" t="str">
        <f t="shared" si="48"/>
        <v/>
      </c>
      <c r="I362" s="37" t="str">
        <f t="shared" si="49"/>
        <v/>
      </c>
      <c r="J362" s="8" t="str">
        <f t="shared" si="50"/>
        <v/>
      </c>
      <c r="K362" s="38" t="str">
        <f t="shared" si="51"/>
        <v/>
      </c>
      <c r="N362" s="59" t="str">
        <f t="shared" si="53"/>
        <v/>
      </c>
      <c r="O362" s="59" t="str">
        <f t="shared" si="52"/>
        <v/>
      </c>
    </row>
    <row r="363" spans="3:15" x14ac:dyDescent="0.25">
      <c r="C363" s="47"/>
      <c r="D363" s="48"/>
      <c r="E363" s="7" t="str">
        <f t="shared" si="45"/>
        <v/>
      </c>
      <c r="F363" s="8" t="str">
        <f t="shared" si="46"/>
        <v/>
      </c>
      <c r="G363" s="8" t="str">
        <f t="shared" si="47"/>
        <v/>
      </c>
      <c r="H363" s="37" t="str">
        <f t="shared" si="48"/>
        <v/>
      </c>
      <c r="I363" s="37" t="str">
        <f t="shared" si="49"/>
        <v/>
      </c>
      <c r="J363" s="8" t="str">
        <f t="shared" si="50"/>
        <v/>
      </c>
      <c r="K363" s="38" t="str">
        <f t="shared" si="51"/>
        <v/>
      </c>
      <c r="N363" s="59" t="str">
        <f t="shared" si="53"/>
        <v/>
      </c>
      <c r="O363" s="59" t="str">
        <f t="shared" si="52"/>
        <v/>
      </c>
    </row>
    <row r="364" spans="3:15" x14ac:dyDescent="0.25">
      <c r="C364" s="47"/>
      <c r="D364" s="48"/>
      <c r="E364" s="7" t="str">
        <f t="shared" si="45"/>
        <v/>
      </c>
      <c r="F364" s="8" t="str">
        <f t="shared" si="46"/>
        <v/>
      </c>
      <c r="G364" s="8" t="str">
        <f t="shared" si="47"/>
        <v/>
      </c>
      <c r="H364" s="37" t="str">
        <f t="shared" si="48"/>
        <v/>
      </c>
      <c r="I364" s="37" t="str">
        <f t="shared" si="49"/>
        <v/>
      </c>
      <c r="J364" s="8" t="str">
        <f t="shared" si="50"/>
        <v/>
      </c>
      <c r="K364" s="38" t="str">
        <f t="shared" si="51"/>
        <v/>
      </c>
      <c r="N364" s="59" t="str">
        <f t="shared" si="53"/>
        <v/>
      </c>
      <c r="O364" s="59" t="str">
        <f t="shared" si="52"/>
        <v/>
      </c>
    </row>
    <row r="365" spans="3:15" x14ac:dyDescent="0.25">
      <c r="C365" s="47"/>
      <c r="D365" s="48"/>
      <c r="E365" s="7" t="str">
        <f t="shared" si="45"/>
        <v/>
      </c>
      <c r="F365" s="8" t="str">
        <f t="shared" si="46"/>
        <v/>
      </c>
      <c r="G365" s="8" t="str">
        <f t="shared" si="47"/>
        <v/>
      </c>
      <c r="H365" s="37" t="str">
        <f t="shared" si="48"/>
        <v/>
      </c>
      <c r="I365" s="37" t="str">
        <f t="shared" si="49"/>
        <v/>
      </c>
      <c r="J365" s="8" t="str">
        <f t="shared" si="50"/>
        <v/>
      </c>
      <c r="K365" s="38" t="str">
        <f t="shared" si="51"/>
        <v/>
      </c>
      <c r="N365" s="59" t="str">
        <f t="shared" si="53"/>
        <v/>
      </c>
      <c r="O365" s="59" t="str">
        <f t="shared" si="52"/>
        <v/>
      </c>
    </row>
    <row r="366" spans="3:15" x14ac:dyDescent="0.25">
      <c r="C366" s="47"/>
      <c r="D366" s="48"/>
      <c r="E366" s="7" t="str">
        <f t="shared" si="45"/>
        <v/>
      </c>
      <c r="F366" s="8" t="str">
        <f t="shared" si="46"/>
        <v/>
      </c>
      <c r="G366" s="8" t="str">
        <f t="shared" si="47"/>
        <v/>
      </c>
      <c r="H366" s="37" t="str">
        <f t="shared" si="48"/>
        <v/>
      </c>
      <c r="I366" s="37" t="str">
        <f t="shared" si="49"/>
        <v/>
      </c>
      <c r="J366" s="8" t="str">
        <f t="shared" si="50"/>
        <v/>
      </c>
      <c r="K366" s="38" t="str">
        <f t="shared" si="51"/>
        <v/>
      </c>
      <c r="N366" s="59" t="str">
        <f t="shared" si="53"/>
        <v/>
      </c>
      <c r="O366" s="59" t="str">
        <f t="shared" si="52"/>
        <v/>
      </c>
    </row>
    <row r="367" spans="3:15" x14ac:dyDescent="0.25">
      <c r="C367" s="47"/>
      <c r="D367" s="48"/>
      <c r="E367" s="7" t="str">
        <f t="shared" si="45"/>
        <v/>
      </c>
      <c r="F367" s="8" t="str">
        <f t="shared" si="46"/>
        <v/>
      </c>
      <c r="G367" s="8" t="str">
        <f t="shared" si="47"/>
        <v/>
      </c>
      <c r="H367" s="37" t="str">
        <f t="shared" si="48"/>
        <v/>
      </c>
      <c r="I367" s="37" t="str">
        <f t="shared" si="49"/>
        <v/>
      </c>
      <c r="J367" s="8" t="str">
        <f t="shared" si="50"/>
        <v/>
      </c>
      <c r="K367" s="38" t="str">
        <f t="shared" si="51"/>
        <v/>
      </c>
      <c r="N367" s="59" t="str">
        <f t="shared" si="53"/>
        <v/>
      </c>
      <c r="O367" s="59" t="str">
        <f t="shared" si="52"/>
        <v/>
      </c>
    </row>
    <row r="368" spans="3:15" x14ac:dyDescent="0.25">
      <c r="C368" s="47"/>
      <c r="D368" s="48"/>
      <c r="E368" s="7" t="str">
        <f t="shared" si="45"/>
        <v/>
      </c>
      <c r="F368" s="8" t="str">
        <f t="shared" si="46"/>
        <v/>
      </c>
      <c r="G368" s="8" t="str">
        <f t="shared" si="47"/>
        <v/>
      </c>
      <c r="H368" s="37" t="str">
        <f t="shared" si="48"/>
        <v/>
      </c>
      <c r="I368" s="37" t="str">
        <f t="shared" si="49"/>
        <v/>
      </c>
      <c r="J368" s="8" t="str">
        <f t="shared" si="50"/>
        <v/>
      </c>
      <c r="K368" s="38" t="str">
        <f t="shared" si="51"/>
        <v/>
      </c>
      <c r="N368" s="59" t="str">
        <f t="shared" si="53"/>
        <v/>
      </c>
      <c r="O368" s="59" t="str">
        <f t="shared" si="52"/>
        <v/>
      </c>
    </row>
    <row r="369" spans="3:15" x14ac:dyDescent="0.25">
      <c r="C369" s="47"/>
      <c r="D369" s="48"/>
      <c r="E369" s="7" t="str">
        <f t="shared" si="45"/>
        <v/>
      </c>
      <c r="F369" s="8" t="str">
        <f t="shared" si="46"/>
        <v/>
      </c>
      <c r="G369" s="8" t="str">
        <f t="shared" si="47"/>
        <v/>
      </c>
      <c r="H369" s="37" t="str">
        <f t="shared" si="48"/>
        <v/>
      </c>
      <c r="I369" s="37" t="str">
        <f t="shared" si="49"/>
        <v/>
      </c>
      <c r="J369" s="8" t="str">
        <f t="shared" si="50"/>
        <v/>
      </c>
      <c r="K369" s="38" t="str">
        <f t="shared" si="51"/>
        <v/>
      </c>
      <c r="N369" s="59" t="str">
        <f t="shared" si="53"/>
        <v/>
      </c>
      <c r="O369" s="59" t="str">
        <f t="shared" si="52"/>
        <v/>
      </c>
    </row>
    <row r="370" spans="3:15" x14ac:dyDescent="0.25">
      <c r="C370" s="47"/>
      <c r="D370" s="48"/>
      <c r="E370" s="7" t="str">
        <f t="shared" si="45"/>
        <v/>
      </c>
      <c r="F370" s="8" t="str">
        <f t="shared" si="46"/>
        <v/>
      </c>
      <c r="G370" s="8" t="str">
        <f t="shared" si="47"/>
        <v/>
      </c>
      <c r="H370" s="37" t="str">
        <f t="shared" si="48"/>
        <v/>
      </c>
      <c r="I370" s="37" t="str">
        <f t="shared" si="49"/>
        <v/>
      </c>
      <c r="J370" s="8" t="str">
        <f t="shared" si="50"/>
        <v/>
      </c>
      <c r="K370" s="38" t="str">
        <f t="shared" si="51"/>
        <v/>
      </c>
      <c r="N370" s="59" t="str">
        <f t="shared" si="53"/>
        <v/>
      </c>
      <c r="O370" s="59" t="str">
        <f t="shared" si="52"/>
        <v/>
      </c>
    </row>
    <row r="371" spans="3:15" x14ac:dyDescent="0.25">
      <c r="C371" s="47"/>
      <c r="D371" s="48"/>
      <c r="E371" s="7" t="str">
        <f t="shared" si="45"/>
        <v/>
      </c>
      <c r="F371" s="8" t="str">
        <f t="shared" si="46"/>
        <v/>
      </c>
      <c r="G371" s="8" t="str">
        <f t="shared" si="47"/>
        <v/>
      </c>
      <c r="H371" s="37" t="str">
        <f t="shared" si="48"/>
        <v/>
      </c>
      <c r="I371" s="37" t="str">
        <f t="shared" si="49"/>
        <v/>
      </c>
      <c r="J371" s="8" t="str">
        <f t="shared" si="50"/>
        <v/>
      </c>
      <c r="K371" s="38" t="str">
        <f t="shared" si="51"/>
        <v/>
      </c>
      <c r="N371" s="59" t="str">
        <f t="shared" si="53"/>
        <v/>
      </c>
      <c r="O371" s="59" t="str">
        <f t="shared" si="52"/>
        <v/>
      </c>
    </row>
    <row r="372" spans="3:15" x14ac:dyDescent="0.25">
      <c r="C372" s="47"/>
      <c r="D372" s="48"/>
      <c r="E372" s="7" t="str">
        <f t="shared" si="45"/>
        <v/>
      </c>
      <c r="F372" s="8" t="str">
        <f t="shared" si="46"/>
        <v/>
      </c>
      <c r="G372" s="8" t="str">
        <f t="shared" si="47"/>
        <v/>
      </c>
      <c r="H372" s="37" t="str">
        <f t="shared" si="48"/>
        <v/>
      </c>
      <c r="I372" s="37" t="str">
        <f t="shared" si="49"/>
        <v/>
      </c>
      <c r="J372" s="8" t="str">
        <f t="shared" si="50"/>
        <v/>
      </c>
      <c r="K372" s="38" t="str">
        <f t="shared" si="51"/>
        <v/>
      </c>
      <c r="N372" s="59" t="str">
        <f t="shared" si="53"/>
        <v/>
      </c>
      <c r="O372" s="59" t="str">
        <f t="shared" si="52"/>
        <v/>
      </c>
    </row>
    <row r="373" spans="3:15" x14ac:dyDescent="0.25">
      <c r="C373" s="47"/>
      <c r="D373" s="48"/>
      <c r="E373" s="7" t="str">
        <f t="shared" si="45"/>
        <v/>
      </c>
      <c r="F373" s="8" t="str">
        <f t="shared" si="46"/>
        <v/>
      </c>
      <c r="G373" s="8" t="str">
        <f t="shared" si="47"/>
        <v/>
      </c>
      <c r="H373" s="37" t="str">
        <f t="shared" si="48"/>
        <v/>
      </c>
      <c r="I373" s="37" t="str">
        <f t="shared" si="49"/>
        <v/>
      </c>
      <c r="J373" s="8" t="str">
        <f t="shared" si="50"/>
        <v/>
      </c>
      <c r="K373" s="38" t="str">
        <f t="shared" si="51"/>
        <v/>
      </c>
      <c r="N373" s="59" t="str">
        <f t="shared" si="53"/>
        <v/>
      </c>
      <c r="O373" s="59" t="str">
        <f t="shared" si="52"/>
        <v/>
      </c>
    </row>
    <row r="374" spans="3:15" x14ac:dyDescent="0.25">
      <c r="C374" s="47"/>
      <c r="D374" s="48"/>
      <c r="E374" s="7" t="str">
        <f t="shared" si="45"/>
        <v/>
      </c>
      <c r="F374" s="8" t="str">
        <f t="shared" si="46"/>
        <v/>
      </c>
      <c r="G374" s="8" t="str">
        <f t="shared" si="47"/>
        <v/>
      </c>
      <c r="H374" s="37" t="str">
        <f t="shared" si="48"/>
        <v/>
      </c>
      <c r="I374" s="37" t="str">
        <f t="shared" si="49"/>
        <v/>
      </c>
      <c r="J374" s="8" t="str">
        <f t="shared" si="50"/>
        <v/>
      </c>
      <c r="K374" s="38" t="str">
        <f t="shared" si="51"/>
        <v/>
      </c>
      <c r="N374" s="59" t="str">
        <f t="shared" si="53"/>
        <v/>
      </c>
      <c r="O374" s="59" t="str">
        <f t="shared" si="52"/>
        <v/>
      </c>
    </row>
    <row r="375" spans="3:15" x14ac:dyDescent="0.25">
      <c r="C375" s="47"/>
      <c r="D375" s="48"/>
      <c r="E375" s="7" t="str">
        <f t="shared" si="45"/>
        <v/>
      </c>
      <c r="F375" s="8" t="str">
        <f t="shared" si="46"/>
        <v/>
      </c>
      <c r="G375" s="8" t="str">
        <f t="shared" si="47"/>
        <v/>
      </c>
      <c r="H375" s="37" t="str">
        <f t="shared" si="48"/>
        <v/>
      </c>
      <c r="I375" s="37" t="str">
        <f t="shared" si="49"/>
        <v/>
      </c>
      <c r="J375" s="8" t="str">
        <f t="shared" si="50"/>
        <v/>
      </c>
      <c r="K375" s="38" t="str">
        <f t="shared" si="51"/>
        <v/>
      </c>
      <c r="N375" s="59" t="str">
        <f t="shared" si="53"/>
        <v/>
      </c>
      <c r="O375" s="59" t="str">
        <f t="shared" si="52"/>
        <v/>
      </c>
    </row>
    <row r="376" spans="3:15" x14ac:dyDescent="0.25">
      <c r="C376" s="47"/>
      <c r="D376" s="48"/>
      <c r="E376" s="7" t="str">
        <f t="shared" si="45"/>
        <v/>
      </c>
      <c r="F376" s="8" t="str">
        <f t="shared" si="46"/>
        <v/>
      </c>
      <c r="G376" s="8" t="str">
        <f t="shared" si="47"/>
        <v/>
      </c>
      <c r="H376" s="37" t="str">
        <f t="shared" si="48"/>
        <v/>
      </c>
      <c r="I376" s="37" t="str">
        <f t="shared" si="49"/>
        <v/>
      </c>
      <c r="J376" s="8" t="str">
        <f t="shared" si="50"/>
        <v/>
      </c>
      <c r="K376" s="38" t="str">
        <f t="shared" si="51"/>
        <v/>
      </c>
      <c r="N376" s="59" t="str">
        <f t="shared" si="53"/>
        <v/>
      </c>
      <c r="O376" s="59" t="str">
        <f t="shared" si="52"/>
        <v/>
      </c>
    </row>
    <row r="377" spans="3:15" x14ac:dyDescent="0.25">
      <c r="C377" s="47"/>
      <c r="D377" s="48"/>
      <c r="E377" s="7" t="str">
        <f t="shared" si="45"/>
        <v/>
      </c>
      <c r="F377" s="8" t="str">
        <f t="shared" si="46"/>
        <v/>
      </c>
      <c r="G377" s="8" t="str">
        <f t="shared" si="47"/>
        <v/>
      </c>
      <c r="H377" s="37" t="str">
        <f t="shared" si="48"/>
        <v/>
      </c>
      <c r="I377" s="37" t="str">
        <f t="shared" si="49"/>
        <v/>
      </c>
      <c r="J377" s="8" t="str">
        <f t="shared" si="50"/>
        <v/>
      </c>
      <c r="K377" s="38" t="str">
        <f t="shared" si="51"/>
        <v/>
      </c>
      <c r="N377" s="59" t="str">
        <f t="shared" si="53"/>
        <v/>
      </c>
      <c r="O377" s="59" t="str">
        <f t="shared" si="52"/>
        <v/>
      </c>
    </row>
    <row r="378" spans="3:15" x14ac:dyDescent="0.25">
      <c r="C378" s="47"/>
      <c r="D378" s="48"/>
      <c r="E378" s="7" t="str">
        <f t="shared" si="45"/>
        <v/>
      </c>
      <c r="F378" s="8" t="str">
        <f t="shared" si="46"/>
        <v/>
      </c>
      <c r="G378" s="8" t="str">
        <f t="shared" si="47"/>
        <v/>
      </c>
      <c r="H378" s="37" t="str">
        <f t="shared" si="48"/>
        <v/>
      </c>
      <c r="I378" s="37" t="str">
        <f t="shared" si="49"/>
        <v/>
      </c>
      <c r="J378" s="8" t="str">
        <f t="shared" si="50"/>
        <v/>
      </c>
      <c r="K378" s="38" t="str">
        <f t="shared" si="51"/>
        <v/>
      </c>
      <c r="N378" s="59" t="str">
        <f t="shared" si="53"/>
        <v/>
      </c>
      <c r="O378" s="59" t="str">
        <f t="shared" si="52"/>
        <v/>
      </c>
    </row>
    <row r="379" spans="3:15" x14ac:dyDescent="0.25">
      <c r="C379" s="47"/>
      <c r="D379" s="48"/>
      <c r="E379" s="7" t="str">
        <f t="shared" si="45"/>
        <v/>
      </c>
      <c r="F379" s="8" t="str">
        <f t="shared" si="46"/>
        <v/>
      </c>
      <c r="G379" s="8" t="str">
        <f t="shared" si="47"/>
        <v/>
      </c>
      <c r="H379" s="37" t="str">
        <f t="shared" si="48"/>
        <v/>
      </c>
      <c r="I379" s="37" t="str">
        <f t="shared" si="49"/>
        <v/>
      </c>
      <c r="J379" s="8" t="str">
        <f t="shared" si="50"/>
        <v/>
      </c>
      <c r="K379" s="38" t="str">
        <f t="shared" si="51"/>
        <v/>
      </c>
      <c r="N379" s="59" t="str">
        <f t="shared" si="53"/>
        <v/>
      </c>
      <c r="O379" s="59" t="str">
        <f t="shared" si="52"/>
        <v/>
      </c>
    </row>
    <row r="380" spans="3:15" x14ac:dyDescent="0.25">
      <c r="C380" s="47"/>
      <c r="D380" s="48"/>
      <c r="E380" s="7" t="str">
        <f t="shared" si="45"/>
        <v/>
      </c>
      <c r="F380" s="8" t="str">
        <f t="shared" si="46"/>
        <v/>
      </c>
      <c r="G380" s="8" t="str">
        <f t="shared" si="47"/>
        <v/>
      </c>
      <c r="H380" s="37" t="str">
        <f t="shared" si="48"/>
        <v/>
      </c>
      <c r="I380" s="37" t="str">
        <f t="shared" si="49"/>
        <v/>
      </c>
      <c r="J380" s="8" t="str">
        <f t="shared" si="50"/>
        <v/>
      </c>
      <c r="K380" s="38" t="str">
        <f t="shared" si="51"/>
        <v/>
      </c>
      <c r="N380" s="59" t="str">
        <f t="shared" si="53"/>
        <v/>
      </c>
      <c r="O380" s="59" t="str">
        <f t="shared" si="52"/>
        <v/>
      </c>
    </row>
    <row r="381" spans="3:15" x14ac:dyDescent="0.25">
      <c r="C381" s="47"/>
      <c r="D381" s="48"/>
      <c r="E381" s="7" t="str">
        <f t="shared" si="45"/>
        <v/>
      </c>
      <c r="F381" s="8" t="str">
        <f t="shared" si="46"/>
        <v/>
      </c>
      <c r="G381" s="8" t="str">
        <f t="shared" si="47"/>
        <v/>
      </c>
      <c r="H381" s="37" t="str">
        <f t="shared" si="48"/>
        <v/>
      </c>
      <c r="I381" s="37" t="str">
        <f t="shared" si="49"/>
        <v/>
      </c>
      <c r="J381" s="8" t="str">
        <f t="shared" si="50"/>
        <v/>
      </c>
      <c r="K381" s="38" t="str">
        <f t="shared" si="51"/>
        <v/>
      </c>
      <c r="N381" s="59" t="str">
        <f t="shared" si="53"/>
        <v/>
      </c>
      <c r="O381" s="59" t="str">
        <f t="shared" si="52"/>
        <v/>
      </c>
    </row>
    <row r="382" spans="3:15" x14ac:dyDescent="0.25">
      <c r="C382" s="47"/>
      <c r="D382" s="48"/>
      <c r="E382" s="7" t="str">
        <f t="shared" si="45"/>
        <v/>
      </c>
      <c r="F382" s="8" t="str">
        <f t="shared" si="46"/>
        <v/>
      </c>
      <c r="G382" s="8" t="str">
        <f t="shared" si="47"/>
        <v/>
      </c>
      <c r="H382" s="37" t="str">
        <f t="shared" si="48"/>
        <v/>
      </c>
      <c r="I382" s="37" t="str">
        <f t="shared" si="49"/>
        <v/>
      </c>
      <c r="J382" s="8" t="str">
        <f t="shared" si="50"/>
        <v/>
      </c>
      <c r="K382" s="38" t="str">
        <f t="shared" si="51"/>
        <v/>
      </c>
      <c r="N382" s="59" t="str">
        <f t="shared" si="53"/>
        <v/>
      </c>
      <c r="O382" s="59" t="str">
        <f t="shared" si="52"/>
        <v/>
      </c>
    </row>
    <row r="383" spans="3:15" x14ac:dyDescent="0.25">
      <c r="C383" s="47"/>
      <c r="D383" s="48"/>
      <c r="E383" s="7" t="str">
        <f t="shared" si="45"/>
        <v/>
      </c>
      <c r="F383" s="8" t="str">
        <f t="shared" si="46"/>
        <v/>
      </c>
      <c r="G383" s="8" t="str">
        <f t="shared" si="47"/>
        <v/>
      </c>
      <c r="H383" s="37" t="str">
        <f t="shared" si="48"/>
        <v/>
      </c>
      <c r="I383" s="37" t="str">
        <f t="shared" si="49"/>
        <v/>
      </c>
      <c r="J383" s="8" t="str">
        <f t="shared" si="50"/>
        <v/>
      </c>
      <c r="K383" s="38" t="str">
        <f t="shared" si="51"/>
        <v/>
      </c>
      <c r="N383" s="59" t="str">
        <f t="shared" si="53"/>
        <v/>
      </c>
      <c r="O383" s="59" t="str">
        <f t="shared" si="52"/>
        <v/>
      </c>
    </row>
    <row r="384" spans="3:15" x14ac:dyDescent="0.25">
      <c r="C384" s="47"/>
      <c r="D384" s="48"/>
      <c r="E384" s="7" t="str">
        <f t="shared" si="45"/>
        <v/>
      </c>
      <c r="F384" s="8" t="str">
        <f t="shared" si="46"/>
        <v/>
      </c>
      <c r="G384" s="8" t="str">
        <f t="shared" si="47"/>
        <v/>
      </c>
      <c r="H384" s="37" t="str">
        <f t="shared" si="48"/>
        <v/>
      </c>
      <c r="I384" s="37" t="str">
        <f t="shared" si="49"/>
        <v/>
      </c>
      <c r="J384" s="8" t="str">
        <f t="shared" si="50"/>
        <v/>
      </c>
      <c r="K384" s="38" t="str">
        <f t="shared" si="51"/>
        <v/>
      </c>
      <c r="N384" s="59" t="str">
        <f t="shared" si="53"/>
        <v/>
      </c>
      <c r="O384" s="59" t="str">
        <f t="shared" si="52"/>
        <v/>
      </c>
    </row>
    <row r="385" spans="3:15" x14ac:dyDescent="0.25">
      <c r="C385" s="47"/>
      <c r="D385" s="48"/>
      <c r="E385" s="7" t="str">
        <f t="shared" si="45"/>
        <v/>
      </c>
      <c r="F385" s="8" t="str">
        <f t="shared" si="46"/>
        <v/>
      </c>
      <c r="G385" s="8" t="str">
        <f t="shared" si="47"/>
        <v/>
      </c>
      <c r="H385" s="37" t="str">
        <f t="shared" si="48"/>
        <v/>
      </c>
      <c r="I385" s="37" t="str">
        <f t="shared" si="49"/>
        <v/>
      </c>
      <c r="J385" s="8" t="str">
        <f t="shared" si="50"/>
        <v/>
      </c>
      <c r="K385" s="38" t="str">
        <f t="shared" si="51"/>
        <v/>
      </c>
      <c r="N385" s="59" t="str">
        <f t="shared" si="53"/>
        <v/>
      </c>
      <c r="O385" s="59" t="str">
        <f t="shared" si="52"/>
        <v/>
      </c>
    </row>
    <row r="386" spans="3:15" x14ac:dyDescent="0.25">
      <c r="C386" s="47"/>
      <c r="D386" s="48"/>
      <c r="E386" s="7" t="str">
        <f t="shared" si="45"/>
        <v/>
      </c>
      <c r="F386" s="8" t="str">
        <f t="shared" si="46"/>
        <v/>
      </c>
      <c r="G386" s="8" t="str">
        <f t="shared" si="47"/>
        <v/>
      </c>
      <c r="H386" s="37" t="str">
        <f t="shared" si="48"/>
        <v/>
      </c>
      <c r="I386" s="37" t="str">
        <f t="shared" si="49"/>
        <v/>
      </c>
      <c r="J386" s="8" t="str">
        <f t="shared" si="50"/>
        <v/>
      </c>
      <c r="K386" s="38" t="str">
        <f t="shared" si="51"/>
        <v/>
      </c>
      <c r="N386" s="59" t="str">
        <f t="shared" si="53"/>
        <v/>
      </c>
      <c r="O386" s="59" t="str">
        <f t="shared" si="52"/>
        <v/>
      </c>
    </row>
    <row r="387" spans="3:15" x14ac:dyDescent="0.25">
      <c r="C387" s="47"/>
      <c r="D387" s="48"/>
      <c r="E387" s="7" t="str">
        <f t="shared" si="45"/>
        <v/>
      </c>
      <c r="F387" s="8" t="str">
        <f t="shared" si="46"/>
        <v/>
      </c>
      <c r="G387" s="8" t="str">
        <f t="shared" si="47"/>
        <v/>
      </c>
      <c r="H387" s="37" t="str">
        <f t="shared" si="48"/>
        <v/>
      </c>
      <c r="I387" s="37" t="str">
        <f t="shared" si="49"/>
        <v/>
      </c>
      <c r="J387" s="8" t="str">
        <f t="shared" si="50"/>
        <v/>
      </c>
      <c r="K387" s="38" t="str">
        <f t="shared" si="51"/>
        <v/>
      </c>
      <c r="N387" s="59" t="str">
        <f t="shared" si="53"/>
        <v/>
      </c>
      <c r="O387" s="59" t="str">
        <f t="shared" si="52"/>
        <v/>
      </c>
    </row>
    <row r="388" spans="3:15" x14ac:dyDescent="0.25">
      <c r="C388" s="47"/>
      <c r="D388" s="48"/>
      <c r="E388" s="7" t="str">
        <f t="shared" si="45"/>
        <v/>
      </c>
      <c r="F388" s="8" t="str">
        <f t="shared" si="46"/>
        <v/>
      </c>
      <c r="G388" s="8" t="str">
        <f t="shared" si="47"/>
        <v/>
      </c>
      <c r="H388" s="37" t="str">
        <f t="shared" si="48"/>
        <v/>
      </c>
      <c r="I388" s="37" t="str">
        <f t="shared" si="49"/>
        <v/>
      </c>
      <c r="J388" s="8" t="str">
        <f t="shared" si="50"/>
        <v/>
      </c>
      <c r="K388" s="38" t="str">
        <f t="shared" si="51"/>
        <v/>
      </c>
      <c r="N388" s="59" t="str">
        <f t="shared" si="53"/>
        <v/>
      </c>
      <c r="O388" s="59" t="str">
        <f t="shared" si="52"/>
        <v/>
      </c>
    </row>
    <row r="389" spans="3:15" x14ac:dyDescent="0.25">
      <c r="C389" s="47"/>
      <c r="D389" s="48"/>
      <c r="E389" s="7" t="str">
        <f t="shared" si="45"/>
        <v/>
      </c>
      <c r="F389" s="8" t="str">
        <f t="shared" si="46"/>
        <v/>
      </c>
      <c r="G389" s="8" t="str">
        <f t="shared" si="47"/>
        <v/>
      </c>
      <c r="H389" s="37" t="str">
        <f t="shared" si="48"/>
        <v/>
      </c>
      <c r="I389" s="37" t="str">
        <f t="shared" si="49"/>
        <v/>
      </c>
      <c r="J389" s="8" t="str">
        <f t="shared" si="50"/>
        <v/>
      </c>
      <c r="K389" s="38" t="str">
        <f t="shared" si="51"/>
        <v/>
      </c>
      <c r="N389" s="59" t="str">
        <f t="shared" si="53"/>
        <v/>
      </c>
      <c r="O389" s="59" t="str">
        <f t="shared" si="52"/>
        <v/>
      </c>
    </row>
    <row r="390" spans="3:15" x14ac:dyDescent="0.25">
      <c r="C390" s="47"/>
      <c r="D390" s="48"/>
      <c r="E390" s="7" t="str">
        <f t="shared" si="45"/>
        <v/>
      </c>
      <c r="F390" s="8" t="str">
        <f t="shared" si="46"/>
        <v/>
      </c>
      <c r="G390" s="8" t="str">
        <f t="shared" si="47"/>
        <v/>
      </c>
      <c r="H390" s="37" t="str">
        <f t="shared" si="48"/>
        <v/>
      </c>
      <c r="I390" s="37" t="str">
        <f t="shared" si="49"/>
        <v/>
      </c>
      <c r="J390" s="8" t="str">
        <f t="shared" si="50"/>
        <v/>
      </c>
      <c r="K390" s="38" t="str">
        <f t="shared" si="51"/>
        <v/>
      </c>
      <c r="N390" s="59" t="str">
        <f t="shared" si="53"/>
        <v/>
      </c>
      <c r="O390" s="59" t="str">
        <f t="shared" si="52"/>
        <v/>
      </c>
    </row>
    <row r="391" spans="3:15" x14ac:dyDescent="0.25">
      <c r="C391" s="47"/>
      <c r="D391" s="48"/>
      <c r="E391" s="7" t="str">
        <f t="shared" si="45"/>
        <v/>
      </c>
      <c r="F391" s="8" t="str">
        <f t="shared" si="46"/>
        <v/>
      </c>
      <c r="G391" s="8" t="str">
        <f t="shared" si="47"/>
        <v/>
      </c>
      <c r="H391" s="37" t="str">
        <f t="shared" si="48"/>
        <v/>
      </c>
      <c r="I391" s="37" t="str">
        <f t="shared" si="49"/>
        <v/>
      </c>
      <c r="J391" s="8" t="str">
        <f t="shared" si="50"/>
        <v/>
      </c>
      <c r="K391" s="38" t="str">
        <f t="shared" si="51"/>
        <v/>
      </c>
      <c r="N391" s="59" t="str">
        <f t="shared" si="53"/>
        <v/>
      </c>
      <c r="O391" s="59" t="str">
        <f t="shared" si="52"/>
        <v/>
      </c>
    </row>
    <row r="392" spans="3:15" x14ac:dyDescent="0.25">
      <c r="C392" s="47"/>
      <c r="D392" s="48"/>
      <c r="E392" s="7" t="str">
        <f t="shared" si="45"/>
        <v/>
      </c>
      <c r="F392" s="8" t="str">
        <f t="shared" si="46"/>
        <v/>
      </c>
      <c r="G392" s="8" t="str">
        <f t="shared" si="47"/>
        <v/>
      </c>
      <c r="H392" s="37" t="str">
        <f t="shared" si="48"/>
        <v/>
      </c>
      <c r="I392" s="37" t="str">
        <f t="shared" si="49"/>
        <v/>
      </c>
      <c r="J392" s="8" t="str">
        <f t="shared" si="50"/>
        <v/>
      </c>
      <c r="K392" s="38" t="str">
        <f t="shared" si="51"/>
        <v/>
      </c>
      <c r="N392" s="59" t="str">
        <f t="shared" si="53"/>
        <v/>
      </c>
      <c r="O392" s="59" t="str">
        <f t="shared" si="52"/>
        <v/>
      </c>
    </row>
    <row r="393" spans="3:15" x14ac:dyDescent="0.25">
      <c r="C393" s="47"/>
      <c r="D393" s="48"/>
      <c r="E393" s="7" t="str">
        <f t="shared" si="45"/>
        <v/>
      </c>
      <c r="F393" s="8" t="str">
        <f t="shared" si="46"/>
        <v/>
      </c>
      <c r="G393" s="8" t="str">
        <f t="shared" si="47"/>
        <v/>
      </c>
      <c r="H393" s="37" t="str">
        <f t="shared" si="48"/>
        <v/>
      </c>
      <c r="I393" s="37" t="str">
        <f t="shared" si="49"/>
        <v/>
      </c>
      <c r="J393" s="8" t="str">
        <f t="shared" si="50"/>
        <v/>
      </c>
      <c r="K393" s="38" t="str">
        <f t="shared" si="51"/>
        <v/>
      </c>
      <c r="N393" s="59" t="str">
        <f t="shared" si="53"/>
        <v/>
      </c>
      <c r="O393" s="59" t="str">
        <f t="shared" si="52"/>
        <v/>
      </c>
    </row>
    <row r="394" spans="3:15" x14ac:dyDescent="0.25">
      <c r="C394" s="47"/>
      <c r="D394" s="48"/>
      <c r="E394" s="7" t="str">
        <f t="shared" si="45"/>
        <v/>
      </c>
      <c r="F394" s="8" t="str">
        <f t="shared" si="46"/>
        <v/>
      </c>
      <c r="G394" s="8" t="str">
        <f t="shared" si="47"/>
        <v/>
      </c>
      <c r="H394" s="37" t="str">
        <f t="shared" si="48"/>
        <v/>
      </c>
      <c r="I394" s="37" t="str">
        <f t="shared" si="49"/>
        <v/>
      </c>
      <c r="J394" s="8" t="str">
        <f t="shared" si="50"/>
        <v/>
      </c>
      <c r="K394" s="38" t="str">
        <f t="shared" si="51"/>
        <v/>
      </c>
      <c r="N394" s="59" t="str">
        <f t="shared" si="53"/>
        <v/>
      </c>
      <c r="O394" s="59" t="str">
        <f t="shared" si="52"/>
        <v/>
      </c>
    </row>
    <row r="395" spans="3:15" x14ac:dyDescent="0.25">
      <c r="C395" s="47"/>
      <c r="D395" s="48"/>
      <c r="E395" s="7" t="str">
        <f t="shared" si="45"/>
        <v/>
      </c>
      <c r="F395" s="8" t="str">
        <f t="shared" si="46"/>
        <v/>
      </c>
      <c r="G395" s="8" t="str">
        <f t="shared" si="47"/>
        <v/>
      </c>
      <c r="H395" s="37" t="str">
        <f t="shared" si="48"/>
        <v/>
      </c>
      <c r="I395" s="37" t="str">
        <f t="shared" si="49"/>
        <v/>
      </c>
      <c r="J395" s="8" t="str">
        <f t="shared" si="50"/>
        <v/>
      </c>
      <c r="K395" s="38" t="str">
        <f t="shared" si="51"/>
        <v/>
      </c>
      <c r="N395" s="59" t="str">
        <f t="shared" si="53"/>
        <v/>
      </c>
      <c r="O395" s="59" t="str">
        <f t="shared" si="52"/>
        <v/>
      </c>
    </row>
    <row r="396" spans="3:15" x14ac:dyDescent="0.25">
      <c r="C396" s="47"/>
      <c r="D396" s="48"/>
      <c r="E396" s="7" t="str">
        <f t="shared" si="45"/>
        <v/>
      </c>
      <c r="F396" s="8" t="str">
        <f t="shared" si="46"/>
        <v/>
      </c>
      <c r="G396" s="8" t="str">
        <f t="shared" si="47"/>
        <v/>
      </c>
      <c r="H396" s="37" t="str">
        <f t="shared" si="48"/>
        <v/>
      </c>
      <c r="I396" s="37" t="str">
        <f t="shared" si="49"/>
        <v/>
      </c>
      <c r="J396" s="8" t="str">
        <f t="shared" si="50"/>
        <v/>
      </c>
      <c r="K396" s="38" t="str">
        <f t="shared" si="51"/>
        <v/>
      </c>
      <c r="N396" s="59" t="str">
        <f t="shared" si="53"/>
        <v/>
      </c>
      <c r="O396" s="59" t="str">
        <f t="shared" si="52"/>
        <v/>
      </c>
    </row>
    <row r="397" spans="3:15" x14ac:dyDescent="0.25">
      <c r="C397" s="47"/>
      <c r="D397" s="48"/>
      <c r="E397" s="7" t="str">
        <f t="shared" si="45"/>
        <v/>
      </c>
      <c r="F397" s="8" t="str">
        <f t="shared" si="46"/>
        <v/>
      </c>
      <c r="G397" s="8" t="str">
        <f t="shared" si="47"/>
        <v/>
      </c>
      <c r="H397" s="37" t="str">
        <f t="shared" si="48"/>
        <v/>
      </c>
      <c r="I397" s="37" t="str">
        <f t="shared" si="49"/>
        <v/>
      </c>
      <c r="J397" s="8" t="str">
        <f t="shared" si="50"/>
        <v/>
      </c>
      <c r="K397" s="38" t="str">
        <f t="shared" si="51"/>
        <v/>
      </c>
      <c r="N397" s="59" t="str">
        <f t="shared" si="53"/>
        <v/>
      </c>
      <c r="O397" s="59" t="str">
        <f t="shared" si="52"/>
        <v/>
      </c>
    </row>
    <row r="398" spans="3:15" x14ac:dyDescent="0.25">
      <c r="C398" s="47"/>
      <c r="D398" s="48"/>
      <c r="E398" s="7" t="str">
        <f t="shared" si="45"/>
        <v/>
      </c>
      <c r="F398" s="8" t="str">
        <f t="shared" si="46"/>
        <v/>
      </c>
      <c r="G398" s="8" t="str">
        <f t="shared" si="47"/>
        <v/>
      </c>
      <c r="H398" s="37" t="str">
        <f t="shared" si="48"/>
        <v/>
      </c>
      <c r="I398" s="37" t="str">
        <f t="shared" si="49"/>
        <v/>
      </c>
      <c r="J398" s="8" t="str">
        <f t="shared" si="50"/>
        <v/>
      </c>
      <c r="K398" s="38" t="str">
        <f t="shared" si="51"/>
        <v/>
      </c>
      <c r="N398" s="59" t="str">
        <f t="shared" si="53"/>
        <v/>
      </c>
      <c r="O398" s="59" t="str">
        <f t="shared" si="52"/>
        <v/>
      </c>
    </row>
    <row r="399" spans="3:15" x14ac:dyDescent="0.25">
      <c r="C399" s="47"/>
      <c r="D399" s="48"/>
      <c r="E399" s="7" t="str">
        <f t="shared" si="45"/>
        <v/>
      </c>
      <c r="F399" s="8" t="str">
        <f t="shared" si="46"/>
        <v/>
      </c>
      <c r="G399" s="8" t="str">
        <f t="shared" si="47"/>
        <v/>
      </c>
      <c r="H399" s="37" t="str">
        <f t="shared" si="48"/>
        <v/>
      </c>
      <c r="I399" s="37" t="str">
        <f t="shared" si="49"/>
        <v/>
      </c>
      <c r="J399" s="8" t="str">
        <f t="shared" si="50"/>
        <v/>
      </c>
      <c r="K399" s="38" t="str">
        <f t="shared" si="51"/>
        <v/>
      </c>
      <c r="N399" s="59" t="str">
        <f t="shared" si="53"/>
        <v/>
      </c>
      <c r="O399" s="59" t="str">
        <f t="shared" si="52"/>
        <v/>
      </c>
    </row>
    <row r="400" spans="3:15" x14ac:dyDescent="0.25">
      <c r="C400" s="47"/>
      <c r="D400" s="48"/>
      <c r="E400" s="7" t="str">
        <f t="shared" si="45"/>
        <v/>
      </c>
      <c r="F400" s="8" t="str">
        <f t="shared" si="46"/>
        <v/>
      </c>
      <c r="G400" s="8" t="str">
        <f t="shared" si="47"/>
        <v/>
      </c>
      <c r="H400" s="37" t="str">
        <f t="shared" si="48"/>
        <v/>
      </c>
      <c r="I400" s="37" t="str">
        <f t="shared" si="49"/>
        <v/>
      </c>
      <c r="J400" s="8" t="str">
        <f t="shared" si="50"/>
        <v/>
      </c>
      <c r="K400" s="38" t="str">
        <f t="shared" si="51"/>
        <v/>
      </c>
      <c r="N400" s="59" t="str">
        <f t="shared" si="53"/>
        <v/>
      </c>
      <c r="O400" s="59" t="str">
        <f t="shared" si="52"/>
        <v/>
      </c>
    </row>
    <row r="401" spans="3:15" x14ac:dyDescent="0.25">
      <c r="C401" s="47"/>
      <c r="D401" s="48"/>
      <c r="E401" s="7" t="str">
        <f t="shared" si="45"/>
        <v/>
      </c>
      <c r="F401" s="8" t="str">
        <f t="shared" si="46"/>
        <v/>
      </c>
      <c r="G401" s="8" t="str">
        <f t="shared" si="47"/>
        <v/>
      </c>
      <c r="H401" s="37" t="str">
        <f t="shared" si="48"/>
        <v/>
      </c>
      <c r="I401" s="37" t="str">
        <f t="shared" si="49"/>
        <v/>
      </c>
      <c r="J401" s="8" t="str">
        <f t="shared" si="50"/>
        <v/>
      </c>
      <c r="K401" s="38" t="str">
        <f t="shared" si="51"/>
        <v/>
      </c>
      <c r="N401" s="59" t="str">
        <f t="shared" si="53"/>
        <v/>
      </c>
      <c r="O401" s="59" t="str">
        <f t="shared" si="52"/>
        <v/>
      </c>
    </row>
    <row r="402" spans="3:15" x14ac:dyDescent="0.25">
      <c r="C402" s="47"/>
      <c r="D402" s="48"/>
      <c r="E402" s="7" t="str">
        <f t="shared" si="45"/>
        <v/>
      </c>
      <c r="F402" s="8" t="str">
        <f t="shared" si="46"/>
        <v/>
      </c>
      <c r="G402" s="8" t="str">
        <f t="shared" si="47"/>
        <v/>
      </c>
      <c r="H402" s="37" t="str">
        <f t="shared" si="48"/>
        <v/>
      </c>
      <c r="I402" s="37" t="str">
        <f t="shared" si="49"/>
        <v/>
      </c>
      <c r="J402" s="8" t="str">
        <f t="shared" si="50"/>
        <v/>
      </c>
      <c r="K402" s="38" t="str">
        <f t="shared" si="51"/>
        <v/>
      </c>
      <c r="N402" s="59" t="str">
        <f t="shared" si="53"/>
        <v/>
      </c>
      <c r="O402" s="59" t="str">
        <f t="shared" si="52"/>
        <v/>
      </c>
    </row>
    <row r="403" spans="3:15" x14ac:dyDescent="0.25">
      <c r="C403" s="47"/>
      <c r="D403" s="48"/>
      <c r="E403" s="7" t="str">
        <f t="shared" ref="E403:E466" si="54">IF(OR(DataRecebimento="",C403=""),"",IF(C403&lt;DataRecebimento,"ERRO!",C403+$F$9-$F$7))</f>
        <v/>
      </c>
      <c r="F403" s="8" t="str">
        <f t="shared" ref="F403:F466" si="55">IF(OR(TaxaJuros="",C403=""),"",IF(C403&lt;DataRecebimento,"DATA",-D403*E403*($F$8/30)))</f>
        <v/>
      </c>
      <c r="G403" s="8" t="str">
        <f t="shared" ref="G403:G466" si="56">IF(OR(TaxaJuros="",C403=""),"",IF(C403&lt;DataRecebimento,"NÃO",-$F$10))</f>
        <v/>
      </c>
      <c r="H403" s="37" t="str">
        <f t="shared" ref="H403:H466" si="57">IF(OR(TaxaJuros="",C403=""),"",IF(C403&lt;DataRecebimento,"PODE",IF(ComSemIOF=FALSE,0,IF(E403&gt;365,-(D403+F403)*365*IOFDiario,-(D403+F403)*E403*IOFDiario))))</f>
        <v/>
      </c>
      <c r="I403" s="37" t="str">
        <f t="shared" ref="I403:I466" si="58">IF(OR(TaxaJuros="",C403=""),"",IF(C403&lt;DataRecebimento,"SER",IF(ComSemIOF=FALSE,0,-(D403+F403)*IOFAdic)))</f>
        <v/>
      </c>
      <c r="J403" s="8" t="str">
        <f t="shared" ref="J403:J466" si="59">IF(OR(TaxaJuros="",C403=""),"",IF(C403&lt;DataRecebimento,"INFERIOR!",D403+SUM(F403:I403)))</f>
        <v/>
      </c>
      <c r="K403" s="38" t="str">
        <f t="shared" ref="K403:K466" si="60">IF(OR(TaxaJuros="",C403=""),"",IF(C403&lt;DataRecebimento,"ERRO!",100%-J403/D403))</f>
        <v/>
      </c>
      <c r="N403" s="59" t="str">
        <f t="shared" si="53"/>
        <v/>
      </c>
      <c r="O403" s="59" t="str">
        <f t="shared" ref="O403:O466" si="61">IF(N403="","",PV(TMA_Dia,E403,,-N403))</f>
        <v/>
      </c>
    </row>
    <row r="404" spans="3:15" x14ac:dyDescent="0.25">
      <c r="C404" s="47"/>
      <c r="D404" s="48"/>
      <c r="E404" s="7" t="str">
        <f t="shared" si="54"/>
        <v/>
      </c>
      <c r="F404" s="8" t="str">
        <f t="shared" si="55"/>
        <v/>
      </c>
      <c r="G404" s="8" t="str">
        <f t="shared" si="56"/>
        <v/>
      </c>
      <c r="H404" s="37" t="str">
        <f t="shared" si="57"/>
        <v/>
      </c>
      <c r="I404" s="37" t="str">
        <f t="shared" si="58"/>
        <v/>
      </c>
      <c r="J404" s="8" t="str">
        <f t="shared" si="59"/>
        <v/>
      </c>
      <c r="K404" s="38" t="str">
        <f t="shared" si="60"/>
        <v/>
      </c>
      <c r="N404" s="59" t="str">
        <f t="shared" ref="N404:N467" si="62">IF(C404="","",-D404)</f>
        <v/>
      </c>
      <c r="O404" s="59" t="str">
        <f t="shared" si="61"/>
        <v/>
      </c>
    </row>
    <row r="405" spans="3:15" x14ac:dyDescent="0.25">
      <c r="C405" s="47"/>
      <c r="D405" s="48"/>
      <c r="E405" s="7" t="str">
        <f t="shared" si="54"/>
        <v/>
      </c>
      <c r="F405" s="8" t="str">
        <f t="shared" si="55"/>
        <v/>
      </c>
      <c r="G405" s="8" t="str">
        <f t="shared" si="56"/>
        <v/>
      </c>
      <c r="H405" s="37" t="str">
        <f t="shared" si="57"/>
        <v/>
      </c>
      <c r="I405" s="37" t="str">
        <f t="shared" si="58"/>
        <v/>
      </c>
      <c r="J405" s="8" t="str">
        <f t="shared" si="59"/>
        <v/>
      </c>
      <c r="K405" s="38" t="str">
        <f t="shared" si="60"/>
        <v/>
      </c>
      <c r="N405" s="59" t="str">
        <f t="shared" si="62"/>
        <v/>
      </c>
      <c r="O405" s="59" t="str">
        <f t="shared" si="61"/>
        <v/>
      </c>
    </row>
    <row r="406" spans="3:15" x14ac:dyDescent="0.25">
      <c r="C406" s="47"/>
      <c r="D406" s="48"/>
      <c r="E406" s="7" t="str">
        <f t="shared" si="54"/>
        <v/>
      </c>
      <c r="F406" s="8" t="str">
        <f t="shared" si="55"/>
        <v/>
      </c>
      <c r="G406" s="8" t="str">
        <f t="shared" si="56"/>
        <v/>
      </c>
      <c r="H406" s="37" t="str">
        <f t="shared" si="57"/>
        <v/>
      </c>
      <c r="I406" s="37" t="str">
        <f t="shared" si="58"/>
        <v/>
      </c>
      <c r="J406" s="8" t="str">
        <f t="shared" si="59"/>
        <v/>
      </c>
      <c r="K406" s="38" t="str">
        <f t="shared" si="60"/>
        <v/>
      </c>
      <c r="N406" s="59" t="str">
        <f t="shared" si="62"/>
        <v/>
      </c>
      <c r="O406" s="59" t="str">
        <f t="shared" si="61"/>
        <v/>
      </c>
    </row>
    <row r="407" spans="3:15" x14ac:dyDescent="0.25">
      <c r="C407" s="47"/>
      <c r="D407" s="48"/>
      <c r="E407" s="7" t="str">
        <f t="shared" si="54"/>
        <v/>
      </c>
      <c r="F407" s="8" t="str">
        <f t="shared" si="55"/>
        <v/>
      </c>
      <c r="G407" s="8" t="str">
        <f t="shared" si="56"/>
        <v/>
      </c>
      <c r="H407" s="37" t="str">
        <f t="shared" si="57"/>
        <v/>
      </c>
      <c r="I407" s="37" t="str">
        <f t="shared" si="58"/>
        <v/>
      </c>
      <c r="J407" s="8" t="str">
        <f t="shared" si="59"/>
        <v/>
      </c>
      <c r="K407" s="38" t="str">
        <f t="shared" si="60"/>
        <v/>
      </c>
      <c r="N407" s="59" t="str">
        <f t="shared" si="62"/>
        <v/>
      </c>
      <c r="O407" s="59" t="str">
        <f t="shared" si="61"/>
        <v/>
      </c>
    </row>
    <row r="408" spans="3:15" x14ac:dyDescent="0.25">
      <c r="C408" s="47"/>
      <c r="D408" s="48"/>
      <c r="E408" s="7" t="str">
        <f t="shared" si="54"/>
        <v/>
      </c>
      <c r="F408" s="8" t="str">
        <f t="shared" si="55"/>
        <v/>
      </c>
      <c r="G408" s="8" t="str">
        <f t="shared" si="56"/>
        <v/>
      </c>
      <c r="H408" s="37" t="str">
        <f t="shared" si="57"/>
        <v/>
      </c>
      <c r="I408" s="37" t="str">
        <f t="shared" si="58"/>
        <v/>
      </c>
      <c r="J408" s="8" t="str">
        <f t="shared" si="59"/>
        <v/>
      </c>
      <c r="K408" s="38" t="str">
        <f t="shared" si="60"/>
        <v/>
      </c>
      <c r="N408" s="59" t="str">
        <f t="shared" si="62"/>
        <v/>
      </c>
      <c r="O408" s="59" t="str">
        <f t="shared" si="61"/>
        <v/>
      </c>
    </row>
    <row r="409" spans="3:15" x14ac:dyDescent="0.25">
      <c r="C409" s="47"/>
      <c r="D409" s="48"/>
      <c r="E409" s="7" t="str">
        <f t="shared" si="54"/>
        <v/>
      </c>
      <c r="F409" s="8" t="str">
        <f t="shared" si="55"/>
        <v/>
      </c>
      <c r="G409" s="8" t="str">
        <f t="shared" si="56"/>
        <v/>
      </c>
      <c r="H409" s="37" t="str">
        <f t="shared" si="57"/>
        <v/>
      </c>
      <c r="I409" s="37" t="str">
        <f t="shared" si="58"/>
        <v/>
      </c>
      <c r="J409" s="8" t="str">
        <f t="shared" si="59"/>
        <v/>
      </c>
      <c r="K409" s="38" t="str">
        <f t="shared" si="60"/>
        <v/>
      </c>
      <c r="N409" s="59" t="str">
        <f t="shared" si="62"/>
        <v/>
      </c>
      <c r="O409" s="59" t="str">
        <f t="shared" si="61"/>
        <v/>
      </c>
    </row>
    <row r="410" spans="3:15" x14ac:dyDescent="0.25">
      <c r="C410" s="47"/>
      <c r="D410" s="48"/>
      <c r="E410" s="7" t="str">
        <f t="shared" si="54"/>
        <v/>
      </c>
      <c r="F410" s="8" t="str">
        <f t="shared" si="55"/>
        <v/>
      </c>
      <c r="G410" s="8" t="str">
        <f t="shared" si="56"/>
        <v/>
      </c>
      <c r="H410" s="37" t="str">
        <f t="shared" si="57"/>
        <v/>
      </c>
      <c r="I410" s="37" t="str">
        <f t="shared" si="58"/>
        <v/>
      </c>
      <c r="J410" s="8" t="str">
        <f t="shared" si="59"/>
        <v/>
      </c>
      <c r="K410" s="38" t="str">
        <f t="shared" si="60"/>
        <v/>
      </c>
      <c r="N410" s="59" t="str">
        <f t="shared" si="62"/>
        <v/>
      </c>
      <c r="O410" s="59" t="str">
        <f t="shared" si="61"/>
        <v/>
      </c>
    </row>
    <row r="411" spans="3:15" x14ac:dyDescent="0.25">
      <c r="C411" s="47"/>
      <c r="D411" s="48"/>
      <c r="E411" s="7" t="str">
        <f t="shared" si="54"/>
        <v/>
      </c>
      <c r="F411" s="8" t="str">
        <f t="shared" si="55"/>
        <v/>
      </c>
      <c r="G411" s="8" t="str">
        <f t="shared" si="56"/>
        <v/>
      </c>
      <c r="H411" s="37" t="str">
        <f t="shared" si="57"/>
        <v/>
      </c>
      <c r="I411" s="37" t="str">
        <f t="shared" si="58"/>
        <v/>
      </c>
      <c r="J411" s="8" t="str">
        <f t="shared" si="59"/>
        <v/>
      </c>
      <c r="K411" s="38" t="str">
        <f t="shared" si="60"/>
        <v/>
      </c>
      <c r="N411" s="59" t="str">
        <f t="shared" si="62"/>
        <v/>
      </c>
      <c r="O411" s="59" t="str">
        <f t="shared" si="61"/>
        <v/>
      </c>
    </row>
    <row r="412" spans="3:15" x14ac:dyDescent="0.25">
      <c r="C412" s="47"/>
      <c r="D412" s="48"/>
      <c r="E412" s="7" t="str">
        <f t="shared" si="54"/>
        <v/>
      </c>
      <c r="F412" s="8" t="str">
        <f t="shared" si="55"/>
        <v/>
      </c>
      <c r="G412" s="8" t="str">
        <f t="shared" si="56"/>
        <v/>
      </c>
      <c r="H412" s="37" t="str">
        <f t="shared" si="57"/>
        <v/>
      </c>
      <c r="I412" s="37" t="str">
        <f t="shared" si="58"/>
        <v/>
      </c>
      <c r="J412" s="8" t="str">
        <f t="shared" si="59"/>
        <v/>
      </c>
      <c r="K412" s="38" t="str">
        <f t="shared" si="60"/>
        <v/>
      </c>
      <c r="N412" s="59" t="str">
        <f t="shared" si="62"/>
        <v/>
      </c>
      <c r="O412" s="59" t="str">
        <f t="shared" si="61"/>
        <v/>
      </c>
    </row>
    <row r="413" spans="3:15" x14ac:dyDescent="0.25">
      <c r="C413" s="47"/>
      <c r="D413" s="48"/>
      <c r="E413" s="7" t="str">
        <f t="shared" si="54"/>
        <v/>
      </c>
      <c r="F413" s="8" t="str">
        <f t="shared" si="55"/>
        <v/>
      </c>
      <c r="G413" s="8" t="str">
        <f t="shared" si="56"/>
        <v/>
      </c>
      <c r="H413" s="37" t="str">
        <f t="shared" si="57"/>
        <v/>
      </c>
      <c r="I413" s="37" t="str">
        <f t="shared" si="58"/>
        <v/>
      </c>
      <c r="J413" s="8" t="str">
        <f t="shared" si="59"/>
        <v/>
      </c>
      <c r="K413" s="38" t="str">
        <f t="shared" si="60"/>
        <v/>
      </c>
      <c r="N413" s="59" t="str">
        <f t="shared" si="62"/>
        <v/>
      </c>
      <c r="O413" s="59" t="str">
        <f t="shared" si="61"/>
        <v/>
      </c>
    </row>
    <row r="414" spans="3:15" x14ac:dyDescent="0.25">
      <c r="C414" s="47"/>
      <c r="D414" s="48"/>
      <c r="E414" s="7" t="str">
        <f t="shared" si="54"/>
        <v/>
      </c>
      <c r="F414" s="8" t="str">
        <f t="shared" si="55"/>
        <v/>
      </c>
      <c r="G414" s="8" t="str">
        <f t="shared" si="56"/>
        <v/>
      </c>
      <c r="H414" s="37" t="str">
        <f t="shared" si="57"/>
        <v/>
      </c>
      <c r="I414" s="37" t="str">
        <f t="shared" si="58"/>
        <v/>
      </c>
      <c r="J414" s="8" t="str">
        <f t="shared" si="59"/>
        <v/>
      </c>
      <c r="K414" s="38" t="str">
        <f t="shared" si="60"/>
        <v/>
      </c>
      <c r="N414" s="59" t="str">
        <f t="shared" si="62"/>
        <v/>
      </c>
      <c r="O414" s="59" t="str">
        <f t="shared" si="61"/>
        <v/>
      </c>
    </row>
    <row r="415" spans="3:15" x14ac:dyDescent="0.25">
      <c r="C415" s="47"/>
      <c r="D415" s="48"/>
      <c r="E415" s="7" t="str">
        <f t="shared" si="54"/>
        <v/>
      </c>
      <c r="F415" s="8" t="str">
        <f t="shared" si="55"/>
        <v/>
      </c>
      <c r="G415" s="8" t="str">
        <f t="shared" si="56"/>
        <v/>
      </c>
      <c r="H415" s="37" t="str">
        <f t="shared" si="57"/>
        <v/>
      </c>
      <c r="I415" s="37" t="str">
        <f t="shared" si="58"/>
        <v/>
      </c>
      <c r="J415" s="8" t="str">
        <f t="shared" si="59"/>
        <v/>
      </c>
      <c r="K415" s="38" t="str">
        <f t="shared" si="60"/>
        <v/>
      </c>
      <c r="N415" s="59" t="str">
        <f t="shared" si="62"/>
        <v/>
      </c>
      <c r="O415" s="59" t="str">
        <f t="shared" si="61"/>
        <v/>
      </c>
    </row>
    <row r="416" spans="3:15" x14ac:dyDescent="0.25">
      <c r="C416" s="47"/>
      <c r="D416" s="48"/>
      <c r="E416" s="7" t="str">
        <f t="shared" si="54"/>
        <v/>
      </c>
      <c r="F416" s="8" t="str">
        <f t="shared" si="55"/>
        <v/>
      </c>
      <c r="G416" s="8" t="str">
        <f t="shared" si="56"/>
        <v/>
      </c>
      <c r="H416" s="37" t="str">
        <f t="shared" si="57"/>
        <v/>
      </c>
      <c r="I416" s="37" t="str">
        <f t="shared" si="58"/>
        <v/>
      </c>
      <c r="J416" s="8" t="str">
        <f t="shared" si="59"/>
        <v/>
      </c>
      <c r="K416" s="38" t="str">
        <f t="shared" si="60"/>
        <v/>
      </c>
      <c r="N416" s="59" t="str">
        <f t="shared" si="62"/>
        <v/>
      </c>
      <c r="O416" s="59" t="str">
        <f t="shared" si="61"/>
        <v/>
      </c>
    </row>
    <row r="417" spans="3:15" x14ac:dyDescent="0.25">
      <c r="C417" s="47"/>
      <c r="D417" s="48"/>
      <c r="E417" s="7" t="str">
        <f t="shared" si="54"/>
        <v/>
      </c>
      <c r="F417" s="8" t="str">
        <f t="shared" si="55"/>
        <v/>
      </c>
      <c r="G417" s="8" t="str">
        <f t="shared" si="56"/>
        <v/>
      </c>
      <c r="H417" s="37" t="str">
        <f t="shared" si="57"/>
        <v/>
      </c>
      <c r="I417" s="37" t="str">
        <f t="shared" si="58"/>
        <v/>
      </c>
      <c r="J417" s="8" t="str">
        <f t="shared" si="59"/>
        <v/>
      </c>
      <c r="K417" s="38" t="str">
        <f t="shared" si="60"/>
        <v/>
      </c>
      <c r="N417" s="59" t="str">
        <f t="shared" si="62"/>
        <v/>
      </c>
      <c r="O417" s="59" t="str">
        <f t="shared" si="61"/>
        <v/>
      </c>
    </row>
    <row r="418" spans="3:15" x14ac:dyDescent="0.25">
      <c r="C418" s="47"/>
      <c r="D418" s="48"/>
      <c r="E418" s="7" t="str">
        <f t="shared" si="54"/>
        <v/>
      </c>
      <c r="F418" s="8" t="str">
        <f t="shared" si="55"/>
        <v/>
      </c>
      <c r="G418" s="8" t="str">
        <f t="shared" si="56"/>
        <v/>
      </c>
      <c r="H418" s="37" t="str">
        <f t="shared" si="57"/>
        <v/>
      </c>
      <c r="I418" s="37" t="str">
        <f t="shared" si="58"/>
        <v/>
      </c>
      <c r="J418" s="8" t="str">
        <f t="shared" si="59"/>
        <v/>
      </c>
      <c r="K418" s="38" t="str">
        <f t="shared" si="60"/>
        <v/>
      </c>
      <c r="N418" s="59" t="str">
        <f t="shared" si="62"/>
        <v/>
      </c>
      <c r="O418" s="59" t="str">
        <f t="shared" si="61"/>
        <v/>
      </c>
    </row>
    <row r="419" spans="3:15" x14ac:dyDescent="0.25">
      <c r="C419" s="47"/>
      <c r="D419" s="48"/>
      <c r="E419" s="7" t="str">
        <f t="shared" si="54"/>
        <v/>
      </c>
      <c r="F419" s="8" t="str">
        <f t="shared" si="55"/>
        <v/>
      </c>
      <c r="G419" s="8" t="str">
        <f t="shared" si="56"/>
        <v/>
      </c>
      <c r="H419" s="37" t="str">
        <f t="shared" si="57"/>
        <v/>
      </c>
      <c r="I419" s="37" t="str">
        <f t="shared" si="58"/>
        <v/>
      </c>
      <c r="J419" s="8" t="str">
        <f t="shared" si="59"/>
        <v/>
      </c>
      <c r="K419" s="38" t="str">
        <f t="shared" si="60"/>
        <v/>
      </c>
      <c r="N419" s="59" t="str">
        <f t="shared" si="62"/>
        <v/>
      </c>
      <c r="O419" s="59" t="str">
        <f t="shared" si="61"/>
        <v/>
      </c>
    </row>
    <row r="420" spans="3:15" x14ac:dyDescent="0.25">
      <c r="C420" s="47"/>
      <c r="D420" s="48"/>
      <c r="E420" s="7" t="str">
        <f t="shared" si="54"/>
        <v/>
      </c>
      <c r="F420" s="8" t="str">
        <f t="shared" si="55"/>
        <v/>
      </c>
      <c r="G420" s="8" t="str">
        <f t="shared" si="56"/>
        <v/>
      </c>
      <c r="H420" s="37" t="str">
        <f t="shared" si="57"/>
        <v/>
      </c>
      <c r="I420" s="37" t="str">
        <f t="shared" si="58"/>
        <v/>
      </c>
      <c r="J420" s="8" t="str">
        <f t="shared" si="59"/>
        <v/>
      </c>
      <c r="K420" s="38" t="str">
        <f t="shared" si="60"/>
        <v/>
      </c>
      <c r="N420" s="59" t="str">
        <f t="shared" si="62"/>
        <v/>
      </c>
      <c r="O420" s="59" t="str">
        <f t="shared" si="61"/>
        <v/>
      </c>
    </row>
    <row r="421" spans="3:15" x14ac:dyDescent="0.25">
      <c r="C421" s="47"/>
      <c r="D421" s="48"/>
      <c r="E421" s="7" t="str">
        <f t="shared" si="54"/>
        <v/>
      </c>
      <c r="F421" s="8" t="str">
        <f t="shared" si="55"/>
        <v/>
      </c>
      <c r="G421" s="8" t="str">
        <f t="shared" si="56"/>
        <v/>
      </c>
      <c r="H421" s="37" t="str">
        <f t="shared" si="57"/>
        <v/>
      </c>
      <c r="I421" s="37" t="str">
        <f t="shared" si="58"/>
        <v/>
      </c>
      <c r="J421" s="8" t="str">
        <f t="shared" si="59"/>
        <v/>
      </c>
      <c r="K421" s="38" t="str">
        <f t="shared" si="60"/>
        <v/>
      </c>
      <c r="N421" s="59" t="str">
        <f t="shared" si="62"/>
        <v/>
      </c>
      <c r="O421" s="59" t="str">
        <f t="shared" si="61"/>
        <v/>
      </c>
    </row>
    <row r="422" spans="3:15" x14ac:dyDescent="0.25">
      <c r="C422" s="47"/>
      <c r="D422" s="48"/>
      <c r="E422" s="7" t="str">
        <f t="shared" si="54"/>
        <v/>
      </c>
      <c r="F422" s="8" t="str">
        <f t="shared" si="55"/>
        <v/>
      </c>
      <c r="G422" s="8" t="str">
        <f t="shared" si="56"/>
        <v/>
      </c>
      <c r="H422" s="37" t="str">
        <f t="shared" si="57"/>
        <v/>
      </c>
      <c r="I422" s="37" t="str">
        <f t="shared" si="58"/>
        <v/>
      </c>
      <c r="J422" s="8" t="str">
        <f t="shared" si="59"/>
        <v/>
      </c>
      <c r="K422" s="38" t="str">
        <f t="shared" si="60"/>
        <v/>
      </c>
      <c r="N422" s="59" t="str">
        <f t="shared" si="62"/>
        <v/>
      </c>
      <c r="O422" s="59" t="str">
        <f t="shared" si="61"/>
        <v/>
      </c>
    </row>
    <row r="423" spans="3:15" x14ac:dyDescent="0.25">
      <c r="C423" s="47"/>
      <c r="D423" s="48"/>
      <c r="E423" s="7" t="str">
        <f t="shared" si="54"/>
        <v/>
      </c>
      <c r="F423" s="8" t="str">
        <f t="shared" si="55"/>
        <v/>
      </c>
      <c r="G423" s="8" t="str">
        <f t="shared" si="56"/>
        <v/>
      </c>
      <c r="H423" s="37" t="str">
        <f t="shared" si="57"/>
        <v/>
      </c>
      <c r="I423" s="37" t="str">
        <f t="shared" si="58"/>
        <v/>
      </c>
      <c r="J423" s="8" t="str">
        <f t="shared" si="59"/>
        <v/>
      </c>
      <c r="K423" s="38" t="str">
        <f t="shared" si="60"/>
        <v/>
      </c>
      <c r="N423" s="59" t="str">
        <f t="shared" si="62"/>
        <v/>
      </c>
      <c r="O423" s="59" t="str">
        <f t="shared" si="61"/>
        <v/>
      </c>
    </row>
    <row r="424" spans="3:15" x14ac:dyDescent="0.25">
      <c r="C424" s="47"/>
      <c r="D424" s="48"/>
      <c r="E424" s="7" t="str">
        <f t="shared" si="54"/>
        <v/>
      </c>
      <c r="F424" s="8" t="str">
        <f t="shared" si="55"/>
        <v/>
      </c>
      <c r="G424" s="8" t="str">
        <f t="shared" si="56"/>
        <v/>
      </c>
      <c r="H424" s="37" t="str">
        <f t="shared" si="57"/>
        <v/>
      </c>
      <c r="I424" s="37" t="str">
        <f t="shared" si="58"/>
        <v/>
      </c>
      <c r="J424" s="8" t="str">
        <f t="shared" si="59"/>
        <v/>
      </c>
      <c r="K424" s="38" t="str">
        <f t="shared" si="60"/>
        <v/>
      </c>
      <c r="N424" s="59" t="str">
        <f t="shared" si="62"/>
        <v/>
      </c>
      <c r="O424" s="59" t="str">
        <f t="shared" si="61"/>
        <v/>
      </c>
    </row>
    <row r="425" spans="3:15" x14ac:dyDescent="0.25">
      <c r="C425" s="47"/>
      <c r="D425" s="48"/>
      <c r="E425" s="7" t="str">
        <f t="shared" si="54"/>
        <v/>
      </c>
      <c r="F425" s="8" t="str">
        <f t="shared" si="55"/>
        <v/>
      </c>
      <c r="G425" s="8" t="str">
        <f t="shared" si="56"/>
        <v/>
      </c>
      <c r="H425" s="37" t="str">
        <f t="shared" si="57"/>
        <v/>
      </c>
      <c r="I425" s="37" t="str">
        <f t="shared" si="58"/>
        <v/>
      </c>
      <c r="J425" s="8" t="str">
        <f t="shared" si="59"/>
        <v/>
      </c>
      <c r="K425" s="38" t="str">
        <f t="shared" si="60"/>
        <v/>
      </c>
      <c r="N425" s="59" t="str">
        <f t="shared" si="62"/>
        <v/>
      </c>
      <c r="O425" s="59" t="str">
        <f t="shared" si="61"/>
        <v/>
      </c>
    </row>
    <row r="426" spans="3:15" x14ac:dyDescent="0.25">
      <c r="C426" s="47"/>
      <c r="D426" s="48"/>
      <c r="E426" s="7" t="str">
        <f t="shared" si="54"/>
        <v/>
      </c>
      <c r="F426" s="8" t="str">
        <f t="shared" si="55"/>
        <v/>
      </c>
      <c r="G426" s="8" t="str">
        <f t="shared" si="56"/>
        <v/>
      </c>
      <c r="H426" s="37" t="str">
        <f t="shared" si="57"/>
        <v/>
      </c>
      <c r="I426" s="37" t="str">
        <f t="shared" si="58"/>
        <v/>
      </c>
      <c r="J426" s="8" t="str">
        <f t="shared" si="59"/>
        <v/>
      </c>
      <c r="K426" s="38" t="str">
        <f t="shared" si="60"/>
        <v/>
      </c>
      <c r="N426" s="59" t="str">
        <f t="shared" si="62"/>
        <v/>
      </c>
      <c r="O426" s="59" t="str">
        <f t="shared" si="61"/>
        <v/>
      </c>
    </row>
    <row r="427" spans="3:15" x14ac:dyDescent="0.25">
      <c r="C427" s="47"/>
      <c r="D427" s="48"/>
      <c r="E427" s="7" t="str">
        <f t="shared" si="54"/>
        <v/>
      </c>
      <c r="F427" s="8" t="str">
        <f t="shared" si="55"/>
        <v/>
      </c>
      <c r="G427" s="8" t="str">
        <f t="shared" si="56"/>
        <v/>
      </c>
      <c r="H427" s="37" t="str">
        <f t="shared" si="57"/>
        <v/>
      </c>
      <c r="I427" s="37" t="str">
        <f t="shared" si="58"/>
        <v/>
      </c>
      <c r="J427" s="8" t="str">
        <f t="shared" si="59"/>
        <v/>
      </c>
      <c r="K427" s="38" t="str">
        <f t="shared" si="60"/>
        <v/>
      </c>
      <c r="N427" s="59" t="str">
        <f t="shared" si="62"/>
        <v/>
      </c>
      <c r="O427" s="59" t="str">
        <f t="shared" si="61"/>
        <v/>
      </c>
    </row>
    <row r="428" spans="3:15" x14ac:dyDescent="0.25">
      <c r="C428" s="47"/>
      <c r="D428" s="48"/>
      <c r="E428" s="7" t="str">
        <f t="shared" si="54"/>
        <v/>
      </c>
      <c r="F428" s="8" t="str">
        <f t="shared" si="55"/>
        <v/>
      </c>
      <c r="G428" s="8" t="str">
        <f t="shared" si="56"/>
        <v/>
      </c>
      <c r="H428" s="37" t="str">
        <f t="shared" si="57"/>
        <v/>
      </c>
      <c r="I428" s="37" t="str">
        <f t="shared" si="58"/>
        <v/>
      </c>
      <c r="J428" s="8" t="str">
        <f t="shared" si="59"/>
        <v/>
      </c>
      <c r="K428" s="38" t="str">
        <f t="shared" si="60"/>
        <v/>
      </c>
      <c r="N428" s="59" t="str">
        <f t="shared" si="62"/>
        <v/>
      </c>
      <c r="O428" s="59" t="str">
        <f t="shared" si="61"/>
        <v/>
      </c>
    </row>
    <row r="429" spans="3:15" x14ac:dyDescent="0.25">
      <c r="C429" s="47"/>
      <c r="D429" s="48"/>
      <c r="E429" s="7" t="str">
        <f t="shared" si="54"/>
        <v/>
      </c>
      <c r="F429" s="8" t="str">
        <f t="shared" si="55"/>
        <v/>
      </c>
      <c r="G429" s="8" t="str">
        <f t="shared" si="56"/>
        <v/>
      </c>
      <c r="H429" s="37" t="str">
        <f t="shared" si="57"/>
        <v/>
      </c>
      <c r="I429" s="37" t="str">
        <f t="shared" si="58"/>
        <v/>
      </c>
      <c r="J429" s="8" t="str">
        <f t="shared" si="59"/>
        <v/>
      </c>
      <c r="K429" s="38" t="str">
        <f t="shared" si="60"/>
        <v/>
      </c>
      <c r="N429" s="59" t="str">
        <f t="shared" si="62"/>
        <v/>
      </c>
      <c r="O429" s="59" t="str">
        <f t="shared" si="61"/>
        <v/>
      </c>
    </row>
    <row r="430" spans="3:15" x14ac:dyDescent="0.25">
      <c r="C430" s="47"/>
      <c r="D430" s="48"/>
      <c r="E430" s="7" t="str">
        <f t="shared" si="54"/>
        <v/>
      </c>
      <c r="F430" s="8" t="str">
        <f t="shared" si="55"/>
        <v/>
      </c>
      <c r="G430" s="8" t="str">
        <f t="shared" si="56"/>
        <v/>
      </c>
      <c r="H430" s="37" t="str">
        <f t="shared" si="57"/>
        <v/>
      </c>
      <c r="I430" s="37" t="str">
        <f t="shared" si="58"/>
        <v/>
      </c>
      <c r="J430" s="8" t="str">
        <f t="shared" si="59"/>
        <v/>
      </c>
      <c r="K430" s="38" t="str">
        <f t="shared" si="60"/>
        <v/>
      </c>
      <c r="N430" s="59" t="str">
        <f t="shared" si="62"/>
        <v/>
      </c>
      <c r="O430" s="59" t="str">
        <f t="shared" si="61"/>
        <v/>
      </c>
    </row>
    <row r="431" spans="3:15" x14ac:dyDescent="0.25">
      <c r="C431" s="47"/>
      <c r="D431" s="48"/>
      <c r="E431" s="7" t="str">
        <f t="shared" si="54"/>
        <v/>
      </c>
      <c r="F431" s="8" t="str">
        <f t="shared" si="55"/>
        <v/>
      </c>
      <c r="G431" s="8" t="str">
        <f t="shared" si="56"/>
        <v/>
      </c>
      <c r="H431" s="37" t="str">
        <f t="shared" si="57"/>
        <v/>
      </c>
      <c r="I431" s="37" t="str">
        <f t="shared" si="58"/>
        <v/>
      </c>
      <c r="J431" s="8" t="str">
        <f t="shared" si="59"/>
        <v/>
      </c>
      <c r="K431" s="38" t="str">
        <f t="shared" si="60"/>
        <v/>
      </c>
      <c r="N431" s="59" t="str">
        <f t="shared" si="62"/>
        <v/>
      </c>
      <c r="O431" s="59" t="str">
        <f t="shared" si="61"/>
        <v/>
      </c>
    </row>
    <row r="432" spans="3:15" x14ac:dyDescent="0.25">
      <c r="C432" s="47"/>
      <c r="D432" s="48"/>
      <c r="E432" s="7" t="str">
        <f t="shared" si="54"/>
        <v/>
      </c>
      <c r="F432" s="8" t="str">
        <f t="shared" si="55"/>
        <v/>
      </c>
      <c r="G432" s="8" t="str">
        <f t="shared" si="56"/>
        <v/>
      </c>
      <c r="H432" s="37" t="str">
        <f t="shared" si="57"/>
        <v/>
      </c>
      <c r="I432" s="37" t="str">
        <f t="shared" si="58"/>
        <v/>
      </c>
      <c r="J432" s="8" t="str">
        <f t="shared" si="59"/>
        <v/>
      </c>
      <c r="K432" s="38" t="str">
        <f t="shared" si="60"/>
        <v/>
      </c>
      <c r="N432" s="59" t="str">
        <f t="shared" si="62"/>
        <v/>
      </c>
      <c r="O432" s="59" t="str">
        <f t="shared" si="61"/>
        <v/>
      </c>
    </row>
    <row r="433" spans="3:15" x14ac:dyDescent="0.25">
      <c r="C433" s="47"/>
      <c r="D433" s="48"/>
      <c r="E433" s="7" t="str">
        <f t="shared" si="54"/>
        <v/>
      </c>
      <c r="F433" s="8" t="str">
        <f t="shared" si="55"/>
        <v/>
      </c>
      <c r="G433" s="8" t="str">
        <f t="shared" si="56"/>
        <v/>
      </c>
      <c r="H433" s="37" t="str">
        <f t="shared" si="57"/>
        <v/>
      </c>
      <c r="I433" s="37" t="str">
        <f t="shared" si="58"/>
        <v/>
      </c>
      <c r="J433" s="8" t="str">
        <f t="shared" si="59"/>
        <v/>
      </c>
      <c r="K433" s="38" t="str">
        <f t="shared" si="60"/>
        <v/>
      </c>
      <c r="N433" s="59" t="str">
        <f t="shared" si="62"/>
        <v/>
      </c>
      <c r="O433" s="59" t="str">
        <f t="shared" si="61"/>
        <v/>
      </c>
    </row>
    <row r="434" spans="3:15" x14ac:dyDescent="0.25">
      <c r="C434" s="47"/>
      <c r="D434" s="48"/>
      <c r="E434" s="7" t="str">
        <f t="shared" si="54"/>
        <v/>
      </c>
      <c r="F434" s="8" t="str">
        <f t="shared" si="55"/>
        <v/>
      </c>
      <c r="G434" s="8" t="str">
        <f t="shared" si="56"/>
        <v/>
      </c>
      <c r="H434" s="37" t="str">
        <f t="shared" si="57"/>
        <v/>
      </c>
      <c r="I434" s="37" t="str">
        <f t="shared" si="58"/>
        <v/>
      </c>
      <c r="J434" s="8" t="str">
        <f t="shared" si="59"/>
        <v/>
      </c>
      <c r="K434" s="38" t="str">
        <f t="shared" si="60"/>
        <v/>
      </c>
      <c r="N434" s="59" t="str">
        <f t="shared" si="62"/>
        <v/>
      </c>
      <c r="O434" s="59" t="str">
        <f t="shared" si="61"/>
        <v/>
      </c>
    </row>
    <row r="435" spans="3:15" x14ac:dyDescent="0.25">
      <c r="C435" s="47"/>
      <c r="D435" s="48"/>
      <c r="E435" s="7" t="str">
        <f t="shared" si="54"/>
        <v/>
      </c>
      <c r="F435" s="8" t="str">
        <f t="shared" si="55"/>
        <v/>
      </c>
      <c r="G435" s="8" t="str">
        <f t="shared" si="56"/>
        <v/>
      </c>
      <c r="H435" s="37" t="str">
        <f t="shared" si="57"/>
        <v/>
      </c>
      <c r="I435" s="37" t="str">
        <f t="shared" si="58"/>
        <v/>
      </c>
      <c r="J435" s="8" t="str">
        <f t="shared" si="59"/>
        <v/>
      </c>
      <c r="K435" s="38" t="str">
        <f t="shared" si="60"/>
        <v/>
      </c>
      <c r="N435" s="59" t="str">
        <f t="shared" si="62"/>
        <v/>
      </c>
      <c r="O435" s="59" t="str">
        <f t="shared" si="61"/>
        <v/>
      </c>
    </row>
    <row r="436" spans="3:15" x14ac:dyDescent="0.25">
      <c r="C436" s="47"/>
      <c r="D436" s="48"/>
      <c r="E436" s="7" t="str">
        <f t="shared" si="54"/>
        <v/>
      </c>
      <c r="F436" s="8" t="str">
        <f t="shared" si="55"/>
        <v/>
      </c>
      <c r="G436" s="8" t="str">
        <f t="shared" si="56"/>
        <v/>
      </c>
      <c r="H436" s="37" t="str">
        <f t="shared" si="57"/>
        <v/>
      </c>
      <c r="I436" s="37" t="str">
        <f t="shared" si="58"/>
        <v/>
      </c>
      <c r="J436" s="8" t="str">
        <f t="shared" si="59"/>
        <v/>
      </c>
      <c r="K436" s="38" t="str">
        <f t="shared" si="60"/>
        <v/>
      </c>
      <c r="N436" s="59" t="str">
        <f t="shared" si="62"/>
        <v/>
      </c>
      <c r="O436" s="59" t="str">
        <f t="shared" si="61"/>
        <v/>
      </c>
    </row>
    <row r="437" spans="3:15" x14ac:dyDescent="0.25">
      <c r="C437" s="47"/>
      <c r="D437" s="48"/>
      <c r="E437" s="7" t="str">
        <f t="shared" si="54"/>
        <v/>
      </c>
      <c r="F437" s="8" t="str">
        <f t="shared" si="55"/>
        <v/>
      </c>
      <c r="G437" s="8" t="str">
        <f t="shared" si="56"/>
        <v/>
      </c>
      <c r="H437" s="37" t="str">
        <f t="shared" si="57"/>
        <v/>
      </c>
      <c r="I437" s="37" t="str">
        <f t="shared" si="58"/>
        <v/>
      </c>
      <c r="J437" s="8" t="str">
        <f t="shared" si="59"/>
        <v/>
      </c>
      <c r="K437" s="38" t="str">
        <f t="shared" si="60"/>
        <v/>
      </c>
      <c r="N437" s="59" t="str">
        <f t="shared" si="62"/>
        <v/>
      </c>
      <c r="O437" s="59" t="str">
        <f t="shared" si="61"/>
        <v/>
      </c>
    </row>
    <row r="438" spans="3:15" x14ac:dyDescent="0.25">
      <c r="C438" s="47"/>
      <c r="D438" s="48"/>
      <c r="E438" s="7" t="str">
        <f t="shared" si="54"/>
        <v/>
      </c>
      <c r="F438" s="8" t="str">
        <f t="shared" si="55"/>
        <v/>
      </c>
      <c r="G438" s="8" t="str">
        <f t="shared" si="56"/>
        <v/>
      </c>
      <c r="H438" s="37" t="str">
        <f t="shared" si="57"/>
        <v/>
      </c>
      <c r="I438" s="37" t="str">
        <f t="shared" si="58"/>
        <v/>
      </c>
      <c r="J438" s="8" t="str">
        <f t="shared" si="59"/>
        <v/>
      </c>
      <c r="K438" s="38" t="str">
        <f t="shared" si="60"/>
        <v/>
      </c>
      <c r="N438" s="59" t="str">
        <f t="shared" si="62"/>
        <v/>
      </c>
      <c r="O438" s="59" t="str">
        <f t="shared" si="61"/>
        <v/>
      </c>
    </row>
    <row r="439" spans="3:15" x14ac:dyDescent="0.25">
      <c r="C439" s="47"/>
      <c r="D439" s="48"/>
      <c r="E439" s="7" t="str">
        <f t="shared" si="54"/>
        <v/>
      </c>
      <c r="F439" s="8" t="str">
        <f t="shared" si="55"/>
        <v/>
      </c>
      <c r="G439" s="8" t="str">
        <f t="shared" si="56"/>
        <v/>
      </c>
      <c r="H439" s="37" t="str">
        <f t="shared" si="57"/>
        <v/>
      </c>
      <c r="I439" s="37" t="str">
        <f t="shared" si="58"/>
        <v/>
      </c>
      <c r="J439" s="8" t="str">
        <f t="shared" si="59"/>
        <v/>
      </c>
      <c r="K439" s="38" t="str">
        <f t="shared" si="60"/>
        <v/>
      </c>
      <c r="N439" s="59" t="str">
        <f t="shared" si="62"/>
        <v/>
      </c>
      <c r="O439" s="59" t="str">
        <f t="shared" si="61"/>
        <v/>
      </c>
    </row>
    <row r="440" spans="3:15" x14ac:dyDescent="0.25">
      <c r="C440" s="47"/>
      <c r="D440" s="48"/>
      <c r="E440" s="7" t="str">
        <f t="shared" si="54"/>
        <v/>
      </c>
      <c r="F440" s="8" t="str">
        <f t="shared" si="55"/>
        <v/>
      </c>
      <c r="G440" s="8" t="str">
        <f t="shared" si="56"/>
        <v/>
      </c>
      <c r="H440" s="37" t="str">
        <f t="shared" si="57"/>
        <v/>
      </c>
      <c r="I440" s="37" t="str">
        <f t="shared" si="58"/>
        <v/>
      </c>
      <c r="J440" s="8" t="str">
        <f t="shared" si="59"/>
        <v/>
      </c>
      <c r="K440" s="38" t="str">
        <f t="shared" si="60"/>
        <v/>
      </c>
      <c r="N440" s="59" t="str">
        <f t="shared" si="62"/>
        <v/>
      </c>
      <c r="O440" s="59" t="str">
        <f t="shared" si="61"/>
        <v/>
      </c>
    </row>
    <row r="441" spans="3:15" x14ac:dyDescent="0.25">
      <c r="C441" s="47"/>
      <c r="D441" s="48"/>
      <c r="E441" s="7" t="str">
        <f t="shared" si="54"/>
        <v/>
      </c>
      <c r="F441" s="8" t="str">
        <f t="shared" si="55"/>
        <v/>
      </c>
      <c r="G441" s="8" t="str">
        <f t="shared" si="56"/>
        <v/>
      </c>
      <c r="H441" s="37" t="str">
        <f t="shared" si="57"/>
        <v/>
      </c>
      <c r="I441" s="37" t="str">
        <f t="shared" si="58"/>
        <v/>
      </c>
      <c r="J441" s="8" t="str">
        <f t="shared" si="59"/>
        <v/>
      </c>
      <c r="K441" s="38" t="str">
        <f t="shared" si="60"/>
        <v/>
      </c>
      <c r="N441" s="59" t="str">
        <f t="shared" si="62"/>
        <v/>
      </c>
      <c r="O441" s="59" t="str">
        <f t="shared" si="61"/>
        <v/>
      </c>
    </row>
    <row r="442" spans="3:15" x14ac:dyDescent="0.25">
      <c r="C442" s="47"/>
      <c r="D442" s="48"/>
      <c r="E442" s="7" t="str">
        <f t="shared" si="54"/>
        <v/>
      </c>
      <c r="F442" s="8" t="str">
        <f t="shared" si="55"/>
        <v/>
      </c>
      <c r="G442" s="8" t="str">
        <f t="shared" si="56"/>
        <v/>
      </c>
      <c r="H442" s="37" t="str">
        <f t="shared" si="57"/>
        <v/>
      </c>
      <c r="I442" s="37" t="str">
        <f t="shared" si="58"/>
        <v/>
      </c>
      <c r="J442" s="8" t="str">
        <f t="shared" si="59"/>
        <v/>
      </c>
      <c r="K442" s="38" t="str">
        <f t="shared" si="60"/>
        <v/>
      </c>
      <c r="N442" s="59" t="str">
        <f t="shared" si="62"/>
        <v/>
      </c>
      <c r="O442" s="59" t="str">
        <f t="shared" si="61"/>
        <v/>
      </c>
    </row>
    <row r="443" spans="3:15" x14ac:dyDescent="0.25">
      <c r="C443" s="47"/>
      <c r="D443" s="48"/>
      <c r="E443" s="7" t="str">
        <f t="shared" si="54"/>
        <v/>
      </c>
      <c r="F443" s="8" t="str">
        <f t="shared" si="55"/>
        <v/>
      </c>
      <c r="G443" s="8" t="str">
        <f t="shared" si="56"/>
        <v/>
      </c>
      <c r="H443" s="37" t="str">
        <f t="shared" si="57"/>
        <v/>
      </c>
      <c r="I443" s="37" t="str">
        <f t="shared" si="58"/>
        <v/>
      </c>
      <c r="J443" s="8" t="str">
        <f t="shared" si="59"/>
        <v/>
      </c>
      <c r="K443" s="38" t="str">
        <f t="shared" si="60"/>
        <v/>
      </c>
      <c r="N443" s="59" t="str">
        <f t="shared" si="62"/>
        <v/>
      </c>
      <c r="O443" s="59" t="str">
        <f t="shared" si="61"/>
        <v/>
      </c>
    </row>
    <row r="444" spans="3:15" x14ac:dyDescent="0.25">
      <c r="C444" s="47"/>
      <c r="D444" s="48"/>
      <c r="E444" s="7" t="str">
        <f t="shared" si="54"/>
        <v/>
      </c>
      <c r="F444" s="8" t="str">
        <f t="shared" si="55"/>
        <v/>
      </c>
      <c r="G444" s="8" t="str">
        <f t="shared" si="56"/>
        <v/>
      </c>
      <c r="H444" s="37" t="str">
        <f t="shared" si="57"/>
        <v/>
      </c>
      <c r="I444" s="37" t="str">
        <f t="shared" si="58"/>
        <v/>
      </c>
      <c r="J444" s="8" t="str">
        <f t="shared" si="59"/>
        <v/>
      </c>
      <c r="K444" s="38" t="str">
        <f t="shared" si="60"/>
        <v/>
      </c>
      <c r="N444" s="59" t="str">
        <f t="shared" si="62"/>
        <v/>
      </c>
      <c r="O444" s="59" t="str">
        <f t="shared" si="61"/>
        <v/>
      </c>
    </row>
    <row r="445" spans="3:15" x14ac:dyDescent="0.25">
      <c r="C445" s="47"/>
      <c r="D445" s="48"/>
      <c r="E445" s="7" t="str">
        <f t="shared" si="54"/>
        <v/>
      </c>
      <c r="F445" s="8" t="str">
        <f t="shared" si="55"/>
        <v/>
      </c>
      <c r="G445" s="8" t="str">
        <f t="shared" si="56"/>
        <v/>
      </c>
      <c r="H445" s="37" t="str">
        <f t="shared" si="57"/>
        <v/>
      </c>
      <c r="I445" s="37" t="str">
        <f t="shared" si="58"/>
        <v/>
      </c>
      <c r="J445" s="8" t="str">
        <f t="shared" si="59"/>
        <v/>
      </c>
      <c r="K445" s="38" t="str">
        <f t="shared" si="60"/>
        <v/>
      </c>
      <c r="N445" s="59" t="str">
        <f t="shared" si="62"/>
        <v/>
      </c>
      <c r="O445" s="59" t="str">
        <f t="shared" si="61"/>
        <v/>
      </c>
    </row>
    <row r="446" spans="3:15" x14ac:dyDescent="0.25">
      <c r="C446" s="47"/>
      <c r="D446" s="48"/>
      <c r="E446" s="7" t="str">
        <f t="shared" si="54"/>
        <v/>
      </c>
      <c r="F446" s="8" t="str">
        <f t="shared" si="55"/>
        <v/>
      </c>
      <c r="G446" s="8" t="str">
        <f t="shared" si="56"/>
        <v/>
      </c>
      <c r="H446" s="37" t="str">
        <f t="shared" si="57"/>
        <v/>
      </c>
      <c r="I446" s="37" t="str">
        <f t="shared" si="58"/>
        <v/>
      </c>
      <c r="J446" s="8" t="str">
        <f t="shared" si="59"/>
        <v/>
      </c>
      <c r="K446" s="38" t="str">
        <f t="shared" si="60"/>
        <v/>
      </c>
      <c r="N446" s="59" t="str">
        <f t="shared" si="62"/>
        <v/>
      </c>
      <c r="O446" s="59" t="str">
        <f t="shared" si="61"/>
        <v/>
      </c>
    </row>
    <row r="447" spans="3:15" x14ac:dyDescent="0.25">
      <c r="C447" s="47"/>
      <c r="D447" s="48"/>
      <c r="E447" s="7" t="str">
        <f t="shared" si="54"/>
        <v/>
      </c>
      <c r="F447" s="8" t="str">
        <f t="shared" si="55"/>
        <v/>
      </c>
      <c r="G447" s="8" t="str">
        <f t="shared" si="56"/>
        <v/>
      </c>
      <c r="H447" s="37" t="str">
        <f t="shared" si="57"/>
        <v/>
      </c>
      <c r="I447" s="37" t="str">
        <f t="shared" si="58"/>
        <v/>
      </c>
      <c r="J447" s="8" t="str">
        <f t="shared" si="59"/>
        <v/>
      </c>
      <c r="K447" s="38" t="str">
        <f t="shared" si="60"/>
        <v/>
      </c>
      <c r="N447" s="59" t="str">
        <f t="shared" si="62"/>
        <v/>
      </c>
      <c r="O447" s="59" t="str">
        <f t="shared" si="61"/>
        <v/>
      </c>
    </row>
    <row r="448" spans="3:15" x14ac:dyDescent="0.25">
      <c r="C448" s="47"/>
      <c r="D448" s="48"/>
      <c r="E448" s="7" t="str">
        <f t="shared" si="54"/>
        <v/>
      </c>
      <c r="F448" s="8" t="str">
        <f t="shared" si="55"/>
        <v/>
      </c>
      <c r="G448" s="8" t="str">
        <f t="shared" si="56"/>
        <v/>
      </c>
      <c r="H448" s="37" t="str">
        <f t="shared" si="57"/>
        <v/>
      </c>
      <c r="I448" s="37" t="str">
        <f t="shared" si="58"/>
        <v/>
      </c>
      <c r="J448" s="8" t="str">
        <f t="shared" si="59"/>
        <v/>
      </c>
      <c r="K448" s="38" t="str">
        <f t="shared" si="60"/>
        <v/>
      </c>
      <c r="N448" s="59" t="str">
        <f t="shared" si="62"/>
        <v/>
      </c>
      <c r="O448" s="59" t="str">
        <f t="shared" si="61"/>
        <v/>
      </c>
    </row>
    <row r="449" spans="3:15" x14ac:dyDescent="0.25">
      <c r="C449" s="47"/>
      <c r="D449" s="48"/>
      <c r="E449" s="7" t="str">
        <f t="shared" si="54"/>
        <v/>
      </c>
      <c r="F449" s="8" t="str">
        <f t="shared" si="55"/>
        <v/>
      </c>
      <c r="G449" s="8" t="str">
        <f t="shared" si="56"/>
        <v/>
      </c>
      <c r="H449" s="37" t="str">
        <f t="shared" si="57"/>
        <v/>
      </c>
      <c r="I449" s="37" t="str">
        <f t="shared" si="58"/>
        <v/>
      </c>
      <c r="J449" s="8" t="str">
        <f t="shared" si="59"/>
        <v/>
      </c>
      <c r="K449" s="38" t="str">
        <f t="shared" si="60"/>
        <v/>
      </c>
      <c r="N449" s="59" t="str">
        <f t="shared" si="62"/>
        <v/>
      </c>
      <c r="O449" s="59" t="str">
        <f t="shared" si="61"/>
        <v/>
      </c>
    </row>
    <row r="450" spans="3:15" x14ac:dyDescent="0.25">
      <c r="C450" s="47"/>
      <c r="D450" s="48"/>
      <c r="E450" s="7" t="str">
        <f t="shared" si="54"/>
        <v/>
      </c>
      <c r="F450" s="8" t="str">
        <f t="shared" si="55"/>
        <v/>
      </c>
      <c r="G450" s="8" t="str">
        <f t="shared" si="56"/>
        <v/>
      </c>
      <c r="H450" s="37" t="str">
        <f t="shared" si="57"/>
        <v/>
      </c>
      <c r="I450" s="37" t="str">
        <f t="shared" si="58"/>
        <v/>
      </c>
      <c r="J450" s="8" t="str">
        <f t="shared" si="59"/>
        <v/>
      </c>
      <c r="K450" s="38" t="str">
        <f t="shared" si="60"/>
        <v/>
      </c>
      <c r="N450" s="59" t="str">
        <f t="shared" si="62"/>
        <v/>
      </c>
      <c r="O450" s="59" t="str">
        <f t="shared" si="61"/>
        <v/>
      </c>
    </row>
    <row r="451" spans="3:15" x14ac:dyDescent="0.25">
      <c r="C451" s="47"/>
      <c r="D451" s="48"/>
      <c r="E451" s="7" t="str">
        <f t="shared" si="54"/>
        <v/>
      </c>
      <c r="F451" s="8" t="str">
        <f t="shared" si="55"/>
        <v/>
      </c>
      <c r="G451" s="8" t="str">
        <f t="shared" si="56"/>
        <v/>
      </c>
      <c r="H451" s="37" t="str">
        <f t="shared" si="57"/>
        <v/>
      </c>
      <c r="I451" s="37" t="str">
        <f t="shared" si="58"/>
        <v/>
      </c>
      <c r="J451" s="8" t="str">
        <f t="shared" si="59"/>
        <v/>
      </c>
      <c r="K451" s="38" t="str">
        <f t="shared" si="60"/>
        <v/>
      </c>
      <c r="N451" s="59" t="str">
        <f t="shared" si="62"/>
        <v/>
      </c>
      <c r="O451" s="59" t="str">
        <f t="shared" si="61"/>
        <v/>
      </c>
    </row>
    <row r="452" spans="3:15" x14ac:dyDescent="0.25">
      <c r="C452" s="47"/>
      <c r="D452" s="48"/>
      <c r="E452" s="7" t="str">
        <f t="shared" si="54"/>
        <v/>
      </c>
      <c r="F452" s="8" t="str">
        <f t="shared" si="55"/>
        <v/>
      </c>
      <c r="G452" s="8" t="str">
        <f t="shared" si="56"/>
        <v/>
      </c>
      <c r="H452" s="37" t="str">
        <f t="shared" si="57"/>
        <v/>
      </c>
      <c r="I452" s="37" t="str">
        <f t="shared" si="58"/>
        <v/>
      </c>
      <c r="J452" s="8" t="str">
        <f t="shared" si="59"/>
        <v/>
      </c>
      <c r="K452" s="38" t="str">
        <f t="shared" si="60"/>
        <v/>
      </c>
      <c r="N452" s="59" t="str">
        <f t="shared" si="62"/>
        <v/>
      </c>
      <c r="O452" s="59" t="str">
        <f t="shared" si="61"/>
        <v/>
      </c>
    </row>
    <row r="453" spans="3:15" x14ac:dyDescent="0.25">
      <c r="C453" s="47"/>
      <c r="D453" s="48"/>
      <c r="E453" s="7" t="str">
        <f t="shared" si="54"/>
        <v/>
      </c>
      <c r="F453" s="8" t="str">
        <f t="shared" si="55"/>
        <v/>
      </c>
      <c r="G453" s="8" t="str">
        <f t="shared" si="56"/>
        <v/>
      </c>
      <c r="H453" s="37" t="str">
        <f t="shared" si="57"/>
        <v/>
      </c>
      <c r="I453" s="37" t="str">
        <f t="shared" si="58"/>
        <v/>
      </c>
      <c r="J453" s="8" t="str">
        <f t="shared" si="59"/>
        <v/>
      </c>
      <c r="K453" s="38" t="str">
        <f t="shared" si="60"/>
        <v/>
      </c>
      <c r="N453" s="59" t="str">
        <f t="shared" si="62"/>
        <v/>
      </c>
      <c r="O453" s="59" t="str">
        <f t="shared" si="61"/>
        <v/>
      </c>
    </row>
    <row r="454" spans="3:15" x14ac:dyDescent="0.25">
      <c r="C454" s="47"/>
      <c r="D454" s="48"/>
      <c r="E454" s="7" t="str">
        <f t="shared" si="54"/>
        <v/>
      </c>
      <c r="F454" s="8" t="str">
        <f t="shared" si="55"/>
        <v/>
      </c>
      <c r="G454" s="8" t="str">
        <f t="shared" si="56"/>
        <v/>
      </c>
      <c r="H454" s="37" t="str">
        <f t="shared" si="57"/>
        <v/>
      </c>
      <c r="I454" s="37" t="str">
        <f t="shared" si="58"/>
        <v/>
      </c>
      <c r="J454" s="8" t="str">
        <f t="shared" si="59"/>
        <v/>
      </c>
      <c r="K454" s="38" t="str">
        <f t="shared" si="60"/>
        <v/>
      </c>
      <c r="N454" s="59" t="str">
        <f t="shared" si="62"/>
        <v/>
      </c>
      <c r="O454" s="59" t="str">
        <f t="shared" si="61"/>
        <v/>
      </c>
    </row>
    <row r="455" spans="3:15" x14ac:dyDescent="0.25">
      <c r="C455" s="47"/>
      <c r="D455" s="48"/>
      <c r="E455" s="7" t="str">
        <f t="shared" si="54"/>
        <v/>
      </c>
      <c r="F455" s="8" t="str">
        <f t="shared" si="55"/>
        <v/>
      </c>
      <c r="G455" s="8" t="str">
        <f t="shared" si="56"/>
        <v/>
      </c>
      <c r="H455" s="37" t="str">
        <f t="shared" si="57"/>
        <v/>
      </c>
      <c r="I455" s="37" t="str">
        <f t="shared" si="58"/>
        <v/>
      </c>
      <c r="J455" s="8" t="str">
        <f t="shared" si="59"/>
        <v/>
      </c>
      <c r="K455" s="38" t="str">
        <f t="shared" si="60"/>
        <v/>
      </c>
      <c r="N455" s="59" t="str">
        <f t="shared" si="62"/>
        <v/>
      </c>
      <c r="O455" s="59" t="str">
        <f t="shared" si="61"/>
        <v/>
      </c>
    </row>
    <row r="456" spans="3:15" x14ac:dyDescent="0.25">
      <c r="C456" s="47"/>
      <c r="D456" s="48"/>
      <c r="E456" s="7" t="str">
        <f t="shared" si="54"/>
        <v/>
      </c>
      <c r="F456" s="8" t="str">
        <f t="shared" si="55"/>
        <v/>
      </c>
      <c r="G456" s="8" t="str">
        <f t="shared" si="56"/>
        <v/>
      </c>
      <c r="H456" s="37" t="str">
        <f t="shared" si="57"/>
        <v/>
      </c>
      <c r="I456" s="37" t="str">
        <f t="shared" si="58"/>
        <v/>
      </c>
      <c r="J456" s="8" t="str">
        <f t="shared" si="59"/>
        <v/>
      </c>
      <c r="K456" s="38" t="str">
        <f t="shared" si="60"/>
        <v/>
      </c>
      <c r="N456" s="59" t="str">
        <f t="shared" si="62"/>
        <v/>
      </c>
      <c r="O456" s="59" t="str">
        <f t="shared" si="61"/>
        <v/>
      </c>
    </row>
    <row r="457" spans="3:15" x14ac:dyDescent="0.25">
      <c r="C457" s="47"/>
      <c r="D457" s="48"/>
      <c r="E457" s="7" t="str">
        <f t="shared" si="54"/>
        <v/>
      </c>
      <c r="F457" s="8" t="str">
        <f t="shared" si="55"/>
        <v/>
      </c>
      <c r="G457" s="8" t="str">
        <f t="shared" si="56"/>
        <v/>
      </c>
      <c r="H457" s="37" t="str">
        <f t="shared" si="57"/>
        <v/>
      </c>
      <c r="I457" s="37" t="str">
        <f t="shared" si="58"/>
        <v/>
      </c>
      <c r="J457" s="8" t="str">
        <f t="shared" si="59"/>
        <v/>
      </c>
      <c r="K457" s="38" t="str">
        <f t="shared" si="60"/>
        <v/>
      </c>
      <c r="N457" s="59" t="str">
        <f t="shared" si="62"/>
        <v/>
      </c>
      <c r="O457" s="59" t="str">
        <f t="shared" si="61"/>
        <v/>
      </c>
    </row>
    <row r="458" spans="3:15" x14ac:dyDescent="0.25">
      <c r="C458" s="47"/>
      <c r="D458" s="48"/>
      <c r="E458" s="7" t="str">
        <f t="shared" si="54"/>
        <v/>
      </c>
      <c r="F458" s="8" t="str">
        <f t="shared" si="55"/>
        <v/>
      </c>
      <c r="G458" s="8" t="str">
        <f t="shared" si="56"/>
        <v/>
      </c>
      <c r="H458" s="37" t="str">
        <f t="shared" si="57"/>
        <v/>
      </c>
      <c r="I458" s="37" t="str">
        <f t="shared" si="58"/>
        <v/>
      </c>
      <c r="J458" s="8" t="str">
        <f t="shared" si="59"/>
        <v/>
      </c>
      <c r="K458" s="38" t="str">
        <f t="shared" si="60"/>
        <v/>
      </c>
      <c r="N458" s="59" t="str">
        <f t="shared" si="62"/>
        <v/>
      </c>
      <c r="O458" s="59" t="str">
        <f t="shared" si="61"/>
        <v/>
      </c>
    </row>
    <row r="459" spans="3:15" x14ac:dyDescent="0.25">
      <c r="C459" s="47"/>
      <c r="D459" s="48"/>
      <c r="E459" s="7" t="str">
        <f t="shared" si="54"/>
        <v/>
      </c>
      <c r="F459" s="8" t="str">
        <f t="shared" si="55"/>
        <v/>
      </c>
      <c r="G459" s="8" t="str">
        <f t="shared" si="56"/>
        <v/>
      </c>
      <c r="H459" s="37" t="str">
        <f t="shared" si="57"/>
        <v/>
      </c>
      <c r="I459" s="37" t="str">
        <f t="shared" si="58"/>
        <v/>
      </c>
      <c r="J459" s="8" t="str">
        <f t="shared" si="59"/>
        <v/>
      </c>
      <c r="K459" s="38" t="str">
        <f t="shared" si="60"/>
        <v/>
      </c>
      <c r="N459" s="59" t="str">
        <f t="shared" si="62"/>
        <v/>
      </c>
      <c r="O459" s="59" t="str">
        <f t="shared" si="61"/>
        <v/>
      </c>
    </row>
    <row r="460" spans="3:15" x14ac:dyDescent="0.25">
      <c r="C460" s="47"/>
      <c r="D460" s="48"/>
      <c r="E460" s="7" t="str">
        <f t="shared" si="54"/>
        <v/>
      </c>
      <c r="F460" s="8" t="str">
        <f t="shared" si="55"/>
        <v/>
      </c>
      <c r="G460" s="8" t="str">
        <f t="shared" si="56"/>
        <v/>
      </c>
      <c r="H460" s="37" t="str">
        <f t="shared" si="57"/>
        <v/>
      </c>
      <c r="I460" s="37" t="str">
        <f t="shared" si="58"/>
        <v/>
      </c>
      <c r="J460" s="8" t="str">
        <f t="shared" si="59"/>
        <v/>
      </c>
      <c r="K460" s="38" t="str">
        <f t="shared" si="60"/>
        <v/>
      </c>
      <c r="N460" s="59" t="str">
        <f t="shared" si="62"/>
        <v/>
      </c>
      <c r="O460" s="59" t="str">
        <f t="shared" si="61"/>
        <v/>
      </c>
    </row>
    <row r="461" spans="3:15" x14ac:dyDescent="0.25">
      <c r="C461" s="47"/>
      <c r="D461" s="48"/>
      <c r="E461" s="7" t="str">
        <f t="shared" si="54"/>
        <v/>
      </c>
      <c r="F461" s="8" t="str">
        <f t="shared" si="55"/>
        <v/>
      </c>
      <c r="G461" s="8" t="str">
        <f t="shared" si="56"/>
        <v/>
      </c>
      <c r="H461" s="37" t="str">
        <f t="shared" si="57"/>
        <v/>
      </c>
      <c r="I461" s="37" t="str">
        <f t="shared" si="58"/>
        <v/>
      </c>
      <c r="J461" s="8" t="str">
        <f t="shared" si="59"/>
        <v/>
      </c>
      <c r="K461" s="38" t="str">
        <f t="shared" si="60"/>
        <v/>
      </c>
      <c r="N461" s="59" t="str">
        <f t="shared" si="62"/>
        <v/>
      </c>
      <c r="O461" s="59" t="str">
        <f t="shared" si="61"/>
        <v/>
      </c>
    </row>
    <row r="462" spans="3:15" x14ac:dyDescent="0.25">
      <c r="C462" s="47"/>
      <c r="D462" s="48"/>
      <c r="E462" s="7" t="str">
        <f t="shared" si="54"/>
        <v/>
      </c>
      <c r="F462" s="8" t="str">
        <f t="shared" si="55"/>
        <v/>
      </c>
      <c r="G462" s="8" t="str">
        <f t="shared" si="56"/>
        <v/>
      </c>
      <c r="H462" s="37" t="str">
        <f t="shared" si="57"/>
        <v/>
      </c>
      <c r="I462" s="37" t="str">
        <f t="shared" si="58"/>
        <v/>
      </c>
      <c r="J462" s="8" t="str">
        <f t="shared" si="59"/>
        <v/>
      </c>
      <c r="K462" s="38" t="str">
        <f t="shared" si="60"/>
        <v/>
      </c>
      <c r="N462" s="59" t="str">
        <f t="shared" si="62"/>
        <v/>
      </c>
      <c r="O462" s="59" t="str">
        <f t="shared" si="61"/>
        <v/>
      </c>
    </row>
    <row r="463" spans="3:15" x14ac:dyDescent="0.25">
      <c r="C463" s="47"/>
      <c r="D463" s="48"/>
      <c r="E463" s="7" t="str">
        <f t="shared" si="54"/>
        <v/>
      </c>
      <c r="F463" s="8" t="str">
        <f t="shared" si="55"/>
        <v/>
      </c>
      <c r="G463" s="8" t="str">
        <f t="shared" si="56"/>
        <v/>
      </c>
      <c r="H463" s="37" t="str">
        <f t="shared" si="57"/>
        <v/>
      </c>
      <c r="I463" s="37" t="str">
        <f t="shared" si="58"/>
        <v/>
      </c>
      <c r="J463" s="8" t="str">
        <f t="shared" si="59"/>
        <v/>
      </c>
      <c r="K463" s="38" t="str">
        <f t="shared" si="60"/>
        <v/>
      </c>
      <c r="N463" s="59" t="str">
        <f t="shared" si="62"/>
        <v/>
      </c>
      <c r="O463" s="59" t="str">
        <f t="shared" si="61"/>
        <v/>
      </c>
    </row>
    <row r="464" spans="3:15" x14ac:dyDescent="0.25">
      <c r="C464" s="47"/>
      <c r="D464" s="48"/>
      <c r="E464" s="7" t="str">
        <f t="shared" si="54"/>
        <v/>
      </c>
      <c r="F464" s="8" t="str">
        <f t="shared" si="55"/>
        <v/>
      </c>
      <c r="G464" s="8" t="str">
        <f t="shared" si="56"/>
        <v/>
      </c>
      <c r="H464" s="37" t="str">
        <f t="shared" si="57"/>
        <v/>
      </c>
      <c r="I464" s="37" t="str">
        <f t="shared" si="58"/>
        <v/>
      </c>
      <c r="J464" s="8" t="str">
        <f t="shared" si="59"/>
        <v/>
      </c>
      <c r="K464" s="38" t="str">
        <f t="shared" si="60"/>
        <v/>
      </c>
      <c r="N464" s="59" t="str">
        <f t="shared" si="62"/>
        <v/>
      </c>
      <c r="O464" s="59" t="str">
        <f t="shared" si="61"/>
        <v/>
      </c>
    </row>
    <row r="465" spans="3:15" x14ac:dyDescent="0.25">
      <c r="C465" s="47"/>
      <c r="D465" s="48"/>
      <c r="E465" s="7" t="str">
        <f t="shared" si="54"/>
        <v/>
      </c>
      <c r="F465" s="8" t="str">
        <f t="shared" si="55"/>
        <v/>
      </c>
      <c r="G465" s="8" t="str">
        <f t="shared" si="56"/>
        <v/>
      </c>
      <c r="H465" s="37" t="str">
        <f t="shared" si="57"/>
        <v/>
      </c>
      <c r="I465" s="37" t="str">
        <f t="shared" si="58"/>
        <v/>
      </c>
      <c r="J465" s="8" t="str">
        <f t="shared" si="59"/>
        <v/>
      </c>
      <c r="K465" s="38" t="str">
        <f t="shared" si="60"/>
        <v/>
      </c>
      <c r="N465" s="59" t="str">
        <f t="shared" si="62"/>
        <v/>
      </c>
      <c r="O465" s="59" t="str">
        <f t="shared" si="61"/>
        <v/>
      </c>
    </row>
    <row r="466" spans="3:15" x14ac:dyDescent="0.25">
      <c r="C466" s="47"/>
      <c r="D466" s="48"/>
      <c r="E466" s="7" t="str">
        <f t="shared" si="54"/>
        <v/>
      </c>
      <c r="F466" s="8" t="str">
        <f t="shared" si="55"/>
        <v/>
      </c>
      <c r="G466" s="8" t="str">
        <f t="shared" si="56"/>
        <v/>
      </c>
      <c r="H466" s="37" t="str">
        <f t="shared" si="57"/>
        <v/>
      </c>
      <c r="I466" s="37" t="str">
        <f t="shared" si="58"/>
        <v/>
      </c>
      <c r="J466" s="8" t="str">
        <f t="shared" si="59"/>
        <v/>
      </c>
      <c r="K466" s="38" t="str">
        <f t="shared" si="60"/>
        <v/>
      </c>
      <c r="N466" s="59" t="str">
        <f t="shared" si="62"/>
        <v/>
      </c>
      <c r="O466" s="59" t="str">
        <f t="shared" si="61"/>
        <v/>
      </c>
    </row>
    <row r="467" spans="3:15" x14ac:dyDescent="0.25">
      <c r="C467" s="47"/>
      <c r="D467" s="48"/>
      <c r="E467" s="7" t="str">
        <f t="shared" ref="E467:E530" si="63">IF(OR(DataRecebimento="",C467=""),"",IF(C467&lt;DataRecebimento,"ERRO!",C467+$F$9-$F$7))</f>
        <v/>
      </c>
      <c r="F467" s="8" t="str">
        <f t="shared" ref="F467:F530" si="64">IF(OR(TaxaJuros="",C467=""),"",IF(C467&lt;DataRecebimento,"DATA",-D467*E467*($F$8/30)))</f>
        <v/>
      </c>
      <c r="G467" s="8" t="str">
        <f t="shared" ref="G467:G530" si="65">IF(OR(TaxaJuros="",C467=""),"",IF(C467&lt;DataRecebimento,"NÃO",-$F$10))</f>
        <v/>
      </c>
      <c r="H467" s="37" t="str">
        <f t="shared" ref="H467:H530" si="66">IF(OR(TaxaJuros="",C467=""),"",IF(C467&lt;DataRecebimento,"PODE",IF(ComSemIOF=FALSE,0,IF(E467&gt;365,-(D467+F467)*365*IOFDiario,-(D467+F467)*E467*IOFDiario))))</f>
        <v/>
      </c>
      <c r="I467" s="37" t="str">
        <f t="shared" ref="I467:I530" si="67">IF(OR(TaxaJuros="",C467=""),"",IF(C467&lt;DataRecebimento,"SER",IF(ComSemIOF=FALSE,0,-(D467+F467)*IOFAdic)))</f>
        <v/>
      </c>
      <c r="J467" s="8" t="str">
        <f t="shared" ref="J467:J530" si="68">IF(OR(TaxaJuros="",C467=""),"",IF(C467&lt;DataRecebimento,"INFERIOR!",D467+SUM(F467:I467)))</f>
        <v/>
      </c>
      <c r="K467" s="38" t="str">
        <f t="shared" ref="K467:K530" si="69">IF(OR(TaxaJuros="",C467=""),"",IF(C467&lt;DataRecebimento,"ERRO!",100%-J467/D467))</f>
        <v/>
      </c>
      <c r="N467" s="59" t="str">
        <f t="shared" si="62"/>
        <v/>
      </c>
      <c r="O467" s="59" t="str">
        <f t="shared" ref="O467:O530" si="70">IF(N467="","",PV(TMA_Dia,E467,,-N467))</f>
        <v/>
      </c>
    </row>
    <row r="468" spans="3:15" x14ac:dyDescent="0.25">
      <c r="C468" s="47"/>
      <c r="D468" s="48"/>
      <c r="E468" s="7" t="str">
        <f t="shared" si="63"/>
        <v/>
      </c>
      <c r="F468" s="8" t="str">
        <f t="shared" si="64"/>
        <v/>
      </c>
      <c r="G468" s="8" t="str">
        <f t="shared" si="65"/>
        <v/>
      </c>
      <c r="H468" s="37" t="str">
        <f t="shared" si="66"/>
        <v/>
      </c>
      <c r="I468" s="37" t="str">
        <f t="shared" si="67"/>
        <v/>
      </c>
      <c r="J468" s="8" t="str">
        <f t="shared" si="68"/>
        <v/>
      </c>
      <c r="K468" s="38" t="str">
        <f t="shared" si="69"/>
        <v/>
      </c>
      <c r="N468" s="59" t="str">
        <f t="shared" ref="N468:N531" si="71">IF(C468="","",-D468)</f>
        <v/>
      </c>
      <c r="O468" s="59" t="str">
        <f t="shared" si="70"/>
        <v/>
      </c>
    </row>
    <row r="469" spans="3:15" x14ac:dyDescent="0.25">
      <c r="C469" s="47"/>
      <c r="D469" s="48"/>
      <c r="E469" s="7" t="str">
        <f t="shared" si="63"/>
        <v/>
      </c>
      <c r="F469" s="8" t="str">
        <f t="shared" si="64"/>
        <v/>
      </c>
      <c r="G469" s="8" t="str">
        <f t="shared" si="65"/>
        <v/>
      </c>
      <c r="H469" s="37" t="str">
        <f t="shared" si="66"/>
        <v/>
      </c>
      <c r="I469" s="37" t="str">
        <f t="shared" si="67"/>
        <v/>
      </c>
      <c r="J469" s="8" t="str">
        <f t="shared" si="68"/>
        <v/>
      </c>
      <c r="K469" s="38" t="str">
        <f t="shared" si="69"/>
        <v/>
      </c>
      <c r="N469" s="59" t="str">
        <f t="shared" si="71"/>
        <v/>
      </c>
      <c r="O469" s="59" t="str">
        <f t="shared" si="70"/>
        <v/>
      </c>
    </row>
    <row r="470" spans="3:15" x14ac:dyDescent="0.25">
      <c r="C470" s="47"/>
      <c r="D470" s="48"/>
      <c r="E470" s="7" t="str">
        <f t="shared" si="63"/>
        <v/>
      </c>
      <c r="F470" s="8" t="str">
        <f t="shared" si="64"/>
        <v/>
      </c>
      <c r="G470" s="8" t="str">
        <f t="shared" si="65"/>
        <v/>
      </c>
      <c r="H470" s="37" t="str">
        <f t="shared" si="66"/>
        <v/>
      </c>
      <c r="I470" s="37" t="str">
        <f t="shared" si="67"/>
        <v/>
      </c>
      <c r="J470" s="8" t="str">
        <f t="shared" si="68"/>
        <v/>
      </c>
      <c r="K470" s="38" t="str">
        <f t="shared" si="69"/>
        <v/>
      </c>
      <c r="N470" s="59" t="str">
        <f t="shared" si="71"/>
        <v/>
      </c>
      <c r="O470" s="59" t="str">
        <f t="shared" si="70"/>
        <v/>
      </c>
    </row>
    <row r="471" spans="3:15" x14ac:dyDescent="0.25">
      <c r="C471" s="47"/>
      <c r="D471" s="48"/>
      <c r="E471" s="7" t="str">
        <f t="shared" si="63"/>
        <v/>
      </c>
      <c r="F471" s="8" t="str">
        <f t="shared" si="64"/>
        <v/>
      </c>
      <c r="G471" s="8" t="str">
        <f t="shared" si="65"/>
        <v/>
      </c>
      <c r="H471" s="37" t="str">
        <f t="shared" si="66"/>
        <v/>
      </c>
      <c r="I471" s="37" t="str">
        <f t="shared" si="67"/>
        <v/>
      </c>
      <c r="J471" s="8" t="str">
        <f t="shared" si="68"/>
        <v/>
      </c>
      <c r="K471" s="38" t="str">
        <f t="shared" si="69"/>
        <v/>
      </c>
      <c r="N471" s="59" t="str">
        <f t="shared" si="71"/>
        <v/>
      </c>
      <c r="O471" s="59" t="str">
        <f t="shared" si="70"/>
        <v/>
      </c>
    </row>
    <row r="472" spans="3:15" x14ac:dyDescent="0.25">
      <c r="C472" s="47"/>
      <c r="D472" s="48"/>
      <c r="E472" s="7" t="str">
        <f t="shared" si="63"/>
        <v/>
      </c>
      <c r="F472" s="8" t="str">
        <f t="shared" si="64"/>
        <v/>
      </c>
      <c r="G472" s="8" t="str">
        <f t="shared" si="65"/>
        <v/>
      </c>
      <c r="H472" s="37" t="str">
        <f t="shared" si="66"/>
        <v/>
      </c>
      <c r="I472" s="37" t="str">
        <f t="shared" si="67"/>
        <v/>
      </c>
      <c r="J472" s="8" t="str">
        <f t="shared" si="68"/>
        <v/>
      </c>
      <c r="K472" s="38" t="str">
        <f t="shared" si="69"/>
        <v/>
      </c>
      <c r="N472" s="59" t="str">
        <f t="shared" si="71"/>
        <v/>
      </c>
      <c r="O472" s="59" t="str">
        <f t="shared" si="70"/>
        <v/>
      </c>
    </row>
    <row r="473" spans="3:15" x14ac:dyDescent="0.25">
      <c r="C473" s="47"/>
      <c r="D473" s="48"/>
      <c r="E473" s="7" t="str">
        <f t="shared" si="63"/>
        <v/>
      </c>
      <c r="F473" s="8" t="str">
        <f t="shared" si="64"/>
        <v/>
      </c>
      <c r="G473" s="8" t="str">
        <f t="shared" si="65"/>
        <v/>
      </c>
      <c r="H473" s="37" t="str">
        <f t="shared" si="66"/>
        <v/>
      </c>
      <c r="I473" s="37" t="str">
        <f t="shared" si="67"/>
        <v/>
      </c>
      <c r="J473" s="8" t="str">
        <f t="shared" si="68"/>
        <v/>
      </c>
      <c r="K473" s="38" t="str">
        <f t="shared" si="69"/>
        <v/>
      </c>
      <c r="N473" s="59" t="str">
        <f t="shared" si="71"/>
        <v/>
      </c>
      <c r="O473" s="59" t="str">
        <f t="shared" si="70"/>
        <v/>
      </c>
    </row>
    <row r="474" spans="3:15" x14ac:dyDescent="0.25">
      <c r="C474" s="47"/>
      <c r="D474" s="48"/>
      <c r="E474" s="7" t="str">
        <f t="shared" si="63"/>
        <v/>
      </c>
      <c r="F474" s="8" t="str">
        <f t="shared" si="64"/>
        <v/>
      </c>
      <c r="G474" s="8" t="str">
        <f t="shared" si="65"/>
        <v/>
      </c>
      <c r="H474" s="37" t="str">
        <f t="shared" si="66"/>
        <v/>
      </c>
      <c r="I474" s="37" t="str">
        <f t="shared" si="67"/>
        <v/>
      </c>
      <c r="J474" s="8" t="str">
        <f t="shared" si="68"/>
        <v/>
      </c>
      <c r="K474" s="38" t="str">
        <f t="shared" si="69"/>
        <v/>
      </c>
      <c r="N474" s="59" t="str">
        <f t="shared" si="71"/>
        <v/>
      </c>
      <c r="O474" s="59" t="str">
        <f t="shared" si="70"/>
        <v/>
      </c>
    </row>
    <row r="475" spans="3:15" x14ac:dyDescent="0.25">
      <c r="C475" s="47"/>
      <c r="D475" s="48"/>
      <c r="E475" s="7" t="str">
        <f t="shared" si="63"/>
        <v/>
      </c>
      <c r="F475" s="8" t="str">
        <f t="shared" si="64"/>
        <v/>
      </c>
      <c r="G475" s="8" t="str">
        <f t="shared" si="65"/>
        <v/>
      </c>
      <c r="H475" s="37" t="str">
        <f t="shared" si="66"/>
        <v/>
      </c>
      <c r="I475" s="37" t="str">
        <f t="shared" si="67"/>
        <v/>
      </c>
      <c r="J475" s="8" t="str">
        <f t="shared" si="68"/>
        <v/>
      </c>
      <c r="K475" s="38" t="str">
        <f t="shared" si="69"/>
        <v/>
      </c>
      <c r="N475" s="59" t="str">
        <f t="shared" si="71"/>
        <v/>
      </c>
      <c r="O475" s="59" t="str">
        <f t="shared" si="70"/>
        <v/>
      </c>
    </row>
    <row r="476" spans="3:15" x14ac:dyDescent="0.25">
      <c r="C476" s="47"/>
      <c r="D476" s="48"/>
      <c r="E476" s="7" t="str">
        <f t="shared" si="63"/>
        <v/>
      </c>
      <c r="F476" s="8" t="str">
        <f t="shared" si="64"/>
        <v/>
      </c>
      <c r="G476" s="8" t="str">
        <f t="shared" si="65"/>
        <v/>
      </c>
      <c r="H476" s="37" t="str">
        <f t="shared" si="66"/>
        <v/>
      </c>
      <c r="I476" s="37" t="str">
        <f t="shared" si="67"/>
        <v/>
      </c>
      <c r="J476" s="8" t="str">
        <f t="shared" si="68"/>
        <v/>
      </c>
      <c r="K476" s="38" t="str">
        <f t="shared" si="69"/>
        <v/>
      </c>
      <c r="N476" s="59" t="str">
        <f t="shared" si="71"/>
        <v/>
      </c>
      <c r="O476" s="59" t="str">
        <f t="shared" si="70"/>
        <v/>
      </c>
    </row>
    <row r="477" spans="3:15" x14ac:dyDescent="0.25">
      <c r="C477" s="47"/>
      <c r="D477" s="48"/>
      <c r="E477" s="7" t="str">
        <f t="shared" si="63"/>
        <v/>
      </c>
      <c r="F477" s="8" t="str">
        <f t="shared" si="64"/>
        <v/>
      </c>
      <c r="G477" s="8" t="str">
        <f t="shared" si="65"/>
        <v/>
      </c>
      <c r="H477" s="37" t="str">
        <f t="shared" si="66"/>
        <v/>
      </c>
      <c r="I477" s="37" t="str">
        <f t="shared" si="67"/>
        <v/>
      </c>
      <c r="J477" s="8" t="str">
        <f t="shared" si="68"/>
        <v/>
      </c>
      <c r="K477" s="38" t="str">
        <f t="shared" si="69"/>
        <v/>
      </c>
      <c r="N477" s="59" t="str">
        <f t="shared" si="71"/>
        <v/>
      </c>
      <c r="O477" s="59" t="str">
        <f t="shared" si="70"/>
        <v/>
      </c>
    </row>
    <row r="478" spans="3:15" x14ac:dyDescent="0.25">
      <c r="C478" s="47"/>
      <c r="D478" s="48"/>
      <c r="E478" s="7" t="str">
        <f t="shared" si="63"/>
        <v/>
      </c>
      <c r="F478" s="8" t="str">
        <f t="shared" si="64"/>
        <v/>
      </c>
      <c r="G478" s="8" t="str">
        <f t="shared" si="65"/>
        <v/>
      </c>
      <c r="H478" s="37" t="str">
        <f t="shared" si="66"/>
        <v/>
      </c>
      <c r="I478" s="37" t="str">
        <f t="shared" si="67"/>
        <v/>
      </c>
      <c r="J478" s="8" t="str">
        <f t="shared" si="68"/>
        <v/>
      </c>
      <c r="K478" s="38" t="str">
        <f t="shared" si="69"/>
        <v/>
      </c>
      <c r="N478" s="59" t="str">
        <f t="shared" si="71"/>
        <v/>
      </c>
      <c r="O478" s="59" t="str">
        <f t="shared" si="70"/>
        <v/>
      </c>
    </row>
    <row r="479" spans="3:15" x14ac:dyDescent="0.25">
      <c r="C479" s="47"/>
      <c r="D479" s="48"/>
      <c r="E479" s="7" t="str">
        <f t="shared" si="63"/>
        <v/>
      </c>
      <c r="F479" s="8" t="str">
        <f t="shared" si="64"/>
        <v/>
      </c>
      <c r="G479" s="8" t="str">
        <f t="shared" si="65"/>
        <v/>
      </c>
      <c r="H479" s="37" t="str">
        <f t="shared" si="66"/>
        <v/>
      </c>
      <c r="I479" s="37" t="str">
        <f t="shared" si="67"/>
        <v/>
      </c>
      <c r="J479" s="8" t="str">
        <f t="shared" si="68"/>
        <v/>
      </c>
      <c r="K479" s="38" t="str">
        <f t="shared" si="69"/>
        <v/>
      </c>
      <c r="N479" s="59" t="str">
        <f t="shared" si="71"/>
        <v/>
      </c>
      <c r="O479" s="59" t="str">
        <f t="shared" si="70"/>
        <v/>
      </c>
    </row>
    <row r="480" spans="3:15" x14ac:dyDescent="0.25">
      <c r="C480" s="47"/>
      <c r="D480" s="48"/>
      <c r="E480" s="7" t="str">
        <f t="shared" si="63"/>
        <v/>
      </c>
      <c r="F480" s="8" t="str">
        <f t="shared" si="64"/>
        <v/>
      </c>
      <c r="G480" s="8" t="str">
        <f t="shared" si="65"/>
        <v/>
      </c>
      <c r="H480" s="37" t="str">
        <f t="shared" si="66"/>
        <v/>
      </c>
      <c r="I480" s="37" t="str">
        <f t="shared" si="67"/>
        <v/>
      </c>
      <c r="J480" s="8" t="str">
        <f t="shared" si="68"/>
        <v/>
      </c>
      <c r="K480" s="38" t="str">
        <f t="shared" si="69"/>
        <v/>
      </c>
      <c r="N480" s="59" t="str">
        <f t="shared" si="71"/>
        <v/>
      </c>
      <c r="O480" s="59" t="str">
        <f t="shared" si="70"/>
        <v/>
      </c>
    </row>
    <row r="481" spans="3:15" x14ac:dyDescent="0.25">
      <c r="C481" s="47"/>
      <c r="D481" s="48"/>
      <c r="E481" s="7" t="str">
        <f t="shared" si="63"/>
        <v/>
      </c>
      <c r="F481" s="8" t="str">
        <f t="shared" si="64"/>
        <v/>
      </c>
      <c r="G481" s="8" t="str">
        <f t="shared" si="65"/>
        <v/>
      </c>
      <c r="H481" s="37" t="str">
        <f t="shared" si="66"/>
        <v/>
      </c>
      <c r="I481" s="37" t="str">
        <f t="shared" si="67"/>
        <v/>
      </c>
      <c r="J481" s="8" t="str">
        <f t="shared" si="68"/>
        <v/>
      </c>
      <c r="K481" s="38" t="str">
        <f t="shared" si="69"/>
        <v/>
      </c>
      <c r="N481" s="59" t="str">
        <f t="shared" si="71"/>
        <v/>
      </c>
      <c r="O481" s="59" t="str">
        <f t="shared" si="70"/>
        <v/>
      </c>
    </row>
    <row r="482" spans="3:15" x14ac:dyDescent="0.25">
      <c r="C482" s="47"/>
      <c r="D482" s="48"/>
      <c r="E482" s="7" t="str">
        <f t="shared" si="63"/>
        <v/>
      </c>
      <c r="F482" s="8" t="str">
        <f t="shared" si="64"/>
        <v/>
      </c>
      <c r="G482" s="8" t="str">
        <f t="shared" si="65"/>
        <v/>
      </c>
      <c r="H482" s="37" t="str">
        <f t="shared" si="66"/>
        <v/>
      </c>
      <c r="I482" s="37" t="str">
        <f t="shared" si="67"/>
        <v/>
      </c>
      <c r="J482" s="8" t="str">
        <f t="shared" si="68"/>
        <v/>
      </c>
      <c r="K482" s="38" t="str">
        <f t="shared" si="69"/>
        <v/>
      </c>
      <c r="N482" s="59" t="str">
        <f t="shared" si="71"/>
        <v/>
      </c>
      <c r="O482" s="59" t="str">
        <f t="shared" si="70"/>
        <v/>
      </c>
    </row>
    <row r="483" spans="3:15" x14ac:dyDescent="0.25">
      <c r="C483" s="47"/>
      <c r="D483" s="48"/>
      <c r="E483" s="7" t="str">
        <f t="shared" si="63"/>
        <v/>
      </c>
      <c r="F483" s="8" t="str">
        <f t="shared" si="64"/>
        <v/>
      </c>
      <c r="G483" s="8" t="str">
        <f t="shared" si="65"/>
        <v/>
      </c>
      <c r="H483" s="37" t="str">
        <f t="shared" si="66"/>
        <v/>
      </c>
      <c r="I483" s="37" t="str">
        <f t="shared" si="67"/>
        <v/>
      </c>
      <c r="J483" s="8" t="str">
        <f t="shared" si="68"/>
        <v/>
      </c>
      <c r="K483" s="38" t="str">
        <f t="shared" si="69"/>
        <v/>
      </c>
      <c r="N483" s="59" t="str">
        <f t="shared" si="71"/>
        <v/>
      </c>
      <c r="O483" s="59" t="str">
        <f t="shared" si="70"/>
        <v/>
      </c>
    </row>
    <row r="484" spans="3:15" x14ac:dyDescent="0.25">
      <c r="C484" s="47"/>
      <c r="D484" s="48"/>
      <c r="E484" s="7" t="str">
        <f t="shared" si="63"/>
        <v/>
      </c>
      <c r="F484" s="8" t="str">
        <f t="shared" si="64"/>
        <v/>
      </c>
      <c r="G484" s="8" t="str">
        <f t="shared" si="65"/>
        <v/>
      </c>
      <c r="H484" s="37" t="str">
        <f t="shared" si="66"/>
        <v/>
      </c>
      <c r="I484" s="37" t="str">
        <f t="shared" si="67"/>
        <v/>
      </c>
      <c r="J484" s="8" t="str">
        <f t="shared" si="68"/>
        <v/>
      </c>
      <c r="K484" s="38" t="str">
        <f t="shared" si="69"/>
        <v/>
      </c>
      <c r="N484" s="59" t="str">
        <f t="shared" si="71"/>
        <v/>
      </c>
      <c r="O484" s="59" t="str">
        <f t="shared" si="70"/>
        <v/>
      </c>
    </row>
    <row r="485" spans="3:15" x14ac:dyDescent="0.25">
      <c r="C485" s="47"/>
      <c r="D485" s="48"/>
      <c r="E485" s="7" t="str">
        <f t="shared" si="63"/>
        <v/>
      </c>
      <c r="F485" s="8" t="str">
        <f t="shared" si="64"/>
        <v/>
      </c>
      <c r="G485" s="8" t="str">
        <f t="shared" si="65"/>
        <v/>
      </c>
      <c r="H485" s="37" t="str">
        <f t="shared" si="66"/>
        <v/>
      </c>
      <c r="I485" s="37" t="str">
        <f t="shared" si="67"/>
        <v/>
      </c>
      <c r="J485" s="8" t="str">
        <f t="shared" si="68"/>
        <v/>
      </c>
      <c r="K485" s="38" t="str">
        <f t="shared" si="69"/>
        <v/>
      </c>
      <c r="N485" s="59" t="str">
        <f t="shared" si="71"/>
        <v/>
      </c>
      <c r="O485" s="59" t="str">
        <f t="shared" si="70"/>
        <v/>
      </c>
    </row>
    <row r="486" spans="3:15" x14ac:dyDescent="0.25">
      <c r="C486" s="47"/>
      <c r="D486" s="48"/>
      <c r="E486" s="7" t="str">
        <f t="shared" si="63"/>
        <v/>
      </c>
      <c r="F486" s="8" t="str">
        <f t="shared" si="64"/>
        <v/>
      </c>
      <c r="G486" s="8" t="str">
        <f t="shared" si="65"/>
        <v/>
      </c>
      <c r="H486" s="37" t="str">
        <f t="shared" si="66"/>
        <v/>
      </c>
      <c r="I486" s="37" t="str">
        <f t="shared" si="67"/>
        <v/>
      </c>
      <c r="J486" s="8" t="str">
        <f t="shared" si="68"/>
        <v/>
      </c>
      <c r="K486" s="38" t="str">
        <f t="shared" si="69"/>
        <v/>
      </c>
      <c r="N486" s="59" t="str">
        <f t="shared" si="71"/>
        <v/>
      </c>
      <c r="O486" s="59" t="str">
        <f t="shared" si="70"/>
        <v/>
      </c>
    </row>
    <row r="487" spans="3:15" x14ac:dyDescent="0.25">
      <c r="C487" s="47"/>
      <c r="D487" s="48"/>
      <c r="E487" s="7" t="str">
        <f t="shared" si="63"/>
        <v/>
      </c>
      <c r="F487" s="8" t="str">
        <f t="shared" si="64"/>
        <v/>
      </c>
      <c r="G487" s="8" t="str">
        <f t="shared" si="65"/>
        <v/>
      </c>
      <c r="H487" s="37" t="str">
        <f t="shared" si="66"/>
        <v/>
      </c>
      <c r="I487" s="37" t="str">
        <f t="shared" si="67"/>
        <v/>
      </c>
      <c r="J487" s="8" t="str">
        <f t="shared" si="68"/>
        <v/>
      </c>
      <c r="K487" s="38" t="str">
        <f t="shared" si="69"/>
        <v/>
      </c>
      <c r="N487" s="59" t="str">
        <f t="shared" si="71"/>
        <v/>
      </c>
      <c r="O487" s="59" t="str">
        <f t="shared" si="70"/>
        <v/>
      </c>
    </row>
    <row r="488" spans="3:15" x14ac:dyDescent="0.25">
      <c r="C488" s="47"/>
      <c r="D488" s="48"/>
      <c r="E488" s="7" t="str">
        <f t="shared" si="63"/>
        <v/>
      </c>
      <c r="F488" s="8" t="str">
        <f t="shared" si="64"/>
        <v/>
      </c>
      <c r="G488" s="8" t="str">
        <f t="shared" si="65"/>
        <v/>
      </c>
      <c r="H488" s="37" t="str">
        <f t="shared" si="66"/>
        <v/>
      </c>
      <c r="I488" s="37" t="str">
        <f t="shared" si="67"/>
        <v/>
      </c>
      <c r="J488" s="8" t="str">
        <f t="shared" si="68"/>
        <v/>
      </c>
      <c r="K488" s="38" t="str">
        <f t="shared" si="69"/>
        <v/>
      </c>
      <c r="N488" s="59" t="str">
        <f t="shared" si="71"/>
        <v/>
      </c>
      <c r="O488" s="59" t="str">
        <f t="shared" si="70"/>
        <v/>
      </c>
    </row>
    <row r="489" spans="3:15" x14ac:dyDescent="0.25">
      <c r="C489" s="47"/>
      <c r="D489" s="48"/>
      <c r="E489" s="7" t="str">
        <f t="shared" si="63"/>
        <v/>
      </c>
      <c r="F489" s="8" t="str">
        <f t="shared" si="64"/>
        <v/>
      </c>
      <c r="G489" s="8" t="str">
        <f t="shared" si="65"/>
        <v/>
      </c>
      <c r="H489" s="37" t="str">
        <f t="shared" si="66"/>
        <v/>
      </c>
      <c r="I489" s="37" t="str">
        <f t="shared" si="67"/>
        <v/>
      </c>
      <c r="J489" s="8" t="str">
        <f t="shared" si="68"/>
        <v/>
      </c>
      <c r="K489" s="38" t="str">
        <f t="shared" si="69"/>
        <v/>
      </c>
      <c r="N489" s="59" t="str">
        <f t="shared" si="71"/>
        <v/>
      </c>
      <c r="O489" s="59" t="str">
        <f t="shared" si="70"/>
        <v/>
      </c>
    </row>
    <row r="490" spans="3:15" x14ac:dyDescent="0.25">
      <c r="C490" s="47"/>
      <c r="D490" s="48"/>
      <c r="E490" s="7" t="str">
        <f t="shared" si="63"/>
        <v/>
      </c>
      <c r="F490" s="8" t="str">
        <f t="shared" si="64"/>
        <v/>
      </c>
      <c r="G490" s="8" t="str">
        <f t="shared" si="65"/>
        <v/>
      </c>
      <c r="H490" s="37" t="str">
        <f t="shared" si="66"/>
        <v/>
      </c>
      <c r="I490" s="37" t="str">
        <f t="shared" si="67"/>
        <v/>
      </c>
      <c r="J490" s="8" t="str">
        <f t="shared" si="68"/>
        <v/>
      </c>
      <c r="K490" s="38" t="str">
        <f t="shared" si="69"/>
        <v/>
      </c>
      <c r="N490" s="59" t="str">
        <f t="shared" si="71"/>
        <v/>
      </c>
      <c r="O490" s="59" t="str">
        <f t="shared" si="70"/>
        <v/>
      </c>
    </row>
    <row r="491" spans="3:15" x14ac:dyDescent="0.25">
      <c r="C491" s="47"/>
      <c r="D491" s="48"/>
      <c r="E491" s="7" t="str">
        <f t="shared" si="63"/>
        <v/>
      </c>
      <c r="F491" s="8" t="str">
        <f t="shared" si="64"/>
        <v/>
      </c>
      <c r="G491" s="8" t="str">
        <f t="shared" si="65"/>
        <v/>
      </c>
      <c r="H491" s="37" t="str">
        <f t="shared" si="66"/>
        <v/>
      </c>
      <c r="I491" s="37" t="str">
        <f t="shared" si="67"/>
        <v/>
      </c>
      <c r="J491" s="8" t="str">
        <f t="shared" si="68"/>
        <v/>
      </c>
      <c r="K491" s="38" t="str">
        <f t="shared" si="69"/>
        <v/>
      </c>
      <c r="N491" s="59" t="str">
        <f t="shared" si="71"/>
        <v/>
      </c>
      <c r="O491" s="59" t="str">
        <f t="shared" si="70"/>
        <v/>
      </c>
    </row>
    <row r="492" spans="3:15" x14ac:dyDescent="0.25">
      <c r="C492" s="47"/>
      <c r="D492" s="48"/>
      <c r="E492" s="7" t="str">
        <f t="shared" si="63"/>
        <v/>
      </c>
      <c r="F492" s="8" t="str">
        <f t="shared" si="64"/>
        <v/>
      </c>
      <c r="G492" s="8" t="str">
        <f t="shared" si="65"/>
        <v/>
      </c>
      <c r="H492" s="37" t="str">
        <f t="shared" si="66"/>
        <v/>
      </c>
      <c r="I492" s="37" t="str">
        <f t="shared" si="67"/>
        <v/>
      </c>
      <c r="J492" s="8" t="str">
        <f t="shared" si="68"/>
        <v/>
      </c>
      <c r="K492" s="38" t="str">
        <f t="shared" si="69"/>
        <v/>
      </c>
      <c r="N492" s="59" t="str">
        <f t="shared" si="71"/>
        <v/>
      </c>
      <c r="O492" s="59" t="str">
        <f t="shared" si="70"/>
        <v/>
      </c>
    </row>
    <row r="493" spans="3:15" x14ac:dyDescent="0.25">
      <c r="C493" s="47"/>
      <c r="D493" s="48"/>
      <c r="E493" s="7" t="str">
        <f t="shared" si="63"/>
        <v/>
      </c>
      <c r="F493" s="8" t="str">
        <f t="shared" si="64"/>
        <v/>
      </c>
      <c r="G493" s="8" t="str">
        <f t="shared" si="65"/>
        <v/>
      </c>
      <c r="H493" s="37" t="str">
        <f t="shared" si="66"/>
        <v/>
      </c>
      <c r="I493" s="37" t="str">
        <f t="shared" si="67"/>
        <v/>
      </c>
      <c r="J493" s="8" t="str">
        <f t="shared" si="68"/>
        <v/>
      </c>
      <c r="K493" s="38" t="str">
        <f t="shared" si="69"/>
        <v/>
      </c>
      <c r="N493" s="59" t="str">
        <f t="shared" si="71"/>
        <v/>
      </c>
      <c r="O493" s="59" t="str">
        <f t="shared" si="70"/>
        <v/>
      </c>
    </row>
    <row r="494" spans="3:15" x14ac:dyDescent="0.25">
      <c r="C494" s="47"/>
      <c r="D494" s="48"/>
      <c r="E494" s="7" t="str">
        <f t="shared" si="63"/>
        <v/>
      </c>
      <c r="F494" s="8" t="str">
        <f t="shared" si="64"/>
        <v/>
      </c>
      <c r="G494" s="8" t="str">
        <f t="shared" si="65"/>
        <v/>
      </c>
      <c r="H494" s="37" t="str">
        <f t="shared" si="66"/>
        <v/>
      </c>
      <c r="I494" s="37" t="str">
        <f t="shared" si="67"/>
        <v/>
      </c>
      <c r="J494" s="8" t="str">
        <f t="shared" si="68"/>
        <v/>
      </c>
      <c r="K494" s="38" t="str">
        <f t="shared" si="69"/>
        <v/>
      </c>
      <c r="N494" s="59" t="str">
        <f t="shared" si="71"/>
        <v/>
      </c>
      <c r="O494" s="59" t="str">
        <f t="shared" si="70"/>
        <v/>
      </c>
    </row>
    <row r="495" spans="3:15" x14ac:dyDescent="0.25">
      <c r="C495" s="47"/>
      <c r="D495" s="48"/>
      <c r="E495" s="7" t="str">
        <f t="shared" si="63"/>
        <v/>
      </c>
      <c r="F495" s="8" t="str">
        <f t="shared" si="64"/>
        <v/>
      </c>
      <c r="G495" s="8" t="str">
        <f t="shared" si="65"/>
        <v/>
      </c>
      <c r="H495" s="37" t="str">
        <f t="shared" si="66"/>
        <v/>
      </c>
      <c r="I495" s="37" t="str">
        <f t="shared" si="67"/>
        <v/>
      </c>
      <c r="J495" s="8" t="str">
        <f t="shared" si="68"/>
        <v/>
      </c>
      <c r="K495" s="38" t="str">
        <f t="shared" si="69"/>
        <v/>
      </c>
      <c r="N495" s="59" t="str">
        <f t="shared" si="71"/>
        <v/>
      </c>
      <c r="O495" s="59" t="str">
        <f t="shared" si="70"/>
        <v/>
      </c>
    </row>
    <row r="496" spans="3:15" x14ac:dyDescent="0.25">
      <c r="C496" s="47"/>
      <c r="D496" s="48"/>
      <c r="E496" s="7" t="str">
        <f t="shared" si="63"/>
        <v/>
      </c>
      <c r="F496" s="8" t="str">
        <f t="shared" si="64"/>
        <v/>
      </c>
      <c r="G496" s="8" t="str">
        <f t="shared" si="65"/>
        <v/>
      </c>
      <c r="H496" s="37" t="str">
        <f t="shared" si="66"/>
        <v/>
      </c>
      <c r="I496" s="37" t="str">
        <f t="shared" si="67"/>
        <v/>
      </c>
      <c r="J496" s="8" t="str">
        <f t="shared" si="68"/>
        <v/>
      </c>
      <c r="K496" s="38" t="str">
        <f t="shared" si="69"/>
        <v/>
      </c>
      <c r="N496" s="59" t="str">
        <f t="shared" si="71"/>
        <v/>
      </c>
      <c r="O496" s="59" t="str">
        <f t="shared" si="70"/>
        <v/>
      </c>
    </row>
    <row r="497" spans="3:15" x14ac:dyDescent="0.25">
      <c r="C497" s="47"/>
      <c r="D497" s="48"/>
      <c r="E497" s="7" t="str">
        <f t="shared" si="63"/>
        <v/>
      </c>
      <c r="F497" s="8" t="str">
        <f t="shared" si="64"/>
        <v/>
      </c>
      <c r="G497" s="8" t="str">
        <f t="shared" si="65"/>
        <v/>
      </c>
      <c r="H497" s="37" t="str">
        <f t="shared" si="66"/>
        <v/>
      </c>
      <c r="I497" s="37" t="str">
        <f t="shared" si="67"/>
        <v/>
      </c>
      <c r="J497" s="8" t="str">
        <f t="shared" si="68"/>
        <v/>
      </c>
      <c r="K497" s="38" t="str">
        <f t="shared" si="69"/>
        <v/>
      </c>
      <c r="N497" s="59" t="str">
        <f t="shared" si="71"/>
        <v/>
      </c>
      <c r="O497" s="59" t="str">
        <f t="shared" si="70"/>
        <v/>
      </c>
    </row>
    <row r="498" spans="3:15" x14ac:dyDescent="0.25">
      <c r="C498" s="47"/>
      <c r="D498" s="48"/>
      <c r="E498" s="7" t="str">
        <f t="shared" si="63"/>
        <v/>
      </c>
      <c r="F498" s="8" t="str">
        <f t="shared" si="64"/>
        <v/>
      </c>
      <c r="G498" s="8" t="str">
        <f t="shared" si="65"/>
        <v/>
      </c>
      <c r="H498" s="37" t="str">
        <f t="shared" si="66"/>
        <v/>
      </c>
      <c r="I498" s="37" t="str">
        <f t="shared" si="67"/>
        <v/>
      </c>
      <c r="J498" s="8" t="str">
        <f t="shared" si="68"/>
        <v/>
      </c>
      <c r="K498" s="38" t="str">
        <f t="shared" si="69"/>
        <v/>
      </c>
      <c r="N498" s="59" t="str">
        <f t="shared" si="71"/>
        <v/>
      </c>
      <c r="O498" s="59" t="str">
        <f t="shared" si="70"/>
        <v/>
      </c>
    </row>
    <row r="499" spans="3:15" x14ac:dyDescent="0.25">
      <c r="C499" s="47"/>
      <c r="D499" s="48"/>
      <c r="E499" s="7" t="str">
        <f t="shared" si="63"/>
        <v/>
      </c>
      <c r="F499" s="8" t="str">
        <f t="shared" si="64"/>
        <v/>
      </c>
      <c r="G499" s="8" t="str">
        <f t="shared" si="65"/>
        <v/>
      </c>
      <c r="H499" s="37" t="str">
        <f t="shared" si="66"/>
        <v/>
      </c>
      <c r="I499" s="37" t="str">
        <f t="shared" si="67"/>
        <v/>
      </c>
      <c r="J499" s="8" t="str">
        <f t="shared" si="68"/>
        <v/>
      </c>
      <c r="K499" s="38" t="str">
        <f t="shared" si="69"/>
        <v/>
      </c>
      <c r="N499" s="59" t="str">
        <f t="shared" si="71"/>
        <v/>
      </c>
      <c r="O499" s="59" t="str">
        <f t="shared" si="70"/>
        <v/>
      </c>
    </row>
    <row r="500" spans="3:15" x14ac:dyDescent="0.25">
      <c r="C500" s="47"/>
      <c r="D500" s="48"/>
      <c r="E500" s="7" t="str">
        <f t="shared" si="63"/>
        <v/>
      </c>
      <c r="F500" s="8" t="str">
        <f t="shared" si="64"/>
        <v/>
      </c>
      <c r="G500" s="8" t="str">
        <f t="shared" si="65"/>
        <v/>
      </c>
      <c r="H500" s="37" t="str">
        <f t="shared" si="66"/>
        <v/>
      </c>
      <c r="I500" s="37" t="str">
        <f t="shared" si="67"/>
        <v/>
      </c>
      <c r="J500" s="8" t="str">
        <f t="shared" si="68"/>
        <v/>
      </c>
      <c r="K500" s="38" t="str">
        <f t="shared" si="69"/>
        <v/>
      </c>
      <c r="N500" s="59" t="str">
        <f t="shared" si="71"/>
        <v/>
      </c>
      <c r="O500" s="59" t="str">
        <f t="shared" si="70"/>
        <v/>
      </c>
    </row>
    <row r="501" spans="3:15" x14ac:dyDescent="0.25">
      <c r="C501" s="47"/>
      <c r="D501" s="48"/>
      <c r="E501" s="7" t="str">
        <f t="shared" si="63"/>
        <v/>
      </c>
      <c r="F501" s="8" t="str">
        <f t="shared" si="64"/>
        <v/>
      </c>
      <c r="G501" s="8" t="str">
        <f t="shared" si="65"/>
        <v/>
      </c>
      <c r="H501" s="37" t="str">
        <f t="shared" si="66"/>
        <v/>
      </c>
      <c r="I501" s="37" t="str">
        <f t="shared" si="67"/>
        <v/>
      </c>
      <c r="J501" s="8" t="str">
        <f t="shared" si="68"/>
        <v/>
      </c>
      <c r="K501" s="38" t="str">
        <f t="shared" si="69"/>
        <v/>
      </c>
      <c r="N501" s="59" t="str">
        <f t="shared" si="71"/>
        <v/>
      </c>
      <c r="O501" s="59" t="str">
        <f t="shared" si="70"/>
        <v/>
      </c>
    </row>
    <row r="502" spans="3:15" x14ac:dyDescent="0.25">
      <c r="C502" s="47"/>
      <c r="D502" s="48"/>
      <c r="E502" s="7" t="str">
        <f t="shared" si="63"/>
        <v/>
      </c>
      <c r="F502" s="8" t="str">
        <f t="shared" si="64"/>
        <v/>
      </c>
      <c r="G502" s="8" t="str">
        <f t="shared" si="65"/>
        <v/>
      </c>
      <c r="H502" s="37" t="str">
        <f t="shared" si="66"/>
        <v/>
      </c>
      <c r="I502" s="37" t="str">
        <f t="shared" si="67"/>
        <v/>
      </c>
      <c r="J502" s="8" t="str">
        <f t="shared" si="68"/>
        <v/>
      </c>
      <c r="K502" s="38" t="str">
        <f t="shared" si="69"/>
        <v/>
      </c>
      <c r="N502" s="59" t="str">
        <f t="shared" si="71"/>
        <v/>
      </c>
      <c r="O502" s="59" t="str">
        <f t="shared" si="70"/>
        <v/>
      </c>
    </row>
    <row r="503" spans="3:15" x14ac:dyDescent="0.25">
      <c r="C503" s="47"/>
      <c r="D503" s="48"/>
      <c r="E503" s="7" t="str">
        <f t="shared" si="63"/>
        <v/>
      </c>
      <c r="F503" s="8" t="str">
        <f t="shared" si="64"/>
        <v/>
      </c>
      <c r="G503" s="8" t="str">
        <f t="shared" si="65"/>
        <v/>
      </c>
      <c r="H503" s="37" t="str">
        <f t="shared" si="66"/>
        <v/>
      </c>
      <c r="I503" s="37" t="str">
        <f t="shared" si="67"/>
        <v/>
      </c>
      <c r="J503" s="8" t="str">
        <f t="shared" si="68"/>
        <v/>
      </c>
      <c r="K503" s="38" t="str">
        <f t="shared" si="69"/>
        <v/>
      </c>
      <c r="N503" s="59" t="str">
        <f t="shared" si="71"/>
        <v/>
      </c>
      <c r="O503" s="59" t="str">
        <f t="shared" si="70"/>
        <v/>
      </c>
    </row>
    <row r="504" spans="3:15" x14ac:dyDescent="0.25">
      <c r="C504" s="47"/>
      <c r="D504" s="48"/>
      <c r="E504" s="7" t="str">
        <f t="shared" si="63"/>
        <v/>
      </c>
      <c r="F504" s="8" t="str">
        <f t="shared" si="64"/>
        <v/>
      </c>
      <c r="G504" s="8" t="str">
        <f t="shared" si="65"/>
        <v/>
      </c>
      <c r="H504" s="37" t="str">
        <f t="shared" si="66"/>
        <v/>
      </c>
      <c r="I504" s="37" t="str">
        <f t="shared" si="67"/>
        <v/>
      </c>
      <c r="J504" s="8" t="str">
        <f t="shared" si="68"/>
        <v/>
      </c>
      <c r="K504" s="38" t="str">
        <f t="shared" si="69"/>
        <v/>
      </c>
      <c r="N504" s="59" t="str">
        <f t="shared" si="71"/>
        <v/>
      </c>
      <c r="O504" s="59" t="str">
        <f t="shared" si="70"/>
        <v/>
      </c>
    </row>
    <row r="505" spans="3:15" x14ac:dyDescent="0.25">
      <c r="C505" s="47"/>
      <c r="D505" s="48"/>
      <c r="E505" s="7" t="str">
        <f t="shared" si="63"/>
        <v/>
      </c>
      <c r="F505" s="8" t="str">
        <f t="shared" si="64"/>
        <v/>
      </c>
      <c r="G505" s="8" t="str">
        <f t="shared" si="65"/>
        <v/>
      </c>
      <c r="H505" s="37" t="str">
        <f t="shared" si="66"/>
        <v/>
      </c>
      <c r="I505" s="37" t="str">
        <f t="shared" si="67"/>
        <v/>
      </c>
      <c r="J505" s="8" t="str">
        <f t="shared" si="68"/>
        <v/>
      </c>
      <c r="K505" s="38" t="str">
        <f t="shared" si="69"/>
        <v/>
      </c>
      <c r="N505" s="59" t="str">
        <f t="shared" si="71"/>
        <v/>
      </c>
      <c r="O505" s="59" t="str">
        <f t="shared" si="70"/>
        <v/>
      </c>
    </row>
    <row r="506" spans="3:15" x14ac:dyDescent="0.25">
      <c r="C506" s="47"/>
      <c r="D506" s="48"/>
      <c r="E506" s="7" t="str">
        <f t="shared" si="63"/>
        <v/>
      </c>
      <c r="F506" s="8" t="str">
        <f t="shared" si="64"/>
        <v/>
      </c>
      <c r="G506" s="8" t="str">
        <f t="shared" si="65"/>
        <v/>
      </c>
      <c r="H506" s="37" t="str">
        <f t="shared" si="66"/>
        <v/>
      </c>
      <c r="I506" s="37" t="str">
        <f t="shared" si="67"/>
        <v/>
      </c>
      <c r="J506" s="8" t="str">
        <f t="shared" si="68"/>
        <v/>
      </c>
      <c r="K506" s="38" t="str">
        <f t="shared" si="69"/>
        <v/>
      </c>
      <c r="N506" s="59" t="str">
        <f t="shared" si="71"/>
        <v/>
      </c>
      <c r="O506" s="59" t="str">
        <f t="shared" si="70"/>
        <v/>
      </c>
    </row>
    <row r="507" spans="3:15" x14ac:dyDescent="0.25">
      <c r="C507" s="47"/>
      <c r="D507" s="48"/>
      <c r="E507" s="7" t="str">
        <f t="shared" si="63"/>
        <v/>
      </c>
      <c r="F507" s="8" t="str">
        <f t="shared" si="64"/>
        <v/>
      </c>
      <c r="G507" s="8" t="str">
        <f t="shared" si="65"/>
        <v/>
      </c>
      <c r="H507" s="37" t="str">
        <f t="shared" si="66"/>
        <v/>
      </c>
      <c r="I507" s="37" t="str">
        <f t="shared" si="67"/>
        <v/>
      </c>
      <c r="J507" s="8" t="str">
        <f t="shared" si="68"/>
        <v/>
      </c>
      <c r="K507" s="38" t="str">
        <f t="shared" si="69"/>
        <v/>
      </c>
      <c r="N507" s="59" t="str">
        <f t="shared" si="71"/>
        <v/>
      </c>
      <c r="O507" s="59" t="str">
        <f t="shared" si="70"/>
        <v/>
      </c>
    </row>
    <row r="508" spans="3:15" x14ac:dyDescent="0.25">
      <c r="C508" s="47"/>
      <c r="D508" s="48"/>
      <c r="E508" s="7" t="str">
        <f t="shared" si="63"/>
        <v/>
      </c>
      <c r="F508" s="8" t="str">
        <f t="shared" si="64"/>
        <v/>
      </c>
      <c r="G508" s="8" t="str">
        <f t="shared" si="65"/>
        <v/>
      </c>
      <c r="H508" s="37" t="str">
        <f t="shared" si="66"/>
        <v/>
      </c>
      <c r="I508" s="37" t="str">
        <f t="shared" si="67"/>
        <v/>
      </c>
      <c r="J508" s="8" t="str">
        <f t="shared" si="68"/>
        <v/>
      </c>
      <c r="K508" s="38" t="str">
        <f t="shared" si="69"/>
        <v/>
      </c>
      <c r="N508" s="59" t="str">
        <f t="shared" si="71"/>
        <v/>
      </c>
      <c r="O508" s="59" t="str">
        <f t="shared" si="70"/>
        <v/>
      </c>
    </row>
    <row r="509" spans="3:15" x14ac:dyDescent="0.25">
      <c r="C509" s="47"/>
      <c r="D509" s="48"/>
      <c r="E509" s="7" t="str">
        <f t="shared" si="63"/>
        <v/>
      </c>
      <c r="F509" s="8" t="str">
        <f t="shared" si="64"/>
        <v/>
      </c>
      <c r="G509" s="8" t="str">
        <f t="shared" si="65"/>
        <v/>
      </c>
      <c r="H509" s="37" t="str">
        <f t="shared" si="66"/>
        <v/>
      </c>
      <c r="I509" s="37" t="str">
        <f t="shared" si="67"/>
        <v/>
      </c>
      <c r="J509" s="8" t="str">
        <f t="shared" si="68"/>
        <v/>
      </c>
      <c r="K509" s="38" t="str">
        <f t="shared" si="69"/>
        <v/>
      </c>
      <c r="N509" s="59" t="str">
        <f t="shared" si="71"/>
        <v/>
      </c>
      <c r="O509" s="59" t="str">
        <f t="shared" si="70"/>
        <v/>
      </c>
    </row>
    <row r="510" spans="3:15" x14ac:dyDescent="0.25">
      <c r="C510" s="47"/>
      <c r="D510" s="48"/>
      <c r="E510" s="7" t="str">
        <f t="shared" si="63"/>
        <v/>
      </c>
      <c r="F510" s="8" t="str">
        <f t="shared" si="64"/>
        <v/>
      </c>
      <c r="G510" s="8" t="str">
        <f t="shared" si="65"/>
        <v/>
      </c>
      <c r="H510" s="37" t="str">
        <f t="shared" si="66"/>
        <v/>
      </c>
      <c r="I510" s="37" t="str">
        <f t="shared" si="67"/>
        <v/>
      </c>
      <c r="J510" s="8" t="str">
        <f t="shared" si="68"/>
        <v/>
      </c>
      <c r="K510" s="38" t="str">
        <f t="shared" si="69"/>
        <v/>
      </c>
      <c r="N510" s="59" t="str">
        <f t="shared" si="71"/>
        <v/>
      </c>
      <c r="O510" s="59" t="str">
        <f t="shared" si="70"/>
        <v/>
      </c>
    </row>
    <row r="511" spans="3:15" x14ac:dyDescent="0.25">
      <c r="C511" s="47"/>
      <c r="D511" s="48"/>
      <c r="E511" s="7" t="str">
        <f t="shared" si="63"/>
        <v/>
      </c>
      <c r="F511" s="8" t="str">
        <f t="shared" si="64"/>
        <v/>
      </c>
      <c r="G511" s="8" t="str">
        <f t="shared" si="65"/>
        <v/>
      </c>
      <c r="H511" s="37" t="str">
        <f t="shared" si="66"/>
        <v/>
      </c>
      <c r="I511" s="37" t="str">
        <f t="shared" si="67"/>
        <v/>
      </c>
      <c r="J511" s="8" t="str">
        <f t="shared" si="68"/>
        <v/>
      </c>
      <c r="K511" s="38" t="str">
        <f t="shared" si="69"/>
        <v/>
      </c>
      <c r="N511" s="59" t="str">
        <f t="shared" si="71"/>
        <v/>
      </c>
      <c r="O511" s="59" t="str">
        <f t="shared" si="70"/>
        <v/>
      </c>
    </row>
    <row r="512" spans="3:15" x14ac:dyDescent="0.25">
      <c r="C512" s="47"/>
      <c r="D512" s="48"/>
      <c r="E512" s="7" t="str">
        <f t="shared" si="63"/>
        <v/>
      </c>
      <c r="F512" s="8" t="str">
        <f t="shared" si="64"/>
        <v/>
      </c>
      <c r="G512" s="8" t="str">
        <f t="shared" si="65"/>
        <v/>
      </c>
      <c r="H512" s="37" t="str">
        <f t="shared" si="66"/>
        <v/>
      </c>
      <c r="I512" s="37" t="str">
        <f t="shared" si="67"/>
        <v/>
      </c>
      <c r="J512" s="8" t="str">
        <f t="shared" si="68"/>
        <v/>
      </c>
      <c r="K512" s="38" t="str">
        <f t="shared" si="69"/>
        <v/>
      </c>
      <c r="N512" s="59" t="str">
        <f t="shared" si="71"/>
        <v/>
      </c>
      <c r="O512" s="59" t="str">
        <f t="shared" si="70"/>
        <v/>
      </c>
    </row>
    <row r="513" spans="3:15" x14ac:dyDescent="0.25">
      <c r="C513" s="47"/>
      <c r="D513" s="48"/>
      <c r="E513" s="7" t="str">
        <f t="shared" si="63"/>
        <v/>
      </c>
      <c r="F513" s="8" t="str">
        <f t="shared" si="64"/>
        <v/>
      </c>
      <c r="G513" s="8" t="str">
        <f t="shared" si="65"/>
        <v/>
      </c>
      <c r="H513" s="37" t="str">
        <f t="shared" si="66"/>
        <v/>
      </c>
      <c r="I513" s="37" t="str">
        <f t="shared" si="67"/>
        <v/>
      </c>
      <c r="J513" s="8" t="str">
        <f t="shared" si="68"/>
        <v/>
      </c>
      <c r="K513" s="38" t="str">
        <f t="shared" si="69"/>
        <v/>
      </c>
      <c r="N513" s="59" t="str">
        <f t="shared" si="71"/>
        <v/>
      </c>
      <c r="O513" s="59" t="str">
        <f t="shared" si="70"/>
        <v/>
      </c>
    </row>
    <row r="514" spans="3:15" x14ac:dyDescent="0.25">
      <c r="C514" s="47"/>
      <c r="D514" s="48"/>
      <c r="E514" s="7" t="str">
        <f t="shared" si="63"/>
        <v/>
      </c>
      <c r="F514" s="8" t="str">
        <f t="shared" si="64"/>
        <v/>
      </c>
      <c r="G514" s="8" t="str">
        <f t="shared" si="65"/>
        <v/>
      </c>
      <c r="H514" s="37" t="str">
        <f t="shared" si="66"/>
        <v/>
      </c>
      <c r="I514" s="37" t="str">
        <f t="shared" si="67"/>
        <v/>
      </c>
      <c r="J514" s="8" t="str">
        <f t="shared" si="68"/>
        <v/>
      </c>
      <c r="K514" s="38" t="str">
        <f t="shared" si="69"/>
        <v/>
      </c>
      <c r="N514" s="59" t="str">
        <f t="shared" si="71"/>
        <v/>
      </c>
      <c r="O514" s="59" t="str">
        <f t="shared" si="70"/>
        <v/>
      </c>
    </row>
    <row r="515" spans="3:15" x14ac:dyDescent="0.25">
      <c r="C515" s="47"/>
      <c r="D515" s="48"/>
      <c r="E515" s="7" t="str">
        <f t="shared" si="63"/>
        <v/>
      </c>
      <c r="F515" s="8" t="str">
        <f t="shared" si="64"/>
        <v/>
      </c>
      <c r="G515" s="8" t="str">
        <f t="shared" si="65"/>
        <v/>
      </c>
      <c r="H515" s="37" t="str">
        <f t="shared" si="66"/>
        <v/>
      </c>
      <c r="I515" s="37" t="str">
        <f t="shared" si="67"/>
        <v/>
      </c>
      <c r="J515" s="8" t="str">
        <f t="shared" si="68"/>
        <v/>
      </c>
      <c r="K515" s="38" t="str">
        <f t="shared" si="69"/>
        <v/>
      </c>
      <c r="N515" s="59" t="str">
        <f t="shared" si="71"/>
        <v/>
      </c>
      <c r="O515" s="59" t="str">
        <f t="shared" si="70"/>
        <v/>
      </c>
    </row>
    <row r="516" spans="3:15" x14ac:dyDescent="0.25">
      <c r="C516" s="47"/>
      <c r="D516" s="48"/>
      <c r="E516" s="7" t="str">
        <f t="shared" si="63"/>
        <v/>
      </c>
      <c r="F516" s="8" t="str">
        <f t="shared" si="64"/>
        <v/>
      </c>
      <c r="G516" s="8" t="str">
        <f t="shared" si="65"/>
        <v/>
      </c>
      <c r="H516" s="37" t="str">
        <f t="shared" si="66"/>
        <v/>
      </c>
      <c r="I516" s="37" t="str">
        <f t="shared" si="67"/>
        <v/>
      </c>
      <c r="J516" s="8" t="str">
        <f t="shared" si="68"/>
        <v/>
      </c>
      <c r="K516" s="38" t="str">
        <f t="shared" si="69"/>
        <v/>
      </c>
      <c r="N516" s="59" t="str">
        <f t="shared" si="71"/>
        <v/>
      </c>
      <c r="O516" s="59" t="str">
        <f t="shared" si="70"/>
        <v/>
      </c>
    </row>
    <row r="517" spans="3:15" x14ac:dyDescent="0.25">
      <c r="C517" s="47"/>
      <c r="D517" s="48"/>
      <c r="E517" s="7" t="str">
        <f t="shared" si="63"/>
        <v/>
      </c>
      <c r="F517" s="8" t="str">
        <f t="shared" si="64"/>
        <v/>
      </c>
      <c r="G517" s="8" t="str">
        <f t="shared" si="65"/>
        <v/>
      </c>
      <c r="H517" s="37" t="str">
        <f t="shared" si="66"/>
        <v/>
      </c>
      <c r="I517" s="37" t="str">
        <f t="shared" si="67"/>
        <v/>
      </c>
      <c r="J517" s="8" t="str">
        <f t="shared" si="68"/>
        <v/>
      </c>
      <c r="K517" s="38" t="str">
        <f t="shared" si="69"/>
        <v/>
      </c>
      <c r="N517" s="59" t="str">
        <f t="shared" si="71"/>
        <v/>
      </c>
      <c r="O517" s="59" t="str">
        <f t="shared" si="70"/>
        <v/>
      </c>
    </row>
    <row r="518" spans="3:15" x14ac:dyDescent="0.25">
      <c r="C518" s="47"/>
      <c r="D518" s="48"/>
      <c r="E518" s="7" t="str">
        <f t="shared" si="63"/>
        <v/>
      </c>
      <c r="F518" s="8" t="str">
        <f t="shared" si="64"/>
        <v/>
      </c>
      <c r="G518" s="8" t="str">
        <f t="shared" si="65"/>
        <v/>
      </c>
      <c r="H518" s="37" t="str">
        <f t="shared" si="66"/>
        <v/>
      </c>
      <c r="I518" s="37" t="str">
        <f t="shared" si="67"/>
        <v/>
      </c>
      <c r="J518" s="8" t="str">
        <f t="shared" si="68"/>
        <v/>
      </c>
      <c r="K518" s="38" t="str">
        <f t="shared" si="69"/>
        <v/>
      </c>
      <c r="N518" s="59" t="str">
        <f t="shared" si="71"/>
        <v/>
      </c>
      <c r="O518" s="59" t="str">
        <f t="shared" si="70"/>
        <v/>
      </c>
    </row>
    <row r="519" spans="3:15" x14ac:dyDescent="0.25">
      <c r="C519" s="47"/>
      <c r="D519" s="48"/>
      <c r="E519" s="7" t="str">
        <f t="shared" si="63"/>
        <v/>
      </c>
      <c r="F519" s="8" t="str">
        <f t="shared" si="64"/>
        <v/>
      </c>
      <c r="G519" s="8" t="str">
        <f t="shared" si="65"/>
        <v/>
      </c>
      <c r="H519" s="37" t="str">
        <f t="shared" si="66"/>
        <v/>
      </c>
      <c r="I519" s="37" t="str">
        <f t="shared" si="67"/>
        <v/>
      </c>
      <c r="J519" s="8" t="str">
        <f t="shared" si="68"/>
        <v/>
      </c>
      <c r="K519" s="38" t="str">
        <f t="shared" si="69"/>
        <v/>
      </c>
      <c r="N519" s="59" t="str">
        <f t="shared" si="71"/>
        <v/>
      </c>
      <c r="O519" s="59" t="str">
        <f t="shared" si="70"/>
        <v/>
      </c>
    </row>
    <row r="520" spans="3:15" x14ac:dyDescent="0.25">
      <c r="C520" s="47"/>
      <c r="D520" s="48"/>
      <c r="E520" s="7" t="str">
        <f t="shared" si="63"/>
        <v/>
      </c>
      <c r="F520" s="8" t="str">
        <f t="shared" si="64"/>
        <v/>
      </c>
      <c r="G520" s="8" t="str">
        <f t="shared" si="65"/>
        <v/>
      </c>
      <c r="H520" s="37" t="str">
        <f t="shared" si="66"/>
        <v/>
      </c>
      <c r="I520" s="37" t="str">
        <f t="shared" si="67"/>
        <v/>
      </c>
      <c r="J520" s="8" t="str">
        <f t="shared" si="68"/>
        <v/>
      </c>
      <c r="K520" s="38" t="str">
        <f t="shared" si="69"/>
        <v/>
      </c>
      <c r="N520" s="59" t="str">
        <f t="shared" si="71"/>
        <v/>
      </c>
      <c r="O520" s="59" t="str">
        <f t="shared" si="70"/>
        <v/>
      </c>
    </row>
    <row r="521" spans="3:15" x14ac:dyDescent="0.25">
      <c r="C521" s="47"/>
      <c r="D521" s="48"/>
      <c r="E521" s="7" t="str">
        <f t="shared" si="63"/>
        <v/>
      </c>
      <c r="F521" s="8" t="str">
        <f t="shared" si="64"/>
        <v/>
      </c>
      <c r="G521" s="8" t="str">
        <f t="shared" si="65"/>
        <v/>
      </c>
      <c r="H521" s="37" t="str">
        <f t="shared" si="66"/>
        <v/>
      </c>
      <c r="I521" s="37" t="str">
        <f t="shared" si="67"/>
        <v/>
      </c>
      <c r="J521" s="8" t="str">
        <f t="shared" si="68"/>
        <v/>
      </c>
      <c r="K521" s="38" t="str">
        <f t="shared" si="69"/>
        <v/>
      </c>
      <c r="N521" s="59" t="str">
        <f t="shared" si="71"/>
        <v/>
      </c>
      <c r="O521" s="59" t="str">
        <f t="shared" si="70"/>
        <v/>
      </c>
    </row>
    <row r="522" spans="3:15" x14ac:dyDescent="0.25">
      <c r="C522" s="47"/>
      <c r="D522" s="48"/>
      <c r="E522" s="7" t="str">
        <f t="shared" si="63"/>
        <v/>
      </c>
      <c r="F522" s="8" t="str">
        <f t="shared" si="64"/>
        <v/>
      </c>
      <c r="G522" s="8" t="str">
        <f t="shared" si="65"/>
        <v/>
      </c>
      <c r="H522" s="37" t="str">
        <f t="shared" si="66"/>
        <v/>
      </c>
      <c r="I522" s="37" t="str">
        <f t="shared" si="67"/>
        <v/>
      </c>
      <c r="J522" s="8" t="str">
        <f t="shared" si="68"/>
        <v/>
      </c>
      <c r="K522" s="38" t="str">
        <f t="shared" si="69"/>
        <v/>
      </c>
      <c r="N522" s="59" t="str">
        <f t="shared" si="71"/>
        <v/>
      </c>
      <c r="O522" s="59" t="str">
        <f t="shared" si="70"/>
        <v/>
      </c>
    </row>
    <row r="523" spans="3:15" x14ac:dyDescent="0.25">
      <c r="C523" s="47"/>
      <c r="D523" s="48"/>
      <c r="E523" s="7" t="str">
        <f t="shared" si="63"/>
        <v/>
      </c>
      <c r="F523" s="8" t="str">
        <f t="shared" si="64"/>
        <v/>
      </c>
      <c r="G523" s="8" t="str">
        <f t="shared" si="65"/>
        <v/>
      </c>
      <c r="H523" s="37" t="str">
        <f t="shared" si="66"/>
        <v/>
      </c>
      <c r="I523" s="37" t="str">
        <f t="shared" si="67"/>
        <v/>
      </c>
      <c r="J523" s="8" t="str">
        <f t="shared" si="68"/>
        <v/>
      </c>
      <c r="K523" s="38" t="str">
        <f t="shared" si="69"/>
        <v/>
      </c>
      <c r="N523" s="59" t="str">
        <f t="shared" si="71"/>
        <v/>
      </c>
      <c r="O523" s="59" t="str">
        <f t="shared" si="70"/>
        <v/>
      </c>
    </row>
    <row r="524" spans="3:15" x14ac:dyDescent="0.25">
      <c r="C524" s="47"/>
      <c r="D524" s="48"/>
      <c r="E524" s="7" t="str">
        <f t="shared" si="63"/>
        <v/>
      </c>
      <c r="F524" s="8" t="str">
        <f t="shared" si="64"/>
        <v/>
      </c>
      <c r="G524" s="8" t="str">
        <f t="shared" si="65"/>
        <v/>
      </c>
      <c r="H524" s="37" t="str">
        <f t="shared" si="66"/>
        <v/>
      </c>
      <c r="I524" s="37" t="str">
        <f t="shared" si="67"/>
        <v/>
      </c>
      <c r="J524" s="8" t="str">
        <f t="shared" si="68"/>
        <v/>
      </c>
      <c r="K524" s="38" t="str">
        <f t="shared" si="69"/>
        <v/>
      </c>
      <c r="N524" s="59" t="str">
        <f t="shared" si="71"/>
        <v/>
      </c>
      <c r="O524" s="59" t="str">
        <f t="shared" si="70"/>
        <v/>
      </c>
    </row>
    <row r="525" spans="3:15" x14ac:dyDescent="0.25">
      <c r="C525" s="47"/>
      <c r="D525" s="48"/>
      <c r="E525" s="7" t="str">
        <f t="shared" si="63"/>
        <v/>
      </c>
      <c r="F525" s="8" t="str">
        <f t="shared" si="64"/>
        <v/>
      </c>
      <c r="G525" s="8" t="str">
        <f t="shared" si="65"/>
        <v/>
      </c>
      <c r="H525" s="37" t="str">
        <f t="shared" si="66"/>
        <v/>
      </c>
      <c r="I525" s="37" t="str">
        <f t="shared" si="67"/>
        <v/>
      </c>
      <c r="J525" s="8" t="str">
        <f t="shared" si="68"/>
        <v/>
      </c>
      <c r="K525" s="38" t="str">
        <f t="shared" si="69"/>
        <v/>
      </c>
      <c r="N525" s="59" t="str">
        <f t="shared" si="71"/>
        <v/>
      </c>
      <c r="O525" s="59" t="str">
        <f t="shared" si="70"/>
        <v/>
      </c>
    </row>
    <row r="526" spans="3:15" x14ac:dyDescent="0.25">
      <c r="C526" s="47"/>
      <c r="D526" s="48"/>
      <c r="E526" s="7" t="str">
        <f t="shared" si="63"/>
        <v/>
      </c>
      <c r="F526" s="8" t="str">
        <f t="shared" si="64"/>
        <v/>
      </c>
      <c r="G526" s="8" t="str">
        <f t="shared" si="65"/>
        <v/>
      </c>
      <c r="H526" s="37" t="str">
        <f t="shared" si="66"/>
        <v/>
      </c>
      <c r="I526" s="37" t="str">
        <f t="shared" si="67"/>
        <v/>
      </c>
      <c r="J526" s="8" t="str">
        <f t="shared" si="68"/>
        <v/>
      </c>
      <c r="K526" s="38" t="str">
        <f t="shared" si="69"/>
        <v/>
      </c>
      <c r="N526" s="59" t="str">
        <f t="shared" si="71"/>
        <v/>
      </c>
      <c r="O526" s="59" t="str">
        <f t="shared" si="70"/>
        <v/>
      </c>
    </row>
    <row r="527" spans="3:15" x14ac:dyDescent="0.25">
      <c r="C527" s="47"/>
      <c r="D527" s="48"/>
      <c r="E527" s="7" t="str">
        <f t="shared" si="63"/>
        <v/>
      </c>
      <c r="F527" s="8" t="str">
        <f t="shared" si="64"/>
        <v/>
      </c>
      <c r="G527" s="8" t="str">
        <f t="shared" si="65"/>
        <v/>
      </c>
      <c r="H527" s="37" t="str">
        <f t="shared" si="66"/>
        <v/>
      </c>
      <c r="I527" s="37" t="str">
        <f t="shared" si="67"/>
        <v/>
      </c>
      <c r="J527" s="8" t="str">
        <f t="shared" si="68"/>
        <v/>
      </c>
      <c r="K527" s="38" t="str">
        <f t="shared" si="69"/>
        <v/>
      </c>
      <c r="N527" s="59" t="str">
        <f t="shared" si="71"/>
        <v/>
      </c>
      <c r="O527" s="59" t="str">
        <f t="shared" si="70"/>
        <v/>
      </c>
    </row>
    <row r="528" spans="3:15" x14ac:dyDescent="0.25">
      <c r="C528" s="47"/>
      <c r="D528" s="48"/>
      <c r="E528" s="7" t="str">
        <f t="shared" si="63"/>
        <v/>
      </c>
      <c r="F528" s="8" t="str">
        <f t="shared" si="64"/>
        <v/>
      </c>
      <c r="G528" s="8" t="str">
        <f t="shared" si="65"/>
        <v/>
      </c>
      <c r="H528" s="37" t="str">
        <f t="shared" si="66"/>
        <v/>
      </c>
      <c r="I528" s="37" t="str">
        <f t="shared" si="67"/>
        <v/>
      </c>
      <c r="J528" s="8" t="str">
        <f t="shared" si="68"/>
        <v/>
      </c>
      <c r="K528" s="38" t="str">
        <f t="shared" si="69"/>
        <v/>
      </c>
      <c r="N528" s="59" t="str">
        <f t="shared" si="71"/>
        <v/>
      </c>
      <c r="O528" s="59" t="str">
        <f t="shared" si="70"/>
        <v/>
      </c>
    </row>
    <row r="529" spans="3:15" x14ac:dyDescent="0.25">
      <c r="C529" s="47"/>
      <c r="D529" s="48"/>
      <c r="E529" s="7" t="str">
        <f t="shared" si="63"/>
        <v/>
      </c>
      <c r="F529" s="8" t="str">
        <f t="shared" si="64"/>
        <v/>
      </c>
      <c r="G529" s="8" t="str">
        <f t="shared" si="65"/>
        <v/>
      </c>
      <c r="H529" s="37" t="str">
        <f t="shared" si="66"/>
        <v/>
      </c>
      <c r="I529" s="37" t="str">
        <f t="shared" si="67"/>
        <v/>
      </c>
      <c r="J529" s="8" t="str">
        <f t="shared" si="68"/>
        <v/>
      </c>
      <c r="K529" s="38" t="str">
        <f t="shared" si="69"/>
        <v/>
      </c>
      <c r="N529" s="59" t="str">
        <f t="shared" si="71"/>
        <v/>
      </c>
      <c r="O529" s="59" t="str">
        <f t="shared" si="70"/>
        <v/>
      </c>
    </row>
    <row r="530" spans="3:15" x14ac:dyDescent="0.25">
      <c r="C530" s="47"/>
      <c r="D530" s="48"/>
      <c r="E530" s="7" t="str">
        <f t="shared" si="63"/>
        <v/>
      </c>
      <c r="F530" s="8" t="str">
        <f t="shared" si="64"/>
        <v/>
      </c>
      <c r="G530" s="8" t="str">
        <f t="shared" si="65"/>
        <v/>
      </c>
      <c r="H530" s="37" t="str">
        <f t="shared" si="66"/>
        <v/>
      </c>
      <c r="I530" s="37" t="str">
        <f t="shared" si="67"/>
        <v/>
      </c>
      <c r="J530" s="8" t="str">
        <f t="shared" si="68"/>
        <v/>
      </c>
      <c r="K530" s="38" t="str">
        <f t="shared" si="69"/>
        <v/>
      </c>
      <c r="N530" s="59" t="str">
        <f t="shared" si="71"/>
        <v/>
      </c>
      <c r="O530" s="59" t="str">
        <f t="shared" si="70"/>
        <v/>
      </c>
    </row>
    <row r="531" spans="3:15" x14ac:dyDescent="0.25">
      <c r="C531" s="47"/>
      <c r="D531" s="48"/>
      <c r="E531" s="7" t="str">
        <f t="shared" ref="E531:E594" si="72">IF(OR(DataRecebimento="",C531=""),"",IF(C531&lt;DataRecebimento,"ERRO!",C531+$F$9-$F$7))</f>
        <v/>
      </c>
      <c r="F531" s="8" t="str">
        <f t="shared" ref="F531:F594" si="73">IF(OR(TaxaJuros="",C531=""),"",IF(C531&lt;DataRecebimento,"DATA",-D531*E531*($F$8/30)))</f>
        <v/>
      </c>
      <c r="G531" s="8" t="str">
        <f t="shared" ref="G531:G594" si="74">IF(OR(TaxaJuros="",C531=""),"",IF(C531&lt;DataRecebimento,"NÃO",-$F$10))</f>
        <v/>
      </c>
      <c r="H531" s="37" t="str">
        <f t="shared" ref="H531:H594" si="75">IF(OR(TaxaJuros="",C531=""),"",IF(C531&lt;DataRecebimento,"PODE",IF(ComSemIOF=FALSE,0,IF(E531&gt;365,-(D531+F531)*365*IOFDiario,-(D531+F531)*E531*IOFDiario))))</f>
        <v/>
      </c>
      <c r="I531" s="37" t="str">
        <f t="shared" ref="I531:I594" si="76">IF(OR(TaxaJuros="",C531=""),"",IF(C531&lt;DataRecebimento,"SER",IF(ComSemIOF=FALSE,0,-(D531+F531)*IOFAdic)))</f>
        <v/>
      </c>
      <c r="J531" s="8" t="str">
        <f t="shared" ref="J531:J594" si="77">IF(OR(TaxaJuros="",C531=""),"",IF(C531&lt;DataRecebimento,"INFERIOR!",D531+SUM(F531:I531)))</f>
        <v/>
      </c>
      <c r="K531" s="38" t="str">
        <f t="shared" ref="K531:K594" si="78">IF(OR(TaxaJuros="",C531=""),"",IF(C531&lt;DataRecebimento,"ERRO!",100%-J531/D531))</f>
        <v/>
      </c>
      <c r="N531" s="59" t="str">
        <f t="shared" si="71"/>
        <v/>
      </c>
      <c r="O531" s="59" t="str">
        <f t="shared" ref="O531:O594" si="79">IF(N531="","",PV(TMA_Dia,E531,,-N531))</f>
        <v/>
      </c>
    </row>
    <row r="532" spans="3:15" x14ac:dyDescent="0.25">
      <c r="C532" s="47"/>
      <c r="D532" s="48"/>
      <c r="E532" s="7" t="str">
        <f t="shared" si="72"/>
        <v/>
      </c>
      <c r="F532" s="8" t="str">
        <f t="shared" si="73"/>
        <v/>
      </c>
      <c r="G532" s="8" t="str">
        <f t="shared" si="74"/>
        <v/>
      </c>
      <c r="H532" s="37" t="str">
        <f t="shared" si="75"/>
        <v/>
      </c>
      <c r="I532" s="37" t="str">
        <f t="shared" si="76"/>
        <v/>
      </c>
      <c r="J532" s="8" t="str">
        <f t="shared" si="77"/>
        <v/>
      </c>
      <c r="K532" s="38" t="str">
        <f t="shared" si="78"/>
        <v/>
      </c>
      <c r="N532" s="59" t="str">
        <f t="shared" ref="N532:N595" si="80">IF(C532="","",-D532)</f>
        <v/>
      </c>
      <c r="O532" s="59" t="str">
        <f t="shared" si="79"/>
        <v/>
      </c>
    </row>
    <row r="533" spans="3:15" x14ac:dyDescent="0.25">
      <c r="C533" s="47"/>
      <c r="D533" s="48"/>
      <c r="E533" s="7" t="str">
        <f t="shared" si="72"/>
        <v/>
      </c>
      <c r="F533" s="8" t="str">
        <f t="shared" si="73"/>
        <v/>
      </c>
      <c r="G533" s="8" t="str">
        <f t="shared" si="74"/>
        <v/>
      </c>
      <c r="H533" s="37" t="str">
        <f t="shared" si="75"/>
        <v/>
      </c>
      <c r="I533" s="37" t="str">
        <f t="shared" si="76"/>
        <v/>
      </c>
      <c r="J533" s="8" t="str">
        <f t="shared" si="77"/>
        <v/>
      </c>
      <c r="K533" s="38" t="str">
        <f t="shared" si="78"/>
        <v/>
      </c>
      <c r="N533" s="59" t="str">
        <f t="shared" si="80"/>
        <v/>
      </c>
      <c r="O533" s="59" t="str">
        <f t="shared" si="79"/>
        <v/>
      </c>
    </row>
    <row r="534" spans="3:15" x14ac:dyDescent="0.25">
      <c r="C534" s="47"/>
      <c r="D534" s="48"/>
      <c r="E534" s="7" t="str">
        <f t="shared" si="72"/>
        <v/>
      </c>
      <c r="F534" s="8" t="str">
        <f t="shared" si="73"/>
        <v/>
      </c>
      <c r="G534" s="8" t="str">
        <f t="shared" si="74"/>
        <v/>
      </c>
      <c r="H534" s="37" t="str">
        <f t="shared" si="75"/>
        <v/>
      </c>
      <c r="I534" s="37" t="str">
        <f t="shared" si="76"/>
        <v/>
      </c>
      <c r="J534" s="8" t="str">
        <f t="shared" si="77"/>
        <v/>
      </c>
      <c r="K534" s="38" t="str">
        <f t="shared" si="78"/>
        <v/>
      </c>
      <c r="N534" s="59" t="str">
        <f t="shared" si="80"/>
        <v/>
      </c>
      <c r="O534" s="59" t="str">
        <f t="shared" si="79"/>
        <v/>
      </c>
    </row>
    <row r="535" spans="3:15" x14ac:dyDescent="0.25">
      <c r="C535" s="47"/>
      <c r="D535" s="48"/>
      <c r="E535" s="7" t="str">
        <f t="shared" si="72"/>
        <v/>
      </c>
      <c r="F535" s="8" t="str">
        <f t="shared" si="73"/>
        <v/>
      </c>
      <c r="G535" s="8" t="str">
        <f t="shared" si="74"/>
        <v/>
      </c>
      <c r="H535" s="37" t="str">
        <f t="shared" si="75"/>
        <v/>
      </c>
      <c r="I535" s="37" t="str">
        <f t="shared" si="76"/>
        <v/>
      </c>
      <c r="J535" s="8" t="str">
        <f t="shared" si="77"/>
        <v/>
      </c>
      <c r="K535" s="38" t="str">
        <f t="shared" si="78"/>
        <v/>
      </c>
      <c r="N535" s="59" t="str">
        <f t="shared" si="80"/>
        <v/>
      </c>
      <c r="O535" s="59" t="str">
        <f t="shared" si="79"/>
        <v/>
      </c>
    </row>
    <row r="536" spans="3:15" x14ac:dyDescent="0.25">
      <c r="C536" s="47"/>
      <c r="D536" s="48"/>
      <c r="E536" s="7" t="str">
        <f t="shared" si="72"/>
        <v/>
      </c>
      <c r="F536" s="8" t="str">
        <f t="shared" si="73"/>
        <v/>
      </c>
      <c r="G536" s="8" t="str">
        <f t="shared" si="74"/>
        <v/>
      </c>
      <c r="H536" s="37" t="str">
        <f t="shared" si="75"/>
        <v/>
      </c>
      <c r="I536" s="37" t="str">
        <f t="shared" si="76"/>
        <v/>
      </c>
      <c r="J536" s="8" t="str">
        <f t="shared" si="77"/>
        <v/>
      </c>
      <c r="K536" s="38" t="str">
        <f t="shared" si="78"/>
        <v/>
      </c>
      <c r="N536" s="59" t="str">
        <f t="shared" si="80"/>
        <v/>
      </c>
      <c r="O536" s="59" t="str">
        <f t="shared" si="79"/>
        <v/>
      </c>
    </row>
    <row r="537" spans="3:15" x14ac:dyDescent="0.25">
      <c r="C537" s="47"/>
      <c r="D537" s="48"/>
      <c r="E537" s="7" t="str">
        <f t="shared" si="72"/>
        <v/>
      </c>
      <c r="F537" s="8" t="str">
        <f t="shared" si="73"/>
        <v/>
      </c>
      <c r="G537" s="8" t="str">
        <f t="shared" si="74"/>
        <v/>
      </c>
      <c r="H537" s="37" t="str">
        <f t="shared" si="75"/>
        <v/>
      </c>
      <c r="I537" s="37" t="str">
        <f t="shared" si="76"/>
        <v/>
      </c>
      <c r="J537" s="8" t="str">
        <f t="shared" si="77"/>
        <v/>
      </c>
      <c r="K537" s="38" t="str">
        <f t="shared" si="78"/>
        <v/>
      </c>
      <c r="N537" s="59" t="str">
        <f t="shared" si="80"/>
        <v/>
      </c>
      <c r="O537" s="59" t="str">
        <f t="shared" si="79"/>
        <v/>
      </c>
    </row>
    <row r="538" spans="3:15" x14ac:dyDescent="0.25">
      <c r="C538" s="47"/>
      <c r="D538" s="48"/>
      <c r="E538" s="7" t="str">
        <f t="shared" si="72"/>
        <v/>
      </c>
      <c r="F538" s="8" t="str">
        <f t="shared" si="73"/>
        <v/>
      </c>
      <c r="G538" s="8" t="str">
        <f t="shared" si="74"/>
        <v/>
      </c>
      <c r="H538" s="37" t="str">
        <f t="shared" si="75"/>
        <v/>
      </c>
      <c r="I538" s="37" t="str">
        <f t="shared" si="76"/>
        <v/>
      </c>
      <c r="J538" s="8" t="str">
        <f t="shared" si="77"/>
        <v/>
      </c>
      <c r="K538" s="38" t="str">
        <f t="shared" si="78"/>
        <v/>
      </c>
      <c r="N538" s="59" t="str">
        <f t="shared" si="80"/>
        <v/>
      </c>
      <c r="O538" s="59" t="str">
        <f t="shared" si="79"/>
        <v/>
      </c>
    </row>
    <row r="539" spans="3:15" x14ac:dyDescent="0.25">
      <c r="C539" s="47"/>
      <c r="D539" s="48"/>
      <c r="E539" s="7" t="str">
        <f t="shared" si="72"/>
        <v/>
      </c>
      <c r="F539" s="8" t="str">
        <f t="shared" si="73"/>
        <v/>
      </c>
      <c r="G539" s="8" t="str">
        <f t="shared" si="74"/>
        <v/>
      </c>
      <c r="H539" s="37" t="str">
        <f t="shared" si="75"/>
        <v/>
      </c>
      <c r="I539" s="37" t="str">
        <f t="shared" si="76"/>
        <v/>
      </c>
      <c r="J539" s="8" t="str">
        <f t="shared" si="77"/>
        <v/>
      </c>
      <c r="K539" s="38" t="str">
        <f t="shared" si="78"/>
        <v/>
      </c>
      <c r="N539" s="59" t="str">
        <f t="shared" si="80"/>
        <v/>
      </c>
      <c r="O539" s="59" t="str">
        <f t="shared" si="79"/>
        <v/>
      </c>
    </row>
    <row r="540" spans="3:15" x14ac:dyDescent="0.25">
      <c r="C540" s="47"/>
      <c r="D540" s="48"/>
      <c r="E540" s="7" t="str">
        <f t="shared" si="72"/>
        <v/>
      </c>
      <c r="F540" s="8" t="str">
        <f t="shared" si="73"/>
        <v/>
      </c>
      <c r="G540" s="8" t="str">
        <f t="shared" si="74"/>
        <v/>
      </c>
      <c r="H540" s="37" t="str">
        <f t="shared" si="75"/>
        <v/>
      </c>
      <c r="I540" s="37" t="str">
        <f t="shared" si="76"/>
        <v/>
      </c>
      <c r="J540" s="8" t="str">
        <f t="shared" si="77"/>
        <v/>
      </c>
      <c r="K540" s="38" t="str">
        <f t="shared" si="78"/>
        <v/>
      </c>
      <c r="N540" s="59" t="str">
        <f t="shared" si="80"/>
        <v/>
      </c>
      <c r="O540" s="59" t="str">
        <f t="shared" si="79"/>
        <v/>
      </c>
    </row>
    <row r="541" spans="3:15" x14ac:dyDescent="0.25">
      <c r="C541" s="47"/>
      <c r="D541" s="48"/>
      <c r="E541" s="7" t="str">
        <f t="shared" si="72"/>
        <v/>
      </c>
      <c r="F541" s="8" t="str">
        <f t="shared" si="73"/>
        <v/>
      </c>
      <c r="G541" s="8" t="str">
        <f t="shared" si="74"/>
        <v/>
      </c>
      <c r="H541" s="37" t="str">
        <f t="shared" si="75"/>
        <v/>
      </c>
      <c r="I541" s="37" t="str">
        <f t="shared" si="76"/>
        <v/>
      </c>
      <c r="J541" s="8" t="str">
        <f t="shared" si="77"/>
        <v/>
      </c>
      <c r="K541" s="38" t="str">
        <f t="shared" si="78"/>
        <v/>
      </c>
      <c r="N541" s="59" t="str">
        <f t="shared" si="80"/>
        <v/>
      </c>
      <c r="O541" s="59" t="str">
        <f t="shared" si="79"/>
        <v/>
      </c>
    </row>
    <row r="542" spans="3:15" x14ac:dyDescent="0.25">
      <c r="C542" s="47"/>
      <c r="D542" s="48"/>
      <c r="E542" s="7" t="str">
        <f t="shared" si="72"/>
        <v/>
      </c>
      <c r="F542" s="8" t="str">
        <f t="shared" si="73"/>
        <v/>
      </c>
      <c r="G542" s="8" t="str">
        <f t="shared" si="74"/>
        <v/>
      </c>
      <c r="H542" s="37" t="str">
        <f t="shared" si="75"/>
        <v/>
      </c>
      <c r="I542" s="37" t="str">
        <f t="shared" si="76"/>
        <v/>
      </c>
      <c r="J542" s="8" t="str">
        <f t="shared" si="77"/>
        <v/>
      </c>
      <c r="K542" s="38" t="str">
        <f t="shared" si="78"/>
        <v/>
      </c>
      <c r="N542" s="59" t="str">
        <f t="shared" si="80"/>
        <v/>
      </c>
      <c r="O542" s="59" t="str">
        <f t="shared" si="79"/>
        <v/>
      </c>
    </row>
    <row r="543" spans="3:15" x14ac:dyDescent="0.25">
      <c r="C543" s="47"/>
      <c r="D543" s="48"/>
      <c r="E543" s="7" t="str">
        <f t="shared" si="72"/>
        <v/>
      </c>
      <c r="F543" s="8" t="str">
        <f t="shared" si="73"/>
        <v/>
      </c>
      <c r="G543" s="8" t="str">
        <f t="shared" si="74"/>
        <v/>
      </c>
      <c r="H543" s="37" t="str">
        <f t="shared" si="75"/>
        <v/>
      </c>
      <c r="I543" s="37" t="str">
        <f t="shared" si="76"/>
        <v/>
      </c>
      <c r="J543" s="8" t="str">
        <f t="shared" si="77"/>
        <v/>
      </c>
      <c r="K543" s="38" t="str">
        <f t="shared" si="78"/>
        <v/>
      </c>
      <c r="N543" s="59" t="str">
        <f t="shared" si="80"/>
        <v/>
      </c>
      <c r="O543" s="59" t="str">
        <f t="shared" si="79"/>
        <v/>
      </c>
    </row>
    <row r="544" spans="3:15" x14ac:dyDescent="0.25">
      <c r="C544" s="47"/>
      <c r="D544" s="48"/>
      <c r="E544" s="7" t="str">
        <f t="shared" si="72"/>
        <v/>
      </c>
      <c r="F544" s="8" t="str">
        <f t="shared" si="73"/>
        <v/>
      </c>
      <c r="G544" s="8" t="str">
        <f t="shared" si="74"/>
        <v/>
      </c>
      <c r="H544" s="37" t="str">
        <f t="shared" si="75"/>
        <v/>
      </c>
      <c r="I544" s="37" t="str">
        <f t="shared" si="76"/>
        <v/>
      </c>
      <c r="J544" s="8" t="str">
        <f t="shared" si="77"/>
        <v/>
      </c>
      <c r="K544" s="38" t="str">
        <f t="shared" si="78"/>
        <v/>
      </c>
      <c r="N544" s="59" t="str">
        <f t="shared" si="80"/>
        <v/>
      </c>
      <c r="O544" s="59" t="str">
        <f t="shared" si="79"/>
        <v/>
      </c>
    </row>
    <row r="545" spans="3:15" x14ac:dyDescent="0.25">
      <c r="C545" s="47"/>
      <c r="D545" s="48"/>
      <c r="E545" s="7" t="str">
        <f t="shared" si="72"/>
        <v/>
      </c>
      <c r="F545" s="8" t="str">
        <f t="shared" si="73"/>
        <v/>
      </c>
      <c r="G545" s="8" t="str">
        <f t="shared" si="74"/>
        <v/>
      </c>
      <c r="H545" s="37" t="str">
        <f t="shared" si="75"/>
        <v/>
      </c>
      <c r="I545" s="37" t="str">
        <f t="shared" si="76"/>
        <v/>
      </c>
      <c r="J545" s="8" t="str">
        <f t="shared" si="77"/>
        <v/>
      </c>
      <c r="K545" s="38" t="str">
        <f t="shared" si="78"/>
        <v/>
      </c>
      <c r="N545" s="59" t="str">
        <f t="shared" si="80"/>
        <v/>
      </c>
      <c r="O545" s="59" t="str">
        <f t="shared" si="79"/>
        <v/>
      </c>
    </row>
    <row r="546" spans="3:15" x14ac:dyDescent="0.25">
      <c r="C546" s="47"/>
      <c r="D546" s="48"/>
      <c r="E546" s="7" t="str">
        <f t="shared" si="72"/>
        <v/>
      </c>
      <c r="F546" s="8" t="str">
        <f t="shared" si="73"/>
        <v/>
      </c>
      <c r="G546" s="8" t="str">
        <f t="shared" si="74"/>
        <v/>
      </c>
      <c r="H546" s="37" t="str">
        <f t="shared" si="75"/>
        <v/>
      </c>
      <c r="I546" s="37" t="str">
        <f t="shared" si="76"/>
        <v/>
      </c>
      <c r="J546" s="8" t="str">
        <f t="shared" si="77"/>
        <v/>
      </c>
      <c r="K546" s="38" t="str">
        <f t="shared" si="78"/>
        <v/>
      </c>
      <c r="N546" s="59" t="str">
        <f t="shared" si="80"/>
        <v/>
      </c>
      <c r="O546" s="59" t="str">
        <f t="shared" si="79"/>
        <v/>
      </c>
    </row>
    <row r="547" spans="3:15" x14ac:dyDescent="0.25">
      <c r="C547" s="47"/>
      <c r="D547" s="48"/>
      <c r="E547" s="7" t="str">
        <f t="shared" si="72"/>
        <v/>
      </c>
      <c r="F547" s="8" t="str">
        <f t="shared" si="73"/>
        <v/>
      </c>
      <c r="G547" s="8" t="str">
        <f t="shared" si="74"/>
        <v/>
      </c>
      <c r="H547" s="37" t="str">
        <f t="shared" si="75"/>
        <v/>
      </c>
      <c r="I547" s="37" t="str">
        <f t="shared" si="76"/>
        <v/>
      </c>
      <c r="J547" s="8" t="str">
        <f t="shared" si="77"/>
        <v/>
      </c>
      <c r="K547" s="38" t="str">
        <f t="shared" si="78"/>
        <v/>
      </c>
      <c r="N547" s="59" t="str">
        <f t="shared" si="80"/>
        <v/>
      </c>
      <c r="O547" s="59" t="str">
        <f t="shared" si="79"/>
        <v/>
      </c>
    </row>
    <row r="548" spans="3:15" x14ac:dyDescent="0.25">
      <c r="C548" s="47"/>
      <c r="D548" s="48"/>
      <c r="E548" s="7" t="str">
        <f t="shared" si="72"/>
        <v/>
      </c>
      <c r="F548" s="8" t="str">
        <f t="shared" si="73"/>
        <v/>
      </c>
      <c r="G548" s="8" t="str">
        <f t="shared" si="74"/>
        <v/>
      </c>
      <c r="H548" s="37" t="str">
        <f t="shared" si="75"/>
        <v/>
      </c>
      <c r="I548" s="37" t="str">
        <f t="shared" si="76"/>
        <v/>
      </c>
      <c r="J548" s="8" t="str">
        <f t="shared" si="77"/>
        <v/>
      </c>
      <c r="K548" s="38" t="str">
        <f t="shared" si="78"/>
        <v/>
      </c>
      <c r="N548" s="59" t="str">
        <f t="shared" si="80"/>
        <v/>
      </c>
      <c r="O548" s="59" t="str">
        <f t="shared" si="79"/>
        <v/>
      </c>
    </row>
    <row r="549" spans="3:15" x14ac:dyDescent="0.25">
      <c r="C549" s="47"/>
      <c r="D549" s="48"/>
      <c r="E549" s="7" t="str">
        <f t="shared" si="72"/>
        <v/>
      </c>
      <c r="F549" s="8" t="str">
        <f t="shared" si="73"/>
        <v/>
      </c>
      <c r="G549" s="8" t="str">
        <f t="shared" si="74"/>
        <v/>
      </c>
      <c r="H549" s="37" t="str">
        <f t="shared" si="75"/>
        <v/>
      </c>
      <c r="I549" s="37" t="str">
        <f t="shared" si="76"/>
        <v/>
      </c>
      <c r="J549" s="8" t="str">
        <f t="shared" si="77"/>
        <v/>
      </c>
      <c r="K549" s="38" t="str">
        <f t="shared" si="78"/>
        <v/>
      </c>
      <c r="N549" s="59" t="str">
        <f t="shared" si="80"/>
        <v/>
      </c>
      <c r="O549" s="59" t="str">
        <f t="shared" si="79"/>
        <v/>
      </c>
    </row>
    <row r="550" spans="3:15" x14ac:dyDescent="0.25">
      <c r="C550" s="47"/>
      <c r="D550" s="48"/>
      <c r="E550" s="7" t="str">
        <f t="shared" si="72"/>
        <v/>
      </c>
      <c r="F550" s="8" t="str">
        <f t="shared" si="73"/>
        <v/>
      </c>
      <c r="G550" s="8" t="str">
        <f t="shared" si="74"/>
        <v/>
      </c>
      <c r="H550" s="37" t="str">
        <f t="shared" si="75"/>
        <v/>
      </c>
      <c r="I550" s="37" t="str">
        <f t="shared" si="76"/>
        <v/>
      </c>
      <c r="J550" s="8" t="str">
        <f t="shared" si="77"/>
        <v/>
      </c>
      <c r="K550" s="38" t="str">
        <f t="shared" si="78"/>
        <v/>
      </c>
      <c r="N550" s="59" t="str">
        <f t="shared" si="80"/>
        <v/>
      </c>
      <c r="O550" s="59" t="str">
        <f t="shared" si="79"/>
        <v/>
      </c>
    </row>
    <row r="551" spans="3:15" x14ac:dyDescent="0.25">
      <c r="C551" s="47"/>
      <c r="D551" s="48"/>
      <c r="E551" s="7" t="str">
        <f t="shared" si="72"/>
        <v/>
      </c>
      <c r="F551" s="8" t="str">
        <f t="shared" si="73"/>
        <v/>
      </c>
      <c r="G551" s="8" t="str">
        <f t="shared" si="74"/>
        <v/>
      </c>
      <c r="H551" s="37" t="str">
        <f t="shared" si="75"/>
        <v/>
      </c>
      <c r="I551" s="37" t="str">
        <f t="shared" si="76"/>
        <v/>
      </c>
      <c r="J551" s="8" t="str">
        <f t="shared" si="77"/>
        <v/>
      </c>
      <c r="K551" s="38" t="str">
        <f t="shared" si="78"/>
        <v/>
      </c>
      <c r="N551" s="59" t="str">
        <f t="shared" si="80"/>
        <v/>
      </c>
      <c r="O551" s="59" t="str">
        <f t="shared" si="79"/>
        <v/>
      </c>
    </row>
    <row r="552" spans="3:15" x14ac:dyDescent="0.25">
      <c r="C552" s="47"/>
      <c r="D552" s="48"/>
      <c r="E552" s="7" t="str">
        <f t="shared" si="72"/>
        <v/>
      </c>
      <c r="F552" s="8" t="str">
        <f t="shared" si="73"/>
        <v/>
      </c>
      <c r="G552" s="8" t="str">
        <f t="shared" si="74"/>
        <v/>
      </c>
      <c r="H552" s="37" t="str">
        <f t="shared" si="75"/>
        <v/>
      </c>
      <c r="I552" s="37" t="str">
        <f t="shared" si="76"/>
        <v/>
      </c>
      <c r="J552" s="8" t="str">
        <f t="shared" si="77"/>
        <v/>
      </c>
      <c r="K552" s="38" t="str">
        <f t="shared" si="78"/>
        <v/>
      </c>
      <c r="N552" s="59" t="str">
        <f t="shared" si="80"/>
        <v/>
      </c>
      <c r="O552" s="59" t="str">
        <f t="shared" si="79"/>
        <v/>
      </c>
    </row>
    <row r="553" spans="3:15" x14ac:dyDescent="0.25">
      <c r="C553" s="47"/>
      <c r="D553" s="48"/>
      <c r="E553" s="7" t="str">
        <f t="shared" si="72"/>
        <v/>
      </c>
      <c r="F553" s="8" t="str">
        <f t="shared" si="73"/>
        <v/>
      </c>
      <c r="G553" s="8" t="str">
        <f t="shared" si="74"/>
        <v/>
      </c>
      <c r="H553" s="37" t="str">
        <f t="shared" si="75"/>
        <v/>
      </c>
      <c r="I553" s="37" t="str">
        <f t="shared" si="76"/>
        <v/>
      </c>
      <c r="J553" s="8" t="str">
        <f t="shared" si="77"/>
        <v/>
      </c>
      <c r="K553" s="38" t="str">
        <f t="shared" si="78"/>
        <v/>
      </c>
      <c r="N553" s="59" t="str">
        <f t="shared" si="80"/>
        <v/>
      </c>
      <c r="O553" s="59" t="str">
        <f t="shared" si="79"/>
        <v/>
      </c>
    </row>
    <row r="554" spans="3:15" x14ac:dyDescent="0.25">
      <c r="C554" s="47"/>
      <c r="D554" s="48"/>
      <c r="E554" s="7" t="str">
        <f t="shared" si="72"/>
        <v/>
      </c>
      <c r="F554" s="8" t="str">
        <f t="shared" si="73"/>
        <v/>
      </c>
      <c r="G554" s="8" t="str">
        <f t="shared" si="74"/>
        <v/>
      </c>
      <c r="H554" s="37" t="str">
        <f t="shared" si="75"/>
        <v/>
      </c>
      <c r="I554" s="37" t="str">
        <f t="shared" si="76"/>
        <v/>
      </c>
      <c r="J554" s="8" t="str">
        <f t="shared" si="77"/>
        <v/>
      </c>
      <c r="K554" s="38" t="str">
        <f t="shared" si="78"/>
        <v/>
      </c>
      <c r="N554" s="59" t="str">
        <f t="shared" si="80"/>
        <v/>
      </c>
      <c r="O554" s="59" t="str">
        <f t="shared" si="79"/>
        <v/>
      </c>
    </row>
    <row r="555" spans="3:15" x14ac:dyDescent="0.25">
      <c r="C555" s="47"/>
      <c r="D555" s="48"/>
      <c r="E555" s="7" t="str">
        <f t="shared" si="72"/>
        <v/>
      </c>
      <c r="F555" s="8" t="str">
        <f t="shared" si="73"/>
        <v/>
      </c>
      <c r="G555" s="8" t="str">
        <f t="shared" si="74"/>
        <v/>
      </c>
      <c r="H555" s="37" t="str">
        <f t="shared" si="75"/>
        <v/>
      </c>
      <c r="I555" s="37" t="str">
        <f t="shared" si="76"/>
        <v/>
      </c>
      <c r="J555" s="8" t="str">
        <f t="shared" si="77"/>
        <v/>
      </c>
      <c r="K555" s="38" t="str">
        <f t="shared" si="78"/>
        <v/>
      </c>
      <c r="N555" s="59" t="str">
        <f t="shared" si="80"/>
        <v/>
      </c>
      <c r="O555" s="59" t="str">
        <f t="shared" si="79"/>
        <v/>
      </c>
    </row>
    <row r="556" spans="3:15" x14ac:dyDescent="0.25">
      <c r="C556" s="47"/>
      <c r="D556" s="48"/>
      <c r="E556" s="7" t="str">
        <f t="shared" si="72"/>
        <v/>
      </c>
      <c r="F556" s="8" t="str">
        <f t="shared" si="73"/>
        <v/>
      </c>
      <c r="G556" s="8" t="str">
        <f t="shared" si="74"/>
        <v/>
      </c>
      <c r="H556" s="37" t="str">
        <f t="shared" si="75"/>
        <v/>
      </c>
      <c r="I556" s="37" t="str">
        <f t="shared" si="76"/>
        <v/>
      </c>
      <c r="J556" s="8" t="str">
        <f t="shared" si="77"/>
        <v/>
      </c>
      <c r="K556" s="38" t="str">
        <f t="shared" si="78"/>
        <v/>
      </c>
      <c r="N556" s="59" t="str">
        <f t="shared" si="80"/>
        <v/>
      </c>
      <c r="O556" s="59" t="str">
        <f t="shared" si="79"/>
        <v/>
      </c>
    </row>
    <row r="557" spans="3:15" x14ac:dyDescent="0.25">
      <c r="C557" s="47"/>
      <c r="D557" s="48"/>
      <c r="E557" s="7" t="str">
        <f t="shared" si="72"/>
        <v/>
      </c>
      <c r="F557" s="8" t="str">
        <f t="shared" si="73"/>
        <v/>
      </c>
      <c r="G557" s="8" t="str">
        <f t="shared" si="74"/>
        <v/>
      </c>
      <c r="H557" s="37" t="str">
        <f t="shared" si="75"/>
        <v/>
      </c>
      <c r="I557" s="37" t="str">
        <f t="shared" si="76"/>
        <v/>
      </c>
      <c r="J557" s="8" t="str">
        <f t="shared" si="77"/>
        <v/>
      </c>
      <c r="K557" s="38" t="str">
        <f t="shared" si="78"/>
        <v/>
      </c>
      <c r="N557" s="59" t="str">
        <f t="shared" si="80"/>
        <v/>
      </c>
      <c r="O557" s="59" t="str">
        <f t="shared" si="79"/>
        <v/>
      </c>
    </row>
    <row r="558" spans="3:15" x14ac:dyDescent="0.25">
      <c r="C558" s="47"/>
      <c r="D558" s="48"/>
      <c r="E558" s="7" t="str">
        <f t="shared" si="72"/>
        <v/>
      </c>
      <c r="F558" s="8" t="str">
        <f t="shared" si="73"/>
        <v/>
      </c>
      <c r="G558" s="8" t="str">
        <f t="shared" si="74"/>
        <v/>
      </c>
      <c r="H558" s="37" t="str">
        <f t="shared" si="75"/>
        <v/>
      </c>
      <c r="I558" s="37" t="str">
        <f t="shared" si="76"/>
        <v/>
      </c>
      <c r="J558" s="8" t="str">
        <f t="shared" si="77"/>
        <v/>
      </c>
      <c r="K558" s="38" t="str">
        <f t="shared" si="78"/>
        <v/>
      </c>
      <c r="N558" s="59" t="str">
        <f t="shared" si="80"/>
        <v/>
      </c>
      <c r="O558" s="59" t="str">
        <f t="shared" si="79"/>
        <v/>
      </c>
    </row>
    <row r="559" spans="3:15" x14ac:dyDescent="0.25">
      <c r="C559" s="47"/>
      <c r="D559" s="48"/>
      <c r="E559" s="7" t="str">
        <f t="shared" si="72"/>
        <v/>
      </c>
      <c r="F559" s="8" t="str">
        <f t="shared" si="73"/>
        <v/>
      </c>
      <c r="G559" s="8" t="str">
        <f t="shared" si="74"/>
        <v/>
      </c>
      <c r="H559" s="37" t="str">
        <f t="shared" si="75"/>
        <v/>
      </c>
      <c r="I559" s="37" t="str">
        <f t="shared" si="76"/>
        <v/>
      </c>
      <c r="J559" s="8" t="str">
        <f t="shared" si="77"/>
        <v/>
      </c>
      <c r="K559" s="38" t="str">
        <f t="shared" si="78"/>
        <v/>
      </c>
      <c r="N559" s="59" t="str">
        <f t="shared" si="80"/>
        <v/>
      </c>
      <c r="O559" s="59" t="str">
        <f t="shared" si="79"/>
        <v/>
      </c>
    </row>
    <row r="560" spans="3:15" x14ac:dyDescent="0.25">
      <c r="C560" s="47"/>
      <c r="D560" s="48"/>
      <c r="E560" s="7" t="str">
        <f t="shared" si="72"/>
        <v/>
      </c>
      <c r="F560" s="8" t="str">
        <f t="shared" si="73"/>
        <v/>
      </c>
      <c r="G560" s="8" t="str">
        <f t="shared" si="74"/>
        <v/>
      </c>
      <c r="H560" s="37" t="str">
        <f t="shared" si="75"/>
        <v/>
      </c>
      <c r="I560" s="37" t="str">
        <f t="shared" si="76"/>
        <v/>
      </c>
      <c r="J560" s="8" t="str">
        <f t="shared" si="77"/>
        <v/>
      </c>
      <c r="K560" s="38" t="str">
        <f t="shared" si="78"/>
        <v/>
      </c>
      <c r="N560" s="59" t="str">
        <f t="shared" si="80"/>
        <v/>
      </c>
      <c r="O560" s="59" t="str">
        <f t="shared" si="79"/>
        <v/>
      </c>
    </row>
    <row r="561" spans="3:15" x14ac:dyDescent="0.25">
      <c r="C561" s="47"/>
      <c r="D561" s="48"/>
      <c r="E561" s="7" t="str">
        <f t="shared" si="72"/>
        <v/>
      </c>
      <c r="F561" s="8" t="str">
        <f t="shared" si="73"/>
        <v/>
      </c>
      <c r="G561" s="8" t="str">
        <f t="shared" si="74"/>
        <v/>
      </c>
      <c r="H561" s="37" t="str">
        <f t="shared" si="75"/>
        <v/>
      </c>
      <c r="I561" s="37" t="str">
        <f t="shared" si="76"/>
        <v/>
      </c>
      <c r="J561" s="8" t="str">
        <f t="shared" si="77"/>
        <v/>
      </c>
      <c r="K561" s="38" t="str">
        <f t="shared" si="78"/>
        <v/>
      </c>
      <c r="N561" s="59" t="str">
        <f t="shared" si="80"/>
        <v/>
      </c>
      <c r="O561" s="59" t="str">
        <f t="shared" si="79"/>
        <v/>
      </c>
    </row>
    <row r="562" spans="3:15" x14ac:dyDescent="0.25">
      <c r="C562" s="47"/>
      <c r="D562" s="48"/>
      <c r="E562" s="7" t="str">
        <f t="shared" si="72"/>
        <v/>
      </c>
      <c r="F562" s="8" t="str">
        <f t="shared" si="73"/>
        <v/>
      </c>
      <c r="G562" s="8" t="str">
        <f t="shared" si="74"/>
        <v/>
      </c>
      <c r="H562" s="37" t="str">
        <f t="shared" si="75"/>
        <v/>
      </c>
      <c r="I562" s="37" t="str">
        <f t="shared" si="76"/>
        <v/>
      </c>
      <c r="J562" s="8" t="str">
        <f t="shared" si="77"/>
        <v/>
      </c>
      <c r="K562" s="38" t="str">
        <f t="shared" si="78"/>
        <v/>
      </c>
      <c r="N562" s="59" t="str">
        <f t="shared" si="80"/>
        <v/>
      </c>
      <c r="O562" s="59" t="str">
        <f t="shared" si="79"/>
        <v/>
      </c>
    </row>
    <row r="563" spans="3:15" x14ac:dyDescent="0.25">
      <c r="C563" s="47"/>
      <c r="D563" s="48"/>
      <c r="E563" s="7" t="str">
        <f t="shared" si="72"/>
        <v/>
      </c>
      <c r="F563" s="8" t="str">
        <f t="shared" si="73"/>
        <v/>
      </c>
      <c r="G563" s="8" t="str">
        <f t="shared" si="74"/>
        <v/>
      </c>
      <c r="H563" s="37" t="str">
        <f t="shared" si="75"/>
        <v/>
      </c>
      <c r="I563" s="37" t="str">
        <f t="shared" si="76"/>
        <v/>
      </c>
      <c r="J563" s="8" t="str">
        <f t="shared" si="77"/>
        <v/>
      </c>
      <c r="K563" s="38" t="str">
        <f t="shared" si="78"/>
        <v/>
      </c>
      <c r="N563" s="59" t="str">
        <f t="shared" si="80"/>
        <v/>
      </c>
      <c r="O563" s="59" t="str">
        <f t="shared" si="79"/>
        <v/>
      </c>
    </row>
    <row r="564" spans="3:15" x14ac:dyDescent="0.25">
      <c r="C564" s="47"/>
      <c r="D564" s="48"/>
      <c r="E564" s="7" t="str">
        <f t="shared" si="72"/>
        <v/>
      </c>
      <c r="F564" s="8" t="str">
        <f t="shared" si="73"/>
        <v/>
      </c>
      <c r="G564" s="8" t="str">
        <f t="shared" si="74"/>
        <v/>
      </c>
      <c r="H564" s="37" t="str">
        <f t="shared" si="75"/>
        <v/>
      </c>
      <c r="I564" s="37" t="str">
        <f t="shared" si="76"/>
        <v/>
      </c>
      <c r="J564" s="8" t="str">
        <f t="shared" si="77"/>
        <v/>
      </c>
      <c r="K564" s="38" t="str">
        <f t="shared" si="78"/>
        <v/>
      </c>
      <c r="N564" s="59" t="str">
        <f t="shared" si="80"/>
        <v/>
      </c>
      <c r="O564" s="59" t="str">
        <f t="shared" si="79"/>
        <v/>
      </c>
    </row>
    <row r="565" spans="3:15" x14ac:dyDescent="0.25">
      <c r="C565" s="47"/>
      <c r="D565" s="48"/>
      <c r="E565" s="7" t="str">
        <f t="shared" si="72"/>
        <v/>
      </c>
      <c r="F565" s="8" t="str">
        <f t="shared" si="73"/>
        <v/>
      </c>
      <c r="G565" s="8" t="str">
        <f t="shared" si="74"/>
        <v/>
      </c>
      <c r="H565" s="37" t="str">
        <f t="shared" si="75"/>
        <v/>
      </c>
      <c r="I565" s="37" t="str">
        <f t="shared" si="76"/>
        <v/>
      </c>
      <c r="J565" s="8" t="str">
        <f t="shared" si="77"/>
        <v/>
      </c>
      <c r="K565" s="38" t="str">
        <f t="shared" si="78"/>
        <v/>
      </c>
      <c r="N565" s="59" t="str">
        <f t="shared" si="80"/>
        <v/>
      </c>
      <c r="O565" s="59" t="str">
        <f t="shared" si="79"/>
        <v/>
      </c>
    </row>
    <row r="566" spans="3:15" x14ac:dyDescent="0.25">
      <c r="C566" s="47"/>
      <c r="D566" s="48"/>
      <c r="E566" s="7" t="str">
        <f t="shared" si="72"/>
        <v/>
      </c>
      <c r="F566" s="8" t="str">
        <f t="shared" si="73"/>
        <v/>
      </c>
      <c r="G566" s="8" t="str">
        <f t="shared" si="74"/>
        <v/>
      </c>
      <c r="H566" s="37" t="str">
        <f t="shared" si="75"/>
        <v/>
      </c>
      <c r="I566" s="37" t="str">
        <f t="shared" si="76"/>
        <v/>
      </c>
      <c r="J566" s="8" t="str">
        <f t="shared" si="77"/>
        <v/>
      </c>
      <c r="K566" s="38" t="str">
        <f t="shared" si="78"/>
        <v/>
      </c>
      <c r="N566" s="59" t="str">
        <f t="shared" si="80"/>
        <v/>
      </c>
      <c r="O566" s="59" t="str">
        <f t="shared" si="79"/>
        <v/>
      </c>
    </row>
    <row r="567" spans="3:15" x14ac:dyDescent="0.25">
      <c r="C567" s="47"/>
      <c r="D567" s="48"/>
      <c r="E567" s="7" t="str">
        <f t="shared" si="72"/>
        <v/>
      </c>
      <c r="F567" s="8" t="str">
        <f t="shared" si="73"/>
        <v/>
      </c>
      <c r="G567" s="8" t="str">
        <f t="shared" si="74"/>
        <v/>
      </c>
      <c r="H567" s="37" t="str">
        <f t="shared" si="75"/>
        <v/>
      </c>
      <c r="I567" s="37" t="str">
        <f t="shared" si="76"/>
        <v/>
      </c>
      <c r="J567" s="8" t="str">
        <f t="shared" si="77"/>
        <v/>
      </c>
      <c r="K567" s="38" t="str">
        <f t="shared" si="78"/>
        <v/>
      </c>
      <c r="N567" s="59" t="str">
        <f t="shared" si="80"/>
        <v/>
      </c>
      <c r="O567" s="59" t="str">
        <f t="shared" si="79"/>
        <v/>
      </c>
    </row>
    <row r="568" spans="3:15" x14ac:dyDescent="0.25">
      <c r="C568" s="47"/>
      <c r="D568" s="48"/>
      <c r="E568" s="7" t="str">
        <f t="shared" si="72"/>
        <v/>
      </c>
      <c r="F568" s="8" t="str">
        <f t="shared" si="73"/>
        <v/>
      </c>
      <c r="G568" s="8" t="str">
        <f t="shared" si="74"/>
        <v/>
      </c>
      <c r="H568" s="37" t="str">
        <f t="shared" si="75"/>
        <v/>
      </c>
      <c r="I568" s="37" t="str">
        <f t="shared" si="76"/>
        <v/>
      </c>
      <c r="J568" s="8" t="str">
        <f t="shared" si="77"/>
        <v/>
      </c>
      <c r="K568" s="38" t="str">
        <f t="shared" si="78"/>
        <v/>
      </c>
      <c r="N568" s="59" t="str">
        <f t="shared" si="80"/>
        <v/>
      </c>
      <c r="O568" s="59" t="str">
        <f t="shared" si="79"/>
        <v/>
      </c>
    </row>
    <row r="569" spans="3:15" x14ac:dyDescent="0.25">
      <c r="C569" s="47"/>
      <c r="D569" s="48"/>
      <c r="E569" s="7" t="str">
        <f t="shared" si="72"/>
        <v/>
      </c>
      <c r="F569" s="8" t="str">
        <f t="shared" si="73"/>
        <v/>
      </c>
      <c r="G569" s="8" t="str">
        <f t="shared" si="74"/>
        <v/>
      </c>
      <c r="H569" s="37" t="str">
        <f t="shared" si="75"/>
        <v/>
      </c>
      <c r="I569" s="37" t="str">
        <f t="shared" si="76"/>
        <v/>
      </c>
      <c r="J569" s="8" t="str">
        <f t="shared" si="77"/>
        <v/>
      </c>
      <c r="K569" s="38" t="str">
        <f t="shared" si="78"/>
        <v/>
      </c>
      <c r="N569" s="59" t="str">
        <f t="shared" si="80"/>
        <v/>
      </c>
      <c r="O569" s="59" t="str">
        <f t="shared" si="79"/>
        <v/>
      </c>
    </row>
    <row r="570" spans="3:15" x14ac:dyDescent="0.25">
      <c r="C570" s="47"/>
      <c r="D570" s="48"/>
      <c r="E570" s="7" t="str">
        <f t="shared" si="72"/>
        <v/>
      </c>
      <c r="F570" s="8" t="str">
        <f t="shared" si="73"/>
        <v/>
      </c>
      <c r="G570" s="8" t="str">
        <f t="shared" si="74"/>
        <v/>
      </c>
      <c r="H570" s="37" t="str">
        <f t="shared" si="75"/>
        <v/>
      </c>
      <c r="I570" s="37" t="str">
        <f t="shared" si="76"/>
        <v/>
      </c>
      <c r="J570" s="8" t="str">
        <f t="shared" si="77"/>
        <v/>
      </c>
      <c r="K570" s="38" t="str">
        <f t="shared" si="78"/>
        <v/>
      </c>
      <c r="N570" s="59" t="str">
        <f t="shared" si="80"/>
        <v/>
      </c>
      <c r="O570" s="59" t="str">
        <f t="shared" si="79"/>
        <v/>
      </c>
    </row>
    <row r="571" spans="3:15" x14ac:dyDescent="0.25">
      <c r="C571" s="47"/>
      <c r="D571" s="48"/>
      <c r="E571" s="7" t="str">
        <f t="shared" si="72"/>
        <v/>
      </c>
      <c r="F571" s="8" t="str">
        <f t="shared" si="73"/>
        <v/>
      </c>
      <c r="G571" s="8" t="str">
        <f t="shared" si="74"/>
        <v/>
      </c>
      <c r="H571" s="37" t="str">
        <f t="shared" si="75"/>
        <v/>
      </c>
      <c r="I571" s="37" t="str">
        <f t="shared" si="76"/>
        <v/>
      </c>
      <c r="J571" s="8" t="str">
        <f t="shared" si="77"/>
        <v/>
      </c>
      <c r="K571" s="38" t="str">
        <f t="shared" si="78"/>
        <v/>
      </c>
      <c r="N571" s="59" t="str">
        <f t="shared" si="80"/>
        <v/>
      </c>
      <c r="O571" s="59" t="str">
        <f t="shared" si="79"/>
        <v/>
      </c>
    </row>
    <row r="572" spans="3:15" x14ac:dyDescent="0.25">
      <c r="C572" s="47"/>
      <c r="D572" s="48"/>
      <c r="E572" s="7" t="str">
        <f t="shared" si="72"/>
        <v/>
      </c>
      <c r="F572" s="8" t="str">
        <f t="shared" si="73"/>
        <v/>
      </c>
      <c r="G572" s="8" t="str">
        <f t="shared" si="74"/>
        <v/>
      </c>
      <c r="H572" s="37" t="str">
        <f t="shared" si="75"/>
        <v/>
      </c>
      <c r="I572" s="37" t="str">
        <f t="shared" si="76"/>
        <v/>
      </c>
      <c r="J572" s="8" t="str">
        <f t="shared" si="77"/>
        <v/>
      </c>
      <c r="K572" s="38" t="str">
        <f t="shared" si="78"/>
        <v/>
      </c>
      <c r="N572" s="59" t="str">
        <f t="shared" si="80"/>
        <v/>
      </c>
      <c r="O572" s="59" t="str">
        <f t="shared" si="79"/>
        <v/>
      </c>
    </row>
    <row r="573" spans="3:15" x14ac:dyDescent="0.25">
      <c r="C573" s="47"/>
      <c r="D573" s="48"/>
      <c r="E573" s="7" t="str">
        <f t="shared" si="72"/>
        <v/>
      </c>
      <c r="F573" s="8" t="str">
        <f t="shared" si="73"/>
        <v/>
      </c>
      <c r="G573" s="8" t="str">
        <f t="shared" si="74"/>
        <v/>
      </c>
      <c r="H573" s="37" t="str">
        <f t="shared" si="75"/>
        <v/>
      </c>
      <c r="I573" s="37" t="str">
        <f t="shared" si="76"/>
        <v/>
      </c>
      <c r="J573" s="8" t="str">
        <f t="shared" si="77"/>
        <v/>
      </c>
      <c r="K573" s="38" t="str">
        <f t="shared" si="78"/>
        <v/>
      </c>
      <c r="N573" s="59" t="str">
        <f t="shared" si="80"/>
        <v/>
      </c>
      <c r="O573" s="59" t="str">
        <f t="shared" si="79"/>
        <v/>
      </c>
    </row>
    <row r="574" spans="3:15" x14ac:dyDescent="0.25">
      <c r="C574" s="47"/>
      <c r="D574" s="48"/>
      <c r="E574" s="7" t="str">
        <f t="shared" si="72"/>
        <v/>
      </c>
      <c r="F574" s="8" t="str">
        <f t="shared" si="73"/>
        <v/>
      </c>
      <c r="G574" s="8" t="str">
        <f t="shared" si="74"/>
        <v/>
      </c>
      <c r="H574" s="37" t="str">
        <f t="shared" si="75"/>
        <v/>
      </c>
      <c r="I574" s="37" t="str">
        <f t="shared" si="76"/>
        <v/>
      </c>
      <c r="J574" s="8" t="str">
        <f t="shared" si="77"/>
        <v/>
      </c>
      <c r="K574" s="38" t="str">
        <f t="shared" si="78"/>
        <v/>
      </c>
      <c r="N574" s="59" t="str">
        <f t="shared" si="80"/>
        <v/>
      </c>
      <c r="O574" s="59" t="str">
        <f t="shared" si="79"/>
        <v/>
      </c>
    </row>
    <row r="575" spans="3:15" x14ac:dyDescent="0.25">
      <c r="C575" s="47"/>
      <c r="D575" s="48"/>
      <c r="E575" s="7" t="str">
        <f t="shared" si="72"/>
        <v/>
      </c>
      <c r="F575" s="8" t="str">
        <f t="shared" si="73"/>
        <v/>
      </c>
      <c r="G575" s="8" t="str">
        <f t="shared" si="74"/>
        <v/>
      </c>
      <c r="H575" s="37" t="str">
        <f t="shared" si="75"/>
        <v/>
      </c>
      <c r="I575" s="37" t="str">
        <f t="shared" si="76"/>
        <v/>
      </c>
      <c r="J575" s="8" t="str">
        <f t="shared" si="77"/>
        <v/>
      </c>
      <c r="K575" s="38" t="str">
        <f t="shared" si="78"/>
        <v/>
      </c>
      <c r="N575" s="59" t="str">
        <f t="shared" si="80"/>
        <v/>
      </c>
      <c r="O575" s="59" t="str">
        <f t="shared" si="79"/>
        <v/>
      </c>
    </row>
    <row r="576" spans="3:15" x14ac:dyDescent="0.25">
      <c r="C576" s="47"/>
      <c r="D576" s="48"/>
      <c r="E576" s="7" t="str">
        <f t="shared" si="72"/>
        <v/>
      </c>
      <c r="F576" s="8" t="str">
        <f t="shared" si="73"/>
        <v/>
      </c>
      <c r="G576" s="8" t="str">
        <f t="shared" si="74"/>
        <v/>
      </c>
      <c r="H576" s="37" t="str">
        <f t="shared" si="75"/>
        <v/>
      </c>
      <c r="I576" s="37" t="str">
        <f t="shared" si="76"/>
        <v/>
      </c>
      <c r="J576" s="8" t="str">
        <f t="shared" si="77"/>
        <v/>
      </c>
      <c r="K576" s="38" t="str">
        <f t="shared" si="78"/>
        <v/>
      </c>
      <c r="N576" s="59" t="str">
        <f t="shared" si="80"/>
        <v/>
      </c>
      <c r="O576" s="59" t="str">
        <f t="shared" si="79"/>
        <v/>
      </c>
    </row>
    <row r="577" spans="3:15" x14ac:dyDescent="0.25">
      <c r="C577" s="47"/>
      <c r="D577" s="48"/>
      <c r="E577" s="7" t="str">
        <f t="shared" si="72"/>
        <v/>
      </c>
      <c r="F577" s="8" t="str">
        <f t="shared" si="73"/>
        <v/>
      </c>
      <c r="G577" s="8" t="str">
        <f t="shared" si="74"/>
        <v/>
      </c>
      <c r="H577" s="37" t="str">
        <f t="shared" si="75"/>
        <v/>
      </c>
      <c r="I577" s="37" t="str">
        <f t="shared" si="76"/>
        <v/>
      </c>
      <c r="J577" s="8" t="str">
        <f t="shared" si="77"/>
        <v/>
      </c>
      <c r="K577" s="38" t="str">
        <f t="shared" si="78"/>
        <v/>
      </c>
      <c r="N577" s="59" t="str">
        <f t="shared" si="80"/>
        <v/>
      </c>
      <c r="O577" s="59" t="str">
        <f t="shared" si="79"/>
        <v/>
      </c>
    </row>
    <row r="578" spans="3:15" x14ac:dyDescent="0.25">
      <c r="C578" s="47"/>
      <c r="D578" s="48"/>
      <c r="E578" s="7" t="str">
        <f t="shared" si="72"/>
        <v/>
      </c>
      <c r="F578" s="8" t="str">
        <f t="shared" si="73"/>
        <v/>
      </c>
      <c r="G578" s="8" t="str">
        <f t="shared" si="74"/>
        <v/>
      </c>
      <c r="H578" s="37" t="str">
        <f t="shared" si="75"/>
        <v/>
      </c>
      <c r="I578" s="37" t="str">
        <f t="shared" si="76"/>
        <v/>
      </c>
      <c r="J578" s="8" t="str">
        <f t="shared" si="77"/>
        <v/>
      </c>
      <c r="K578" s="38" t="str">
        <f t="shared" si="78"/>
        <v/>
      </c>
      <c r="N578" s="59" t="str">
        <f t="shared" si="80"/>
        <v/>
      </c>
      <c r="O578" s="59" t="str">
        <f t="shared" si="79"/>
        <v/>
      </c>
    </row>
    <row r="579" spans="3:15" x14ac:dyDescent="0.25">
      <c r="C579" s="47"/>
      <c r="D579" s="48"/>
      <c r="E579" s="7" t="str">
        <f t="shared" si="72"/>
        <v/>
      </c>
      <c r="F579" s="8" t="str">
        <f t="shared" si="73"/>
        <v/>
      </c>
      <c r="G579" s="8" t="str">
        <f t="shared" si="74"/>
        <v/>
      </c>
      <c r="H579" s="37" t="str">
        <f t="shared" si="75"/>
        <v/>
      </c>
      <c r="I579" s="37" t="str">
        <f t="shared" si="76"/>
        <v/>
      </c>
      <c r="J579" s="8" t="str">
        <f t="shared" si="77"/>
        <v/>
      </c>
      <c r="K579" s="38" t="str">
        <f t="shared" si="78"/>
        <v/>
      </c>
      <c r="N579" s="59" t="str">
        <f t="shared" si="80"/>
        <v/>
      </c>
      <c r="O579" s="59" t="str">
        <f t="shared" si="79"/>
        <v/>
      </c>
    </row>
    <row r="580" spans="3:15" x14ac:dyDescent="0.25">
      <c r="C580" s="47"/>
      <c r="D580" s="48"/>
      <c r="E580" s="7" t="str">
        <f t="shared" si="72"/>
        <v/>
      </c>
      <c r="F580" s="8" t="str">
        <f t="shared" si="73"/>
        <v/>
      </c>
      <c r="G580" s="8" t="str">
        <f t="shared" si="74"/>
        <v/>
      </c>
      <c r="H580" s="37" t="str">
        <f t="shared" si="75"/>
        <v/>
      </c>
      <c r="I580" s="37" t="str">
        <f t="shared" si="76"/>
        <v/>
      </c>
      <c r="J580" s="8" t="str">
        <f t="shared" si="77"/>
        <v/>
      </c>
      <c r="K580" s="38" t="str">
        <f t="shared" si="78"/>
        <v/>
      </c>
      <c r="N580" s="59" t="str">
        <f t="shared" si="80"/>
        <v/>
      </c>
      <c r="O580" s="59" t="str">
        <f t="shared" si="79"/>
        <v/>
      </c>
    </row>
    <row r="581" spans="3:15" x14ac:dyDescent="0.25">
      <c r="C581" s="47"/>
      <c r="D581" s="48"/>
      <c r="E581" s="7" t="str">
        <f t="shared" si="72"/>
        <v/>
      </c>
      <c r="F581" s="8" t="str">
        <f t="shared" si="73"/>
        <v/>
      </c>
      <c r="G581" s="8" t="str">
        <f t="shared" si="74"/>
        <v/>
      </c>
      <c r="H581" s="37" t="str">
        <f t="shared" si="75"/>
        <v/>
      </c>
      <c r="I581" s="37" t="str">
        <f t="shared" si="76"/>
        <v/>
      </c>
      <c r="J581" s="8" t="str">
        <f t="shared" si="77"/>
        <v/>
      </c>
      <c r="K581" s="38" t="str">
        <f t="shared" si="78"/>
        <v/>
      </c>
      <c r="N581" s="59" t="str">
        <f t="shared" si="80"/>
        <v/>
      </c>
      <c r="O581" s="59" t="str">
        <f t="shared" si="79"/>
        <v/>
      </c>
    </row>
    <row r="582" spans="3:15" x14ac:dyDescent="0.25">
      <c r="C582" s="47"/>
      <c r="D582" s="48"/>
      <c r="E582" s="7" t="str">
        <f t="shared" si="72"/>
        <v/>
      </c>
      <c r="F582" s="8" t="str">
        <f t="shared" si="73"/>
        <v/>
      </c>
      <c r="G582" s="8" t="str">
        <f t="shared" si="74"/>
        <v/>
      </c>
      <c r="H582" s="37" t="str">
        <f t="shared" si="75"/>
        <v/>
      </c>
      <c r="I582" s="37" t="str">
        <f t="shared" si="76"/>
        <v/>
      </c>
      <c r="J582" s="8" t="str">
        <f t="shared" si="77"/>
        <v/>
      </c>
      <c r="K582" s="38" t="str">
        <f t="shared" si="78"/>
        <v/>
      </c>
      <c r="N582" s="59" t="str">
        <f t="shared" si="80"/>
        <v/>
      </c>
      <c r="O582" s="59" t="str">
        <f t="shared" si="79"/>
        <v/>
      </c>
    </row>
    <row r="583" spans="3:15" x14ac:dyDescent="0.25">
      <c r="C583" s="47"/>
      <c r="D583" s="48"/>
      <c r="E583" s="7" t="str">
        <f t="shared" si="72"/>
        <v/>
      </c>
      <c r="F583" s="8" t="str">
        <f t="shared" si="73"/>
        <v/>
      </c>
      <c r="G583" s="8" t="str">
        <f t="shared" si="74"/>
        <v/>
      </c>
      <c r="H583" s="37" t="str">
        <f t="shared" si="75"/>
        <v/>
      </c>
      <c r="I583" s="37" t="str">
        <f t="shared" si="76"/>
        <v/>
      </c>
      <c r="J583" s="8" t="str">
        <f t="shared" si="77"/>
        <v/>
      </c>
      <c r="K583" s="38" t="str">
        <f t="shared" si="78"/>
        <v/>
      </c>
      <c r="N583" s="59" t="str">
        <f t="shared" si="80"/>
        <v/>
      </c>
      <c r="O583" s="59" t="str">
        <f t="shared" si="79"/>
        <v/>
      </c>
    </row>
    <row r="584" spans="3:15" x14ac:dyDescent="0.25">
      <c r="C584" s="47"/>
      <c r="D584" s="48"/>
      <c r="E584" s="7" t="str">
        <f t="shared" si="72"/>
        <v/>
      </c>
      <c r="F584" s="8" t="str">
        <f t="shared" si="73"/>
        <v/>
      </c>
      <c r="G584" s="8" t="str">
        <f t="shared" si="74"/>
        <v/>
      </c>
      <c r="H584" s="37" t="str">
        <f t="shared" si="75"/>
        <v/>
      </c>
      <c r="I584" s="37" t="str">
        <f t="shared" si="76"/>
        <v/>
      </c>
      <c r="J584" s="8" t="str">
        <f t="shared" si="77"/>
        <v/>
      </c>
      <c r="K584" s="38" t="str">
        <f t="shared" si="78"/>
        <v/>
      </c>
      <c r="N584" s="59" t="str">
        <f t="shared" si="80"/>
        <v/>
      </c>
      <c r="O584" s="59" t="str">
        <f t="shared" si="79"/>
        <v/>
      </c>
    </row>
    <row r="585" spans="3:15" x14ac:dyDescent="0.25">
      <c r="C585" s="47"/>
      <c r="D585" s="48"/>
      <c r="E585" s="7" t="str">
        <f t="shared" si="72"/>
        <v/>
      </c>
      <c r="F585" s="8" t="str">
        <f t="shared" si="73"/>
        <v/>
      </c>
      <c r="G585" s="8" t="str">
        <f t="shared" si="74"/>
        <v/>
      </c>
      <c r="H585" s="37" t="str">
        <f t="shared" si="75"/>
        <v/>
      </c>
      <c r="I585" s="37" t="str">
        <f t="shared" si="76"/>
        <v/>
      </c>
      <c r="J585" s="8" t="str">
        <f t="shared" si="77"/>
        <v/>
      </c>
      <c r="K585" s="38" t="str">
        <f t="shared" si="78"/>
        <v/>
      </c>
      <c r="N585" s="59" t="str">
        <f t="shared" si="80"/>
        <v/>
      </c>
      <c r="O585" s="59" t="str">
        <f t="shared" si="79"/>
        <v/>
      </c>
    </row>
    <row r="586" spans="3:15" x14ac:dyDescent="0.25">
      <c r="C586" s="47"/>
      <c r="D586" s="48"/>
      <c r="E586" s="7" t="str">
        <f t="shared" si="72"/>
        <v/>
      </c>
      <c r="F586" s="8" t="str">
        <f t="shared" si="73"/>
        <v/>
      </c>
      <c r="G586" s="8" t="str">
        <f t="shared" si="74"/>
        <v/>
      </c>
      <c r="H586" s="37" t="str">
        <f t="shared" si="75"/>
        <v/>
      </c>
      <c r="I586" s="37" t="str">
        <f t="shared" si="76"/>
        <v/>
      </c>
      <c r="J586" s="8" t="str">
        <f t="shared" si="77"/>
        <v/>
      </c>
      <c r="K586" s="38" t="str">
        <f t="shared" si="78"/>
        <v/>
      </c>
      <c r="N586" s="59" t="str">
        <f t="shared" si="80"/>
        <v/>
      </c>
      <c r="O586" s="59" t="str">
        <f t="shared" si="79"/>
        <v/>
      </c>
    </row>
    <row r="587" spans="3:15" x14ac:dyDescent="0.25">
      <c r="C587" s="47"/>
      <c r="D587" s="48"/>
      <c r="E587" s="7" t="str">
        <f t="shared" si="72"/>
        <v/>
      </c>
      <c r="F587" s="8" t="str">
        <f t="shared" si="73"/>
        <v/>
      </c>
      <c r="G587" s="8" t="str">
        <f t="shared" si="74"/>
        <v/>
      </c>
      <c r="H587" s="37" t="str">
        <f t="shared" si="75"/>
        <v/>
      </c>
      <c r="I587" s="37" t="str">
        <f t="shared" si="76"/>
        <v/>
      </c>
      <c r="J587" s="8" t="str">
        <f t="shared" si="77"/>
        <v/>
      </c>
      <c r="K587" s="38" t="str">
        <f t="shared" si="78"/>
        <v/>
      </c>
      <c r="N587" s="59" t="str">
        <f t="shared" si="80"/>
        <v/>
      </c>
      <c r="O587" s="59" t="str">
        <f t="shared" si="79"/>
        <v/>
      </c>
    </row>
    <row r="588" spans="3:15" x14ac:dyDescent="0.25">
      <c r="C588" s="47"/>
      <c r="D588" s="48"/>
      <c r="E588" s="7" t="str">
        <f t="shared" si="72"/>
        <v/>
      </c>
      <c r="F588" s="8" t="str">
        <f t="shared" si="73"/>
        <v/>
      </c>
      <c r="G588" s="8" t="str">
        <f t="shared" si="74"/>
        <v/>
      </c>
      <c r="H588" s="37" t="str">
        <f t="shared" si="75"/>
        <v/>
      </c>
      <c r="I588" s="37" t="str">
        <f t="shared" si="76"/>
        <v/>
      </c>
      <c r="J588" s="8" t="str">
        <f t="shared" si="77"/>
        <v/>
      </c>
      <c r="K588" s="38" t="str">
        <f t="shared" si="78"/>
        <v/>
      </c>
      <c r="N588" s="59" t="str">
        <f t="shared" si="80"/>
        <v/>
      </c>
      <c r="O588" s="59" t="str">
        <f t="shared" si="79"/>
        <v/>
      </c>
    </row>
    <row r="589" spans="3:15" x14ac:dyDescent="0.25">
      <c r="C589" s="47"/>
      <c r="D589" s="48"/>
      <c r="E589" s="7" t="str">
        <f t="shared" si="72"/>
        <v/>
      </c>
      <c r="F589" s="8" t="str">
        <f t="shared" si="73"/>
        <v/>
      </c>
      <c r="G589" s="8" t="str">
        <f t="shared" si="74"/>
        <v/>
      </c>
      <c r="H589" s="37" t="str">
        <f t="shared" si="75"/>
        <v/>
      </c>
      <c r="I589" s="37" t="str">
        <f t="shared" si="76"/>
        <v/>
      </c>
      <c r="J589" s="8" t="str">
        <f t="shared" si="77"/>
        <v/>
      </c>
      <c r="K589" s="38" t="str">
        <f t="shared" si="78"/>
        <v/>
      </c>
      <c r="N589" s="59" t="str">
        <f t="shared" si="80"/>
        <v/>
      </c>
      <c r="O589" s="59" t="str">
        <f t="shared" si="79"/>
        <v/>
      </c>
    </row>
    <row r="590" spans="3:15" x14ac:dyDescent="0.25">
      <c r="C590" s="47"/>
      <c r="D590" s="48"/>
      <c r="E590" s="7" t="str">
        <f t="shared" si="72"/>
        <v/>
      </c>
      <c r="F590" s="8" t="str">
        <f t="shared" si="73"/>
        <v/>
      </c>
      <c r="G590" s="8" t="str">
        <f t="shared" si="74"/>
        <v/>
      </c>
      <c r="H590" s="37" t="str">
        <f t="shared" si="75"/>
        <v/>
      </c>
      <c r="I590" s="37" t="str">
        <f t="shared" si="76"/>
        <v/>
      </c>
      <c r="J590" s="8" t="str">
        <f t="shared" si="77"/>
        <v/>
      </c>
      <c r="K590" s="38" t="str">
        <f t="shared" si="78"/>
        <v/>
      </c>
      <c r="N590" s="59" t="str">
        <f t="shared" si="80"/>
        <v/>
      </c>
      <c r="O590" s="59" t="str">
        <f t="shared" si="79"/>
        <v/>
      </c>
    </row>
    <row r="591" spans="3:15" x14ac:dyDescent="0.25">
      <c r="C591" s="47"/>
      <c r="D591" s="48"/>
      <c r="E591" s="7" t="str">
        <f t="shared" si="72"/>
        <v/>
      </c>
      <c r="F591" s="8" t="str">
        <f t="shared" si="73"/>
        <v/>
      </c>
      <c r="G591" s="8" t="str">
        <f t="shared" si="74"/>
        <v/>
      </c>
      <c r="H591" s="37" t="str">
        <f t="shared" si="75"/>
        <v/>
      </c>
      <c r="I591" s="37" t="str">
        <f t="shared" si="76"/>
        <v/>
      </c>
      <c r="J591" s="8" t="str">
        <f t="shared" si="77"/>
        <v/>
      </c>
      <c r="K591" s="38" t="str">
        <f t="shared" si="78"/>
        <v/>
      </c>
      <c r="N591" s="59" t="str">
        <f t="shared" si="80"/>
        <v/>
      </c>
      <c r="O591" s="59" t="str">
        <f t="shared" si="79"/>
        <v/>
      </c>
    </row>
    <row r="592" spans="3:15" x14ac:dyDescent="0.25">
      <c r="C592" s="47"/>
      <c r="D592" s="48"/>
      <c r="E592" s="7" t="str">
        <f t="shared" si="72"/>
        <v/>
      </c>
      <c r="F592" s="8" t="str">
        <f t="shared" si="73"/>
        <v/>
      </c>
      <c r="G592" s="8" t="str">
        <f t="shared" si="74"/>
        <v/>
      </c>
      <c r="H592" s="37" t="str">
        <f t="shared" si="75"/>
        <v/>
      </c>
      <c r="I592" s="37" t="str">
        <f t="shared" si="76"/>
        <v/>
      </c>
      <c r="J592" s="8" t="str">
        <f t="shared" si="77"/>
        <v/>
      </c>
      <c r="K592" s="38" t="str">
        <f t="shared" si="78"/>
        <v/>
      </c>
      <c r="N592" s="59" t="str">
        <f t="shared" si="80"/>
        <v/>
      </c>
      <c r="O592" s="59" t="str">
        <f t="shared" si="79"/>
        <v/>
      </c>
    </row>
    <row r="593" spans="3:15" x14ac:dyDescent="0.25">
      <c r="C593" s="47"/>
      <c r="D593" s="48"/>
      <c r="E593" s="7" t="str">
        <f t="shared" si="72"/>
        <v/>
      </c>
      <c r="F593" s="8" t="str">
        <f t="shared" si="73"/>
        <v/>
      </c>
      <c r="G593" s="8" t="str">
        <f t="shared" si="74"/>
        <v/>
      </c>
      <c r="H593" s="37" t="str">
        <f t="shared" si="75"/>
        <v/>
      </c>
      <c r="I593" s="37" t="str">
        <f t="shared" si="76"/>
        <v/>
      </c>
      <c r="J593" s="8" t="str">
        <f t="shared" si="77"/>
        <v/>
      </c>
      <c r="K593" s="38" t="str">
        <f t="shared" si="78"/>
        <v/>
      </c>
      <c r="N593" s="59" t="str">
        <f t="shared" si="80"/>
        <v/>
      </c>
      <c r="O593" s="59" t="str">
        <f t="shared" si="79"/>
        <v/>
      </c>
    </row>
    <row r="594" spans="3:15" x14ac:dyDescent="0.25">
      <c r="C594" s="47"/>
      <c r="D594" s="48"/>
      <c r="E594" s="7" t="str">
        <f t="shared" si="72"/>
        <v/>
      </c>
      <c r="F594" s="8" t="str">
        <f t="shared" si="73"/>
        <v/>
      </c>
      <c r="G594" s="8" t="str">
        <f t="shared" si="74"/>
        <v/>
      </c>
      <c r="H594" s="37" t="str">
        <f t="shared" si="75"/>
        <v/>
      </c>
      <c r="I594" s="37" t="str">
        <f t="shared" si="76"/>
        <v/>
      </c>
      <c r="J594" s="8" t="str">
        <f t="shared" si="77"/>
        <v/>
      </c>
      <c r="K594" s="38" t="str">
        <f t="shared" si="78"/>
        <v/>
      </c>
      <c r="N594" s="59" t="str">
        <f t="shared" si="80"/>
        <v/>
      </c>
      <c r="O594" s="59" t="str">
        <f t="shared" si="79"/>
        <v/>
      </c>
    </row>
    <row r="595" spans="3:15" x14ac:dyDescent="0.25">
      <c r="C595" s="47"/>
      <c r="D595" s="48"/>
      <c r="E595" s="7" t="str">
        <f t="shared" ref="E595:E658" si="81">IF(OR(DataRecebimento="",C595=""),"",IF(C595&lt;DataRecebimento,"ERRO!",C595+$F$9-$F$7))</f>
        <v/>
      </c>
      <c r="F595" s="8" t="str">
        <f t="shared" ref="F595:F658" si="82">IF(OR(TaxaJuros="",C595=""),"",IF(C595&lt;DataRecebimento,"DATA",-D595*E595*($F$8/30)))</f>
        <v/>
      </c>
      <c r="G595" s="8" t="str">
        <f t="shared" ref="G595:G658" si="83">IF(OR(TaxaJuros="",C595=""),"",IF(C595&lt;DataRecebimento,"NÃO",-$F$10))</f>
        <v/>
      </c>
      <c r="H595" s="37" t="str">
        <f t="shared" ref="H595:H658" si="84">IF(OR(TaxaJuros="",C595=""),"",IF(C595&lt;DataRecebimento,"PODE",IF(ComSemIOF=FALSE,0,IF(E595&gt;365,-(D595+F595)*365*IOFDiario,-(D595+F595)*E595*IOFDiario))))</f>
        <v/>
      </c>
      <c r="I595" s="37" t="str">
        <f t="shared" ref="I595:I658" si="85">IF(OR(TaxaJuros="",C595=""),"",IF(C595&lt;DataRecebimento,"SER",IF(ComSemIOF=FALSE,0,-(D595+F595)*IOFAdic)))</f>
        <v/>
      </c>
      <c r="J595" s="8" t="str">
        <f t="shared" ref="J595:J658" si="86">IF(OR(TaxaJuros="",C595=""),"",IF(C595&lt;DataRecebimento,"INFERIOR!",D595+SUM(F595:I595)))</f>
        <v/>
      </c>
      <c r="K595" s="38" t="str">
        <f t="shared" ref="K595:K658" si="87">IF(OR(TaxaJuros="",C595=""),"",IF(C595&lt;DataRecebimento,"ERRO!",100%-J595/D595))</f>
        <v/>
      </c>
      <c r="N595" s="59" t="str">
        <f t="shared" si="80"/>
        <v/>
      </c>
      <c r="O595" s="59" t="str">
        <f t="shared" ref="O595:O658" si="88">IF(N595="","",PV(TMA_Dia,E595,,-N595))</f>
        <v/>
      </c>
    </row>
    <row r="596" spans="3:15" x14ac:dyDescent="0.25">
      <c r="C596" s="47"/>
      <c r="D596" s="48"/>
      <c r="E596" s="7" t="str">
        <f t="shared" si="81"/>
        <v/>
      </c>
      <c r="F596" s="8" t="str">
        <f t="shared" si="82"/>
        <v/>
      </c>
      <c r="G596" s="8" t="str">
        <f t="shared" si="83"/>
        <v/>
      </c>
      <c r="H596" s="37" t="str">
        <f t="shared" si="84"/>
        <v/>
      </c>
      <c r="I596" s="37" t="str">
        <f t="shared" si="85"/>
        <v/>
      </c>
      <c r="J596" s="8" t="str">
        <f t="shared" si="86"/>
        <v/>
      </c>
      <c r="K596" s="38" t="str">
        <f t="shared" si="87"/>
        <v/>
      </c>
      <c r="N596" s="59" t="str">
        <f t="shared" ref="N596:N659" si="89">IF(C596="","",-D596)</f>
        <v/>
      </c>
      <c r="O596" s="59" t="str">
        <f t="shared" si="88"/>
        <v/>
      </c>
    </row>
    <row r="597" spans="3:15" x14ac:dyDescent="0.25">
      <c r="C597" s="47"/>
      <c r="D597" s="48"/>
      <c r="E597" s="7" t="str">
        <f t="shared" si="81"/>
        <v/>
      </c>
      <c r="F597" s="8" t="str">
        <f t="shared" si="82"/>
        <v/>
      </c>
      <c r="G597" s="8" t="str">
        <f t="shared" si="83"/>
        <v/>
      </c>
      <c r="H597" s="37" t="str">
        <f t="shared" si="84"/>
        <v/>
      </c>
      <c r="I597" s="37" t="str">
        <f t="shared" si="85"/>
        <v/>
      </c>
      <c r="J597" s="8" t="str">
        <f t="shared" si="86"/>
        <v/>
      </c>
      <c r="K597" s="38" t="str">
        <f t="shared" si="87"/>
        <v/>
      </c>
      <c r="N597" s="59" t="str">
        <f t="shared" si="89"/>
        <v/>
      </c>
      <c r="O597" s="59" t="str">
        <f t="shared" si="88"/>
        <v/>
      </c>
    </row>
    <row r="598" spans="3:15" x14ac:dyDescent="0.25">
      <c r="C598" s="47"/>
      <c r="D598" s="48"/>
      <c r="E598" s="7" t="str">
        <f t="shared" si="81"/>
        <v/>
      </c>
      <c r="F598" s="8" t="str">
        <f t="shared" si="82"/>
        <v/>
      </c>
      <c r="G598" s="8" t="str">
        <f t="shared" si="83"/>
        <v/>
      </c>
      <c r="H598" s="37" t="str">
        <f t="shared" si="84"/>
        <v/>
      </c>
      <c r="I598" s="37" t="str">
        <f t="shared" si="85"/>
        <v/>
      </c>
      <c r="J598" s="8" t="str">
        <f t="shared" si="86"/>
        <v/>
      </c>
      <c r="K598" s="38" t="str">
        <f t="shared" si="87"/>
        <v/>
      </c>
      <c r="N598" s="59" t="str">
        <f t="shared" si="89"/>
        <v/>
      </c>
      <c r="O598" s="59" t="str">
        <f t="shared" si="88"/>
        <v/>
      </c>
    </row>
    <row r="599" spans="3:15" x14ac:dyDescent="0.25">
      <c r="C599" s="47"/>
      <c r="D599" s="48"/>
      <c r="E599" s="7" t="str">
        <f t="shared" si="81"/>
        <v/>
      </c>
      <c r="F599" s="8" t="str">
        <f t="shared" si="82"/>
        <v/>
      </c>
      <c r="G599" s="8" t="str">
        <f t="shared" si="83"/>
        <v/>
      </c>
      <c r="H599" s="37" t="str">
        <f t="shared" si="84"/>
        <v/>
      </c>
      <c r="I599" s="37" t="str">
        <f t="shared" si="85"/>
        <v/>
      </c>
      <c r="J599" s="8" t="str">
        <f t="shared" si="86"/>
        <v/>
      </c>
      <c r="K599" s="38" t="str">
        <f t="shared" si="87"/>
        <v/>
      </c>
      <c r="N599" s="59" t="str">
        <f t="shared" si="89"/>
        <v/>
      </c>
      <c r="O599" s="59" t="str">
        <f t="shared" si="88"/>
        <v/>
      </c>
    </row>
    <row r="600" spans="3:15" x14ac:dyDescent="0.25">
      <c r="C600" s="47"/>
      <c r="D600" s="48"/>
      <c r="E600" s="7" t="str">
        <f t="shared" si="81"/>
        <v/>
      </c>
      <c r="F600" s="8" t="str">
        <f t="shared" si="82"/>
        <v/>
      </c>
      <c r="G600" s="8" t="str">
        <f t="shared" si="83"/>
        <v/>
      </c>
      <c r="H600" s="37" t="str">
        <f t="shared" si="84"/>
        <v/>
      </c>
      <c r="I600" s="37" t="str">
        <f t="shared" si="85"/>
        <v/>
      </c>
      <c r="J600" s="8" t="str">
        <f t="shared" si="86"/>
        <v/>
      </c>
      <c r="K600" s="38" t="str">
        <f t="shared" si="87"/>
        <v/>
      </c>
      <c r="N600" s="59" t="str">
        <f t="shared" si="89"/>
        <v/>
      </c>
      <c r="O600" s="59" t="str">
        <f t="shared" si="88"/>
        <v/>
      </c>
    </row>
    <row r="601" spans="3:15" x14ac:dyDescent="0.25">
      <c r="C601" s="47"/>
      <c r="D601" s="48"/>
      <c r="E601" s="7" t="str">
        <f t="shared" si="81"/>
        <v/>
      </c>
      <c r="F601" s="8" t="str">
        <f t="shared" si="82"/>
        <v/>
      </c>
      <c r="G601" s="8" t="str">
        <f t="shared" si="83"/>
        <v/>
      </c>
      <c r="H601" s="37" t="str">
        <f t="shared" si="84"/>
        <v/>
      </c>
      <c r="I601" s="37" t="str">
        <f t="shared" si="85"/>
        <v/>
      </c>
      <c r="J601" s="8" t="str">
        <f t="shared" si="86"/>
        <v/>
      </c>
      <c r="K601" s="38" t="str">
        <f t="shared" si="87"/>
        <v/>
      </c>
      <c r="N601" s="59" t="str">
        <f t="shared" si="89"/>
        <v/>
      </c>
      <c r="O601" s="59" t="str">
        <f t="shared" si="88"/>
        <v/>
      </c>
    </row>
    <row r="602" spans="3:15" x14ac:dyDescent="0.25">
      <c r="C602" s="47"/>
      <c r="D602" s="48"/>
      <c r="E602" s="7" t="str">
        <f t="shared" si="81"/>
        <v/>
      </c>
      <c r="F602" s="8" t="str">
        <f t="shared" si="82"/>
        <v/>
      </c>
      <c r="G602" s="8" t="str">
        <f t="shared" si="83"/>
        <v/>
      </c>
      <c r="H602" s="37" t="str">
        <f t="shared" si="84"/>
        <v/>
      </c>
      <c r="I602" s="37" t="str">
        <f t="shared" si="85"/>
        <v/>
      </c>
      <c r="J602" s="8" t="str">
        <f t="shared" si="86"/>
        <v/>
      </c>
      <c r="K602" s="38" t="str">
        <f t="shared" si="87"/>
        <v/>
      </c>
      <c r="N602" s="59" t="str">
        <f t="shared" si="89"/>
        <v/>
      </c>
      <c r="O602" s="59" t="str">
        <f t="shared" si="88"/>
        <v/>
      </c>
    </row>
    <row r="603" spans="3:15" x14ac:dyDescent="0.25">
      <c r="C603" s="47"/>
      <c r="D603" s="48"/>
      <c r="E603" s="7" t="str">
        <f t="shared" si="81"/>
        <v/>
      </c>
      <c r="F603" s="8" t="str">
        <f t="shared" si="82"/>
        <v/>
      </c>
      <c r="G603" s="8" t="str">
        <f t="shared" si="83"/>
        <v/>
      </c>
      <c r="H603" s="37" t="str">
        <f t="shared" si="84"/>
        <v/>
      </c>
      <c r="I603" s="37" t="str">
        <f t="shared" si="85"/>
        <v/>
      </c>
      <c r="J603" s="8" t="str">
        <f t="shared" si="86"/>
        <v/>
      </c>
      <c r="K603" s="38" t="str">
        <f t="shared" si="87"/>
        <v/>
      </c>
      <c r="N603" s="59" t="str">
        <f t="shared" si="89"/>
        <v/>
      </c>
      <c r="O603" s="59" t="str">
        <f t="shared" si="88"/>
        <v/>
      </c>
    </row>
    <row r="604" spans="3:15" x14ac:dyDescent="0.25">
      <c r="C604" s="47"/>
      <c r="D604" s="48"/>
      <c r="E604" s="7" t="str">
        <f t="shared" si="81"/>
        <v/>
      </c>
      <c r="F604" s="8" t="str">
        <f t="shared" si="82"/>
        <v/>
      </c>
      <c r="G604" s="8" t="str">
        <f t="shared" si="83"/>
        <v/>
      </c>
      <c r="H604" s="37" t="str">
        <f t="shared" si="84"/>
        <v/>
      </c>
      <c r="I604" s="37" t="str">
        <f t="shared" si="85"/>
        <v/>
      </c>
      <c r="J604" s="8" t="str">
        <f t="shared" si="86"/>
        <v/>
      </c>
      <c r="K604" s="38" t="str">
        <f t="shared" si="87"/>
        <v/>
      </c>
      <c r="N604" s="59" t="str">
        <f t="shared" si="89"/>
        <v/>
      </c>
      <c r="O604" s="59" t="str">
        <f t="shared" si="88"/>
        <v/>
      </c>
    </row>
    <row r="605" spans="3:15" x14ac:dyDescent="0.25">
      <c r="C605" s="47"/>
      <c r="D605" s="48"/>
      <c r="E605" s="7" t="str">
        <f t="shared" si="81"/>
        <v/>
      </c>
      <c r="F605" s="8" t="str">
        <f t="shared" si="82"/>
        <v/>
      </c>
      <c r="G605" s="8" t="str">
        <f t="shared" si="83"/>
        <v/>
      </c>
      <c r="H605" s="37" t="str">
        <f t="shared" si="84"/>
        <v/>
      </c>
      <c r="I605" s="37" t="str">
        <f t="shared" si="85"/>
        <v/>
      </c>
      <c r="J605" s="8" t="str">
        <f t="shared" si="86"/>
        <v/>
      </c>
      <c r="K605" s="38" t="str">
        <f t="shared" si="87"/>
        <v/>
      </c>
      <c r="N605" s="59" t="str">
        <f t="shared" si="89"/>
        <v/>
      </c>
      <c r="O605" s="59" t="str">
        <f t="shared" si="88"/>
        <v/>
      </c>
    </row>
    <row r="606" spans="3:15" x14ac:dyDescent="0.25">
      <c r="C606" s="47"/>
      <c r="D606" s="48"/>
      <c r="E606" s="7" t="str">
        <f t="shared" si="81"/>
        <v/>
      </c>
      <c r="F606" s="8" t="str">
        <f t="shared" si="82"/>
        <v/>
      </c>
      <c r="G606" s="8" t="str">
        <f t="shared" si="83"/>
        <v/>
      </c>
      <c r="H606" s="37" t="str">
        <f t="shared" si="84"/>
        <v/>
      </c>
      <c r="I606" s="37" t="str">
        <f t="shared" si="85"/>
        <v/>
      </c>
      <c r="J606" s="8" t="str">
        <f t="shared" si="86"/>
        <v/>
      </c>
      <c r="K606" s="38" t="str">
        <f t="shared" si="87"/>
        <v/>
      </c>
      <c r="N606" s="59" t="str">
        <f t="shared" si="89"/>
        <v/>
      </c>
      <c r="O606" s="59" t="str">
        <f t="shared" si="88"/>
        <v/>
      </c>
    </row>
    <row r="607" spans="3:15" x14ac:dyDescent="0.25">
      <c r="C607" s="47"/>
      <c r="D607" s="48"/>
      <c r="E607" s="7" t="str">
        <f t="shared" si="81"/>
        <v/>
      </c>
      <c r="F607" s="8" t="str">
        <f t="shared" si="82"/>
        <v/>
      </c>
      <c r="G607" s="8" t="str">
        <f t="shared" si="83"/>
        <v/>
      </c>
      <c r="H607" s="37" t="str">
        <f t="shared" si="84"/>
        <v/>
      </c>
      <c r="I607" s="37" t="str">
        <f t="shared" si="85"/>
        <v/>
      </c>
      <c r="J607" s="8" t="str">
        <f t="shared" si="86"/>
        <v/>
      </c>
      <c r="K607" s="38" t="str">
        <f t="shared" si="87"/>
        <v/>
      </c>
      <c r="N607" s="59" t="str">
        <f t="shared" si="89"/>
        <v/>
      </c>
      <c r="O607" s="59" t="str">
        <f t="shared" si="88"/>
        <v/>
      </c>
    </row>
    <row r="608" spans="3:15" x14ac:dyDescent="0.25">
      <c r="C608" s="47"/>
      <c r="D608" s="48"/>
      <c r="E608" s="7" t="str">
        <f t="shared" si="81"/>
        <v/>
      </c>
      <c r="F608" s="8" t="str">
        <f t="shared" si="82"/>
        <v/>
      </c>
      <c r="G608" s="8" t="str">
        <f t="shared" si="83"/>
        <v/>
      </c>
      <c r="H608" s="37" t="str">
        <f t="shared" si="84"/>
        <v/>
      </c>
      <c r="I608" s="37" t="str">
        <f t="shared" si="85"/>
        <v/>
      </c>
      <c r="J608" s="8" t="str">
        <f t="shared" si="86"/>
        <v/>
      </c>
      <c r="K608" s="38" t="str">
        <f t="shared" si="87"/>
        <v/>
      </c>
      <c r="N608" s="59" t="str">
        <f t="shared" si="89"/>
        <v/>
      </c>
      <c r="O608" s="59" t="str">
        <f t="shared" si="88"/>
        <v/>
      </c>
    </row>
    <row r="609" spans="3:15" x14ac:dyDescent="0.25">
      <c r="C609" s="47"/>
      <c r="D609" s="48"/>
      <c r="E609" s="7" t="str">
        <f t="shared" si="81"/>
        <v/>
      </c>
      <c r="F609" s="8" t="str">
        <f t="shared" si="82"/>
        <v/>
      </c>
      <c r="G609" s="8" t="str">
        <f t="shared" si="83"/>
        <v/>
      </c>
      <c r="H609" s="37" t="str">
        <f t="shared" si="84"/>
        <v/>
      </c>
      <c r="I609" s="37" t="str">
        <f t="shared" si="85"/>
        <v/>
      </c>
      <c r="J609" s="8" t="str">
        <f t="shared" si="86"/>
        <v/>
      </c>
      <c r="K609" s="38" t="str">
        <f t="shared" si="87"/>
        <v/>
      </c>
      <c r="N609" s="59" t="str">
        <f t="shared" si="89"/>
        <v/>
      </c>
      <c r="O609" s="59" t="str">
        <f t="shared" si="88"/>
        <v/>
      </c>
    </row>
    <row r="610" spans="3:15" x14ac:dyDescent="0.25">
      <c r="C610" s="47"/>
      <c r="D610" s="48"/>
      <c r="E610" s="7" t="str">
        <f t="shared" si="81"/>
        <v/>
      </c>
      <c r="F610" s="8" t="str">
        <f t="shared" si="82"/>
        <v/>
      </c>
      <c r="G610" s="8" t="str">
        <f t="shared" si="83"/>
        <v/>
      </c>
      <c r="H610" s="37" t="str">
        <f t="shared" si="84"/>
        <v/>
      </c>
      <c r="I610" s="37" t="str">
        <f t="shared" si="85"/>
        <v/>
      </c>
      <c r="J610" s="8" t="str">
        <f t="shared" si="86"/>
        <v/>
      </c>
      <c r="K610" s="38" t="str">
        <f t="shared" si="87"/>
        <v/>
      </c>
      <c r="N610" s="59" t="str">
        <f t="shared" si="89"/>
        <v/>
      </c>
      <c r="O610" s="59" t="str">
        <f t="shared" si="88"/>
        <v/>
      </c>
    </row>
    <row r="611" spans="3:15" x14ac:dyDescent="0.25">
      <c r="C611" s="47"/>
      <c r="D611" s="48"/>
      <c r="E611" s="7" t="str">
        <f t="shared" si="81"/>
        <v/>
      </c>
      <c r="F611" s="8" t="str">
        <f t="shared" si="82"/>
        <v/>
      </c>
      <c r="G611" s="8" t="str">
        <f t="shared" si="83"/>
        <v/>
      </c>
      <c r="H611" s="37" t="str">
        <f t="shared" si="84"/>
        <v/>
      </c>
      <c r="I611" s="37" t="str">
        <f t="shared" si="85"/>
        <v/>
      </c>
      <c r="J611" s="8" t="str">
        <f t="shared" si="86"/>
        <v/>
      </c>
      <c r="K611" s="38" t="str">
        <f t="shared" si="87"/>
        <v/>
      </c>
      <c r="N611" s="59" t="str">
        <f t="shared" si="89"/>
        <v/>
      </c>
      <c r="O611" s="59" t="str">
        <f t="shared" si="88"/>
        <v/>
      </c>
    </row>
    <row r="612" spans="3:15" x14ac:dyDescent="0.25">
      <c r="C612" s="47"/>
      <c r="D612" s="48"/>
      <c r="E612" s="7" t="str">
        <f t="shared" si="81"/>
        <v/>
      </c>
      <c r="F612" s="8" t="str">
        <f t="shared" si="82"/>
        <v/>
      </c>
      <c r="G612" s="8" t="str">
        <f t="shared" si="83"/>
        <v/>
      </c>
      <c r="H612" s="37" t="str">
        <f t="shared" si="84"/>
        <v/>
      </c>
      <c r="I612" s="37" t="str">
        <f t="shared" si="85"/>
        <v/>
      </c>
      <c r="J612" s="8" t="str">
        <f t="shared" si="86"/>
        <v/>
      </c>
      <c r="K612" s="38" t="str">
        <f t="shared" si="87"/>
        <v/>
      </c>
      <c r="N612" s="59" t="str">
        <f t="shared" si="89"/>
        <v/>
      </c>
      <c r="O612" s="59" t="str">
        <f t="shared" si="88"/>
        <v/>
      </c>
    </row>
    <row r="613" spans="3:15" x14ac:dyDescent="0.25">
      <c r="C613" s="47"/>
      <c r="D613" s="48"/>
      <c r="E613" s="7" t="str">
        <f t="shared" si="81"/>
        <v/>
      </c>
      <c r="F613" s="8" t="str">
        <f t="shared" si="82"/>
        <v/>
      </c>
      <c r="G613" s="8" t="str">
        <f t="shared" si="83"/>
        <v/>
      </c>
      <c r="H613" s="37" t="str">
        <f t="shared" si="84"/>
        <v/>
      </c>
      <c r="I613" s="37" t="str">
        <f t="shared" si="85"/>
        <v/>
      </c>
      <c r="J613" s="8" t="str">
        <f t="shared" si="86"/>
        <v/>
      </c>
      <c r="K613" s="38" t="str">
        <f t="shared" si="87"/>
        <v/>
      </c>
      <c r="N613" s="59" t="str">
        <f t="shared" si="89"/>
        <v/>
      </c>
      <c r="O613" s="59" t="str">
        <f t="shared" si="88"/>
        <v/>
      </c>
    </row>
    <row r="614" spans="3:15" x14ac:dyDescent="0.25">
      <c r="C614" s="47"/>
      <c r="D614" s="48"/>
      <c r="E614" s="7" t="str">
        <f t="shared" si="81"/>
        <v/>
      </c>
      <c r="F614" s="8" t="str">
        <f t="shared" si="82"/>
        <v/>
      </c>
      <c r="G614" s="8" t="str">
        <f t="shared" si="83"/>
        <v/>
      </c>
      <c r="H614" s="37" t="str">
        <f t="shared" si="84"/>
        <v/>
      </c>
      <c r="I614" s="37" t="str">
        <f t="shared" si="85"/>
        <v/>
      </c>
      <c r="J614" s="8" t="str">
        <f t="shared" si="86"/>
        <v/>
      </c>
      <c r="K614" s="38" t="str">
        <f t="shared" si="87"/>
        <v/>
      </c>
      <c r="N614" s="59" t="str">
        <f t="shared" si="89"/>
        <v/>
      </c>
      <c r="O614" s="59" t="str">
        <f t="shared" si="88"/>
        <v/>
      </c>
    </row>
    <row r="615" spans="3:15" x14ac:dyDescent="0.25">
      <c r="C615" s="47"/>
      <c r="D615" s="48"/>
      <c r="E615" s="7" t="str">
        <f t="shared" si="81"/>
        <v/>
      </c>
      <c r="F615" s="8" t="str">
        <f t="shared" si="82"/>
        <v/>
      </c>
      <c r="G615" s="8" t="str">
        <f t="shared" si="83"/>
        <v/>
      </c>
      <c r="H615" s="37" t="str">
        <f t="shared" si="84"/>
        <v/>
      </c>
      <c r="I615" s="37" t="str">
        <f t="shared" si="85"/>
        <v/>
      </c>
      <c r="J615" s="8" t="str">
        <f t="shared" si="86"/>
        <v/>
      </c>
      <c r="K615" s="38" t="str">
        <f t="shared" si="87"/>
        <v/>
      </c>
      <c r="N615" s="59" t="str">
        <f t="shared" si="89"/>
        <v/>
      </c>
      <c r="O615" s="59" t="str">
        <f t="shared" si="88"/>
        <v/>
      </c>
    </row>
    <row r="616" spans="3:15" x14ac:dyDescent="0.25">
      <c r="C616" s="47"/>
      <c r="D616" s="48"/>
      <c r="E616" s="7" t="str">
        <f t="shared" si="81"/>
        <v/>
      </c>
      <c r="F616" s="8" t="str">
        <f t="shared" si="82"/>
        <v/>
      </c>
      <c r="G616" s="8" t="str">
        <f t="shared" si="83"/>
        <v/>
      </c>
      <c r="H616" s="37" t="str">
        <f t="shared" si="84"/>
        <v/>
      </c>
      <c r="I616" s="37" t="str">
        <f t="shared" si="85"/>
        <v/>
      </c>
      <c r="J616" s="8" t="str">
        <f t="shared" si="86"/>
        <v/>
      </c>
      <c r="K616" s="38" t="str">
        <f t="shared" si="87"/>
        <v/>
      </c>
      <c r="N616" s="59" t="str">
        <f t="shared" si="89"/>
        <v/>
      </c>
      <c r="O616" s="59" t="str">
        <f t="shared" si="88"/>
        <v/>
      </c>
    </row>
    <row r="617" spans="3:15" x14ac:dyDescent="0.25">
      <c r="C617" s="47"/>
      <c r="D617" s="48"/>
      <c r="E617" s="7" t="str">
        <f t="shared" si="81"/>
        <v/>
      </c>
      <c r="F617" s="8" t="str">
        <f t="shared" si="82"/>
        <v/>
      </c>
      <c r="G617" s="8" t="str">
        <f t="shared" si="83"/>
        <v/>
      </c>
      <c r="H617" s="37" t="str">
        <f t="shared" si="84"/>
        <v/>
      </c>
      <c r="I617" s="37" t="str">
        <f t="shared" si="85"/>
        <v/>
      </c>
      <c r="J617" s="8" t="str">
        <f t="shared" si="86"/>
        <v/>
      </c>
      <c r="K617" s="38" t="str">
        <f t="shared" si="87"/>
        <v/>
      </c>
      <c r="N617" s="59" t="str">
        <f t="shared" si="89"/>
        <v/>
      </c>
      <c r="O617" s="59" t="str">
        <f t="shared" si="88"/>
        <v/>
      </c>
    </row>
    <row r="618" spans="3:15" x14ac:dyDescent="0.25">
      <c r="C618" s="47"/>
      <c r="D618" s="48"/>
      <c r="E618" s="7" t="str">
        <f t="shared" si="81"/>
        <v/>
      </c>
      <c r="F618" s="8" t="str">
        <f t="shared" si="82"/>
        <v/>
      </c>
      <c r="G618" s="8" t="str">
        <f t="shared" si="83"/>
        <v/>
      </c>
      <c r="H618" s="37" t="str">
        <f t="shared" si="84"/>
        <v/>
      </c>
      <c r="I618" s="37" t="str">
        <f t="shared" si="85"/>
        <v/>
      </c>
      <c r="J618" s="8" t="str">
        <f t="shared" si="86"/>
        <v/>
      </c>
      <c r="K618" s="38" t="str">
        <f t="shared" si="87"/>
        <v/>
      </c>
      <c r="N618" s="59" t="str">
        <f t="shared" si="89"/>
        <v/>
      </c>
      <c r="O618" s="59" t="str">
        <f t="shared" si="88"/>
        <v/>
      </c>
    </row>
    <row r="619" spans="3:15" x14ac:dyDescent="0.25">
      <c r="C619" s="47"/>
      <c r="D619" s="48"/>
      <c r="E619" s="7" t="str">
        <f t="shared" si="81"/>
        <v/>
      </c>
      <c r="F619" s="8" t="str">
        <f t="shared" si="82"/>
        <v/>
      </c>
      <c r="G619" s="8" t="str">
        <f t="shared" si="83"/>
        <v/>
      </c>
      <c r="H619" s="37" t="str">
        <f t="shared" si="84"/>
        <v/>
      </c>
      <c r="I619" s="37" t="str">
        <f t="shared" si="85"/>
        <v/>
      </c>
      <c r="J619" s="8" t="str">
        <f t="shared" si="86"/>
        <v/>
      </c>
      <c r="K619" s="38" t="str">
        <f t="shared" si="87"/>
        <v/>
      </c>
      <c r="N619" s="59" t="str">
        <f t="shared" si="89"/>
        <v/>
      </c>
      <c r="O619" s="59" t="str">
        <f t="shared" si="88"/>
        <v/>
      </c>
    </row>
    <row r="620" spans="3:15" x14ac:dyDescent="0.25">
      <c r="C620" s="47"/>
      <c r="D620" s="48"/>
      <c r="E620" s="7" t="str">
        <f t="shared" si="81"/>
        <v/>
      </c>
      <c r="F620" s="8" t="str">
        <f t="shared" si="82"/>
        <v/>
      </c>
      <c r="G620" s="8" t="str">
        <f t="shared" si="83"/>
        <v/>
      </c>
      <c r="H620" s="37" t="str">
        <f t="shared" si="84"/>
        <v/>
      </c>
      <c r="I620" s="37" t="str">
        <f t="shared" si="85"/>
        <v/>
      </c>
      <c r="J620" s="8" t="str">
        <f t="shared" si="86"/>
        <v/>
      </c>
      <c r="K620" s="38" t="str">
        <f t="shared" si="87"/>
        <v/>
      </c>
      <c r="N620" s="59" t="str">
        <f t="shared" si="89"/>
        <v/>
      </c>
      <c r="O620" s="59" t="str">
        <f t="shared" si="88"/>
        <v/>
      </c>
    </row>
    <row r="621" spans="3:15" x14ac:dyDescent="0.25">
      <c r="C621" s="47"/>
      <c r="D621" s="48"/>
      <c r="E621" s="7" t="str">
        <f t="shared" si="81"/>
        <v/>
      </c>
      <c r="F621" s="8" t="str">
        <f t="shared" si="82"/>
        <v/>
      </c>
      <c r="G621" s="8" t="str">
        <f t="shared" si="83"/>
        <v/>
      </c>
      <c r="H621" s="37" t="str">
        <f t="shared" si="84"/>
        <v/>
      </c>
      <c r="I621" s="37" t="str">
        <f t="shared" si="85"/>
        <v/>
      </c>
      <c r="J621" s="8" t="str">
        <f t="shared" si="86"/>
        <v/>
      </c>
      <c r="K621" s="38" t="str">
        <f t="shared" si="87"/>
        <v/>
      </c>
      <c r="N621" s="59" t="str">
        <f t="shared" si="89"/>
        <v/>
      </c>
      <c r="O621" s="59" t="str">
        <f t="shared" si="88"/>
        <v/>
      </c>
    </row>
    <row r="622" spans="3:15" x14ac:dyDescent="0.25">
      <c r="C622" s="47"/>
      <c r="D622" s="48"/>
      <c r="E622" s="7" t="str">
        <f t="shared" si="81"/>
        <v/>
      </c>
      <c r="F622" s="8" t="str">
        <f t="shared" si="82"/>
        <v/>
      </c>
      <c r="G622" s="8" t="str">
        <f t="shared" si="83"/>
        <v/>
      </c>
      <c r="H622" s="37" t="str">
        <f t="shared" si="84"/>
        <v/>
      </c>
      <c r="I622" s="37" t="str">
        <f t="shared" si="85"/>
        <v/>
      </c>
      <c r="J622" s="8" t="str">
        <f t="shared" si="86"/>
        <v/>
      </c>
      <c r="K622" s="38" t="str">
        <f t="shared" si="87"/>
        <v/>
      </c>
      <c r="N622" s="59" t="str">
        <f t="shared" si="89"/>
        <v/>
      </c>
      <c r="O622" s="59" t="str">
        <f t="shared" si="88"/>
        <v/>
      </c>
    </row>
    <row r="623" spans="3:15" x14ac:dyDescent="0.25">
      <c r="C623" s="47"/>
      <c r="D623" s="48"/>
      <c r="E623" s="7" t="str">
        <f t="shared" si="81"/>
        <v/>
      </c>
      <c r="F623" s="8" t="str">
        <f t="shared" si="82"/>
        <v/>
      </c>
      <c r="G623" s="8" t="str">
        <f t="shared" si="83"/>
        <v/>
      </c>
      <c r="H623" s="37" t="str">
        <f t="shared" si="84"/>
        <v/>
      </c>
      <c r="I623" s="37" t="str">
        <f t="shared" si="85"/>
        <v/>
      </c>
      <c r="J623" s="8" t="str">
        <f t="shared" si="86"/>
        <v/>
      </c>
      <c r="K623" s="38" t="str">
        <f t="shared" si="87"/>
        <v/>
      </c>
      <c r="N623" s="59" t="str">
        <f t="shared" si="89"/>
        <v/>
      </c>
      <c r="O623" s="59" t="str">
        <f t="shared" si="88"/>
        <v/>
      </c>
    </row>
    <row r="624" spans="3:15" x14ac:dyDescent="0.25">
      <c r="C624" s="47"/>
      <c r="D624" s="48"/>
      <c r="E624" s="7" t="str">
        <f t="shared" si="81"/>
        <v/>
      </c>
      <c r="F624" s="8" t="str">
        <f t="shared" si="82"/>
        <v/>
      </c>
      <c r="G624" s="8" t="str">
        <f t="shared" si="83"/>
        <v/>
      </c>
      <c r="H624" s="37" t="str">
        <f t="shared" si="84"/>
        <v/>
      </c>
      <c r="I624" s="37" t="str">
        <f t="shared" si="85"/>
        <v/>
      </c>
      <c r="J624" s="8" t="str">
        <f t="shared" si="86"/>
        <v/>
      </c>
      <c r="K624" s="38" t="str">
        <f t="shared" si="87"/>
        <v/>
      </c>
      <c r="N624" s="59" t="str">
        <f t="shared" si="89"/>
        <v/>
      </c>
      <c r="O624" s="59" t="str">
        <f t="shared" si="88"/>
        <v/>
      </c>
    </row>
    <row r="625" spans="3:15" x14ac:dyDescent="0.25">
      <c r="C625" s="47"/>
      <c r="D625" s="48"/>
      <c r="E625" s="7" t="str">
        <f t="shared" si="81"/>
        <v/>
      </c>
      <c r="F625" s="8" t="str">
        <f t="shared" si="82"/>
        <v/>
      </c>
      <c r="G625" s="8" t="str">
        <f t="shared" si="83"/>
        <v/>
      </c>
      <c r="H625" s="37" t="str">
        <f t="shared" si="84"/>
        <v/>
      </c>
      <c r="I625" s="37" t="str">
        <f t="shared" si="85"/>
        <v/>
      </c>
      <c r="J625" s="8" t="str">
        <f t="shared" si="86"/>
        <v/>
      </c>
      <c r="K625" s="38" t="str">
        <f t="shared" si="87"/>
        <v/>
      </c>
      <c r="N625" s="59" t="str">
        <f t="shared" si="89"/>
        <v/>
      </c>
      <c r="O625" s="59" t="str">
        <f t="shared" si="88"/>
        <v/>
      </c>
    </row>
    <row r="626" spans="3:15" x14ac:dyDescent="0.25">
      <c r="C626" s="47"/>
      <c r="D626" s="48"/>
      <c r="E626" s="7" t="str">
        <f t="shared" si="81"/>
        <v/>
      </c>
      <c r="F626" s="8" t="str">
        <f t="shared" si="82"/>
        <v/>
      </c>
      <c r="G626" s="8" t="str">
        <f t="shared" si="83"/>
        <v/>
      </c>
      <c r="H626" s="37" t="str">
        <f t="shared" si="84"/>
        <v/>
      </c>
      <c r="I626" s="37" t="str">
        <f t="shared" si="85"/>
        <v/>
      </c>
      <c r="J626" s="8" t="str">
        <f t="shared" si="86"/>
        <v/>
      </c>
      <c r="K626" s="38" t="str">
        <f t="shared" si="87"/>
        <v/>
      </c>
      <c r="N626" s="59" t="str">
        <f t="shared" si="89"/>
        <v/>
      </c>
      <c r="O626" s="59" t="str">
        <f t="shared" si="88"/>
        <v/>
      </c>
    </row>
    <row r="627" spans="3:15" x14ac:dyDescent="0.25">
      <c r="C627" s="47"/>
      <c r="D627" s="48"/>
      <c r="E627" s="7" t="str">
        <f t="shared" si="81"/>
        <v/>
      </c>
      <c r="F627" s="8" t="str">
        <f t="shared" si="82"/>
        <v/>
      </c>
      <c r="G627" s="8" t="str">
        <f t="shared" si="83"/>
        <v/>
      </c>
      <c r="H627" s="37" t="str">
        <f t="shared" si="84"/>
        <v/>
      </c>
      <c r="I627" s="37" t="str">
        <f t="shared" si="85"/>
        <v/>
      </c>
      <c r="J627" s="8" t="str">
        <f t="shared" si="86"/>
        <v/>
      </c>
      <c r="K627" s="38" t="str">
        <f t="shared" si="87"/>
        <v/>
      </c>
      <c r="N627" s="59" t="str">
        <f t="shared" si="89"/>
        <v/>
      </c>
      <c r="O627" s="59" t="str">
        <f t="shared" si="88"/>
        <v/>
      </c>
    </row>
    <row r="628" spans="3:15" x14ac:dyDescent="0.25">
      <c r="C628" s="47"/>
      <c r="D628" s="48"/>
      <c r="E628" s="7" t="str">
        <f t="shared" si="81"/>
        <v/>
      </c>
      <c r="F628" s="8" t="str">
        <f t="shared" si="82"/>
        <v/>
      </c>
      <c r="G628" s="8" t="str">
        <f t="shared" si="83"/>
        <v/>
      </c>
      <c r="H628" s="37" t="str">
        <f t="shared" si="84"/>
        <v/>
      </c>
      <c r="I628" s="37" t="str">
        <f t="shared" si="85"/>
        <v/>
      </c>
      <c r="J628" s="8" t="str">
        <f t="shared" si="86"/>
        <v/>
      </c>
      <c r="K628" s="38" t="str">
        <f t="shared" si="87"/>
        <v/>
      </c>
      <c r="N628" s="59" t="str">
        <f t="shared" si="89"/>
        <v/>
      </c>
      <c r="O628" s="59" t="str">
        <f t="shared" si="88"/>
        <v/>
      </c>
    </row>
    <row r="629" spans="3:15" x14ac:dyDescent="0.25">
      <c r="C629" s="47"/>
      <c r="D629" s="48"/>
      <c r="E629" s="7" t="str">
        <f t="shared" si="81"/>
        <v/>
      </c>
      <c r="F629" s="8" t="str">
        <f t="shared" si="82"/>
        <v/>
      </c>
      <c r="G629" s="8" t="str">
        <f t="shared" si="83"/>
        <v/>
      </c>
      <c r="H629" s="37" t="str">
        <f t="shared" si="84"/>
        <v/>
      </c>
      <c r="I629" s="37" t="str">
        <f t="shared" si="85"/>
        <v/>
      </c>
      <c r="J629" s="8" t="str">
        <f t="shared" si="86"/>
        <v/>
      </c>
      <c r="K629" s="38" t="str">
        <f t="shared" si="87"/>
        <v/>
      </c>
      <c r="N629" s="59" t="str">
        <f t="shared" si="89"/>
        <v/>
      </c>
      <c r="O629" s="59" t="str">
        <f t="shared" si="88"/>
        <v/>
      </c>
    </row>
    <row r="630" spans="3:15" x14ac:dyDescent="0.25">
      <c r="C630" s="47"/>
      <c r="D630" s="48"/>
      <c r="E630" s="7" t="str">
        <f t="shared" si="81"/>
        <v/>
      </c>
      <c r="F630" s="8" t="str">
        <f t="shared" si="82"/>
        <v/>
      </c>
      <c r="G630" s="8" t="str">
        <f t="shared" si="83"/>
        <v/>
      </c>
      <c r="H630" s="37" t="str">
        <f t="shared" si="84"/>
        <v/>
      </c>
      <c r="I630" s="37" t="str">
        <f t="shared" si="85"/>
        <v/>
      </c>
      <c r="J630" s="8" t="str">
        <f t="shared" si="86"/>
        <v/>
      </c>
      <c r="K630" s="38" t="str">
        <f t="shared" si="87"/>
        <v/>
      </c>
      <c r="N630" s="59" t="str">
        <f t="shared" si="89"/>
        <v/>
      </c>
      <c r="O630" s="59" t="str">
        <f t="shared" si="88"/>
        <v/>
      </c>
    </row>
    <row r="631" spans="3:15" x14ac:dyDescent="0.25">
      <c r="C631" s="47"/>
      <c r="D631" s="48"/>
      <c r="E631" s="7" t="str">
        <f t="shared" si="81"/>
        <v/>
      </c>
      <c r="F631" s="8" t="str">
        <f t="shared" si="82"/>
        <v/>
      </c>
      <c r="G631" s="8" t="str">
        <f t="shared" si="83"/>
        <v/>
      </c>
      <c r="H631" s="37" t="str">
        <f t="shared" si="84"/>
        <v/>
      </c>
      <c r="I631" s="37" t="str">
        <f t="shared" si="85"/>
        <v/>
      </c>
      <c r="J631" s="8" t="str">
        <f t="shared" si="86"/>
        <v/>
      </c>
      <c r="K631" s="38" t="str">
        <f t="shared" si="87"/>
        <v/>
      </c>
      <c r="N631" s="59" t="str">
        <f t="shared" si="89"/>
        <v/>
      </c>
      <c r="O631" s="59" t="str">
        <f t="shared" si="88"/>
        <v/>
      </c>
    </row>
    <row r="632" spans="3:15" x14ac:dyDescent="0.25">
      <c r="C632" s="47"/>
      <c r="D632" s="48"/>
      <c r="E632" s="7" t="str">
        <f t="shared" si="81"/>
        <v/>
      </c>
      <c r="F632" s="8" t="str">
        <f t="shared" si="82"/>
        <v/>
      </c>
      <c r="G632" s="8" t="str">
        <f t="shared" si="83"/>
        <v/>
      </c>
      <c r="H632" s="37" t="str">
        <f t="shared" si="84"/>
        <v/>
      </c>
      <c r="I632" s="37" t="str">
        <f t="shared" si="85"/>
        <v/>
      </c>
      <c r="J632" s="8" t="str">
        <f t="shared" si="86"/>
        <v/>
      </c>
      <c r="K632" s="38" t="str">
        <f t="shared" si="87"/>
        <v/>
      </c>
      <c r="N632" s="59" t="str">
        <f t="shared" si="89"/>
        <v/>
      </c>
      <c r="O632" s="59" t="str">
        <f t="shared" si="88"/>
        <v/>
      </c>
    </row>
    <row r="633" spans="3:15" x14ac:dyDescent="0.25">
      <c r="C633" s="47"/>
      <c r="D633" s="48"/>
      <c r="E633" s="7" t="str">
        <f t="shared" si="81"/>
        <v/>
      </c>
      <c r="F633" s="8" t="str">
        <f t="shared" si="82"/>
        <v/>
      </c>
      <c r="G633" s="8" t="str">
        <f t="shared" si="83"/>
        <v/>
      </c>
      <c r="H633" s="37" t="str">
        <f t="shared" si="84"/>
        <v/>
      </c>
      <c r="I633" s="37" t="str">
        <f t="shared" si="85"/>
        <v/>
      </c>
      <c r="J633" s="8" t="str">
        <f t="shared" si="86"/>
        <v/>
      </c>
      <c r="K633" s="38" t="str">
        <f t="shared" si="87"/>
        <v/>
      </c>
      <c r="N633" s="59" t="str">
        <f t="shared" si="89"/>
        <v/>
      </c>
      <c r="O633" s="59" t="str">
        <f t="shared" si="88"/>
        <v/>
      </c>
    </row>
    <row r="634" spans="3:15" x14ac:dyDescent="0.25">
      <c r="C634" s="47"/>
      <c r="D634" s="48"/>
      <c r="E634" s="7" t="str">
        <f t="shared" si="81"/>
        <v/>
      </c>
      <c r="F634" s="8" t="str">
        <f t="shared" si="82"/>
        <v/>
      </c>
      <c r="G634" s="8" t="str">
        <f t="shared" si="83"/>
        <v/>
      </c>
      <c r="H634" s="37" t="str">
        <f t="shared" si="84"/>
        <v/>
      </c>
      <c r="I634" s="37" t="str">
        <f t="shared" si="85"/>
        <v/>
      </c>
      <c r="J634" s="8" t="str">
        <f t="shared" si="86"/>
        <v/>
      </c>
      <c r="K634" s="38" t="str">
        <f t="shared" si="87"/>
        <v/>
      </c>
      <c r="N634" s="59" t="str">
        <f t="shared" si="89"/>
        <v/>
      </c>
      <c r="O634" s="59" t="str">
        <f t="shared" si="88"/>
        <v/>
      </c>
    </row>
    <row r="635" spans="3:15" x14ac:dyDescent="0.25">
      <c r="C635" s="47"/>
      <c r="D635" s="48"/>
      <c r="E635" s="7" t="str">
        <f t="shared" si="81"/>
        <v/>
      </c>
      <c r="F635" s="8" t="str">
        <f t="shared" si="82"/>
        <v/>
      </c>
      <c r="G635" s="8" t="str">
        <f t="shared" si="83"/>
        <v/>
      </c>
      <c r="H635" s="37" t="str">
        <f t="shared" si="84"/>
        <v/>
      </c>
      <c r="I635" s="37" t="str">
        <f t="shared" si="85"/>
        <v/>
      </c>
      <c r="J635" s="8" t="str">
        <f t="shared" si="86"/>
        <v/>
      </c>
      <c r="K635" s="38" t="str">
        <f t="shared" si="87"/>
        <v/>
      </c>
      <c r="N635" s="59" t="str">
        <f t="shared" si="89"/>
        <v/>
      </c>
      <c r="O635" s="59" t="str">
        <f t="shared" si="88"/>
        <v/>
      </c>
    </row>
    <row r="636" spans="3:15" x14ac:dyDescent="0.25">
      <c r="C636" s="47"/>
      <c r="D636" s="48"/>
      <c r="E636" s="7" t="str">
        <f t="shared" si="81"/>
        <v/>
      </c>
      <c r="F636" s="8" t="str">
        <f t="shared" si="82"/>
        <v/>
      </c>
      <c r="G636" s="8" t="str">
        <f t="shared" si="83"/>
        <v/>
      </c>
      <c r="H636" s="37" t="str">
        <f t="shared" si="84"/>
        <v/>
      </c>
      <c r="I636" s="37" t="str">
        <f t="shared" si="85"/>
        <v/>
      </c>
      <c r="J636" s="8" t="str">
        <f t="shared" si="86"/>
        <v/>
      </c>
      <c r="K636" s="38" t="str">
        <f t="shared" si="87"/>
        <v/>
      </c>
      <c r="N636" s="59" t="str">
        <f t="shared" si="89"/>
        <v/>
      </c>
      <c r="O636" s="59" t="str">
        <f t="shared" si="88"/>
        <v/>
      </c>
    </row>
    <row r="637" spans="3:15" x14ac:dyDescent="0.25">
      <c r="C637" s="47"/>
      <c r="D637" s="48"/>
      <c r="E637" s="7" t="str">
        <f t="shared" si="81"/>
        <v/>
      </c>
      <c r="F637" s="8" t="str">
        <f t="shared" si="82"/>
        <v/>
      </c>
      <c r="G637" s="8" t="str">
        <f t="shared" si="83"/>
        <v/>
      </c>
      <c r="H637" s="37" t="str">
        <f t="shared" si="84"/>
        <v/>
      </c>
      <c r="I637" s="37" t="str">
        <f t="shared" si="85"/>
        <v/>
      </c>
      <c r="J637" s="8" t="str">
        <f t="shared" si="86"/>
        <v/>
      </c>
      <c r="K637" s="38" t="str">
        <f t="shared" si="87"/>
        <v/>
      </c>
      <c r="N637" s="59" t="str">
        <f t="shared" si="89"/>
        <v/>
      </c>
      <c r="O637" s="59" t="str">
        <f t="shared" si="88"/>
        <v/>
      </c>
    </row>
    <row r="638" spans="3:15" x14ac:dyDescent="0.25">
      <c r="C638" s="47"/>
      <c r="D638" s="48"/>
      <c r="E638" s="7" t="str">
        <f t="shared" si="81"/>
        <v/>
      </c>
      <c r="F638" s="8" t="str">
        <f t="shared" si="82"/>
        <v/>
      </c>
      <c r="G638" s="8" t="str">
        <f t="shared" si="83"/>
        <v/>
      </c>
      <c r="H638" s="37" t="str">
        <f t="shared" si="84"/>
        <v/>
      </c>
      <c r="I638" s="37" t="str">
        <f t="shared" si="85"/>
        <v/>
      </c>
      <c r="J638" s="8" t="str">
        <f t="shared" si="86"/>
        <v/>
      </c>
      <c r="K638" s="38" t="str">
        <f t="shared" si="87"/>
        <v/>
      </c>
      <c r="N638" s="59" t="str">
        <f t="shared" si="89"/>
        <v/>
      </c>
      <c r="O638" s="59" t="str">
        <f t="shared" si="88"/>
        <v/>
      </c>
    </row>
    <row r="639" spans="3:15" x14ac:dyDescent="0.25">
      <c r="C639" s="47"/>
      <c r="D639" s="48"/>
      <c r="E639" s="7" t="str">
        <f t="shared" si="81"/>
        <v/>
      </c>
      <c r="F639" s="8" t="str">
        <f t="shared" si="82"/>
        <v/>
      </c>
      <c r="G639" s="8" t="str">
        <f t="shared" si="83"/>
        <v/>
      </c>
      <c r="H639" s="37" t="str">
        <f t="shared" si="84"/>
        <v/>
      </c>
      <c r="I639" s="37" t="str">
        <f t="shared" si="85"/>
        <v/>
      </c>
      <c r="J639" s="8" t="str">
        <f t="shared" si="86"/>
        <v/>
      </c>
      <c r="K639" s="38" t="str">
        <f t="shared" si="87"/>
        <v/>
      </c>
      <c r="N639" s="59" t="str">
        <f t="shared" si="89"/>
        <v/>
      </c>
      <c r="O639" s="59" t="str">
        <f t="shared" si="88"/>
        <v/>
      </c>
    </row>
    <row r="640" spans="3:15" x14ac:dyDescent="0.25">
      <c r="C640" s="47"/>
      <c r="D640" s="48"/>
      <c r="E640" s="7" t="str">
        <f t="shared" si="81"/>
        <v/>
      </c>
      <c r="F640" s="8" t="str">
        <f t="shared" si="82"/>
        <v/>
      </c>
      <c r="G640" s="8" t="str">
        <f t="shared" si="83"/>
        <v/>
      </c>
      <c r="H640" s="37" t="str">
        <f t="shared" si="84"/>
        <v/>
      </c>
      <c r="I640" s="37" t="str">
        <f t="shared" si="85"/>
        <v/>
      </c>
      <c r="J640" s="8" t="str">
        <f t="shared" si="86"/>
        <v/>
      </c>
      <c r="K640" s="38" t="str">
        <f t="shared" si="87"/>
        <v/>
      </c>
      <c r="N640" s="59" t="str">
        <f t="shared" si="89"/>
        <v/>
      </c>
      <c r="O640" s="59" t="str">
        <f t="shared" si="88"/>
        <v/>
      </c>
    </row>
    <row r="641" spans="3:15" x14ac:dyDescent="0.25">
      <c r="C641" s="47"/>
      <c r="D641" s="48"/>
      <c r="E641" s="7" t="str">
        <f t="shared" si="81"/>
        <v/>
      </c>
      <c r="F641" s="8" t="str">
        <f t="shared" si="82"/>
        <v/>
      </c>
      <c r="G641" s="8" t="str">
        <f t="shared" si="83"/>
        <v/>
      </c>
      <c r="H641" s="37" t="str">
        <f t="shared" si="84"/>
        <v/>
      </c>
      <c r="I641" s="37" t="str">
        <f t="shared" si="85"/>
        <v/>
      </c>
      <c r="J641" s="8" t="str">
        <f t="shared" si="86"/>
        <v/>
      </c>
      <c r="K641" s="38" t="str">
        <f t="shared" si="87"/>
        <v/>
      </c>
      <c r="N641" s="59" t="str">
        <f t="shared" si="89"/>
        <v/>
      </c>
      <c r="O641" s="59" t="str">
        <f t="shared" si="88"/>
        <v/>
      </c>
    </row>
    <row r="642" spans="3:15" x14ac:dyDescent="0.25">
      <c r="C642" s="47"/>
      <c r="D642" s="48"/>
      <c r="E642" s="7" t="str">
        <f t="shared" si="81"/>
        <v/>
      </c>
      <c r="F642" s="8" t="str">
        <f t="shared" si="82"/>
        <v/>
      </c>
      <c r="G642" s="8" t="str">
        <f t="shared" si="83"/>
        <v/>
      </c>
      <c r="H642" s="37" t="str">
        <f t="shared" si="84"/>
        <v/>
      </c>
      <c r="I642" s="37" t="str">
        <f t="shared" si="85"/>
        <v/>
      </c>
      <c r="J642" s="8" t="str">
        <f t="shared" si="86"/>
        <v/>
      </c>
      <c r="K642" s="38" t="str">
        <f t="shared" si="87"/>
        <v/>
      </c>
      <c r="N642" s="59" t="str">
        <f t="shared" si="89"/>
        <v/>
      </c>
      <c r="O642" s="59" t="str">
        <f t="shared" si="88"/>
        <v/>
      </c>
    </row>
    <row r="643" spans="3:15" x14ac:dyDescent="0.25">
      <c r="C643" s="47"/>
      <c r="D643" s="48"/>
      <c r="E643" s="7" t="str">
        <f t="shared" si="81"/>
        <v/>
      </c>
      <c r="F643" s="8" t="str">
        <f t="shared" si="82"/>
        <v/>
      </c>
      <c r="G643" s="8" t="str">
        <f t="shared" si="83"/>
        <v/>
      </c>
      <c r="H643" s="37" t="str">
        <f t="shared" si="84"/>
        <v/>
      </c>
      <c r="I643" s="37" t="str">
        <f t="shared" si="85"/>
        <v/>
      </c>
      <c r="J643" s="8" t="str">
        <f t="shared" si="86"/>
        <v/>
      </c>
      <c r="K643" s="38" t="str">
        <f t="shared" si="87"/>
        <v/>
      </c>
      <c r="N643" s="59" t="str">
        <f t="shared" si="89"/>
        <v/>
      </c>
      <c r="O643" s="59" t="str">
        <f t="shared" si="88"/>
        <v/>
      </c>
    </row>
    <row r="644" spans="3:15" x14ac:dyDescent="0.25">
      <c r="C644" s="47"/>
      <c r="D644" s="48"/>
      <c r="E644" s="7" t="str">
        <f t="shared" si="81"/>
        <v/>
      </c>
      <c r="F644" s="8" t="str">
        <f t="shared" si="82"/>
        <v/>
      </c>
      <c r="G644" s="8" t="str">
        <f t="shared" si="83"/>
        <v/>
      </c>
      <c r="H644" s="37" t="str">
        <f t="shared" si="84"/>
        <v/>
      </c>
      <c r="I644" s="37" t="str">
        <f t="shared" si="85"/>
        <v/>
      </c>
      <c r="J644" s="8" t="str">
        <f t="shared" si="86"/>
        <v/>
      </c>
      <c r="K644" s="38" t="str">
        <f t="shared" si="87"/>
        <v/>
      </c>
      <c r="N644" s="59" t="str">
        <f t="shared" si="89"/>
        <v/>
      </c>
      <c r="O644" s="59" t="str">
        <f t="shared" si="88"/>
        <v/>
      </c>
    </row>
    <row r="645" spans="3:15" x14ac:dyDescent="0.25">
      <c r="C645" s="47"/>
      <c r="D645" s="48"/>
      <c r="E645" s="7" t="str">
        <f t="shared" si="81"/>
        <v/>
      </c>
      <c r="F645" s="8" t="str">
        <f t="shared" si="82"/>
        <v/>
      </c>
      <c r="G645" s="8" t="str">
        <f t="shared" si="83"/>
        <v/>
      </c>
      <c r="H645" s="37" t="str">
        <f t="shared" si="84"/>
        <v/>
      </c>
      <c r="I645" s="37" t="str">
        <f t="shared" si="85"/>
        <v/>
      </c>
      <c r="J645" s="8" t="str">
        <f t="shared" si="86"/>
        <v/>
      </c>
      <c r="K645" s="38" t="str">
        <f t="shared" si="87"/>
        <v/>
      </c>
      <c r="N645" s="59" t="str">
        <f t="shared" si="89"/>
        <v/>
      </c>
      <c r="O645" s="59" t="str">
        <f t="shared" si="88"/>
        <v/>
      </c>
    </row>
    <row r="646" spans="3:15" x14ac:dyDescent="0.25">
      <c r="C646" s="47"/>
      <c r="D646" s="48"/>
      <c r="E646" s="7" t="str">
        <f t="shared" si="81"/>
        <v/>
      </c>
      <c r="F646" s="8" t="str">
        <f t="shared" si="82"/>
        <v/>
      </c>
      <c r="G646" s="8" t="str">
        <f t="shared" si="83"/>
        <v/>
      </c>
      <c r="H646" s="37" t="str">
        <f t="shared" si="84"/>
        <v/>
      </c>
      <c r="I646" s="37" t="str">
        <f t="shared" si="85"/>
        <v/>
      </c>
      <c r="J646" s="8" t="str">
        <f t="shared" si="86"/>
        <v/>
      </c>
      <c r="K646" s="38" t="str">
        <f t="shared" si="87"/>
        <v/>
      </c>
      <c r="N646" s="59" t="str">
        <f t="shared" si="89"/>
        <v/>
      </c>
      <c r="O646" s="59" t="str">
        <f t="shared" si="88"/>
        <v/>
      </c>
    </row>
    <row r="647" spans="3:15" x14ac:dyDescent="0.25">
      <c r="C647" s="47"/>
      <c r="D647" s="48"/>
      <c r="E647" s="7" t="str">
        <f t="shared" si="81"/>
        <v/>
      </c>
      <c r="F647" s="8" t="str">
        <f t="shared" si="82"/>
        <v/>
      </c>
      <c r="G647" s="8" t="str">
        <f t="shared" si="83"/>
        <v/>
      </c>
      <c r="H647" s="37" t="str">
        <f t="shared" si="84"/>
        <v/>
      </c>
      <c r="I647" s="37" t="str">
        <f t="shared" si="85"/>
        <v/>
      </c>
      <c r="J647" s="8" t="str">
        <f t="shared" si="86"/>
        <v/>
      </c>
      <c r="K647" s="38" t="str">
        <f t="shared" si="87"/>
        <v/>
      </c>
      <c r="N647" s="59" t="str">
        <f t="shared" si="89"/>
        <v/>
      </c>
      <c r="O647" s="59" t="str">
        <f t="shared" si="88"/>
        <v/>
      </c>
    </row>
    <row r="648" spans="3:15" x14ac:dyDescent="0.25">
      <c r="C648" s="47"/>
      <c r="D648" s="48"/>
      <c r="E648" s="7" t="str">
        <f t="shared" si="81"/>
        <v/>
      </c>
      <c r="F648" s="8" t="str">
        <f t="shared" si="82"/>
        <v/>
      </c>
      <c r="G648" s="8" t="str">
        <f t="shared" si="83"/>
        <v/>
      </c>
      <c r="H648" s="37" t="str">
        <f t="shared" si="84"/>
        <v/>
      </c>
      <c r="I648" s="37" t="str">
        <f t="shared" si="85"/>
        <v/>
      </c>
      <c r="J648" s="8" t="str">
        <f t="shared" si="86"/>
        <v/>
      </c>
      <c r="K648" s="38" t="str">
        <f t="shared" si="87"/>
        <v/>
      </c>
      <c r="N648" s="59" t="str">
        <f t="shared" si="89"/>
        <v/>
      </c>
      <c r="O648" s="59" t="str">
        <f t="shared" si="88"/>
        <v/>
      </c>
    </row>
    <row r="649" spans="3:15" x14ac:dyDescent="0.25">
      <c r="C649" s="47"/>
      <c r="D649" s="48"/>
      <c r="E649" s="7" t="str">
        <f t="shared" si="81"/>
        <v/>
      </c>
      <c r="F649" s="8" t="str">
        <f t="shared" si="82"/>
        <v/>
      </c>
      <c r="G649" s="8" t="str">
        <f t="shared" si="83"/>
        <v/>
      </c>
      <c r="H649" s="37" t="str">
        <f t="shared" si="84"/>
        <v/>
      </c>
      <c r="I649" s="37" t="str">
        <f t="shared" si="85"/>
        <v/>
      </c>
      <c r="J649" s="8" t="str">
        <f t="shared" si="86"/>
        <v/>
      </c>
      <c r="K649" s="38" t="str">
        <f t="shared" si="87"/>
        <v/>
      </c>
      <c r="N649" s="59" t="str">
        <f t="shared" si="89"/>
        <v/>
      </c>
      <c r="O649" s="59" t="str">
        <f t="shared" si="88"/>
        <v/>
      </c>
    </row>
    <row r="650" spans="3:15" x14ac:dyDescent="0.25">
      <c r="C650" s="47"/>
      <c r="D650" s="48"/>
      <c r="E650" s="7" t="str">
        <f t="shared" si="81"/>
        <v/>
      </c>
      <c r="F650" s="8" t="str">
        <f t="shared" si="82"/>
        <v/>
      </c>
      <c r="G650" s="8" t="str">
        <f t="shared" si="83"/>
        <v/>
      </c>
      <c r="H650" s="37" t="str">
        <f t="shared" si="84"/>
        <v/>
      </c>
      <c r="I650" s="37" t="str">
        <f t="shared" si="85"/>
        <v/>
      </c>
      <c r="J650" s="8" t="str">
        <f t="shared" si="86"/>
        <v/>
      </c>
      <c r="K650" s="38" t="str">
        <f t="shared" si="87"/>
        <v/>
      </c>
      <c r="N650" s="59" t="str">
        <f t="shared" si="89"/>
        <v/>
      </c>
      <c r="O650" s="59" t="str">
        <f t="shared" si="88"/>
        <v/>
      </c>
    </row>
    <row r="651" spans="3:15" x14ac:dyDescent="0.25">
      <c r="C651" s="47"/>
      <c r="D651" s="48"/>
      <c r="E651" s="7" t="str">
        <f t="shared" si="81"/>
        <v/>
      </c>
      <c r="F651" s="8" t="str">
        <f t="shared" si="82"/>
        <v/>
      </c>
      <c r="G651" s="8" t="str">
        <f t="shared" si="83"/>
        <v/>
      </c>
      <c r="H651" s="37" t="str">
        <f t="shared" si="84"/>
        <v/>
      </c>
      <c r="I651" s="37" t="str">
        <f t="shared" si="85"/>
        <v/>
      </c>
      <c r="J651" s="8" t="str">
        <f t="shared" si="86"/>
        <v/>
      </c>
      <c r="K651" s="38" t="str">
        <f t="shared" si="87"/>
        <v/>
      </c>
      <c r="N651" s="59" t="str">
        <f t="shared" si="89"/>
        <v/>
      </c>
      <c r="O651" s="59" t="str">
        <f t="shared" si="88"/>
        <v/>
      </c>
    </row>
    <row r="652" spans="3:15" x14ac:dyDescent="0.25">
      <c r="C652" s="47"/>
      <c r="D652" s="48"/>
      <c r="E652" s="7" t="str">
        <f t="shared" si="81"/>
        <v/>
      </c>
      <c r="F652" s="8" t="str">
        <f t="shared" si="82"/>
        <v/>
      </c>
      <c r="G652" s="8" t="str">
        <f t="shared" si="83"/>
        <v/>
      </c>
      <c r="H652" s="37" t="str">
        <f t="shared" si="84"/>
        <v/>
      </c>
      <c r="I652" s="37" t="str">
        <f t="shared" si="85"/>
        <v/>
      </c>
      <c r="J652" s="8" t="str">
        <f t="shared" si="86"/>
        <v/>
      </c>
      <c r="K652" s="38" t="str">
        <f t="shared" si="87"/>
        <v/>
      </c>
      <c r="N652" s="59" t="str">
        <f t="shared" si="89"/>
        <v/>
      </c>
      <c r="O652" s="59" t="str">
        <f t="shared" si="88"/>
        <v/>
      </c>
    </row>
    <row r="653" spans="3:15" x14ac:dyDescent="0.25">
      <c r="C653" s="47"/>
      <c r="D653" s="48"/>
      <c r="E653" s="7" t="str">
        <f t="shared" si="81"/>
        <v/>
      </c>
      <c r="F653" s="8" t="str">
        <f t="shared" si="82"/>
        <v/>
      </c>
      <c r="G653" s="8" t="str">
        <f t="shared" si="83"/>
        <v/>
      </c>
      <c r="H653" s="37" t="str">
        <f t="shared" si="84"/>
        <v/>
      </c>
      <c r="I653" s="37" t="str">
        <f t="shared" si="85"/>
        <v/>
      </c>
      <c r="J653" s="8" t="str">
        <f t="shared" si="86"/>
        <v/>
      </c>
      <c r="K653" s="38" t="str">
        <f t="shared" si="87"/>
        <v/>
      </c>
      <c r="N653" s="59" t="str">
        <f t="shared" si="89"/>
        <v/>
      </c>
      <c r="O653" s="59" t="str">
        <f t="shared" si="88"/>
        <v/>
      </c>
    </row>
    <row r="654" spans="3:15" x14ac:dyDescent="0.25">
      <c r="C654" s="47"/>
      <c r="D654" s="48"/>
      <c r="E654" s="7" t="str">
        <f t="shared" si="81"/>
        <v/>
      </c>
      <c r="F654" s="8" t="str">
        <f t="shared" si="82"/>
        <v/>
      </c>
      <c r="G654" s="8" t="str">
        <f t="shared" si="83"/>
        <v/>
      </c>
      <c r="H654" s="37" t="str">
        <f t="shared" si="84"/>
        <v/>
      </c>
      <c r="I654" s="37" t="str">
        <f t="shared" si="85"/>
        <v/>
      </c>
      <c r="J654" s="8" t="str">
        <f t="shared" si="86"/>
        <v/>
      </c>
      <c r="K654" s="38" t="str">
        <f t="shared" si="87"/>
        <v/>
      </c>
      <c r="N654" s="59" t="str">
        <f t="shared" si="89"/>
        <v/>
      </c>
      <c r="O654" s="59" t="str">
        <f t="shared" si="88"/>
        <v/>
      </c>
    </row>
    <row r="655" spans="3:15" x14ac:dyDescent="0.25">
      <c r="C655" s="47"/>
      <c r="D655" s="48"/>
      <c r="E655" s="7" t="str">
        <f t="shared" si="81"/>
        <v/>
      </c>
      <c r="F655" s="8" t="str">
        <f t="shared" si="82"/>
        <v/>
      </c>
      <c r="G655" s="8" t="str">
        <f t="shared" si="83"/>
        <v/>
      </c>
      <c r="H655" s="37" t="str">
        <f t="shared" si="84"/>
        <v/>
      </c>
      <c r="I655" s="37" t="str">
        <f t="shared" si="85"/>
        <v/>
      </c>
      <c r="J655" s="8" t="str">
        <f t="shared" si="86"/>
        <v/>
      </c>
      <c r="K655" s="38" t="str">
        <f t="shared" si="87"/>
        <v/>
      </c>
      <c r="N655" s="59" t="str">
        <f t="shared" si="89"/>
        <v/>
      </c>
      <c r="O655" s="59" t="str">
        <f t="shared" si="88"/>
        <v/>
      </c>
    </row>
    <row r="656" spans="3:15" x14ac:dyDescent="0.25">
      <c r="C656" s="47"/>
      <c r="D656" s="48"/>
      <c r="E656" s="7" t="str">
        <f t="shared" si="81"/>
        <v/>
      </c>
      <c r="F656" s="8" t="str">
        <f t="shared" si="82"/>
        <v/>
      </c>
      <c r="G656" s="8" t="str">
        <f t="shared" si="83"/>
        <v/>
      </c>
      <c r="H656" s="37" t="str">
        <f t="shared" si="84"/>
        <v/>
      </c>
      <c r="I656" s="37" t="str">
        <f t="shared" si="85"/>
        <v/>
      </c>
      <c r="J656" s="8" t="str">
        <f t="shared" si="86"/>
        <v/>
      </c>
      <c r="K656" s="38" t="str">
        <f t="shared" si="87"/>
        <v/>
      </c>
      <c r="N656" s="59" t="str">
        <f t="shared" si="89"/>
        <v/>
      </c>
      <c r="O656" s="59" t="str">
        <f t="shared" si="88"/>
        <v/>
      </c>
    </row>
    <row r="657" spans="3:15" x14ac:dyDescent="0.25">
      <c r="C657" s="47"/>
      <c r="D657" s="48"/>
      <c r="E657" s="7" t="str">
        <f t="shared" si="81"/>
        <v/>
      </c>
      <c r="F657" s="8" t="str">
        <f t="shared" si="82"/>
        <v/>
      </c>
      <c r="G657" s="8" t="str">
        <f t="shared" si="83"/>
        <v/>
      </c>
      <c r="H657" s="37" t="str">
        <f t="shared" si="84"/>
        <v/>
      </c>
      <c r="I657" s="37" t="str">
        <f t="shared" si="85"/>
        <v/>
      </c>
      <c r="J657" s="8" t="str">
        <f t="shared" si="86"/>
        <v/>
      </c>
      <c r="K657" s="38" t="str">
        <f t="shared" si="87"/>
        <v/>
      </c>
      <c r="N657" s="59" t="str">
        <f t="shared" si="89"/>
        <v/>
      </c>
      <c r="O657" s="59" t="str">
        <f t="shared" si="88"/>
        <v/>
      </c>
    </row>
    <row r="658" spans="3:15" x14ac:dyDescent="0.25">
      <c r="C658" s="47"/>
      <c r="D658" s="48"/>
      <c r="E658" s="7" t="str">
        <f t="shared" si="81"/>
        <v/>
      </c>
      <c r="F658" s="8" t="str">
        <f t="shared" si="82"/>
        <v/>
      </c>
      <c r="G658" s="8" t="str">
        <f t="shared" si="83"/>
        <v/>
      </c>
      <c r="H658" s="37" t="str">
        <f t="shared" si="84"/>
        <v/>
      </c>
      <c r="I658" s="37" t="str">
        <f t="shared" si="85"/>
        <v/>
      </c>
      <c r="J658" s="8" t="str">
        <f t="shared" si="86"/>
        <v/>
      </c>
      <c r="K658" s="38" t="str">
        <f t="shared" si="87"/>
        <v/>
      </c>
      <c r="N658" s="59" t="str">
        <f t="shared" si="89"/>
        <v/>
      </c>
      <c r="O658" s="59" t="str">
        <f t="shared" si="88"/>
        <v/>
      </c>
    </row>
    <row r="659" spans="3:15" x14ac:dyDescent="0.25">
      <c r="C659" s="47"/>
      <c r="D659" s="48"/>
      <c r="E659" s="7" t="str">
        <f t="shared" ref="E659:E722" si="90">IF(OR(DataRecebimento="",C659=""),"",IF(C659&lt;DataRecebimento,"ERRO!",C659+$F$9-$F$7))</f>
        <v/>
      </c>
      <c r="F659" s="8" t="str">
        <f t="shared" ref="F659:F722" si="91">IF(OR(TaxaJuros="",C659=""),"",IF(C659&lt;DataRecebimento,"DATA",-D659*E659*($F$8/30)))</f>
        <v/>
      </c>
      <c r="G659" s="8" t="str">
        <f t="shared" ref="G659:G722" si="92">IF(OR(TaxaJuros="",C659=""),"",IF(C659&lt;DataRecebimento,"NÃO",-$F$10))</f>
        <v/>
      </c>
      <c r="H659" s="37" t="str">
        <f t="shared" ref="H659:H722" si="93">IF(OR(TaxaJuros="",C659=""),"",IF(C659&lt;DataRecebimento,"PODE",IF(ComSemIOF=FALSE,0,IF(E659&gt;365,-(D659+F659)*365*IOFDiario,-(D659+F659)*E659*IOFDiario))))</f>
        <v/>
      </c>
      <c r="I659" s="37" t="str">
        <f t="shared" ref="I659:I722" si="94">IF(OR(TaxaJuros="",C659=""),"",IF(C659&lt;DataRecebimento,"SER",IF(ComSemIOF=FALSE,0,-(D659+F659)*IOFAdic)))</f>
        <v/>
      </c>
      <c r="J659" s="8" t="str">
        <f t="shared" ref="J659:J722" si="95">IF(OR(TaxaJuros="",C659=""),"",IF(C659&lt;DataRecebimento,"INFERIOR!",D659+SUM(F659:I659)))</f>
        <v/>
      </c>
      <c r="K659" s="38" t="str">
        <f t="shared" ref="K659:K722" si="96">IF(OR(TaxaJuros="",C659=""),"",IF(C659&lt;DataRecebimento,"ERRO!",100%-J659/D659))</f>
        <v/>
      </c>
      <c r="N659" s="59" t="str">
        <f t="shared" si="89"/>
        <v/>
      </c>
      <c r="O659" s="59" t="str">
        <f t="shared" ref="O659:O722" si="97">IF(N659="","",PV(TMA_Dia,E659,,-N659))</f>
        <v/>
      </c>
    </row>
    <row r="660" spans="3:15" x14ac:dyDescent="0.25">
      <c r="C660" s="47"/>
      <c r="D660" s="48"/>
      <c r="E660" s="7" t="str">
        <f t="shared" si="90"/>
        <v/>
      </c>
      <c r="F660" s="8" t="str">
        <f t="shared" si="91"/>
        <v/>
      </c>
      <c r="G660" s="8" t="str">
        <f t="shared" si="92"/>
        <v/>
      </c>
      <c r="H660" s="37" t="str">
        <f t="shared" si="93"/>
        <v/>
      </c>
      <c r="I660" s="37" t="str">
        <f t="shared" si="94"/>
        <v/>
      </c>
      <c r="J660" s="8" t="str">
        <f t="shared" si="95"/>
        <v/>
      </c>
      <c r="K660" s="38" t="str">
        <f t="shared" si="96"/>
        <v/>
      </c>
      <c r="N660" s="59" t="str">
        <f t="shared" ref="N660:N723" si="98">IF(C660="","",-D660)</f>
        <v/>
      </c>
      <c r="O660" s="59" t="str">
        <f t="shared" si="97"/>
        <v/>
      </c>
    </row>
    <row r="661" spans="3:15" x14ac:dyDescent="0.25">
      <c r="C661" s="47"/>
      <c r="D661" s="48"/>
      <c r="E661" s="7" t="str">
        <f t="shared" si="90"/>
        <v/>
      </c>
      <c r="F661" s="8" t="str">
        <f t="shared" si="91"/>
        <v/>
      </c>
      <c r="G661" s="8" t="str">
        <f t="shared" si="92"/>
        <v/>
      </c>
      <c r="H661" s="37" t="str">
        <f t="shared" si="93"/>
        <v/>
      </c>
      <c r="I661" s="37" t="str">
        <f t="shared" si="94"/>
        <v/>
      </c>
      <c r="J661" s="8" t="str">
        <f t="shared" si="95"/>
        <v/>
      </c>
      <c r="K661" s="38" t="str">
        <f t="shared" si="96"/>
        <v/>
      </c>
      <c r="N661" s="59" t="str">
        <f t="shared" si="98"/>
        <v/>
      </c>
      <c r="O661" s="59" t="str">
        <f t="shared" si="97"/>
        <v/>
      </c>
    </row>
    <row r="662" spans="3:15" x14ac:dyDescent="0.25">
      <c r="C662" s="47"/>
      <c r="D662" s="48"/>
      <c r="E662" s="7" t="str">
        <f t="shared" si="90"/>
        <v/>
      </c>
      <c r="F662" s="8" t="str">
        <f t="shared" si="91"/>
        <v/>
      </c>
      <c r="G662" s="8" t="str">
        <f t="shared" si="92"/>
        <v/>
      </c>
      <c r="H662" s="37" t="str">
        <f t="shared" si="93"/>
        <v/>
      </c>
      <c r="I662" s="37" t="str">
        <f t="shared" si="94"/>
        <v/>
      </c>
      <c r="J662" s="8" t="str">
        <f t="shared" si="95"/>
        <v/>
      </c>
      <c r="K662" s="38" t="str">
        <f t="shared" si="96"/>
        <v/>
      </c>
      <c r="N662" s="59" t="str">
        <f t="shared" si="98"/>
        <v/>
      </c>
      <c r="O662" s="59" t="str">
        <f t="shared" si="97"/>
        <v/>
      </c>
    </row>
    <row r="663" spans="3:15" x14ac:dyDescent="0.25">
      <c r="C663" s="47"/>
      <c r="D663" s="48"/>
      <c r="E663" s="7" t="str">
        <f t="shared" si="90"/>
        <v/>
      </c>
      <c r="F663" s="8" t="str">
        <f t="shared" si="91"/>
        <v/>
      </c>
      <c r="G663" s="8" t="str">
        <f t="shared" si="92"/>
        <v/>
      </c>
      <c r="H663" s="37" t="str">
        <f t="shared" si="93"/>
        <v/>
      </c>
      <c r="I663" s="37" t="str">
        <f t="shared" si="94"/>
        <v/>
      </c>
      <c r="J663" s="8" t="str">
        <f t="shared" si="95"/>
        <v/>
      </c>
      <c r="K663" s="38" t="str">
        <f t="shared" si="96"/>
        <v/>
      </c>
      <c r="N663" s="59" t="str">
        <f t="shared" si="98"/>
        <v/>
      </c>
      <c r="O663" s="59" t="str">
        <f t="shared" si="97"/>
        <v/>
      </c>
    </row>
    <row r="664" spans="3:15" x14ac:dyDescent="0.25">
      <c r="C664" s="47"/>
      <c r="D664" s="48"/>
      <c r="E664" s="7" t="str">
        <f t="shared" si="90"/>
        <v/>
      </c>
      <c r="F664" s="8" t="str">
        <f t="shared" si="91"/>
        <v/>
      </c>
      <c r="G664" s="8" t="str">
        <f t="shared" si="92"/>
        <v/>
      </c>
      <c r="H664" s="37" t="str">
        <f t="shared" si="93"/>
        <v/>
      </c>
      <c r="I664" s="37" t="str">
        <f t="shared" si="94"/>
        <v/>
      </c>
      <c r="J664" s="8" t="str">
        <f t="shared" si="95"/>
        <v/>
      </c>
      <c r="K664" s="38" t="str">
        <f t="shared" si="96"/>
        <v/>
      </c>
      <c r="N664" s="59" t="str">
        <f t="shared" si="98"/>
        <v/>
      </c>
      <c r="O664" s="59" t="str">
        <f t="shared" si="97"/>
        <v/>
      </c>
    </row>
    <row r="665" spans="3:15" x14ac:dyDescent="0.25">
      <c r="C665" s="47"/>
      <c r="D665" s="48"/>
      <c r="E665" s="7" t="str">
        <f t="shared" si="90"/>
        <v/>
      </c>
      <c r="F665" s="8" t="str">
        <f t="shared" si="91"/>
        <v/>
      </c>
      <c r="G665" s="8" t="str">
        <f t="shared" si="92"/>
        <v/>
      </c>
      <c r="H665" s="37" t="str">
        <f t="shared" si="93"/>
        <v/>
      </c>
      <c r="I665" s="37" t="str">
        <f t="shared" si="94"/>
        <v/>
      </c>
      <c r="J665" s="8" t="str">
        <f t="shared" si="95"/>
        <v/>
      </c>
      <c r="K665" s="38" t="str">
        <f t="shared" si="96"/>
        <v/>
      </c>
      <c r="N665" s="59" t="str">
        <f t="shared" si="98"/>
        <v/>
      </c>
      <c r="O665" s="59" t="str">
        <f t="shared" si="97"/>
        <v/>
      </c>
    </row>
    <row r="666" spans="3:15" x14ac:dyDescent="0.25">
      <c r="C666" s="47"/>
      <c r="D666" s="48"/>
      <c r="E666" s="7" t="str">
        <f t="shared" si="90"/>
        <v/>
      </c>
      <c r="F666" s="8" t="str">
        <f t="shared" si="91"/>
        <v/>
      </c>
      <c r="G666" s="8" t="str">
        <f t="shared" si="92"/>
        <v/>
      </c>
      <c r="H666" s="37" t="str">
        <f t="shared" si="93"/>
        <v/>
      </c>
      <c r="I666" s="37" t="str">
        <f t="shared" si="94"/>
        <v/>
      </c>
      <c r="J666" s="8" t="str">
        <f t="shared" si="95"/>
        <v/>
      </c>
      <c r="K666" s="38" t="str">
        <f t="shared" si="96"/>
        <v/>
      </c>
      <c r="N666" s="59" t="str">
        <f t="shared" si="98"/>
        <v/>
      </c>
      <c r="O666" s="59" t="str">
        <f t="shared" si="97"/>
        <v/>
      </c>
    </row>
    <row r="667" spans="3:15" x14ac:dyDescent="0.25">
      <c r="C667" s="47"/>
      <c r="D667" s="48"/>
      <c r="E667" s="7" t="str">
        <f t="shared" si="90"/>
        <v/>
      </c>
      <c r="F667" s="8" t="str">
        <f t="shared" si="91"/>
        <v/>
      </c>
      <c r="G667" s="8" t="str">
        <f t="shared" si="92"/>
        <v/>
      </c>
      <c r="H667" s="37" t="str">
        <f t="shared" si="93"/>
        <v/>
      </c>
      <c r="I667" s="37" t="str">
        <f t="shared" si="94"/>
        <v/>
      </c>
      <c r="J667" s="8" t="str">
        <f t="shared" si="95"/>
        <v/>
      </c>
      <c r="K667" s="38" t="str">
        <f t="shared" si="96"/>
        <v/>
      </c>
      <c r="N667" s="59" t="str">
        <f t="shared" si="98"/>
        <v/>
      </c>
      <c r="O667" s="59" t="str">
        <f t="shared" si="97"/>
        <v/>
      </c>
    </row>
    <row r="668" spans="3:15" x14ac:dyDescent="0.25">
      <c r="C668" s="47"/>
      <c r="D668" s="48"/>
      <c r="E668" s="7" t="str">
        <f t="shared" si="90"/>
        <v/>
      </c>
      <c r="F668" s="8" t="str">
        <f t="shared" si="91"/>
        <v/>
      </c>
      <c r="G668" s="8" t="str">
        <f t="shared" si="92"/>
        <v/>
      </c>
      <c r="H668" s="37" t="str">
        <f t="shared" si="93"/>
        <v/>
      </c>
      <c r="I668" s="37" t="str">
        <f t="shared" si="94"/>
        <v/>
      </c>
      <c r="J668" s="8" t="str">
        <f t="shared" si="95"/>
        <v/>
      </c>
      <c r="K668" s="38" t="str">
        <f t="shared" si="96"/>
        <v/>
      </c>
      <c r="N668" s="59" t="str">
        <f t="shared" si="98"/>
        <v/>
      </c>
      <c r="O668" s="59" t="str">
        <f t="shared" si="97"/>
        <v/>
      </c>
    </row>
    <row r="669" spans="3:15" x14ac:dyDescent="0.25">
      <c r="C669" s="47"/>
      <c r="D669" s="48"/>
      <c r="E669" s="7" t="str">
        <f t="shared" si="90"/>
        <v/>
      </c>
      <c r="F669" s="8" t="str">
        <f t="shared" si="91"/>
        <v/>
      </c>
      <c r="G669" s="8" t="str">
        <f t="shared" si="92"/>
        <v/>
      </c>
      <c r="H669" s="37" t="str">
        <f t="shared" si="93"/>
        <v/>
      </c>
      <c r="I669" s="37" t="str">
        <f t="shared" si="94"/>
        <v/>
      </c>
      <c r="J669" s="8" t="str">
        <f t="shared" si="95"/>
        <v/>
      </c>
      <c r="K669" s="38" t="str">
        <f t="shared" si="96"/>
        <v/>
      </c>
      <c r="N669" s="59" t="str">
        <f t="shared" si="98"/>
        <v/>
      </c>
      <c r="O669" s="59" t="str">
        <f t="shared" si="97"/>
        <v/>
      </c>
    </row>
    <row r="670" spans="3:15" x14ac:dyDescent="0.25">
      <c r="C670" s="47"/>
      <c r="D670" s="48"/>
      <c r="E670" s="7" t="str">
        <f t="shared" si="90"/>
        <v/>
      </c>
      <c r="F670" s="8" t="str">
        <f t="shared" si="91"/>
        <v/>
      </c>
      <c r="G670" s="8" t="str">
        <f t="shared" si="92"/>
        <v/>
      </c>
      <c r="H670" s="37" t="str">
        <f t="shared" si="93"/>
        <v/>
      </c>
      <c r="I670" s="37" t="str">
        <f t="shared" si="94"/>
        <v/>
      </c>
      <c r="J670" s="8" t="str">
        <f t="shared" si="95"/>
        <v/>
      </c>
      <c r="K670" s="38" t="str">
        <f t="shared" si="96"/>
        <v/>
      </c>
      <c r="N670" s="59" t="str">
        <f t="shared" si="98"/>
        <v/>
      </c>
      <c r="O670" s="59" t="str">
        <f t="shared" si="97"/>
        <v/>
      </c>
    </row>
    <row r="671" spans="3:15" x14ac:dyDescent="0.25">
      <c r="C671" s="47"/>
      <c r="D671" s="48"/>
      <c r="E671" s="7" t="str">
        <f t="shared" si="90"/>
        <v/>
      </c>
      <c r="F671" s="8" t="str">
        <f t="shared" si="91"/>
        <v/>
      </c>
      <c r="G671" s="8" t="str">
        <f t="shared" si="92"/>
        <v/>
      </c>
      <c r="H671" s="37" t="str">
        <f t="shared" si="93"/>
        <v/>
      </c>
      <c r="I671" s="37" t="str">
        <f t="shared" si="94"/>
        <v/>
      </c>
      <c r="J671" s="8" t="str">
        <f t="shared" si="95"/>
        <v/>
      </c>
      <c r="K671" s="38" t="str">
        <f t="shared" si="96"/>
        <v/>
      </c>
      <c r="N671" s="59" t="str">
        <f t="shared" si="98"/>
        <v/>
      </c>
      <c r="O671" s="59" t="str">
        <f t="shared" si="97"/>
        <v/>
      </c>
    </row>
    <row r="672" spans="3:15" x14ac:dyDescent="0.25">
      <c r="C672" s="47"/>
      <c r="D672" s="48"/>
      <c r="E672" s="7" t="str">
        <f t="shared" si="90"/>
        <v/>
      </c>
      <c r="F672" s="8" t="str">
        <f t="shared" si="91"/>
        <v/>
      </c>
      <c r="G672" s="8" t="str">
        <f t="shared" si="92"/>
        <v/>
      </c>
      <c r="H672" s="37" t="str">
        <f t="shared" si="93"/>
        <v/>
      </c>
      <c r="I672" s="37" t="str">
        <f t="shared" si="94"/>
        <v/>
      </c>
      <c r="J672" s="8" t="str">
        <f t="shared" si="95"/>
        <v/>
      </c>
      <c r="K672" s="38" t="str">
        <f t="shared" si="96"/>
        <v/>
      </c>
      <c r="N672" s="59" t="str">
        <f t="shared" si="98"/>
        <v/>
      </c>
      <c r="O672" s="59" t="str">
        <f t="shared" si="97"/>
        <v/>
      </c>
    </row>
    <row r="673" spans="3:15" x14ac:dyDescent="0.25">
      <c r="C673" s="47"/>
      <c r="D673" s="48"/>
      <c r="E673" s="7" t="str">
        <f t="shared" si="90"/>
        <v/>
      </c>
      <c r="F673" s="8" t="str">
        <f t="shared" si="91"/>
        <v/>
      </c>
      <c r="G673" s="8" t="str">
        <f t="shared" si="92"/>
        <v/>
      </c>
      <c r="H673" s="37" t="str">
        <f t="shared" si="93"/>
        <v/>
      </c>
      <c r="I673" s="37" t="str">
        <f t="shared" si="94"/>
        <v/>
      </c>
      <c r="J673" s="8" t="str">
        <f t="shared" si="95"/>
        <v/>
      </c>
      <c r="K673" s="38" t="str">
        <f t="shared" si="96"/>
        <v/>
      </c>
      <c r="N673" s="59" t="str">
        <f t="shared" si="98"/>
        <v/>
      </c>
      <c r="O673" s="59" t="str">
        <f t="shared" si="97"/>
        <v/>
      </c>
    </row>
    <row r="674" spans="3:15" x14ac:dyDescent="0.25">
      <c r="C674" s="47"/>
      <c r="D674" s="48"/>
      <c r="E674" s="7" t="str">
        <f t="shared" si="90"/>
        <v/>
      </c>
      <c r="F674" s="8" t="str">
        <f t="shared" si="91"/>
        <v/>
      </c>
      <c r="G674" s="8" t="str">
        <f t="shared" si="92"/>
        <v/>
      </c>
      <c r="H674" s="37" t="str">
        <f t="shared" si="93"/>
        <v/>
      </c>
      <c r="I674" s="37" t="str">
        <f t="shared" si="94"/>
        <v/>
      </c>
      <c r="J674" s="8" t="str">
        <f t="shared" si="95"/>
        <v/>
      </c>
      <c r="K674" s="38" t="str">
        <f t="shared" si="96"/>
        <v/>
      </c>
      <c r="N674" s="59" t="str">
        <f t="shared" si="98"/>
        <v/>
      </c>
      <c r="O674" s="59" t="str">
        <f t="shared" si="97"/>
        <v/>
      </c>
    </row>
    <row r="675" spans="3:15" x14ac:dyDescent="0.25">
      <c r="C675" s="47"/>
      <c r="D675" s="48"/>
      <c r="E675" s="7" t="str">
        <f t="shared" si="90"/>
        <v/>
      </c>
      <c r="F675" s="8" t="str">
        <f t="shared" si="91"/>
        <v/>
      </c>
      <c r="G675" s="8" t="str">
        <f t="shared" si="92"/>
        <v/>
      </c>
      <c r="H675" s="37" t="str">
        <f t="shared" si="93"/>
        <v/>
      </c>
      <c r="I675" s="37" t="str">
        <f t="shared" si="94"/>
        <v/>
      </c>
      <c r="J675" s="8" t="str">
        <f t="shared" si="95"/>
        <v/>
      </c>
      <c r="K675" s="38" t="str">
        <f t="shared" si="96"/>
        <v/>
      </c>
      <c r="N675" s="59" t="str">
        <f t="shared" si="98"/>
        <v/>
      </c>
      <c r="O675" s="59" t="str">
        <f t="shared" si="97"/>
        <v/>
      </c>
    </row>
    <row r="676" spans="3:15" x14ac:dyDescent="0.25">
      <c r="C676" s="47"/>
      <c r="D676" s="48"/>
      <c r="E676" s="7" t="str">
        <f t="shared" si="90"/>
        <v/>
      </c>
      <c r="F676" s="8" t="str">
        <f t="shared" si="91"/>
        <v/>
      </c>
      <c r="G676" s="8" t="str">
        <f t="shared" si="92"/>
        <v/>
      </c>
      <c r="H676" s="37" t="str">
        <f t="shared" si="93"/>
        <v/>
      </c>
      <c r="I676" s="37" t="str">
        <f t="shared" si="94"/>
        <v/>
      </c>
      <c r="J676" s="8" t="str">
        <f t="shared" si="95"/>
        <v/>
      </c>
      <c r="K676" s="38" t="str">
        <f t="shared" si="96"/>
        <v/>
      </c>
      <c r="N676" s="59" t="str">
        <f t="shared" si="98"/>
        <v/>
      </c>
      <c r="O676" s="59" t="str">
        <f t="shared" si="97"/>
        <v/>
      </c>
    </row>
    <row r="677" spans="3:15" x14ac:dyDescent="0.25">
      <c r="C677" s="47"/>
      <c r="D677" s="48"/>
      <c r="E677" s="7" t="str">
        <f t="shared" si="90"/>
        <v/>
      </c>
      <c r="F677" s="8" t="str">
        <f t="shared" si="91"/>
        <v/>
      </c>
      <c r="G677" s="8" t="str">
        <f t="shared" si="92"/>
        <v/>
      </c>
      <c r="H677" s="37" t="str">
        <f t="shared" si="93"/>
        <v/>
      </c>
      <c r="I677" s="37" t="str">
        <f t="shared" si="94"/>
        <v/>
      </c>
      <c r="J677" s="8" t="str">
        <f t="shared" si="95"/>
        <v/>
      </c>
      <c r="K677" s="38" t="str">
        <f t="shared" si="96"/>
        <v/>
      </c>
      <c r="N677" s="59" t="str">
        <f t="shared" si="98"/>
        <v/>
      </c>
      <c r="O677" s="59" t="str">
        <f t="shared" si="97"/>
        <v/>
      </c>
    </row>
    <row r="678" spans="3:15" x14ac:dyDescent="0.25">
      <c r="C678" s="47"/>
      <c r="D678" s="48"/>
      <c r="E678" s="7" t="str">
        <f t="shared" si="90"/>
        <v/>
      </c>
      <c r="F678" s="8" t="str">
        <f t="shared" si="91"/>
        <v/>
      </c>
      <c r="G678" s="8" t="str">
        <f t="shared" si="92"/>
        <v/>
      </c>
      <c r="H678" s="37" t="str">
        <f t="shared" si="93"/>
        <v/>
      </c>
      <c r="I678" s="37" t="str">
        <f t="shared" si="94"/>
        <v/>
      </c>
      <c r="J678" s="8" t="str">
        <f t="shared" si="95"/>
        <v/>
      </c>
      <c r="K678" s="38" t="str">
        <f t="shared" si="96"/>
        <v/>
      </c>
      <c r="N678" s="59" t="str">
        <f t="shared" si="98"/>
        <v/>
      </c>
      <c r="O678" s="59" t="str">
        <f t="shared" si="97"/>
        <v/>
      </c>
    </row>
    <row r="679" spans="3:15" x14ac:dyDescent="0.25">
      <c r="C679" s="47"/>
      <c r="D679" s="48"/>
      <c r="E679" s="7" t="str">
        <f t="shared" si="90"/>
        <v/>
      </c>
      <c r="F679" s="8" t="str">
        <f t="shared" si="91"/>
        <v/>
      </c>
      <c r="G679" s="8" t="str">
        <f t="shared" si="92"/>
        <v/>
      </c>
      <c r="H679" s="37" t="str">
        <f t="shared" si="93"/>
        <v/>
      </c>
      <c r="I679" s="37" t="str">
        <f t="shared" si="94"/>
        <v/>
      </c>
      <c r="J679" s="8" t="str">
        <f t="shared" si="95"/>
        <v/>
      </c>
      <c r="K679" s="38" t="str">
        <f t="shared" si="96"/>
        <v/>
      </c>
      <c r="N679" s="59" t="str">
        <f t="shared" si="98"/>
        <v/>
      </c>
      <c r="O679" s="59" t="str">
        <f t="shared" si="97"/>
        <v/>
      </c>
    </row>
    <row r="680" spans="3:15" x14ac:dyDescent="0.25">
      <c r="C680" s="47"/>
      <c r="D680" s="48"/>
      <c r="E680" s="7" t="str">
        <f t="shared" si="90"/>
        <v/>
      </c>
      <c r="F680" s="8" t="str">
        <f t="shared" si="91"/>
        <v/>
      </c>
      <c r="G680" s="8" t="str">
        <f t="shared" si="92"/>
        <v/>
      </c>
      <c r="H680" s="37" t="str">
        <f t="shared" si="93"/>
        <v/>
      </c>
      <c r="I680" s="37" t="str">
        <f t="shared" si="94"/>
        <v/>
      </c>
      <c r="J680" s="8" t="str">
        <f t="shared" si="95"/>
        <v/>
      </c>
      <c r="K680" s="38" t="str">
        <f t="shared" si="96"/>
        <v/>
      </c>
      <c r="N680" s="59" t="str">
        <f t="shared" si="98"/>
        <v/>
      </c>
      <c r="O680" s="59" t="str">
        <f t="shared" si="97"/>
        <v/>
      </c>
    </row>
    <row r="681" spans="3:15" x14ac:dyDescent="0.25">
      <c r="C681" s="47"/>
      <c r="D681" s="48"/>
      <c r="E681" s="7" t="str">
        <f t="shared" si="90"/>
        <v/>
      </c>
      <c r="F681" s="8" t="str">
        <f t="shared" si="91"/>
        <v/>
      </c>
      <c r="G681" s="8" t="str">
        <f t="shared" si="92"/>
        <v/>
      </c>
      <c r="H681" s="37" t="str">
        <f t="shared" si="93"/>
        <v/>
      </c>
      <c r="I681" s="37" t="str">
        <f t="shared" si="94"/>
        <v/>
      </c>
      <c r="J681" s="8" t="str">
        <f t="shared" si="95"/>
        <v/>
      </c>
      <c r="K681" s="38" t="str">
        <f t="shared" si="96"/>
        <v/>
      </c>
      <c r="N681" s="59" t="str">
        <f t="shared" si="98"/>
        <v/>
      </c>
      <c r="O681" s="59" t="str">
        <f t="shared" si="97"/>
        <v/>
      </c>
    </row>
    <row r="682" spans="3:15" x14ac:dyDescent="0.25">
      <c r="C682" s="47"/>
      <c r="D682" s="48"/>
      <c r="E682" s="7" t="str">
        <f t="shared" si="90"/>
        <v/>
      </c>
      <c r="F682" s="8" t="str">
        <f t="shared" si="91"/>
        <v/>
      </c>
      <c r="G682" s="8" t="str">
        <f t="shared" si="92"/>
        <v/>
      </c>
      <c r="H682" s="37" t="str">
        <f t="shared" si="93"/>
        <v/>
      </c>
      <c r="I682" s="37" t="str">
        <f t="shared" si="94"/>
        <v/>
      </c>
      <c r="J682" s="8" t="str">
        <f t="shared" si="95"/>
        <v/>
      </c>
      <c r="K682" s="38" t="str">
        <f t="shared" si="96"/>
        <v/>
      </c>
      <c r="N682" s="59" t="str">
        <f t="shared" si="98"/>
        <v/>
      </c>
      <c r="O682" s="59" t="str">
        <f t="shared" si="97"/>
        <v/>
      </c>
    </row>
    <row r="683" spans="3:15" x14ac:dyDescent="0.25">
      <c r="C683" s="47"/>
      <c r="D683" s="48"/>
      <c r="E683" s="7" t="str">
        <f t="shared" si="90"/>
        <v/>
      </c>
      <c r="F683" s="8" t="str">
        <f t="shared" si="91"/>
        <v/>
      </c>
      <c r="G683" s="8" t="str">
        <f t="shared" si="92"/>
        <v/>
      </c>
      <c r="H683" s="37" t="str">
        <f t="shared" si="93"/>
        <v/>
      </c>
      <c r="I683" s="37" t="str">
        <f t="shared" si="94"/>
        <v/>
      </c>
      <c r="J683" s="8" t="str">
        <f t="shared" si="95"/>
        <v/>
      </c>
      <c r="K683" s="38" t="str">
        <f t="shared" si="96"/>
        <v/>
      </c>
      <c r="N683" s="59" t="str">
        <f t="shared" si="98"/>
        <v/>
      </c>
      <c r="O683" s="59" t="str">
        <f t="shared" si="97"/>
        <v/>
      </c>
    </row>
    <row r="684" spans="3:15" x14ac:dyDescent="0.25">
      <c r="C684" s="47"/>
      <c r="D684" s="48"/>
      <c r="E684" s="7" t="str">
        <f t="shared" si="90"/>
        <v/>
      </c>
      <c r="F684" s="8" t="str">
        <f t="shared" si="91"/>
        <v/>
      </c>
      <c r="G684" s="8" t="str">
        <f t="shared" si="92"/>
        <v/>
      </c>
      <c r="H684" s="37" t="str">
        <f t="shared" si="93"/>
        <v/>
      </c>
      <c r="I684" s="37" t="str">
        <f t="shared" si="94"/>
        <v/>
      </c>
      <c r="J684" s="8" t="str">
        <f t="shared" si="95"/>
        <v/>
      </c>
      <c r="K684" s="38" t="str">
        <f t="shared" si="96"/>
        <v/>
      </c>
      <c r="N684" s="59" t="str">
        <f t="shared" si="98"/>
        <v/>
      </c>
      <c r="O684" s="59" t="str">
        <f t="shared" si="97"/>
        <v/>
      </c>
    </row>
    <row r="685" spans="3:15" x14ac:dyDescent="0.25">
      <c r="C685" s="47"/>
      <c r="D685" s="48"/>
      <c r="E685" s="7" t="str">
        <f t="shared" si="90"/>
        <v/>
      </c>
      <c r="F685" s="8" t="str">
        <f t="shared" si="91"/>
        <v/>
      </c>
      <c r="G685" s="8" t="str">
        <f t="shared" si="92"/>
        <v/>
      </c>
      <c r="H685" s="37" t="str">
        <f t="shared" si="93"/>
        <v/>
      </c>
      <c r="I685" s="37" t="str">
        <f t="shared" si="94"/>
        <v/>
      </c>
      <c r="J685" s="8" t="str">
        <f t="shared" si="95"/>
        <v/>
      </c>
      <c r="K685" s="38" t="str">
        <f t="shared" si="96"/>
        <v/>
      </c>
      <c r="N685" s="59" t="str">
        <f t="shared" si="98"/>
        <v/>
      </c>
      <c r="O685" s="59" t="str">
        <f t="shared" si="97"/>
        <v/>
      </c>
    </row>
    <row r="686" spans="3:15" x14ac:dyDescent="0.25">
      <c r="C686" s="47"/>
      <c r="D686" s="48"/>
      <c r="E686" s="7" t="str">
        <f t="shared" si="90"/>
        <v/>
      </c>
      <c r="F686" s="8" t="str">
        <f t="shared" si="91"/>
        <v/>
      </c>
      <c r="G686" s="8" t="str">
        <f t="shared" si="92"/>
        <v/>
      </c>
      <c r="H686" s="37" t="str">
        <f t="shared" si="93"/>
        <v/>
      </c>
      <c r="I686" s="37" t="str">
        <f t="shared" si="94"/>
        <v/>
      </c>
      <c r="J686" s="8" t="str">
        <f t="shared" si="95"/>
        <v/>
      </c>
      <c r="K686" s="38" t="str">
        <f t="shared" si="96"/>
        <v/>
      </c>
      <c r="N686" s="59" t="str">
        <f t="shared" si="98"/>
        <v/>
      </c>
      <c r="O686" s="59" t="str">
        <f t="shared" si="97"/>
        <v/>
      </c>
    </row>
    <row r="687" spans="3:15" x14ac:dyDescent="0.25">
      <c r="C687" s="47"/>
      <c r="D687" s="48"/>
      <c r="E687" s="7" t="str">
        <f t="shared" si="90"/>
        <v/>
      </c>
      <c r="F687" s="8" t="str">
        <f t="shared" si="91"/>
        <v/>
      </c>
      <c r="G687" s="8" t="str">
        <f t="shared" si="92"/>
        <v/>
      </c>
      <c r="H687" s="37" t="str">
        <f t="shared" si="93"/>
        <v/>
      </c>
      <c r="I687" s="37" t="str">
        <f t="shared" si="94"/>
        <v/>
      </c>
      <c r="J687" s="8" t="str">
        <f t="shared" si="95"/>
        <v/>
      </c>
      <c r="K687" s="38" t="str">
        <f t="shared" si="96"/>
        <v/>
      </c>
      <c r="N687" s="59" t="str">
        <f t="shared" si="98"/>
        <v/>
      </c>
      <c r="O687" s="59" t="str">
        <f t="shared" si="97"/>
        <v/>
      </c>
    </row>
    <row r="688" spans="3:15" x14ac:dyDescent="0.25">
      <c r="C688" s="47"/>
      <c r="D688" s="48"/>
      <c r="E688" s="7" t="str">
        <f t="shared" si="90"/>
        <v/>
      </c>
      <c r="F688" s="8" t="str">
        <f t="shared" si="91"/>
        <v/>
      </c>
      <c r="G688" s="8" t="str">
        <f t="shared" si="92"/>
        <v/>
      </c>
      <c r="H688" s="37" t="str">
        <f t="shared" si="93"/>
        <v/>
      </c>
      <c r="I688" s="37" t="str">
        <f t="shared" si="94"/>
        <v/>
      </c>
      <c r="J688" s="8" t="str">
        <f t="shared" si="95"/>
        <v/>
      </c>
      <c r="K688" s="38" t="str">
        <f t="shared" si="96"/>
        <v/>
      </c>
      <c r="N688" s="59" t="str">
        <f t="shared" si="98"/>
        <v/>
      </c>
      <c r="O688" s="59" t="str">
        <f t="shared" si="97"/>
        <v/>
      </c>
    </row>
    <row r="689" spans="3:15" x14ac:dyDescent="0.25">
      <c r="C689" s="47"/>
      <c r="D689" s="48"/>
      <c r="E689" s="7" t="str">
        <f t="shared" si="90"/>
        <v/>
      </c>
      <c r="F689" s="8" t="str">
        <f t="shared" si="91"/>
        <v/>
      </c>
      <c r="G689" s="8" t="str">
        <f t="shared" si="92"/>
        <v/>
      </c>
      <c r="H689" s="37" t="str">
        <f t="shared" si="93"/>
        <v/>
      </c>
      <c r="I689" s="37" t="str">
        <f t="shared" si="94"/>
        <v/>
      </c>
      <c r="J689" s="8" t="str">
        <f t="shared" si="95"/>
        <v/>
      </c>
      <c r="K689" s="38" t="str">
        <f t="shared" si="96"/>
        <v/>
      </c>
      <c r="N689" s="59" t="str">
        <f t="shared" si="98"/>
        <v/>
      </c>
      <c r="O689" s="59" t="str">
        <f t="shared" si="97"/>
        <v/>
      </c>
    </row>
    <row r="690" spans="3:15" x14ac:dyDescent="0.25">
      <c r="C690" s="47"/>
      <c r="D690" s="48"/>
      <c r="E690" s="7" t="str">
        <f t="shared" si="90"/>
        <v/>
      </c>
      <c r="F690" s="8" t="str">
        <f t="shared" si="91"/>
        <v/>
      </c>
      <c r="G690" s="8" t="str">
        <f t="shared" si="92"/>
        <v/>
      </c>
      <c r="H690" s="37" t="str">
        <f t="shared" si="93"/>
        <v/>
      </c>
      <c r="I690" s="37" t="str">
        <f t="shared" si="94"/>
        <v/>
      </c>
      <c r="J690" s="8" t="str">
        <f t="shared" si="95"/>
        <v/>
      </c>
      <c r="K690" s="38" t="str">
        <f t="shared" si="96"/>
        <v/>
      </c>
      <c r="N690" s="59" t="str">
        <f t="shared" si="98"/>
        <v/>
      </c>
      <c r="O690" s="59" t="str">
        <f t="shared" si="97"/>
        <v/>
      </c>
    </row>
    <row r="691" spans="3:15" x14ac:dyDescent="0.25">
      <c r="C691" s="47"/>
      <c r="D691" s="48"/>
      <c r="E691" s="7" t="str">
        <f t="shared" si="90"/>
        <v/>
      </c>
      <c r="F691" s="8" t="str">
        <f t="shared" si="91"/>
        <v/>
      </c>
      <c r="G691" s="8" t="str">
        <f t="shared" si="92"/>
        <v/>
      </c>
      <c r="H691" s="37" t="str">
        <f t="shared" si="93"/>
        <v/>
      </c>
      <c r="I691" s="37" t="str">
        <f t="shared" si="94"/>
        <v/>
      </c>
      <c r="J691" s="8" t="str">
        <f t="shared" si="95"/>
        <v/>
      </c>
      <c r="K691" s="38" t="str">
        <f t="shared" si="96"/>
        <v/>
      </c>
      <c r="N691" s="59" t="str">
        <f t="shared" si="98"/>
        <v/>
      </c>
      <c r="O691" s="59" t="str">
        <f t="shared" si="97"/>
        <v/>
      </c>
    </row>
    <row r="692" spans="3:15" x14ac:dyDescent="0.25">
      <c r="C692" s="47"/>
      <c r="D692" s="48"/>
      <c r="E692" s="7" t="str">
        <f t="shared" si="90"/>
        <v/>
      </c>
      <c r="F692" s="8" t="str">
        <f t="shared" si="91"/>
        <v/>
      </c>
      <c r="G692" s="8" t="str">
        <f t="shared" si="92"/>
        <v/>
      </c>
      <c r="H692" s="37" t="str">
        <f t="shared" si="93"/>
        <v/>
      </c>
      <c r="I692" s="37" t="str">
        <f t="shared" si="94"/>
        <v/>
      </c>
      <c r="J692" s="8" t="str">
        <f t="shared" si="95"/>
        <v/>
      </c>
      <c r="K692" s="38" t="str">
        <f t="shared" si="96"/>
        <v/>
      </c>
      <c r="N692" s="59" t="str">
        <f t="shared" si="98"/>
        <v/>
      </c>
      <c r="O692" s="59" t="str">
        <f t="shared" si="97"/>
        <v/>
      </c>
    </row>
    <row r="693" spans="3:15" x14ac:dyDescent="0.25">
      <c r="C693" s="47"/>
      <c r="D693" s="48"/>
      <c r="E693" s="7" t="str">
        <f t="shared" si="90"/>
        <v/>
      </c>
      <c r="F693" s="8" t="str">
        <f t="shared" si="91"/>
        <v/>
      </c>
      <c r="G693" s="8" t="str">
        <f t="shared" si="92"/>
        <v/>
      </c>
      <c r="H693" s="37" t="str">
        <f t="shared" si="93"/>
        <v/>
      </c>
      <c r="I693" s="37" t="str">
        <f t="shared" si="94"/>
        <v/>
      </c>
      <c r="J693" s="8" t="str">
        <f t="shared" si="95"/>
        <v/>
      </c>
      <c r="K693" s="38" t="str">
        <f t="shared" si="96"/>
        <v/>
      </c>
      <c r="N693" s="59" t="str">
        <f t="shared" si="98"/>
        <v/>
      </c>
      <c r="O693" s="59" t="str">
        <f t="shared" si="97"/>
        <v/>
      </c>
    </row>
    <row r="694" spans="3:15" x14ac:dyDescent="0.25">
      <c r="C694" s="47"/>
      <c r="D694" s="48"/>
      <c r="E694" s="7" t="str">
        <f t="shared" si="90"/>
        <v/>
      </c>
      <c r="F694" s="8" t="str">
        <f t="shared" si="91"/>
        <v/>
      </c>
      <c r="G694" s="8" t="str">
        <f t="shared" si="92"/>
        <v/>
      </c>
      <c r="H694" s="37" t="str">
        <f t="shared" si="93"/>
        <v/>
      </c>
      <c r="I694" s="37" t="str">
        <f t="shared" si="94"/>
        <v/>
      </c>
      <c r="J694" s="8" t="str">
        <f t="shared" si="95"/>
        <v/>
      </c>
      <c r="K694" s="38" t="str">
        <f t="shared" si="96"/>
        <v/>
      </c>
      <c r="N694" s="59" t="str">
        <f t="shared" si="98"/>
        <v/>
      </c>
      <c r="O694" s="59" t="str">
        <f t="shared" si="97"/>
        <v/>
      </c>
    </row>
    <row r="695" spans="3:15" x14ac:dyDescent="0.25">
      <c r="C695" s="47"/>
      <c r="D695" s="48"/>
      <c r="E695" s="7" t="str">
        <f t="shared" si="90"/>
        <v/>
      </c>
      <c r="F695" s="8" t="str">
        <f t="shared" si="91"/>
        <v/>
      </c>
      <c r="G695" s="8" t="str">
        <f t="shared" si="92"/>
        <v/>
      </c>
      <c r="H695" s="37" t="str">
        <f t="shared" si="93"/>
        <v/>
      </c>
      <c r="I695" s="37" t="str">
        <f t="shared" si="94"/>
        <v/>
      </c>
      <c r="J695" s="8" t="str">
        <f t="shared" si="95"/>
        <v/>
      </c>
      <c r="K695" s="38" t="str">
        <f t="shared" si="96"/>
        <v/>
      </c>
      <c r="N695" s="59" t="str">
        <f t="shared" si="98"/>
        <v/>
      </c>
      <c r="O695" s="59" t="str">
        <f t="shared" si="97"/>
        <v/>
      </c>
    </row>
    <row r="696" spans="3:15" x14ac:dyDescent="0.25">
      <c r="C696" s="47"/>
      <c r="D696" s="48"/>
      <c r="E696" s="7" t="str">
        <f t="shared" si="90"/>
        <v/>
      </c>
      <c r="F696" s="8" t="str">
        <f t="shared" si="91"/>
        <v/>
      </c>
      <c r="G696" s="8" t="str">
        <f t="shared" si="92"/>
        <v/>
      </c>
      <c r="H696" s="37" t="str">
        <f t="shared" si="93"/>
        <v/>
      </c>
      <c r="I696" s="37" t="str">
        <f t="shared" si="94"/>
        <v/>
      </c>
      <c r="J696" s="8" t="str">
        <f t="shared" si="95"/>
        <v/>
      </c>
      <c r="K696" s="38" t="str">
        <f t="shared" si="96"/>
        <v/>
      </c>
      <c r="N696" s="59" t="str">
        <f t="shared" si="98"/>
        <v/>
      </c>
      <c r="O696" s="59" t="str">
        <f t="shared" si="97"/>
        <v/>
      </c>
    </row>
    <row r="697" spans="3:15" x14ac:dyDescent="0.25">
      <c r="C697" s="47"/>
      <c r="D697" s="48"/>
      <c r="E697" s="7" t="str">
        <f t="shared" si="90"/>
        <v/>
      </c>
      <c r="F697" s="8" t="str">
        <f t="shared" si="91"/>
        <v/>
      </c>
      <c r="G697" s="8" t="str">
        <f t="shared" si="92"/>
        <v/>
      </c>
      <c r="H697" s="37" t="str">
        <f t="shared" si="93"/>
        <v/>
      </c>
      <c r="I697" s="37" t="str">
        <f t="shared" si="94"/>
        <v/>
      </c>
      <c r="J697" s="8" t="str">
        <f t="shared" si="95"/>
        <v/>
      </c>
      <c r="K697" s="38" t="str">
        <f t="shared" si="96"/>
        <v/>
      </c>
      <c r="N697" s="59" t="str">
        <f t="shared" si="98"/>
        <v/>
      </c>
      <c r="O697" s="59" t="str">
        <f t="shared" si="97"/>
        <v/>
      </c>
    </row>
    <row r="698" spans="3:15" x14ac:dyDescent="0.25">
      <c r="C698" s="47"/>
      <c r="D698" s="48"/>
      <c r="E698" s="7" t="str">
        <f t="shared" si="90"/>
        <v/>
      </c>
      <c r="F698" s="8" t="str">
        <f t="shared" si="91"/>
        <v/>
      </c>
      <c r="G698" s="8" t="str">
        <f t="shared" si="92"/>
        <v/>
      </c>
      <c r="H698" s="37" t="str">
        <f t="shared" si="93"/>
        <v/>
      </c>
      <c r="I698" s="37" t="str">
        <f t="shared" si="94"/>
        <v/>
      </c>
      <c r="J698" s="8" t="str">
        <f t="shared" si="95"/>
        <v/>
      </c>
      <c r="K698" s="38" t="str">
        <f t="shared" si="96"/>
        <v/>
      </c>
      <c r="N698" s="59" t="str">
        <f t="shared" si="98"/>
        <v/>
      </c>
      <c r="O698" s="59" t="str">
        <f t="shared" si="97"/>
        <v/>
      </c>
    </row>
    <row r="699" spans="3:15" x14ac:dyDescent="0.25">
      <c r="C699" s="47"/>
      <c r="D699" s="48"/>
      <c r="E699" s="7" t="str">
        <f t="shared" si="90"/>
        <v/>
      </c>
      <c r="F699" s="8" t="str">
        <f t="shared" si="91"/>
        <v/>
      </c>
      <c r="G699" s="8" t="str">
        <f t="shared" si="92"/>
        <v/>
      </c>
      <c r="H699" s="37" t="str">
        <f t="shared" si="93"/>
        <v/>
      </c>
      <c r="I699" s="37" t="str">
        <f t="shared" si="94"/>
        <v/>
      </c>
      <c r="J699" s="8" t="str">
        <f t="shared" si="95"/>
        <v/>
      </c>
      <c r="K699" s="38" t="str">
        <f t="shared" si="96"/>
        <v/>
      </c>
      <c r="N699" s="59" t="str">
        <f t="shared" si="98"/>
        <v/>
      </c>
      <c r="O699" s="59" t="str">
        <f t="shared" si="97"/>
        <v/>
      </c>
    </row>
    <row r="700" spans="3:15" x14ac:dyDescent="0.25">
      <c r="C700" s="47"/>
      <c r="D700" s="48"/>
      <c r="E700" s="7" t="str">
        <f t="shared" si="90"/>
        <v/>
      </c>
      <c r="F700" s="8" t="str">
        <f t="shared" si="91"/>
        <v/>
      </c>
      <c r="G700" s="8" t="str">
        <f t="shared" si="92"/>
        <v/>
      </c>
      <c r="H700" s="37" t="str">
        <f t="shared" si="93"/>
        <v/>
      </c>
      <c r="I700" s="37" t="str">
        <f t="shared" si="94"/>
        <v/>
      </c>
      <c r="J700" s="8" t="str">
        <f t="shared" si="95"/>
        <v/>
      </c>
      <c r="K700" s="38" t="str">
        <f t="shared" si="96"/>
        <v/>
      </c>
      <c r="N700" s="59" t="str">
        <f t="shared" si="98"/>
        <v/>
      </c>
      <c r="O700" s="59" t="str">
        <f t="shared" si="97"/>
        <v/>
      </c>
    </row>
    <row r="701" spans="3:15" x14ac:dyDescent="0.25">
      <c r="C701" s="47"/>
      <c r="D701" s="48"/>
      <c r="E701" s="7" t="str">
        <f t="shared" si="90"/>
        <v/>
      </c>
      <c r="F701" s="8" t="str">
        <f t="shared" si="91"/>
        <v/>
      </c>
      <c r="G701" s="8" t="str">
        <f t="shared" si="92"/>
        <v/>
      </c>
      <c r="H701" s="37" t="str">
        <f t="shared" si="93"/>
        <v/>
      </c>
      <c r="I701" s="37" t="str">
        <f t="shared" si="94"/>
        <v/>
      </c>
      <c r="J701" s="8" t="str">
        <f t="shared" si="95"/>
        <v/>
      </c>
      <c r="K701" s="38" t="str">
        <f t="shared" si="96"/>
        <v/>
      </c>
      <c r="N701" s="59" t="str">
        <f t="shared" si="98"/>
        <v/>
      </c>
      <c r="O701" s="59" t="str">
        <f t="shared" si="97"/>
        <v/>
      </c>
    </row>
    <row r="702" spans="3:15" x14ac:dyDescent="0.25">
      <c r="C702" s="47"/>
      <c r="D702" s="48"/>
      <c r="E702" s="7" t="str">
        <f t="shared" si="90"/>
        <v/>
      </c>
      <c r="F702" s="8" t="str">
        <f t="shared" si="91"/>
        <v/>
      </c>
      <c r="G702" s="8" t="str">
        <f t="shared" si="92"/>
        <v/>
      </c>
      <c r="H702" s="37" t="str">
        <f t="shared" si="93"/>
        <v/>
      </c>
      <c r="I702" s="37" t="str">
        <f t="shared" si="94"/>
        <v/>
      </c>
      <c r="J702" s="8" t="str">
        <f t="shared" si="95"/>
        <v/>
      </c>
      <c r="K702" s="38" t="str">
        <f t="shared" si="96"/>
        <v/>
      </c>
      <c r="N702" s="59" t="str">
        <f t="shared" si="98"/>
        <v/>
      </c>
      <c r="O702" s="59" t="str">
        <f t="shared" si="97"/>
        <v/>
      </c>
    </row>
    <row r="703" spans="3:15" x14ac:dyDescent="0.25">
      <c r="C703" s="47"/>
      <c r="D703" s="48"/>
      <c r="E703" s="7" t="str">
        <f t="shared" si="90"/>
        <v/>
      </c>
      <c r="F703" s="8" t="str">
        <f t="shared" si="91"/>
        <v/>
      </c>
      <c r="G703" s="8" t="str">
        <f t="shared" si="92"/>
        <v/>
      </c>
      <c r="H703" s="37" t="str">
        <f t="shared" si="93"/>
        <v/>
      </c>
      <c r="I703" s="37" t="str">
        <f t="shared" si="94"/>
        <v/>
      </c>
      <c r="J703" s="8" t="str">
        <f t="shared" si="95"/>
        <v/>
      </c>
      <c r="K703" s="38" t="str">
        <f t="shared" si="96"/>
        <v/>
      </c>
      <c r="N703" s="59" t="str">
        <f t="shared" si="98"/>
        <v/>
      </c>
      <c r="O703" s="59" t="str">
        <f t="shared" si="97"/>
        <v/>
      </c>
    </row>
    <row r="704" spans="3:15" x14ac:dyDescent="0.25">
      <c r="C704" s="47"/>
      <c r="D704" s="48"/>
      <c r="E704" s="7" t="str">
        <f t="shared" si="90"/>
        <v/>
      </c>
      <c r="F704" s="8" t="str">
        <f t="shared" si="91"/>
        <v/>
      </c>
      <c r="G704" s="8" t="str">
        <f t="shared" si="92"/>
        <v/>
      </c>
      <c r="H704" s="37" t="str">
        <f t="shared" si="93"/>
        <v/>
      </c>
      <c r="I704" s="37" t="str">
        <f t="shared" si="94"/>
        <v/>
      </c>
      <c r="J704" s="8" t="str">
        <f t="shared" si="95"/>
        <v/>
      </c>
      <c r="K704" s="38" t="str">
        <f t="shared" si="96"/>
        <v/>
      </c>
      <c r="N704" s="59" t="str">
        <f t="shared" si="98"/>
        <v/>
      </c>
      <c r="O704" s="59" t="str">
        <f t="shared" si="97"/>
        <v/>
      </c>
    </row>
    <row r="705" spans="3:15" x14ac:dyDescent="0.25">
      <c r="C705" s="47"/>
      <c r="D705" s="48"/>
      <c r="E705" s="7" t="str">
        <f t="shared" si="90"/>
        <v/>
      </c>
      <c r="F705" s="8" t="str">
        <f t="shared" si="91"/>
        <v/>
      </c>
      <c r="G705" s="8" t="str">
        <f t="shared" si="92"/>
        <v/>
      </c>
      <c r="H705" s="37" t="str">
        <f t="shared" si="93"/>
        <v/>
      </c>
      <c r="I705" s="37" t="str">
        <f t="shared" si="94"/>
        <v/>
      </c>
      <c r="J705" s="8" t="str">
        <f t="shared" si="95"/>
        <v/>
      </c>
      <c r="K705" s="38" t="str">
        <f t="shared" si="96"/>
        <v/>
      </c>
      <c r="N705" s="59" t="str">
        <f t="shared" si="98"/>
        <v/>
      </c>
      <c r="O705" s="59" t="str">
        <f t="shared" si="97"/>
        <v/>
      </c>
    </row>
    <row r="706" spans="3:15" x14ac:dyDescent="0.25">
      <c r="C706" s="47"/>
      <c r="D706" s="48"/>
      <c r="E706" s="7" t="str">
        <f t="shared" si="90"/>
        <v/>
      </c>
      <c r="F706" s="8" t="str">
        <f t="shared" si="91"/>
        <v/>
      </c>
      <c r="G706" s="8" t="str">
        <f t="shared" si="92"/>
        <v/>
      </c>
      <c r="H706" s="37" t="str">
        <f t="shared" si="93"/>
        <v/>
      </c>
      <c r="I706" s="37" t="str">
        <f t="shared" si="94"/>
        <v/>
      </c>
      <c r="J706" s="8" t="str">
        <f t="shared" si="95"/>
        <v/>
      </c>
      <c r="K706" s="38" t="str">
        <f t="shared" si="96"/>
        <v/>
      </c>
      <c r="N706" s="59" t="str">
        <f t="shared" si="98"/>
        <v/>
      </c>
      <c r="O706" s="59" t="str">
        <f t="shared" si="97"/>
        <v/>
      </c>
    </row>
    <row r="707" spans="3:15" x14ac:dyDescent="0.25">
      <c r="C707" s="47"/>
      <c r="D707" s="48"/>
      <c r="E707" s="7" t="str">
        <f t="shared" si="90"/>
        <v/>
      </c>
      <c r="F707" s="8" t="str">
        <f t="shared" si="91"/>
        <v/>
      </c>
      <c r="G707" s="8" t="str">
        <f t="shared" si="92"/>
        <v/>
      </c>
      <c r="H707" s="37" t="str">
        <f t="shared" si="93"/>
        <v/>
      </c>
      <c r="I707" s="37" t="str">
        <f t="shared" si="94"/>
        <v/>
      </c>
      <c r="J707" s="8" t="str">
        <f t="shared" si="95"/>
        <v/>
      </c>
      <c r="K707" s="38" t="str">
        <f t="shared" si="96"/>
        <v/>
      </c>
      <c r="N707" s="59" t="str">
        <f t="shared" si="98"/>
        <v/>
      </c>
      <c r="O707" s="59" t="str">
        <f t="shared" si="97"/>
        <v/>
      </c>
    </row>
    <row r="708" spans="3:15" x14ac:dyDescent="0.25">
      <c r="C708" s="47"/>
      <c r="D708" s="48"/>
      <c r="E708" s="7" t="str">
        <f t="shared" si="90"/>
        <v/>
      </c>
      <c r="F708" s="8" t="str">
        <f t="shared" si="91"/>
        <v/>
      </c>
      <c r="G708" s="8" t="str">
        <f t="shared" si="92"/>
        <v/>
      </c>
      <c r="H708" s="37" t="str">
        <f t="shared" si="93"/>
        <v/>
      </c>
      <c r="I708" s="37" t="str">
        <f t="shared" si="94"/>
        <v/>
      </c>
      <c r="J708" s="8" t="str">
        <f t="shared" si="95"/>
        <v/>
      </c>
      <c r="K708" s="38" t="str">
        <f t="shared" si="96"/>
        <v/>
      </c>
      <c r="N708" s="59" t="str">
        <f t="shared" si="98"/>
        <v/>
      </c>
      <c r="O708" s="59" t="str">
        <f t="shared" si="97"/>
        <v/>
      </c>
    </row>
    <row r="709" spans="3:15" x14ac:dyDescent="0.25">
      <c r="C709" s="47"/>
      <c r="D709" s="48"/>
      <c r="E709" s="7" t="str">
        <f t="shared" si="90"/>
        <v/>
      </c>
      <c r="F709" s="8" t="str">
        <f t="shared" si="91"/>
        <v/>
      </c>
      <c r="G709" s="8" t="str">
        <f t="shared" si="92"/>
        <v/>
      </c>
      <c r="H709" s="37" t="str">
        <f t="shared" si="93"/>
        <v/>
      </c>
      <c r="I709" s="37" t="str">
        <f t="shared" si="94"/>
        <v/>
      </c>
      <c r="J709" s="8" t="str">
        <f t="shared" si="95"/>
        <v/>
      </c>
      <c r="K709" s="38" t="str">
        <f t="shared" si="96"/>
        <v/>
      </c>
      <c r="N709" s="59" t="str">
        <f t="shared" si="98"/>
        <v/>
      </c>
      <c r="O709" s="59" t="str">
        <f t="shared" si="97"/>
        <v/>
      </c>
    </row>
    <row r="710" spans="3:15" x14ac:dyDescent="0.25">
      <c r="C710" s="47"/>
      <c r="D710" s="48"/>
      <c r="E710" s="7" t="str">
        <f t="shared" si="90"/>
        <v/>
      </c>
      <c r="F710" s="8" t="str">
        <f t="shared" si="91"/>
        <v/>
      </c>
      <c r="G710" s="8" t="str">
        <f t="shared" si="92"/>
        <v/>
      </c>
      <c r="H710" s="37" t="str">
        <f t="shared" si="93"/>
        <v/>
      </c>
      <c r="I710" s="37" t="str">
        <f t="shared" si="94"/>
        <v/>
      </c>
      <c r="J710" s="8" t="str">
        <f t="shared" si="95"/>
        <v/>
      </c>
      <c r="K710" s="38" t="str">
        <f t="shared" si="96"/>
        <v/>
      </c>
      <c r="N710" s="59" t="str">
        <f t="shared" si="98"/>
        <v/>
      </c>
      <c r="O710" s="59" t="str">
        <f t="shared" si="97"/>
        <v/>
      </c>
    </row>
    <row r="711" spans="3:15" x14ac:dyDescent="0.25">
      <c r="C711" s="47"/>
      <c r="D711" s="48"/>
      <c r="E711" s="7" t="str">
        <f t="shared" si="90"/>
        <v/>
      </c>
      <c r="F711" s="8" t="str">
        <f t="shared" si="91"/>
        <v/>
      </c>
      <c r="G711" s="8" t="str">
        <f t="shared" si="92"/>
        <v/>
      </c>
      <c r="H711" s="37" t="str">
        <f t="shared" si="93"/>
        <v/>
      </c>
      <c r="I711" s="37" t="str">
        <f t="shared" si="94"/>
        <v/>
      </c>
      <c r="J711" s="8" t="str">
        <f t="shared" si="95"/>
        <v/>
      </c>
      <c r="K711" s="38" t="str">
        <f t="shared" si="96"/>
        <v/>
      </c>
      <c r="N711" s="59" t="str">
        <f t="shared" si="98"/>
        <v/>
      </c>
      <c r="O711" s="59" t="str">
        <f t="shared" si="97"/>
        <v/>
      </c>
    </row>
    <row r="712" spans="3:15" x14ac:dyDescent="0.25">
      <c r="C712" s="47"/>
      <c r="D712" s="48"/>
      <c r="E712" s="7" t="str">
        <f t="shared" si="90"/>
        <v/>
      </c>
      <c r="F712" s="8" t="str">
        <f t="shared" si="91"/>
        <v/>
      </c>
      <c r="G712" s="8" t="str">
        <f t="shared" si="92"/>
        <v/>
      </c>
      <c r="H712" s="37" t="str">
        <f t="shared" si="93"/>
        <v/>
      </c>
      <c r="I712" s="37" t="str">
        <f t="shared" si="94"/>
        <v/>
      </c>
      <c r="J712" s="8" t="str">
        <f t="shared" si="95"/>
        <v/>
      </c>
      <c r="K712" s="38" t="str">
        <f t="shared" si="96"/>
        <v/>
      </c>
      <c r="N712" s="59" t="str">
        <f t="shared" si="98"/>
        <v/>
      </c>
      <c r="O712" s="59" t="str">
        <f t="shared" si="97"/>
        <v/>
      </c>
    </row>
    <row r="713" spans="3:15" x14ac:dyDescent="0.25">
      <c r="C713" s="47"/>
      <c r="D713" s="48"/>
      <c r="E713" s="7" t="str">
        <f t="shared" si="90"/>
        <v/>
      </c>
      <c r="F713" s="8" t="str">
        <f t="shared" si="91"/>
        <v/>
      </c>
      <c r="G713" s="8" t="str">
        <f t="shared" si="92"/>
        <v/>
      </c>
      <c r="H713" s="37" t="str">
        <f t="shared" si="93"/>
        <v/>
      </c>
      <c r="I713" s="37" t="str">
        <f t="shared" si="94"/>
        <v/>
      </c>
      <c r="J713" s="8" t="str">
        <f t="shared" si="95"/>
        <v/>
      </c>
      <c r="K713" s="38" t="str">
        <f t="shared" si="96"/>
        <v/>
      </c>
      <c r="N713" s="59" t="str">
        <f t="shared" si="98"/>
        <v/>
      </c>
      <c r="O713" s="59" t="str">
        <f t="shared" si="97"/>
        <v/>
      </c>
    </row>
    <row r="714" spans="3:15" x14ac:dyDescent="0.25">
      <c r="C714" s="47"/>
      <c r="D714" s="48"/>
      <c r="E714" s="7" t="str">
        <f t="shared" si="90"/>
        <v/>
      </c>
      <c r="F714" s="8" t="str">
        <f t="shared" si="91"/>
        <v/>
      </c>
      <c r="G714" s="8" t="str">
        <f t="shared" si="92"/>
        <v/>
      </c>
      <c r="H714" s="37" t="str">
        <f t="shared" si="93"/>
        <v/>
      </c>
      <c r="I714" s="37" t="str">
        <f t="shared" si="94"/>
        <v/>
      </c>
      <c r="J714" s="8" t="str">
        <f t="shared" si="95"/>
        <v/>
      </c>
      <c r="K714" s="38" t="str">
        <f t="shared" si="96"/>
        <v/>
      </c>
      <c r="N714" s="59" t="str">
        <f t="shared" si="98"/>
        <v/>
      </c>
      <c r="O714" s="59" t="str">
        <f t="shared" si="97"/>
        <v/>
      </c>
    </row>
    <row r="715" spans="3:15" x14ac:dyDescent="0.25">
      <c r="C715" s="47"/>
      <c r="D715" s="48"/>
      <c r="E715" s="7" t="str">
        <f t="shared" si="90"/>
        <v/>
      </c>
      <c r="F715" s="8" t="str">
        <f t="shared" si="91"/>
        <v/>
      </c>
      <c r="G715" s="8" t="str">
        <f t="shared" si="92"/>
        <v/>
      </c>
      <c r="H715" s="37" t="str">
        <f t="shared" si="93"/>
        <v/>
      </c>
      <c r="I715" s="37" t="str">
        <f t="shared" si="94"/>
        <v/>
      </c>
      <c r="J715" s="8" t="str">
        <f t="shared" si="95"/>
        <v/>
      </c>
      <c r="K715" s="38" t="str">
        <f t="shared" si="96"/>
        <v/>
      </c>
      <c r="N715" s="59" t="str">
        <f t="shared" si="98"/>
        <v/>
      </c>
      <c r="O715" s="59" t="str">
        <f t="shared" si="97"/>
        <v/>
      </c>
    </row>
    <row r="716" spans="3:15" x14ac:dyDescent="0.25">
      <c r="C716" s="47"/>
      <c r="D716" s="48"/>
      <c r="E716" s="7" t="str">
        <f t="shared" si="90"/>
        <v/>
      </c>
      <c r="F716" s="8" t="str">
        <f t="shared" si="91"/>
        <v/>
      </c>
      <c r="G716" s="8" t="str">
        <f t="shared" si="92"/>
        <v/>
      </c>
      <c r="H716" s="37" t="str">
        <f t="shared" si="93"/>
        <v/>
      </c>
      <c r="I716" s="37" t="str">
        <f t="shared" si="94"/>
        <v/>
      </c>
      <c r="J716" s="8" t="str">
        <f t="shared" si="95"/>
        <v/>
      </c>
      <c r="K716" s="38" t="str">
        <f t="shared" si="96"/>
        <v/>
      </c>
      <c r="N716" s="59" t="str">
        <f t="shared" si="98"/>
        <v/>
      </c>
      <c r="O716" s="59" t="str">
        <f t="shared" si="97"/>
        <v/>
      </c>
    </row>
    <row r="717" spans="3:15" x14ac:dyDescent="0.25">
      <c r="C717" s="47"/>
      <c r="D717" s="48"/>
      <c r="E717" s="7" t="str">
        <f t="shared" si="90"/>
        <v/>
      </c>
      <c r="F717" s="8" t="str">
        <f t="shared" si="91"/>
        <v/>
      </c>
      <c r="G717" s="8" t="str">
        <f t="shared" si="92"/>
        <v/>
      </c>
      <c r="H717" s="37" t="str">
        <f t="shared" si="93"/>
        <v/>
      </c>
      <c r="I717" s="37" t="str">
        <f t="shared" si="94"/>
        <v/>
      </c>
      <c r="J717" s="8" t="str">
        <f t="shared" si="95"/>
        <v/>
      </c>
      <c r="K717" s="38" t="str">
        <f t="shared" si="96"/>
        <v/>
      </c>
      <c r="N717" s="59" t="str">
        <f t="shared" si="98"/>
        <v/>
      </c>
      <c r="O717" s="59" t="str">
        <f t="shared" si="97"/>
        <v/>
      </c>
    </row>
    <row r="718" spans="3:15" x14ac:dyDescent="0.25">
      <c r="C718" s="47"/>
      <c r="D718" s="48"/>
      <c r="E718" s="7" t="str">
        <f t="shared" si="90"/>
        <v/>
      </c>
      <c r="F718" s="8" t="str">
        <f t="shared" si="91"/>
        <v/>
      </c>
      <c r="G718" s="8" t="str">
        <f t="shared" si="92"/>
        <v/>
      </c>
      <c r="H718" s="37" t="str">
        <f t="shared" si="93"/>
        <v/>
      </c>
      <c r="I718" s="37" t="str">
        <f t="shared" si="94"/>
        <v/>
      </c>
      <c r="J718" s="8" t="str">
        <f t="shared" si="95"/>
        <v/>
      </c>
      <c r="K718" s="38" t="str">
        <f t="shared" si="96"/>
        <v/>
      </c>
      <c r="N718" s="59" t="str">
        <f t="shared" si="98"/>
        <v/>
      </c>
      <c r="O718" s="59" t="str">
        <f t="shared" si="97"/>
        <v/>
      </c>
    </row>
    <row r="719" spans="3:15" x14ac:dyDescent="0.25">
      <c r="C719" s="47"/>
      <c r="D719" s="48"/>
      <c r="E719" s="7" t="str">
        <f t="shared" si="90"/>
        <v/>
      </c>
      <c r="F719" s="8" t="str">
        <f t="shared" si="91"/>
        <v/>
      </c>
      <c r="G719" s="8" t="str">
        <f t="shared" si="92"/>
        <v/>
      </c>
      <c r="H719" s="37" t="str">
        <f t="shared" si="93"/>
        <v/>
      </c>
      <c r="I719" s="37" t="str">
        <f t="shared" si="94"/>
        <v/>
      </c>
      <c r="J719" s="8" t="str">
        <f t="shared" si="95"/>
        <v/>
      </c>
      <c r="K719" s="38" t="str">
        <f t="shared" si="96"/>
        <v/>
      </c>
      <c r="N719" s="59" t="str">
        <f t="shared" si="98"/>
        <v/>
      </c>
      <c r="O719" s="59" t="str">
        <f t="shared" si="97"/>
        <v/>
      </c>
    </row>
    <row r="720" spans="3:15" x14ac:dyDescent="0.25">
      <c r="C720" s="47"/>
      <c r="D720" s="48"/>
      <c r="E720" s="7" t="str">
        <f t="shared" si="90"/>
        <v/>
      </c>
      <c r="F720" s="8" t="str">
        <f t="shared" si="91"/>
        <v/>
      </c>
      <c r="G720" s="8" t="str">
        <f t="shared" si="92"/>
        <v/>
      </c>
      <c r="H720" s="37" t="str">
        <f t="shared" si="93"/>
        <v/>
      </c>
      <c r="I720" s="37" t="str">
        <f t="shared" si="94"/>
        <v/>
      </c>
      <c r="J720" s="8" t="str">
        <f t="shared" si="95"/>
        <v/>
      </c>
      <c r="K720" s="38" t="str">
        <f t="shared" si="96"/>
        <v/>
      </c>
      <c r="N720" s="59" t="str">
        <f t="shared" si="98"/>
        <v/>
      </c>
      <c r="O720" s="59" t="str">
        <f t="shared" si="97"/>
        <v/>
      </c>
    </row>
    <row r="721" spans="3:15" x14ac:dyDescent="0.25">
      <c r="C721" s="47"/>
      <c r="D721" s="48"/>
      <c r="E721" s="7" t="str">
        <f t="shared" si="90"/>
        <v/>
      </c>
      <c r="F721" s="8" t="str">
        <f t="shared" si="91"/>
        <v/>
      </c>
      <c r="G721" s="8" t="str">
        <f t="shared" si="92"/>
        <v/>
      </c>
      <c r="H721" s="37" t="str">
        <f t="shared" si="93"/>
        <v/>
      </c>
      <c r="I721" s="37" t="str">
        <f t="shared" si="94"/>
        <v/>
      </c>
      <c r="J721" s="8" t="str">
        <f t="shared" si="95"/>
        <v/>
      </c>
      <c r="K721" s="38" t="str">
        <f t="shared" si="96"/>
        <v/>
      </c>
      <c r="N721" s="59" t="str">
        <f t="shared" si="98"/>
        <v/>
      </c>
      <c r="O721" s="59" t="str">
        <f t="shared" si="97"/>
        <v/>
      </c>
    </row>
    <row r="722" spans="3:15" x14ac:dyDescent="0.25">
      <c r="C722" s="47"/>
      <c r="D722" s="48"/>
      <c r="E722" s="7" t="str">
        <f t="shared" si="90"/>
        <v/>
      </c>
      <c r="F722" s="8" t="str">
        <f t="shared" si="91"/>
        <v/>
      </c>
      <c r="G722" s="8" t="str">
        <f t="shared" si="92"/>
        <v/>
      </c>
      <c r="H722" s="37" t="str">
        <f t="shared" si="93"/>
        <v/>
      </c>
      <c r="I722" s="37" t="str">
        <f t="shared" si="94"/>
        <v/>
      </c>
      <c r="J722" s="8" t="str">
        <f t="shared" si="95"/>
        <v/>
      </c>
      <c r="K722" s="38" t="str">
        <f t="shared" si="96"/>
        <v/>
      </c>
      <c r="N722" s="59" t="str">
        <f t="shared" si="98"/>
        <v/>
      </c>
      <c r="O722" s="59" t="str">
        <f t="shared" si="97"/>
        <v/>
      </c>
    </row>
    <row r="723" spans="3:15" x14ac:dyDescent="0.25">
      <c r="C723" s="47"/>
      <c r="D723" s="48"/>
      <c r="E723" s="7" t="str">
        <f t="shared" ref="E723:E786" si="99">IF(OR(DataRecebimento="",C723=""),"",IF(C723&lt;DataRecebimento,"ERRO!",C723+$F$9-$F$7))</f>
        <v/>
      </c>
      <c r="F723" s="8" t="str">
        <f t="shared" ref="F723:F786" si="100">IF(OR(TaxaJuros="",C723=""),"",IF(C723&lt;DataRecebimento,"DATA",-D723*E723*($F$8/30)))</f>
        <v/>
      </c>
      <c r="G723" s="8" t="str">
        <f t="shared" ref="G723:G786" si="101">IF(OR(TaxaJuros="",C723=""),"",IF(C723&lt;DataRecebimento,"NÃO",-$F$10))</f>
        <v/>
      </c>
      <c r="H723" s="37" t="str">
        <f t="shared" ref="H723:H786" si="102">IF(OR(TaxaJuros="",C723=""),"",IF(C723&lt;DataRecebimento,"PODE",IF(ComSemIOF=FALSE,0,IF(E723&gt;365,-(D723+F723)*365*IOFDiario,-(D723+F723)*E723*IOFDiario))))</f>
        <v/>
      </c>
      <c r="I723" s="37" t="str">
        <f t="shared" ref="I723:I786" si="103">IF(OR(TaxaJuros="",C723=""),"",IF(C723&lt;DataRecebimento,"SER",IF(ComSemIOF=FALSE,0,-(D723+F723)*IOFAdic)))</f>
        <v/>
      </c>
      <c r="J723" s="8" t="str">
        <f t="shared" ref="J723:J786" si="104">IF(OR(TaxaJuros="",C723=""),"",IF(C723&lt;DataRecebimento,"INFERIOR!",D723+SUM(F723:I723)))</f>
        <v/>
      </c>
      <c r="K723" s="38" t="str">
        <f t="shared" ref="K723:K786" si="105">IF(OR(TaxaJuros="",C723=""),"",IF(C723&lt;DataRecebimento,"ERRO!",100%-J723/D723))</f>
        <v/>
      </c>
      <c r="N723" s="59" t="str">
        <f t="shared" si="98"/>
        <v/>
      </c>
      <c r="O723" s="59" t="str">
        <f t="shared" ref="O723:O786" si="106">IF(N723="","",PV(TMA_Dia,E723,,-N723))</f>
        <v/>
      </c>
    </row>
    <row r="724" spans="3:15" x14ac:dyDescent="0.25">
      <c r="C724" s="47"/>
      <c r="D724" s="48"/>
      <c r="E724" s="7" t="str">
        <f t="shared" si="99"/>
        <v/>
      </c>
      <c r="F724" s="8" t="str">
        <f t="shared" si="100"/>
        <v/>
      </c>
      <c r="G724" s="8" t="str">
        <f t="shared" si="101"/>
        <v/>
      </c>
      <c r="H724" s="37" t="str">
        <f t="shared" si="102"/>
        <v/>
      </c>
      <c r="I724" s="37" t="str">
        <f t="shared" si="103"/>
        <v/>
      </c>
      <c r="J724" s="8" t="str">
        <f t="shared" si="104"/>
        <v/>
      </c>
      <c r="K724" s="38" t="str">
        <f t="shared" si="105"/>
        <v/>
      </c>
      <c r="N724" s="59" t="str">
        <f t="shared" ref="N724:N787" si="107">IF(C724="","",-D724)</f>
        <v/>
      </c>
      <c r="O724" s="59" t="str">
        <f t="shared" si="106"/>
        <v/>
      </c>
    </row>
    <row r="725" spans="3:15" x14ac:dyDescent="0.25">
      <c r="C725" s="47"/>
      <c r="D725" s="48"/>
      <c r="E725" s="7" t="str">
        <f t="shared" si="99"/>
        <v/>
      </c>
      <c r="F725" s="8" t="str">
        <f t="shared" si="100"/>
        <v/>
      </c>
      <c r="G725" s="8" t="str">
        <f t="shared" si="101"/>
        <v/>
      </c>
      <c r="H725" s="37" t="str">
        <f t="shared" si="102"/>
        <v/>
      </c>
      <c r="I725" s="37" t="str">
        <f t="shared" si="103"/>
        <v/>
      </c>
      <c r="J725" s="8" t="str">
        <f t="shared" si="104"/>
        <v/>
      </c>
      <c r="K725" s="38" t="str">
        <f t="shared" si="105"/>
        <v/>
      </c>
      <c r="N725" s="59" t="str">
        <f t="shared" si="107"/>
        <v/>
      </c>
      <c r="O725" s="59" t="str">
        <f t="shared" si="106"/>
        <v/>
      </c>
    </row>
    <row r="726" spans="3:15" x14ac:dyDescent="0.25">
      <c r="C726" s="47"/>
      <c r="D726" s="48"/>
      <c r="E726" s="7" t="str">
        <f t="shared" si="99"/>
        <v/>
      </c>
      <c r="F726" s="8" t="str">
        <f t="shared" si="100"/>
        <v/>
      </c>
      <c r="G726" s="8" t="str">
        <f t="shared" si="101"/>
        <v/>
      </c>
      <c r="H726" s="37" t="str">
        <f t="shared" si="102"/>
        <v/>
      </c>
      <c r="I726" s="37" t="str">
        <f t="shared" si="103"/>
        <v/>
      </c>
      <c r="J726" s="8" t="str">
        <f t="shared" si="104"/>
        <v/>
      </c>
      <c r="K726" s="38" t="str">
        <f t="shared" si="105"/>
        <v/>
      </c>
      <c r="N726" s="59" t="str">
        <f t="shared" si="107"/>
        <v/>
      </c>
      <c r="O726" s="59" t="str">
        <f t="shared" si="106"/>
        <v/>
      </c>
    </row>
    <row r="727" spans="3:15" x14ac:dyDescent="0.25">
      <c r="C727" s="47"/>
      <c r="D727" s="48"/>
      <c r="E727" s="7" t="str">
        <f t="shared" si="99"/>
        <v/>
      </c>
      <c r="F727" s="8" t="str">
        <f t="shared" si="100"/>
        <v/>
      </c>
      <c r="G727" s="8" t="str">
        <f t="shared" si="101"/>
        <v/>
      </c>
      <c r="H727" s="37" t="str">
        <f t="shared" si="102"/>
        <v/>
      </c>
      <c r="I727" s="37" t="str">
        <f t="shared" si="103"/>
        <v/>
      </c>
      <c r="J727" s="8" t="str">
        <f t="shared" si="104"/>
        <v/>
      </c>
      <c r="K727" s="38" t="str">
        <f t="shared" si="105"/>
        <v/>
      </c>
      <c r="N727" s="59" t="str">
        <f t="shared" si="107"/>
        <v/>
      </c>
      <c r="O727" s="59" t="str">
        <f t="shared" si="106"/>
        <v/>
      </c>
    </row>
    <row r="728" spans="3:15" x14ac:dyDescent="0.25">
      <c r="C728" s="47"/>
      <c r="D728" s="48"/>
      <c r="E728" s="7" t="str">
        <f t="shared" si="99"/>
        <v/>
      </c>
      <c r="F728" s="8" t="str">
        <f t="shared" si="100"/>
        <v/>
      </c>
      <c r="G728" s="8" t="str">
        <f t="shared" si="101"/>
        <v/>
      </c>
      <c r="H728" s="37" t="str">
        <f t="shared" si="102"/>
        <v/>
      </c>
      <c r="I728" s="37" t="str">
        <f t="shared" si="103"/>
        <v/>
      </c>
      <c r="J728" s="8" t="str">
        <f t="shared" si="104"/>
        <v/>
      </c>
      <c r="K728" s="38" t="str">
        <f t="shared" si="105"/>
        <v/>
      </c>
      <c r="N728" s="59" t="str">
        <f t="shared" si="107"/>
        <v/>
      </c>
      <c r="O728" s="59" t="str">
        <f t="shared" si="106"/>
        <v/>
      </c>
    </row>
    <row r="729" spans="3:15" x14ac:dyDescent="0.25">
      <c r="C729" s="47"/>
      <c r="D729" s="48"/>
      <c r="E729" s="7" t="str">
        <f t="shared" si="99"/>
        <v/>
      </c>
      <c r="F729" s="8" t="str">
        <f t="shared" si="100"/>
        <v/>
      </c>
      <c r="G729" s="8" t="str">
        <f t="shared" si="101"/>
        <v/>
      </c>
      <c r="H729" s="37" t="str">
        <f t="shared" si="102"/>
        <v/>
      </c>
      <c r="I729" s="37" t="str">
        <f t="shared" si="103"/>
        <v/>
      </c>
      <c r="J729" s="8" t="str">
        <f t="shared" si="104"/>
        <v/>
      </c>
      <c r="K729" s="38" t="str">
        <f t="shared" si="105"/>
        <v/>
      </c>
      <c r="N729" s="59" t="str">
        <f t="shared" si="107"/>
        <v/>
      </c>
      <c r="O729" s="59" t="str">
        <f t="shared" si="106"/>
        <v/>
      </c>
    </row>
    <row r="730" spans="3:15" x14ac:dyDescent="0.25">
      <c r="C730" s="47"/>
      <c r="D730" s="48"/>
      <c r="E730" s="7" t="str">
        <f t="shared" si="99"/>
        <v/>
      </c>
      <c r="F730" s="8" t="str">
        <f t="shared" si="100"/>
        <v/>
      </c>
      <c r="G730" s="8" t="str">
        <f t="shared" si="101"/>
        <v/>
      </c>
      <c r="H730" s="37" t="str">
        <f t="shared" si="102"/>
        <v/>
      </c>
      <c r="I730" s="37" t="str">
        <f t="shared" si="103"/>
        <v/>
      </c>
      <c r="J730" s="8" t="str">
        <f t="shared" si="104"/>
        <v/>
      </c>
      <c r="K730" s="38" t="str">
        <f t="shared" si="105"/>
        <v/>
      </c>
      <c r="N730" s="59" t="str">
        <f t="shared" si="107"/>
        <v/>
      </c>
      <c r="O730" s="59" t="str">
        <f t="shared" si="106"/>
        <v/>
      </c>
    </row>
    <row r="731" spans="3:15" x14ac:dyDescent="0.25">
      <c r="C731" s="47"/>
      <c r="D731" s="48"/>
      <c r="E731" s="7" t="str">
        <f t="shared" si="99"/>
        <v/>
      </c>
      <c r="F731" s="8" t="str">
        <f t="shared" si="100"/>
        <v/>
      </c>
      <c r="G731" s="8" t="str">
        <f t="shared" si="101"/>
        <v/>
      </c>
      <c r="H731" s="37" t="str">
        <f t="shared" si="102"/>
        <v/>
      </c>
      <c r="I731" s="37" t="str">
        <f t="shared" si="103"/>
        <v/>
      </c>
      <c r="J731" s="8" t="str">
        <f t="shared" si="104"/>
        <v/>
      </c>
      <c r="K731" s="38" t="str">
        <f t="shared" si="105"/>
        <v/>
      </c>
      <c r="N731" s="59" t="str">
        <f t="shared" si="107"/>
        <v/>
      </c>
      <c r="O731" s="59" t="str">
        <f t="shared" si="106"/>
        <v/>
      </c>
    </row>
    <row r="732" spans="3:15" x14ac:dyDescent="0.25">
      <c r="C732" s="47"/>
      <c r="D732" s="48"/>
      <c r="E732" s="7" t="str">
        <f t="shared" si="99"/>
        <v/>
      </c>
      <c r="F732" s="8" t="str">
        <f t="shared" si="100"/>
        <v/>
      </c>
      <c r="G732" s="8" t="str">
        <f t="shared" si="101"/>
        <v/>
      </c>
      <c r="H732" s="37" t="str">
        <f t="shared" si="102"/>
        <v/>
      </c>
      <c r="I732" s="37" t="str">
        <f t="shared" si="103"/>
        <v/>
      </c>
      <c r="J732" s="8" t="str">
        <f t="shared" si="104"/>
        <v/>
      </c>
      <c r="K732" s="38" t="str">
        <f t="shared" si="105"/>
        <v/>
      </c>
      <c r="N732" s="59" t="str">
        <f t="shared" si="107"/>
        <v/>
      </c>
      <c r="O732" s="59" t="str">
        <f t="shared" si="106"/>
        <v/>
      </c>
    </row>
    <row r="733" spans="3:15" x14ac:dyDescent="0.25">
      <c r="C733" s="47"/>
      <c r="D733" s="48"/>
      <c r="E733" s="7" t="str">
        <f t="shared" si="99"/>
        <v/>
      </c>
      <c r="F733" s="8" t="str">
        <f t="shared" si="100"/>
        <v/>
      </c>
      <c r="G733" s="8" t="str">
        <f t="shared" si="101"/>
        <v/>
      </c>
      <c r="H733" s="37" t="str">
        <f t="shared" si="102"/>
        <v/>
      </c>
      <c r="I733" s="37" t="str">
        <f t="shared" si="103"/>
        <v/>
      </c>
      <c r="J733" s="8" t="str">
        <f t="shared" si="104"/>
        <v/>
      </c>
      <c r="K733" s="38" t="str">
        <f t="shared" si="105"/>
        <v/>
      </c>
      <c r="N733" s="59" t="str">
        <f t="shared" si="107"/>
        <v/>
      </c>
      <c r="O733" s="59" t="str">
        <f t="shared" si="106"/>
        <v/>
      </c>
    </row>
    <row r="734" spans="3:15" x14ac:dyDescent="0.25">
      <c r="C734" s="47"/>
      <c r="D734" s="48"/>
      <c r="E734" s="7" t="str">
        <f t="shared" si="99"/>
        <v/>
      </c>
      <c r="F734" s="8" t="str">
        <f t="shared" si="100"/>
        <v/>
      </c>
      <c r="G734" s="8" t="str">
        <f t="shared" si="101"/>
        <v/>
      </c>
      <c r="H734" s="37" t="str">
        <f t="shared" si="102"/>
        <v/>
      </c>
      <c r="I734" s="37" t="str">
        <f t="shared" si="103"/>
        <v/>
      </c>
      <c r="J734" s="8" t="str">
        <f t="shared" si="104"/>
        <v/>
      </c>
      <c r="K734" s="38" t="str">
        <f t="shared" si="105"/>
        <v/>
      </c>
      <c r="N734" s="59" t="str">
        <f t="shared" si="107"/>
        <v/>
      </c>
      <c r="O734" s="59" t="str">
        <f t="shared" si="106"/>
        <v/>
      </c>
    </row>
    <row r="735" spans="3:15" x14ac:dyDescent="0.25">
      <c r="C735" s="47"/>
      <c r="D735" s="48"/>
      <c r="E735" s="7" t="str">
        <f t="shared" si="99"/>
        <v/>
      </c>
      <c r="F735" s="8" t="str">
        <f t="shared" si="100"/>
        <v/>
      </c>
      <c r="G735" s="8" t="str">
        <f t="shared" si="101"/>
        <v/>
      </c>
      <c r="H735" s="37" t="str">
        <f t="shared" si="102"/>
        <v/>
      </c>
      <c r="I735" s="37" t="str">
        <f t="shared" si="103"/>
        <v/>
      </c>
      <c r="J735" s="8" t="str">
        <f t="shared" si="104"/>
        <v/>
      </c>
      <c r="K735" s="38" t="str">
        <f t="shared" si="105"/>
        <v/>
      </c>
      <c r="N735" s="59" t="str">
        <f t="shared" si="107"/>
        <v/>
      </c>
      <c r="O735" s="59" t="str">
        <f t="shared" si="106"/>
        <v/>
      </c>
    </row>
    <row r="736" spans="3:15" x14ac:dyDescent="0.25">
      <c r="C736" s="47"/>
      <c r="D736" s="48"/>
      <c r="E736" s="7" t="str">
        <f t="shared" si="99"/>
        <v/>
      </c>
      <c r="F736" s="8" t="str">
        <f t="shared" si="100"/>
        <v/>
      </c>
      <c r="G736" s="8" t="str">
        <f t="shared" si="101"/>
        <v/>
      </c>
      <c r="H736" s="37" t="str">
        <f t="shared" si="102"/>
        <v/>
      </c>
      <c r="I736" s="37" t="str">
        <f t="shared" si="103"/>
        <v/>
      </c>
      <c r="J736" s="8" t="str">
        <f t="shared" si="104"/>
        <v/>
      </c>
      <c r="K736" s="38" t="str">
        <f t="shared" si="105"/>
        <v/>
      </c>
      <c r="N736" s="59" t="str">
        <f t="shared" si="107"/>
        <v/>
      </c>
      <c r="O736" s="59" t="str">
        <f t="shared" si="106"/>
        <v/>
      </c>
    </row>
    <row r="737" spans="3:15" x14ac:dyDescent="0.25">
      <c r="C737" s="47"/>
      <c r="D737" s="48"/>
      <c r="E737" s="7" t="str">
        <f t="shared" si="99"/>
        <v/>
      </c>
      <c r="F737" s="8" t="str">
        <f t="shared" si="100"/>
        <v/>
      </c>
      <c r="G737" s="8" t="str">
        <f t="shared" si="101"/>
        <v/>
      </c>
      <c r="H737" s="37" t="str">
        <f t="shared" si="102"/>
        <v/>
      </c>
      <c r="I737" s="37" t="str">
        <f t="shared" si="103"/>
        <v/>
      </c>
      <c r="J737" s="8" t="str">
        <f t="shared" si="104"/>
        <v/>
      </c>
      <c r="K737" s="38" t="str">
        <f t="shared" si="105"/>
        <v/>
      </c>
      <c r="N737" s="59" t="str">
        <f t="shared" si="107"/>
        <v/>
      </c>
      <c r="O737" s="59" t="str">
        <f t="shared" si="106"/>
        <v/>
      </c>
    </row>
    <row r="738" spans="3:15" x14ac:dyDescent="0.25">
      <c r="C738" s="47"/>
      <c r="D738" s="48"/>
      <c r="E738" s="7" t="str">
        <f t="shared" si="99"/>
        <v/>
      </c>
      <c r="F738" s="8" t="str">
        <f t="shared" si="100"/>
        <v/>
      </c>
      <c r="G738" s="8" t="str">
        <f t="shared" si="101"/>
        <v/>
      </c>
      <c r="H738" s="37" t="str">
        <f t="shared" si="102"/>
        <v/>
      </c>
      <c r="I738" s="37" t="str">
        <f t="shared" si="103"/>
        <v/>
      </c>
      <c r="J738" s="8" t="str">
        <f t="shared" si="104"/>
        <v/>
      </c>
      <c r="K738" s="38" t="str">
        <f t="shared" si="105"/>
        <v/>
      </c>
      <c r="N738" s="59" t="str">
        <f t="shared" si="107"/>
        <v/>
      </c>
      <c r="O738" s="59" t="str">
        <f t="shared" si="106"/>
        <v/>
      </c>
    </row>
    <row r="739" spans="3:15" x14ac:dyDescent="0.25">
      <c r="C739" s="47"/>
      <c r="D739" s="48"/>
      <c r="E739" s="7" t="str">
        <f t="shared" si="99"/>
        <v/>
      </c>
      <c r="F739" s="8" t="str">
        <f t="shared" si="100"/>
        <v/>
      </c>
      <c r="G739" s="8" t="str">
        <f t="shared" si="101"/>
        <v/>
      </c>
      <c r="H739" s="37" t="str">
        <f t="shared" si="102"/>
        <v/>
      </c>
      <c r="I739" s="37" t="str">
        <f t="shared" si="103"/>
        <v/>
      </c>
      <c r="J739" s="8" t="str">
        <f t="shared" si="104"/>
        <v/>
      </c>
      <c r="K739" s="38" t="str">
        <f t="shared" si="105"/>
        <v/>
      </c>
      <c r="N739" s="59" t="str">
        <f t="shared" si="107"/>
        <v/>
      </c>
      <c r="O739" s="59" t="str">
        <f t="shared" si="106"/>
        <v/>
      </c>
    </row>
    <row r="740" spans="3:15" x14ac:dyDescent="0.25">
      <c r="C740" s="47"/>
      <c r="D740" s="48"/>
      <c r="E740" s="7" t="str">
        <f t="shared" si="99"/>
        <v/>
      </c>
      <c r="F740" s="8" t="str">
        <f t="shared" si="100"/>
        <v/>
      </c>
      <c r="G740" s="8" t="str">
        <f t="shared" si="101"/>
        <v/>
      </c>
      <c r="H740" s="37" t="str">
        <f t="shared" si="102"/>
        <v/>
      </c>
      <c r="I740" s="37" t="str">
        <f t="shared" si="103"/>
        <v/>
      </c>
      <c r="J740" s="8" t="str">
        <f t="shared" si="104"/>
        <v/>
      </c>
      <c r="K740" s="38" t="str">
        <f t="shared" si="105"/>
        <v/>
      </c>
      <c r="N740" s="59" t="str">
        <f t="shared" si="107"/>
        <v/>
      </c>
      <c r="O740" s="59" t="str">
        <f t="shared" si="106"/>
        <v/>
      </c>
    </row>
    <row r="741" spans="3:15" x14ac:dyDescent="0.25">
      <c r="C741" s="47"/>
      <c r="D741" s="48"/>
      <c r="E741" s="7" t="str">
        <f t="shared" si="99"/>
        <v/>
      </c>
      <c r="F741" s="8" t="str">
        <f t="shared" si="100"/>
        <v/>
      </c>
      <c r="G741" s="8" t="str">
        <f t="shared" si="101"/>
        <v/>
      </c>
      <c r="H741" s="37" t="str">
        <f t="shared" si="102"/>
        <v/>
      </c>
      <c r="I741" s="37" t="str">
        <f t="shared" si="103"/>
        <v/>
      </c>
      <c r="J741" s="8" t="str">
        <f t="shared" si="104"/>
        <v/>
      </c>
      <c r="K741" s="38" t="str">
        <f t="shared" si="105"/>
        <v/>
      </c>
      <c r="N741" s="59" t="str">
        <f t="shared" si="107"/>
        <v/>
      </c>
      <c r="O741" s="59" t="str">
        <f t="shared" si="106"/>
        <v/>
      </c>
    </row>
    <row r="742" spans="3:15" x14ac:dyDescent="0.25">
      <c r="C742" s="47"/>
      <c r="D742" s="48"/>
      <c r="E742" s="7" t="str">
        <f t="shared" si="99"/>
        <v/>
      </c>
      <c r="F742" s="8" t="str">
        <f t="shared" si="100"/>
        <v/>
      </c>
      <c r="G742" s="8" t="str">
        <f t="shared" si="101"/>
        <v/>
      </c>
      <c r="H742" s="37" t="str">
        <f t="shared" si="102"/>
        <v/>
      </c>
      <c r="I742" s="37" t="str">
        <f t="shared" si="103"/>
        <v/>
      </c>
      <c r="J742" s="8" t="str">
        <f t="shared" si="104"/>
        <v/>
      </c>
      <c r="K742" s="38" t="str">
        <f t="shared" si="105"/>
        <v/>
      </c>
      <c r="N742" s="59" t="str">
        <f t="shared" si="107"/>
        <v/>
      </c>
      <c r="O742" s="59" t="str">
        <f t="shared" si="106"/>
        <v/>
      </c>
    </row>
    <row r="743" spans="3:15" x14ac:dyDescent="0.25">
      <c r="C743" s="47"/>
      <c r="D743" s="48"/>
      <c r="E743" s="7" t="str">
        <f t="shared" si="99"/>
        <v/>
      </c>
      <c r="F743" s="8" t="str">
        <f t="shared" si="100"/>
        <v/>
      </c>
      <c r="G743" s="8" t="str">
        <f t="shared" si="101"/>
        <v/>
      </c>
      <c r="H743" s="37" t="str">
        <f t="shared" si="102"/>
        <v/>
      </c>
      <c r="I743" s="37" t="str">
        <f t="shared" si="103"/>
        <v/>
      </c>
      <c r="J743" s="8" t="str">
        <f t="shared" si="104"/>
        <v/>
      </c>
      <c r="K743" s="38" t="str">
        <f t="shared" si="105"/>
        <v/>
      </c>
      <c r="N743" s="59" t="str">
        <f t="shared" si="107"/>
        <v/>
      </c>
      <c r="O743" s="59" t="str">
        <f t="shared" si="106"/>
        <v/>
      </c>
    </row>
    <row r="744" spans="3:15" x14ac:dyDescent="0.25">
      <c r="C744" s="47"/>
      <c r="D744" s="48"/>
      <c r="E744" s="7" t="str">
        <f t="shared" si="99"/>
        <v/>
      </c>
      <c r="F744" s="8" t="str">
        <f t="shared" si="100"/>
        <v/>
      </c>
      <c r="G744" s="8" t="str">
        <f t="shared" si="101"/>
        <v/>
      </c>
      <c r="H744" s="37" t="str">
        <f t="shared" si="102"/>
        <v/>
      </c>
      <c r="I744" s="37" t="str">
        <f t="shared" si="103"/>
        <v/>
      </c>
      <c r="J744" s="8" t="str">
        <f t="shared" si="104"/>
        <v/>
      </c>
      <c r="K744" s="38" t="str">
        <f t="shared" si="105"/>
        <v/>
      </c>
      <c r="N744" s="59" t="str">
        <f t="shared" si="107"/>
        <v/>
      </c>
      <c r="O744" s="59" t="str">
        <f t="shared" si="106"/>
        <v/>
      </c>
    </row>
    <row r="745" spans="3:15" x14ac:dyDescent="0.25">
      <c r="C745" s="47"/>
      <c r="D745" s="48"/>
      <c r="E745" s="7" t="str">
        <f t="shared" si="99"/>
        <v/>
      </c>
      <c r="F745" s="8" t="str">
        <f t="shared" si="100"/>
        <v/>
      </c>
      <c r="G745" s="8" t="str">
        <f t="shared" si="101"/>
        <v/>
      </c>
      <c r="H745" s="37" t="str">
        <f t="shared" si="102"/>
        <v/>
      </c>
      <c r="I745" s="37" t="str">
        <f t="shared" si="103"/>
        <v/>
      </c>
      <c r="J745" s="8" t="str">
        <f t="shared" si="104"/>
        <v/>
      </c>
      <c r="K745" s="38" t="str">
        <f t="shared" si="105"/>
        <v/>
      </c>
      <c r="N745" s="59" t="str">
        <f t="shared" si="107"/>
        <v/>
      </c>
      <c r="O745" s="59" t="str">
        <f t="shared" si="106"/>
        <v/>
      </c>
    </row>
    <row r="746" spans="3:15" x14ac:dyDescent="0.25">
      <c r="C746" s="47"/>
      <c r="D746" s="48"/>
      <c r="E746" s="7" t="str">
        <f t="shared" si="99"/>
        <v/>
      </c>
      <c r="F746" s="8" t="str">
        <f t="shared" si="100"/>
        <v/>
      </c>
      <c r="G746" s="8" t="str">
        <f t="shared" si="101"/>
        <v/>
      </c>
      <c r="H746" s="37" t="str">
        <f t="shared" si="102"/>
        <v/>
      </c>
      <c r="I746" s="37" t="str">
        <f t="shared" si="103"/>
        <v/>
      </c>
      <c r="J746" s="8" t="str">
        <f t="shared" si="104"/>
        <v/>
      </c>
      <c r="K746" s="38" t="str">
        <f t="shared" si="105"/>
        <v/>
      </c>
      <c r="N746" s="59" t="str">
        <f t="shared" si="107"/>
        <v/>
      </c>
      <c r="O746" s="59" t="str">
        <f t="shared" si="106"/>
        <v/>
      </c>
    </row>
    <row r="747" spans="3:15" x14ac:dyDescent="0.25">
      <c r="C747" s="47"/>
      <c r="D747" s="48"/>
      <c r="E747" s="7" t="str">
        <f t="shared" si="99"/>
        <v/>
      </c>
      <c r="F747" s="8" t="str">
        <f t="shared" si="100"/>
        <v/>
      </c>
      <c r="G747" s="8" t="str">
        <f t="shared" si="101"/>
        <v/>
      </c>
      <c r="H747" s="37" t="str">
        <f t="shared" si="102"/>
        <v/>
      </c>
      <c r="I747" s="37" t="str">
        <f t="shared" si="103"/>
        <v/>
      </c>
      <c r="J747" s="8" t="str">
        <f t="shared" si="104"/>
        <v/>
      </c>
      <c r="K747" s="38" t="str">
        <f t="shared" si="105"/>
        <v/>
      </c>
      <c r="N747" s="59" t="str">
        <f t="shared" si="107"/>
        <v/>
      </c>
      <c r="O747" s="59" t="str">
        <f t="shared" si="106"/>
        <v/>
      </c>
    </row>
    <row r="748" spans="3:15" x14ac:dyDescent="0.25">
      <c r="C748" s="47"/>
      <c r="D748" s="48"/>
      <c r="E748" s="7" t="str">
        <f t="shared" si="99"/>
        <v/>
      </c>
      <c r="F748" s="8" t="str">
        <f t="shared" si="100"/>
        <v/>
      </c>
      <c r="G748" s="8" t="str">
        <f t="shared" si="101"/>
        <v/>
      </c>
      <c r="H748" s="37" t="str">
        <f t="shared" si="102"/>
        <v/>
      </c>
      <c r="I748" s="37" t="str">
        <f t="shared" si="103"/>
        <v/>
      </c>
      <c r="J748" s="8" t="str">
        <f t="shared" si="104"/>
        <v/>
      </c>
      <c r="K748" s="38" t="str">
        <f t="shared" si="105"/>
        <v/>
      </c>
      <c r="N748" s="59" t="str">
        <f t="shared" si="107"/>
        <v/>
      </c>
      <c r="O748" s="59" t="str">
        <f t="shared" si="106"/>
        <v/>
      </c>
    </row>
    <row r="749" spans="3:15" x14ac:dyDescent="0.25">
      <c r="C749" s="47"/>
      <c r="D749" s="48"/>
      <c r="E749" s="7" t="str">
        <f t="shared" si="99"/>
        <v/>
      </c>
      <c r="F749" s="8" t="str">
        <f t="shared" si="100"/>
        <v/>
      </c>
      <c r="G749" s="8" t="str">
        <f t="shared" si="101"/>
        <v/>
      </c>
      <c r="H749" s="37" t="str">
        <f t="shared" si="102"/>
        <v/>
      </c>
      <c r="I749" s="37" t="str">
        <f t="shared" si="103"/>
        <v/>
      </c>
      <c r="J749" s="8" t="str">
        <f t="shared" si="104"/>
        <v/>
      </c>
      <c r="K749" s="38" t="str">
        <f t="shared" si="105"/>
        <v/>
      </c>
      <c r="N749" s="59" t="str">
        <f t="shared" si="107"/>
        <v/>
      </c>
      <c r="O749" s="59" t="str">
        <f t="shared" si="106"/>
        <v/>
      </c>
    </row>
    <row r="750" spans="3:15" x14ac:dyDescent="0.25">
      <c r="C750" s="47"/>
      <c r="D750" s="48"/>
      <c r="E750" s="7" t="str">
        <f t="shared" si="99"/>
        <v/>
      </c>
      <c r="F750" s="8" t="str">
        <f t="shared" si="100"/>
        <v/>
      </c>
      <c r="G750" s="8" t="str">
        <f t="shared" si="101"/>
        <v/>
      </c>
      <c r="H750" s="37" t="str">
        <f t="shared" si="102"/>
        <v/>
      </c>
      <c r="I750" s="37" t="str">
        <f t="shared" si="103"/>
        <v/>
      </c>
      <c r="J750" s="8" t="str">
        <f t="shared" si="104"/>
        <v/>
      </c>
      <c r="K750" s="38" t="str">
        <f t="shared" si="105"/>
        <v/>
      </c>
      <c r="N750" s="59" t="str">
        <f t="shared" si="107"/>
        <v/>
      </c>
      <c r="O750" s="59" t="str">
        <f t="shared" si="106"/>
        <v/>
      </c>
    </row>
    <row r="751" spans="3:15" x14ac:dyDescent="0.25">
      <c r="C751" s="47"/>
      <c r="D751" s="48"/>
      <c r="E751" s="7" t="str">
        <f t="shared" si="99"/>
        <v/>
      </c>
      <c r="F751" s="8" t="str">
        <f t="shared" si="100"/>
        <v/>
      </c>
      <c r="G751" s="8" t="str">
        <f t="shared" si="101"/>
        <v/>
      </c>
      <c r="H751" s="37" t="str">
        <f t="shared" si="102"/>
        <v/>
      </c>
      <c r="I751" s="37" t="str">
        <f t="shared" si="103"/>
        <v/>
      </c>
      <c r="J751" s="8" t="str">
        <f t="shared" si="104"/>
        <v/>
      </c>
      <c r="K751" s="38" t="str">
        <f t="shared" si="105"/>
        <v/>
      </c>
      <c r="N751" s="59" t="str">
        <f t="shared" si="107"/>
        <v/>
      </c>
      <c r="O751" s="59" t="str">
        <f t="shared" si="106"/>
        <v/>
      </c>
    </row>
    <row r="752" spans="3:15" x14ac:dyDescent="0.25">
      <c r="C752" s="47"/>
      <c r="D752" s="48"/>
      <c r="E752" s="7" t="str">
        <f t="shared" si="99"/>
        <v/>
      </c>
      <c r="F752" s="8" t="str">
        <f t="shared" si="100"/>
        <v/>
      </c>
      <c r="G752" s="8" t="str">
        <f t="shared" si="101"/>
        <v/>
      </c>
      <c r="H752" s="37" t="str">
        <f t="shared" si="102"/>
        <v/>
      </c>
      <c r="I752" s="37" t="str">
        <f t="shared" si="103"/>
        <v/>
      </c>
      <c r="J752" s="8" t="str">
        <f t="shared" si="104"/>
        <v/>
      </c>
      <c r="K752" s="38" t="str">
        <f t="shared" si="105"/>
        <v/>
      </c>
      <c r="N752" s="59" t="str">
        <f t="shared" si="107"/>
        <v/>
      </c>
      <c r="O752" s="59" t="str">
        <f t="shared" si="106"/>
        <v/>
      </c>
    </row>
    <row r="753" spans="3:15" x14ac:dyDescent="0.25">
      <c r="C753" s="47"/>
      <c r="D753" s="48"/>
      <c r="E753" s="7" t="str">
        <f t="shared" si="99"/>
        <v/>
      </c>
      <c r="F753" s="8" t="str">
        <f t="shared" si="100"/>
        <v/>
      </c>
      <c r="G753" s="8" t="str">
        <f t="shared" si="101"/>
        <v/>
      </c>
      <c r="H753" s="37" t="str">
        <f t="shared" si="102"/>
        <v/>
      </c>
      <c r="I753" s="37" t="str">
        <f t="shared" si="103"/>
        <v/>
      </c>
      <c r="J753" s="8" t="str">
        <f t="shared" si="104"/>
        <v/>
      </c>
      <c r="K753" s="38" t="str">
        <f t="shared" si="105"/>
        <v/>
      </c>
      <c r="N753" s="59" t="str">
        <f t="shared" si="107"/>
        <v/>
      </c>
      <c r="O753" s="59" t="str">
        <f t="shared" si="106"/>
        <v/>
      </c>
    </row>
    <row r="754" spans="3:15" x14ac:dyDescent="0.25">
      <c r="C754" s="47"/>
      <c r="D754" s="48"/>
      <c r="E754" s="7" t="str">
        <f t="shared" si="99"/>
        <v/>
      </c>
      <c r="F754" s="8" t="str">
        <f t="shared" si="100"/>
        <v/>
      </c>
      <c r="G754" s="8" t="str">
        <f t="shared" si="101"/>
        <v/>
      </c>
      <c r="H754" s="37" t="str">
        <f t="shared" si="102"/>
        <v/>
      </c>
      <c r="I754" s="37" t="str">
        <f t="shared" si="103"/>
        <v/>
      </c>
      <c r="J754" s="8" t="str">
        <f t="shared" si="104"/>
        <v/>
      </c>
      <c r="K754" s="38" t="str">
        <f t="shared" si="105"/>
        <v/>
      </c>
      <c r="N754" s="59" t="str">
        <f t="shared" si="107"/>
        <v/>
      </c>
      <c r="O754" s="59" t="str">
        <f t="shared" si="106"/>
        <v/>
      </c>
    </row>
    <row r="755" spans="3:15" x14ac:dyDescent="0.25">
      <c r="C755" s="47"/>
      <c r="D755" s="48"/>
      <c r="E755" s="7" t="str">
        <f t="shared" si="99"/>
        <v/>
      </c>
      <c r="F755" s="8" t="str">
        <f t="shared" si="100"/>
        <v/>
      </c>
      <c r="G755" s="8" t="str">
        <f t="shared" si="101"/>
        <v/>
      </c>
      <c r="H755" s="37" t="str">
        <f t="shared" si="102"/>
        <v/>
      </c>
      <c r="I755" s="37" t="str">
        <f t="shared" si="103"/>
        <v/>
      </c>
      <c r="J755" s="8" t="str">
        <f t="shared" si="104"/>
        <v/>
      </c>
      <c r="K755" s="38" t="str">
        <f t="shared" si="105"/>
        <v/>
      </c>
      <c r="N755" s="59" t="str">
        <f t="shared" si="107"/>
        <v/>
      </c>
      <c r="O755" s="59" t="str">
        <f t="shared" si="106"/>
        <v/>
      </c>
    </row>
    <row r="756" spans="3:15" x14ac:dyDescent="0.25">
      <c r="C756" s="47"/>
      <c r="D756" s="48"/>
      <c r="E756" s="7" t="str">
        <f t="shared" si="99"/>
        <v/>
      </c>
      <c r="F756" s="8" t="str">
        <f t="shared" si="100"/>
        <v/>
      </c>
      <c r="G756" s="8" t="str">
        <f t="shared" si="101"/>
        <v/>
      </c>
      <c r="H756" s="37" t="str">
        <f t="shared" si="102"/>
        <v/>
      </c>
      <c r="I756" s="37" t="str">
        <f t="shared" si="103"/>
        <v/>
      </c>
      <c r="J756" s="8" t="str">
        <f t="shared" si="104"/>
        <v/>
      </c>
      <c r="K756" s="38" t="str">
        <f t="shared" si="105"/>
        <v/>
      </c>
      <c r="N756" s="59" t="str">
        <f t="shared" si="107"/>
        <v/>
      </c>
      <c r="O756" s="59" t="str">
        <f t="shared" si="106"/>
        <v/>
      </c>
    </row>
    <row r="757" spans="3:15" x14ac:dyDescent="0.25">
      <c r="C757" s="47"/>
      <c r="D757" s="48"/>
      <c r="E757" s="7" t="str">
        <f t="shared" si="99"/>
        <v/>
      </c>
      <c r="F757" s="8" t="str">
        <f t="shared" si="100"/>
        <v/>
      </c>
      <c r="G757" s="8" t="str">
        <f t="shared" si="101"/>
        <v/>
      </c>
      <c r="H757" s="37" t="str">
        <f t="shared" si="102"/>
        <v/>
      </c>
      <c r="I757" s="37" t="str">
        <f t="shared" si="103"/>
        <v/>
      </c>
      <c r="J757" s="8" t="str">
        <f t="shared" si="104"/>
        <v/>
      </c>
      <c r="K757" s="38" t="str">
        <f t="shared" si="105"/>
        <v/>
      </c>
      <c r="N757" s="59" t="str">
        <f t="shared" si="107"/>
        <v/>
      </c>
      <c r="O757" s="59" t="str">
        <f t="shared" si="106"/>
        <v/>
      </c>
    </row>
    <row r="758" spans="3:15" x14ac:dyDescent="0.25">
      <c r="C758" s="47"/>
      <c r="D758" s="48"/>
      <c r="E758" s="7" t="str">
        <f t="shared" si="99"/>
        <v/>
      </c>
      <c r="F758" s="8" t="str">
        <f t="shared" si="100"/>
        <v/>
      </c>
      <c r="G758" s="8" t="str">
        <f t="shared" si="101"/>
        <v/>
      </c>
      <c r="H758" s="37" t="str">
        <f t="shared" si="102"/>
        <v/>
      </c>
      <c r="I758" s="37" t="str">
        <f t="shared" si="103"/>
        <v/>
      </c>
      <c r="J758" s="8" t="str">
        <f t="shared" si="104"/>
        <v/>
      </c>
      <c r="K758" s="38" t="str">
        <f t="shared" si="105"/>
        <v/>
      </c>
      <c r="N758" s="59" t="str">
        <f t="shared" si="107"/>
        <v/>
      </c>
      <c r="O758" s="59" t="str">
        <f t="shared" si="106"/>
        <v/>
      </c>
    </row>
    <row r="759" spans="3:15" x14ac:dyDescent="0.25">
      <c r="C759" s="47"/>
      <c r="D759" s="48"/>
      <c r="E759" s="7" t="str">
        <f t="shared" si="99"/>
        <v/>
      </c>
      <c r="F759" s="8" t="str">
        <f t="shared" si="100"/>
        <v/>
      </c>
      <c r="G759" s="8" t="str">
        <f t="shared" si="101"/>
        <v/>
      </c>
      <c r="H759" s="37" t="str">
        <f t="shared" si="102"/>
        <v/>
      </c>
      <c r="I759" s="37" t="str">
        <f t="shared" si="103"/>
        <v/>
      </c>
      <c r="J759" s="8" t="str">
        <f t="shared" si="104"/>
        <v/>
      </c>
      <c r="K759" s="38" t="str">
        <f t="shared" si="105"/>
        <v/>
      </c>
      <c r="N759" s="59" t="str">
        <f t="shared" si="107"/>
        <v/>
      </c>
      <c r="O759" s="59" t="str">
        <f t="shared" si="106"/>
        <v/>
      </c>
    </row>
    <row r="760" spans="3:15" x14ac:dyDescent="0.25">
      <c r="C760" s="47"/>
      <c r="D760" s="48"/>
      <c r="E760" s="7" t="str">
        <f t="shared" si="99"/>
        <v/>
      </c>
      <c r="F760" s="8" t="str">
        <f t="shared" si="100"/>
        <v/>
      </c>
      <c r="G760" s="8" t="str">
        <f t="shared" si="101"/>
        <v/>
      </c>
      <c r="H760" s="37" t="str">
        <f t="shared" si="102"/>
        <v/>
      </c>
      <c r="I760" s="37" t="str">
        <f t="shared" si="103"/>
        <v/>
      </c>
      <c r="J760" s="8" t="str">
        <f t="shared" si="104"/>
        <v/>
      </c>
      <c r="K760" s="38" t="str">
        <f t="shared" si="105"/>
        <v/>
      </c>
      <c r="N760" s="59" t="str">
        <f t="shared" si="107"/>
        <v/>
      </c>
      <c r="O760" s="59" t="str">
        <f t="shared" si="106"/>
        <v/>
      </c>
    </row>
    <row r="761" spans="3:15" x14ac:dyDescent="0.25">
      <c r="C761" s="47"/>
      <c r="D761" s="48"/>
      <c r="E761" s="7" t="str">
        <f t="shared" si="99"/>
        <v/>
      </c>
      <c r="F761" s="8" t="str">
        <f t="shared" si="100"/>
        <v/>
      </c>
      <c r="G761" s="8" t="str">
        <f t="shared" si="101"/>
        <v/>
      </c>
      <c r="H761" s="37" t="str">
        <f t="shared" si="102"/>
        <v/>
      </c>
      <c r="I761" s="37" t="str">
        <f t="shared" si="103"/>
        <v/>
      </c>
      <c r="J761" s="8" t="str">
        <f t="shared" si="104"/>
        <v/>
      </c>
      <c r="K761" s="38" t="str">
        <f t="shared" si="105"/>
        <v/>
      </c>
      <c r="N761" s="59" t="str">
        <f t="shared" si="107"/>
        <v/>
      </c>
      <c r="O761" s="59" t="str">
        <f t="shared" si="106"/>
        <v/>
      </c>
    </row>
    <row r="762" spans="3:15" x14ac:dyDescent="0.25">
      <c r="C762" s="47"/>
      <c r="D762" s="48"/>
      <c r="E762" s="7" t="str">
        <f t="shared" si="99"/>
        <v/>
      </c>
      <c r="F762" s="8" t="str">
        <f t="shared" si="100"/>
        <v/>
      </c>
      <c r="G762" s="8" t="str">
        <f t="shared" si="101"/>
        <v/>
      </c>
      <c r="H762" s="37" t="str">
        <f t="shared" si="102"/>
        <v/>
      </c>
      <c r="I762" s="37" t="str">
        <f t="shared" si="103"/>
        <v/>
      </c>
      <c r="J762" s="8" t="str">
        <f t="shared" si="104"/>
        <v/>
      </c>
      <c r="K762" s="38" t="str">
        <f t="shared" si="105"/>
        <v/>
      </c>
      <c r="N762" s="59" t="str">
        <f t="shared" si="107"/>
        <v/>
      </c>
      <c r="O762" s="59" t="str">
        <f t="shared" si="106"/>
        <v/>
      </c>
    </row>
    <row r="763" spans="3:15" x14ac:dyDescent="0.25">
      <c r="C763" s="47"/>
      <c r="D763" s="48"/>
      <c r="E763" s="7" t="str">
        <f t="shared" si="99"/>
        <v/>
      </c>
      <c r="F763" s="8" t="str">
        <f t="shared" si="100"/>
        <v/>
      </c>
      <c r="G763" s="8" t="str">
        <f t="shared" si="101"/>
        <v/>
      </c>
      <c r="H763" s="37" t="str">
        <f t="shared" si="102"/>
        <v/>
      </c>
      <c r="I763" s="37" t="str">
        <f t="shared" si="103"/>
        <v/>
      </c>
      <c r="J763" s="8" t="str">
        <f t="shared" si="104"/>
        <v/>
      </c>
      <c r="K763" s="38" t="str">
        <f t="shared" si="105"/>
        <v/>
      </c>
      <c r="N763" s="59" t="str">
        <f t="shared" si="107"/>
        <v/>
      </c>
      <c r="O763" s="59" t="str">
        <f t="shared" si="106"/>
        <v/>
      </c>
    </row>
    <row r="764" spans="3:15" x14ac:dyDescent="0.25">
      <c r="C764" s="47"/>
      <c r="D764" s="48"/>
      <c r="E764" s="7" t="str">
        <f t="shared" si="99"/>
        <v/>
      </c>
      <c r="F764" s="8" t="str">
        <f t="shared" si="100"/>
        <v/>
      </c>
      <c r="G764" s="8" t="str">
        <f t="shared" si="101"/>
        <v/>
      </c>
      <c r="H764" s="37" t="str">
        <f t="shared" si="102"/>
        <v/>
      </c>
      <c r="I764" s="37" t="str">
        <f t="shared" si="103"/>
        <v/>
      </c>
      <c r="J764" s="8" t="str">
        <f t="shared" si="104"/>
        <v/>
      </c>
      <c r="K764" s="38" t="str">
        <f t="shared" si="105"/>
        <v/>
      </c>
      <c r="N764" s="59" t="str">
        <f t="shared" si="107"/>
        <v/>
      </c>
      <c r="O764" s="59" t="str">
        <f t="shared" si="106"/>
        <v/>
      </c>
    </row>
    <row r="765" spans="3:15" x14ac:dyDescent="0.25">
      <c r="C765" s="47"/>
      <c r="D765" s="48"/>
      <c r="E765" s="7" t="str">
        <f t="shared" si="99"/>
        <v/>
      </c>
      <c r="F765" s="8" t="str">
        <f t="shared" si="100"/>
        <v/>
      </c>
      <c r="G765" s="8" t="str">
        <f t="shared" si="101"/>
        <v/>
      </c>
      <c r="H765" s="37" t="str">
        <f t="shared" si="102"/>
        <v/>
      </c>
      <c r="I765" s="37" t="str">
        <f t="shared" si="103"/>
        <v/>
      </c>
      <c r="J765" s="8" t="str">
        <f t="shared" si="104"/>
        <v/>
      </c>
      <c r="K765" s="38" t="str">
        <f t="shared" si="105"/>
        <v/>
      </c>
      <c r="N765" s="59" t="str">
        <f t="shared" si="107"/>
        <v/>
      </c>
      <c r="O765" s="59" t="str">
        <f t="shared" si="106"/>
        <v/>
      </c>
    </row>
    <row r="766" spans="3:15" x14ac:dyDescent="0.25">
      <c r="C766" s="47"/>
      <c r="D766" s="48"/>
      <c r="E766" s="7" t="str">
        <f t="shared" si="99"/>
        <v/>
      </c>
      <c r="F766" s="8" t="str">
        <f t="shared" si="100"/>
        <v/>
      </c>
      <c r="G766" s="8" t="str">
        <f t="shared" si="101"/>
        <v/>
      </c>
      <c r="H766" s="37" t="str">
        <f t="shared" si="102"/>
        <v/>
      </c>
      <c r="I766" s="37" t="str">
        <f t="shared" si="103"/>
        <v/>
      </c>
      <c r="J766" s="8" t="str">
        <f t="shared" si="104"/>
        <v/>
      </c>
      <c r="K766" s="38" t="str">
        <f t="shared" si="105"/>
        <v/>
      </c>
      <c r="N766" s="59" t="str">
        <f t="shared" si="107"/>
        <v/>
      </c>
      <c r="O766" s="59" t="str">
        <f t="shared" si="106"/>
        <v/>
      </c>
    </row>
    <row r="767" spans="3:15" x14ac:dyDescent="0.25">
      <c r="C767" s="47"/>
      <c r="D767" s="48"/>
      <c r="E767" s="7" t="str">
        <f t="shared" si="99"/>
        <v/>
      </c>
      <c r="F767" s="8" t="str">
        <f t="shared" si="100"/>
        <v/>
      </c>
      <c r="G767" s="8" t="str">
        <f t="shared" si="101"/>
        <v/>
      </c>
      <c r="H767" s="37" t="str">
        <f t="shared" si="102"/>
        <v/>
      </c>
      <c r="I767" s="37" t="str">
        <f t="shared" si="103"/>
        <v/>
      </c>
      <c r="J767" s="8" t="str">
        <f t="shared" si="104"/>
        <v/>
      </c>
      <c r="K767" s="38" t="str">
        <f t="shared" si="105"/>
        <v/>
      </c>
      <c r="N767" s="59" t="str">
        <f t="shared" si="107"/>
        <v/>
      </c>
      <c r="O767" s="59" t="str">
        <f t="shared" si="106"/>
        <v/>
      </c>
    </row>
    <row r="768" spans="3:15" x14ac:dyDescent="0.25">
      <c r="C768" s="47"/>
      <c r="D768" s="48"/>
      <c r="E768" s="7" t="str">
        <f t="shared" si="99"/>
        <v/>
      </c>
      <c r="F768" s="8" t="str">
        <f t="shared" si="100"/>
        <v/>
      </c>
      <c r="G768" s="8" t="str">
        <f t="shared" si="101"/>
        <v/>
      </c>
      <c r="H768" s="37" t="str">
        <f t="shared" si="102"/>
        <v/>
      </c>
      <c r="I768" s="37" t="str">
        <f t="shared" si="103"/>
        <v/>
      </c>
      <c r="J768" s="8" t="str">
        <f t="shared" si="104"/>
        <v/>
      </c>
      <c r="K768" s="38" t="str">
        <f t="shared" si="105"/>
        <v/>
      </c>
      <c r="N768" s="59" t="str">
        <f t="shared" si="107"/>
        <v/>
      </c>
      <c r="O768" s="59" t="str">
        <f t="shared" si="106"/>
        <v/>
      </c>
    </row>
    <row r="769" spans="3:15" x14ac:dyDescent="0.25">
      <c r="C769" s="47"/>
      <c r="D769" s="48"/>
      <c r="E769" s="7" t="str">
        <f t="shared" si="99"/>
        <v/>
      </c>
      <c r="F769" s="8" t="str">
        <f t="shared" si="100"/>
        <v/>
      </c>
      <c r="G769" s="8" t="str">
        <f t="shared" si="101"/>
        <v/>
      </c>
      <c r="H769" s="37" t="str">
        <f t="shared" si="102"/>
        <v/>
      </c>
      <c r="I769" s="37" t="str">
        <f t="shared" si="103"/>
        <v/>
      </c>
      <c r="J769" s="8" t="str">
        <f t="shared" si="104"/>
        <v/>
      </c>
      <c r="K769" s="38" t="str">
        <f t="shared" si="105"/>
        <v/>
      </c>
      <c r="N769" s="59" t="str">
        <f t="shared" si="107"/>
        <v/>
      </c>
      <c r="O769" s="59" t="str">
        <f t="shared" si="106"/>
        <v/>
      </c>
    </row>
    <row r="770" spans="3:15" x14ac:dyDescent="0.25">
      <c r="C770" s="47"/>
      <c r="D770" s="48"/>
      <c r="E770" s="7" t="str">
        <f t="shared" si="99"/>
        <v/>
      </c>
      <c r="F770" s="8" t="str">
        <f t="shared" si="100"/>
        <v/>
      </c>
      <c r="G770" s="8" t="str">
        <f t="shared" si="101"/>
        <v/>
      </c>
      <c r="H770" s="37" t="str">
        <f t="shared" si="102"/>
        <v/>
      </c>
      <c r="I770" s="37" t="str">
        <f t="shared" si="103"/>
        <v/>
      </c>
      <c r="J770" s="8" t="str">
        <f t="shared" si="104"/>
        <v/>
      </c>
      <c r="K770" s="38" t="str">
        <f t="shared" si="105"/>
        <v/>
      </c>
      <c r="N770" s="59" t="str">
        <f t="shared" si="107"/>
        <v/>
      </c>
      <c r="O770" s="59" t="str">
        <f t="shared" si="106"/>
        <v/>
      </c>
    </row>
    <row r="771" spans="3:15" x14ac:dyDescent="0.25">
      <c r="C771" s="47"/>
      <c r="D771" s="48"/>
      <c r="E771" s="7" t="str">
        <f t="shared" si="99"/>
        <v/>
      </c>
      <c r="F771" s="8" t="str">
        <f t="shared" si="100"/>
        <v/>
      </c>
      <c r="G771" s="8" t="str">
        <f t="shared" si="101"/>
        <v/>
      </c>
      <c r="H771" s="37" t="str">
        <f t="shared" si="102"/>
        <v/>
      </c>
      <c r="I771" s="37" t="str">
        <f t="shared" si="103"/>
        <v/>
      </c>
      <c r="J771" s="8" t="str">
        <f t="shared" si="104"/>
        <v/>
      </c>
      <c r="K771" s="38" t="str">
        <f t="shared" si="105"/>
        <v/>
      </c>
      <c r="N771" s="59" t="str">
        <f t="shared" si="107"/>
        <v/>
      </c>
      <c r="O771" s="59" t="str">
        <f t="shared" si="106"/>
        <v/>
      </c>
    </row>
    <row r="772" spans="3:15" x14ac:dyDescent="0.25">
      <c r="C772" s="47"/>
      <c r="D772" s="48"/>
      <c r="E772" s="7" t="str">
        <f t="shared" si="99"/>
        <v/>
      </c>
      <c r="F772" s="8" t="str">
        <f t="shared" si="100"/>
        <v/>
      </c>
      <c r="G772" s="8" t="str">
        <f t="shared" si="101"/>
        <v/>
      </c>
      <c r="H772" s="37" t="str">
        <f t="shared" si="102"/>
        <v/>
      </c>
      <c r="I772" s="37" t="str">
        <f t="shared" si="103"/>
        <v/>
      </c>
      <c r="J772" s="8" t="str">
        <f t="shared" si="104"/>
        <v/>
      </c>
      <c r="K772" s="38" t="str">
        <f t="shared" si="105"/>
        <v/>
      </c>
      <c r="N772" s="59" t="str">
        <f t="shared" si="107"/>
        <v/>
      </c>
      <c r="O772" s="59" t="str">
        <f t="shared" si="106"/>
        <v/>
      </c>
    </row>
    <row r="773" spans="3:15" x14ac:dyDescent="0.25">
      <c r="C773" s="47"/>
      <c r="D773" s="48"/>
      <c r="E773" s="7" t="str">
        <f t="shared" si="99"/>
        <v/>
      </c>
      <c r="F773" s="8" t="str">
        <f t="shared" si="100"/>
        <v/>
      </c>
      <c r="G773" s="8" t="str">
        <f t="shared" si="101"/>
        <v/>
      </c>
      <c r="H773" s="37" t="str">
        <f t="shared" si="102"/>
        <v/>
      </c>
      <c r="I773" s="37" t="str">
        <f t="shared" si="103"/>
        <v/>
      </c>
      <c r="J773" s="8" t="str">
        <f t="shared" si="104"/>
        <v/>
      </c>
      <c r="K773" s="38" t="str">
        <f t="shared" si="105"/>
        <v/>
      </c>
      <c r="N773" s="59" t="str">
        <f t="shared" si="107"/>
        <v/>
      </c>
      <c r="O773" s="59" t="str">
        <f t="shared" si="106"/>
        <v/>
      </c>
    </row>
    <row r="774" spans="3:15" x14ac:dyDescent="0.25">
      <c r="C774" s="47"/>
      <c r="D774" s="48"/>
      <c r="E774" s="7" t="str">
        <f t="shared" si="99"/>
        <v/>
      </c>
      <c r="F774" s="8" t="str">
        <f t="shared" si="100"/>
        <v/>
      </c>
      <c r="G774" s="8" t="str">
        <f t="shared" si="101"/>
        <v/>
      </c>
      <c r="H774" s="37" t="str">
        <f t="shared" si="102"/>
        <v/>
      </c>
      <c r="I774" s="37" t="str">
        <f t="shared" si="103"/>
        <v/>
      </c>
      <c r="J774" s="8" t="str">
        <f t="shared" si="104"/>
        <v/>
      </c>
      <c r="K774" s="38" t="str">
        <f t="shared" si="105"/>
        <v/>
      </c>
      <c r="N774" s="59" t="str">
        <f t="shared" si="107"/>
        <v/>
      </c>
      <c r="O774" s="59" t="str">
        <f t="shared" si="106"/>
        <v/>
      </c>
    </row>
    <row r="775" spans="3:15" x14ac:dyDescent="0.25">
      <c r="C775" s="47"/>
      <c r="D775" s="48"/>
      <c r="E775" s="7" t="str">
        <f t="shared" si="99"/>
        <v/>
      </c>
      <c r="F775" s="8" t="str">
        <f t="shared" si="100"/>
        <v/>
      </c>
      <c r="G775" s="8" t="str">
        <f t="shared" si="101"/>
        <v/>
      </c>
      <c r="H775" s="37" t="str">
        <f t="shared" si="102"/>
        <v/>
      </c>
      <c r="I775" s="37" t="str">
        <f t="shared" si="103"/>
        <v/>
      </c>
      <c r="J775" s="8" t="str">
        <f t="shared" si="104"/>
        <v/>
      </c>
      <c r="K775" s="38" t="str">
        <f t="shared" si="105"/>
        <v/>
      </c>
      <c r="N775" s="59" t="str">
        <f t="shared" si="107"/>
        <v/>
      </c>
      <c r="O775" s="59" t="str">
        <f t="shared" si="106"/>
        <v/>
      </c>
    </row>
    <row r="776" spans="3:15" x14ac:dyDescent="0.25">
      <c r="C776" s="47"/>
      <c r="D776" s="48"/>
      <c r="E776" s="7" t="str">
        <f t="shared" si="99"/>
        <v/>
      </c>
      <c r="F776" s="8" t="str">
        <f t="shared" si="100"/>
        <v/>
      </c>
      <c r="G776" s="8" t="str">
        <f t="shared" si="101"/>
        <v/>
      </c>
      <c r="H776" s="37" t="str">
        <f t="shared" si="102"/>
        <v/>
      </c>
      <c r="I776" s="37" t="str">
        <f t="shared" si="103"/>
        <v/>
      </c>
      <c r="J776" s="8" t="str">
        <f t="shared" si="104"/>
        <v/>
      </c>
      <c r="K776" s="38" t="str">
        <f t="shared" si="105"/>
        <v/>
      </c>
      <c r="N776" s="59" t="str">
        <f t="shared" si="107"/>
        <v/>
      </c>
      <c r="O776" s="59" t="str">
        <f t="shared" si="106"/>
        <v/>
      </c>
    </row>
    <row r="777" spans="3:15" x14ac:dyDescent="0.25">
      <c r="C777" s="47"/>
      <c r="D777" s="48"/>
      <c r="E777" s="7" t="str">
        <f t="shared" si="99"/>
        <v/>
      </c>
      <c r="F777" s="8" t="str">
        <f t="shared" si="100"/>
        <v/>
      </c>
      <c r="G777" s="8" t="str">
        <f t="shared" si="101"/>
        <v/>
      </c>
      <c r="H777" s="37" t="str">
        <f t="shared" si="102"/>
        <v/>
      </c>
      <c r="I777" s="37" t="str">
        <f t="shared" si="103"/>
        <v/>
      </c>
      <c r="J777" s="8" t="str">
        <f t="shared" si="104"/>
        <v/>
      </c>
      <c r="K777" s="38" t="str">
        <f t="shared" si="105"/>
        <v/>
      </c>
      <c r="N777" s="59" t="str">
        <f t="shared" si="107"/>
        <v/>
      </c>
      <c r="O777" s="59" t="str">
        <f t="shared" si="106"/>
        <v/>
      </c>
    </row>
    <row r="778" spans="3:15" x14ac:dyDescent="0.25">
      <c r="C778" s="47"/>
      <c r="D778" s="48"/>
      <c r="E778" s="7" t="str">
        <f t="shared" si="99"/>
        <v/>
      </c>
      <c r="F778" s="8" t="str">
        <f t="shared" si="100"/>
        <v/>
      </c>
      <c r="G778" s="8" t="str">
        <f t="shared" si="101"/>
        <v/>
      </c>
      <c r="H778" s="37" t="str">
        <f t="shared" si="102"/>
        <v/>
      </c>
      <c r="I778" s="37" t="str">
        <f t="shared" si="103"/>
        <v/>
      </c>
      <c r="J778" s="8" t="str">
        <f t="shared" si="104"/>
        <v/>
      </c>
      <c r="K778" s="38" t="str">
        <f t="shared" si="105"/>
        <v/>
      </c>
      <c r="N778" s="59" t="str">
        <f t="shared" si="107"/>
        <v/>
      </c>
      <c r="O778" s="59" t="str">
        <f t="shared" si="106"/>
        <v/>
      </c>
    </row>
    <row r="779" spans="3:15" x14ac:dyDescent="0.25">
      <c r="C779" s="47"/>
      <c r="D779" s="48"/>
      <c r="E779" s="7" t="str">
        <f t="shared" si="99"/>
        <v/>
      </c>
      <c r="F779" s="8" t="str">
        <f t="shared" si="100"/>
        <v/>
      </c>
      <c r="G779" s="8" t="str">
        <f t="shared" si="101"/>
        <v/>
      </c>
      <c r="H779" s="37" t="str">
        <f t="shared" si="102"/>
        <v/>
      </c>
      <c r="I779" s="37" t="str">
        <f t="shared" si="103"/>
        <v/>
      </c>
      <c r="J779" s="8" t="str">
        <f t="shared" si="104"/>
        <v/>
      </c>
      <c r="K779" s="38" t="str">
        <f t="shared" si="105"/>
        <v/>
      </c>
      <c r="N779" s="59" t="str">
        <f t="shared" si="107"/>
        <v/>
      </c>
      <c r="O779" s="59" t="str">
        <f t="shared" si="106"/>
        <v/>
      </c>
    </row>
    <row r="780" spans="3:15" x14ac:dyDescent="0.25">
      <c r="C780" s="47"/>
      <c r="D780" s="48"/>
      <c r="E780" s="7" t="str">
        <f t="shared" si="99"/>
        <v/>
      </c>
      <c r="F780" s="8" t="str">
        <f t="shared" si="100"/>
        <v/>
      </c>
      <c r="G780" s="8" t="str">
        <f t="shared" si="101"/>
        <v/>
      </c>
      <c r="H780" s="37" t="str">
        <f t="shared" si="102"/>
        <v/>
      </c>
      <c r="I780" s="37" t="str">
        <f t="shared" si="103"/>
        <v/>
      </c>
      <c r="J780" s="8" t="str">
        <f t="shared" si="104"/>
        <v/>
      </c>
      <c r="K780" s="38" t="str">
        <f t="shared" si="105"/>
        <v/>
      </c>
      <c r="N780" s="59" t="str">
        <f t="shared" si="107"/>
        <v/>
      </c>
      <c r="O780" s="59" t="str">
        <f t="shared" si="106"/>
        <v/>
      </c>
    </row>
    <row r="781" spans="3:15" x14ac:dyDescent="0.25">
      <c r="C781" s="47"/>
      <c r="D781" s="48"/>
      <c r="E781" s="7" t="str">
        <f t="shared" si="99"/>
        <v/>
      </c>
      <c r="F781" s="8" t="str">
        <f t="shared" si="100"/>
        <v/>
      </c>
      <c r="G781" s="8" t="str">
        <f t="shared" si="101"/>
        <v/>
      </c>
      <c r="H781" s="37" t="str">
        <f t="shared" si="102"/>
        <v/>
      </c>
      <c r="I781" s="37" t="str">
        <f t="shared" si="103"/>
        <v/>
      </c>
      <c r="J781" s="8" t="str">
        <f t="shared" si="104"/>
        <v/>
      </c>
      <c r="K781" s="38" t="str">
        <f t="shared" si="105"/>
        <v/>
      </c>
      <c r="N781" s="59" t="str">
        <f t="shared" si="107"/>
        <v/>
      </c>
      <c r="O781" s="59" t="str">
        <f t="shared" si="106"/>
        <v/>
      </c>
    </row>
    <row r="782" spans="3:15" x14ac:dyDescent="0.25">
      <c r="C782" s="47"/>
      <c r="D782" s="48"/>
      <c r="E782" s="7" t="str">
        <f t="shared" si="99"/>
        <v/>
      </c>
      <c r="F782" s="8" t="str">
        <f t="shared" si="100"/>
        <v/>
      </c>
      <c r="G782" s="8" t="str">
        <f t="shared" si="101"/>
        <v/>
      </c>
      <c r="H782" s="37" t="str">
        <f t="shared" si="102"/>
        <v/>
      </c>
      <c r="I782" s="37" t="str">
        <f t="shared" si="103"/>
        <v/>
      </c>
      <c r="J782" s="8" t="str">
        <f t="shared" si="104"/>
        <v/>
      </c>
      <c r="K782" s="38" t="str">
        <f t="shared" si="105"/>
        <v/>
      </c>
      <c r="N782" s="59" t="str">
        <f t="shared" si="107"/>
        <v/>
      </c>
      <c r="O782" s="59" t="str">
        <f t="shared" si="106"/>
        <v/>
      </c>
    </row>
    <row r="783" spans="3:15" x14ac:dyDescent="0.25">
      <c r="C783" s="47"/>
      <c r="D783" s="48"/>
      <c r="E783" s="7" t="str">
        <f t="shared" si="99"/>
        <v/>
      </c>
      <c r="F783" s="8" t="str">
        <f t="shared" si="100"/>
        <v/>
      </c>
      <c r="G783" s="8" t="str">
        <f t="shared" si="101"/>
        <v/>
      </c>
      <c r="H783" s="37" t="str">
        <f t="shared" si="102"/>
        <v/>
      </c>
      <c r="I783" s="37" t="str">
        <f t="shared" si="103"/>
        <v/>
      </c>
      <c r="J783" s="8" t="str">
        <f t="shared" si="104"/>
        <v/>
      </c>
      <c r="K783" s="38" t="str">
        <f t="shared" si="105"/>
        <v/>
      </c>
      <c r="N783" s="59" t="str">
        <f t="shared" si="107"/>
        <v/>
      </c>
      <c r="O783" s="59" t="str">
        <f t="shared" si="106"/>
        <v/>
      </c>
    </row>
    <row r="784" spans="3:15" x14ac:dyDescent="0.25">
      <c r="C784" s="47"/>
      <c r="D784" s="48"/>
      <c r="E784" s="7" t="str">
        <f t="shared" si="99"/>
        <v/>
      </c>
      <c r="F784" s="8" t="str">
        <f t="shared" si="100"/>
        <v/>
      </c>
      <c r="G784" s="8" t="str">
        <f t="shared" si="101"/>
        <v/>
      </c>
      <c r="H784" s="37" t="str">
        <f t="shared" si="102"/>
        <v/>
      </c>
      <c r="I784" s="37" t="str">
        <f t="shared" si="103"/>
        <v/>
      </c>
      <c r="J784" s="8" t="str">
        <f t="shared" si="104"/>
        <v/>
      </c>
      <c r="K784" s="38" t="str">
        <f t="shared" si="105"/>
        <v/>
      </c>
      <c r="N784" s="59" t="str">
        <f t="shared" si="107"/>
        <v/>
      </c>
      <c r="O784" s="59" t="str">
        <f t="shared" si="106"/>
        <v/>
      </c>
    </row>
    <row r="785" spans="3:15" x14ac:dyDescent="0.25">
      <c r="C785" s="47"/>
      <c r="D785" s="48"/>
      <c r="E785" s="7" t="str">
        <f t="shared" si="99"/>
        <v/>
      </c>
      <c r="F785" s="8" t="str">
        <f t="shared" si="100"/>
        <v/>
      </c>
      <c r="G785" s="8" t="str">
        <f t="shared" si="101"/>
        <v/>
      </c>
      <c r="H785" s="37" t="str">
        <f t="shared" si="102"/>
        <v/>
      </c>
      <c r="I785" s="37" t="str">
        <f t="shared" si="103"/>
        <v/>
      </c>
      <c r="J785" s="8" t="str">
        <f t="shared" si="104"/>
        <v/>
      </c>
      <c r="K785" s="38" t="str">
        <f t="shared" si="105"/>
        <v/>
      </c>
      <c r="N785" s="59" t="str">
        <f t="shared" si="107"/>
        <v/>
      </c>
      <c r="O785" s="59" t="str">
        <f t="shared" si="106"/>
        <v/>
      </c>
    </row>
    <row r="786" spans="3:15" x14ac:dyDescent="0.25">
      <c r="C786" s="47"/>
      <c r="D786" s="48"/>
      <c r="E786" s="7" t="str">
        <f t="shared" si="99"/>
        <v/>
      </c>
      <c r="F786" s="8" t="str">
        <f t="shared" si="100"/>
        <v/>
      </c>
      <c r="G786" s="8" t="str">
        <f t="shared" si="101"/>
        <v/>
      </c>
      <c r="H786" s="37" t="str">
        <f t="shared" si="102"/>
        <v/>
      </c>
      <c r="I786" s="37" t="str">
        <f t="shared" si="103"/>
        <v/>
      </c>
      <c r="J786" s="8" t="str">
        <f t="shared" si="104"/>
        <v/>
      </c>
      <c r="K786" s="38" t="str">
        <f t="shared" si="105"/>
        <v/>
      </c>
      <c r="N786" s="59" t="str">
        <f t="shared" si="107"/>
        <v/>
      </c>
      <c r="O786" s="59" t="str">
        <f t="shared" si="106"/>
        <v/>
      </c>
    </row>
    <row r="787" spans="3:15" x14ac:dyDescent="0.25">
      <c r="C787" s="47"/>
      <c r="D787" s="48"/>
      <c r="E787" s="7" t="str">
        <f t="shared" ref="E787:E850" si="108">IF(OR(DataRecebimento="",C787=""),"",IF(C787&lt;DataRecebimento,"ERRO!",C787+$F$9-$F$7))</f>
        <v/>
      </c>
      <c r="F787" s="8" t="str">
        <f t="shared" ref="F787:F850" si="109">IF(OR(TaxaJuros="",C787=""),"",IF(C787&lt;DataRecebimento,"DATA",-D787*E787*($F$8/30)))</f>
        <v/>
      </c>
      <c r="G787" s="8" t="str">
        <f t="shared" ref="G787:G850" si="110">IF(OR(TaxaJuros="",C787=""),"",IF(C787&lt;DataRecebimento,"NÃO",-$F$10))</f>
        <v/>
      </c>
      <c r="H787" s="37" t="str">
        <f t="shared" ref="H787:H850" si="111">IF(OR(TaxaJuros="",C787=""),"",IF(C787&lt;DataRecebimento,"PODE",IF(ComSemIOF=FALSE,0,IF(E787&gt;365,-(D787+F787)*365*IOFDiario,-(D787+F787)*E787*IOFDiario))))</f>
        <v/>
      </c>
      <c r="I787" s="37" t="str">
        <f t="shared" ref="I787:I850" si="112">IF(OR(TaxaJuros="",C787=""),"",IF(C787&lt;DataRecebimento,"SER",IF(ComSemIOF=FALSE,0,-(D787+F787)*IOFAdic)))</f>
        <v/>
      </c>
      <c r="J787" s="8" t="str">
        <f t="shared" ref="J787:J850" si="113">IF(OR(TaxaJuros="",C787=""),"",IF(C787&lt;DataRecebimento,"INFERIOR!",D787+SUM(F787:I787)))</f>
        <v/>
      </c>
      <c r="K787" s="38" t="str">
        <f t="shared" ref="K787:K850" si="114">IF(OR(TaxaJuros="",C787=""),"",IF(C787&lt;DataRecebimento,"ERRO!",100%-J787/D787))</f>
        <v/>
      </c>
      <c r="N787" s="59" t="str">
        <f t="shared" si="107"/>
        <v/>
      </c>
      <c r="O787" s="59" t="str">
        <f t="shared" ref="O787:O850" si="115">IF(N787="","",PV(TMA_Dia,E787,,-N787))</f>
        <v/>
      </c>
    </row>
    <row r="788" spans="3:15" x14ac:dyDescent="0.25">
      <c r="C788" s="47"/>
      <c r="D788" s="48"/>
      <c r="E788" s="7" t="str">
        <f t="shared" si="108"/>
        <v/>
      </c>
      <c r="F788" s="8" t="str">
        <f t="shared" si="109"/>
        <v/>
      </c>
      <c r="G788" s="8" t="str">
        <f t="shared" si="110"/>
        <v/>
      </c>
      <c r="H788" s="37" t="str">
        <f t="shared" si="111"/>
        <v/>
      </c>
      <c r="I788" s="37" t="str">
        <f t="shared" si="112"/>
        <v/>
      </c>
      <c r="J788" s="8" t="str">
        <f t="shared" si="113"/>
        <v/>
      </c>
      <c r="K788" s="38" t="str">
        <f t="shared" si="114"/>
        <v/>
      </c>
      <c r="N788" s="59" t="str">
        <f t="shared" ref="N788:N851" si="116">IF(C788="","",-D788)</f>
        <v/>
      </c>
      <c r="O788" s="59" t="str">
        <f t="shared" si="115"/>
        <v/>
      </c>
    </row>
    <row r="789" spans="3:15" x14ac:dyDescent="0.25">
      <c r="C789" s="47"/>
      <c r="D789" s="48"/>
      <c r="E789" s="7" t="str">
        <f t="shared" si="108"/>
        <v/>
      </c>
      <c r="F789" s="8" t="str">
        <f t="shared" si="109"/>
        <v/>
      </c>
      <c r="G789" s="8" t="str">
        <f t="shared" si="110"/>
        <v/>
      </c>
      <c r="H789" s="37" t="str">
        <f t="shared" si="111"/>
        <v/>
      </c>
      <c r="I789" s="37" t="str">
        <f t="shared" si="112"/>
        <v/>
      </c>
      <c r="J789" s="8" t="str">
        <f t="shared" si="113"/>
        <v/>
      </c>
      <c r="K789" s="38" t="str">
        <f t="shared" si="114"/>
        <v/>
      </c>
      <c r="N789" s="59" t="str">
        <f t="shared" si="116"/>
        <v/>
      </c>
      <c r="O789" s="59" t="str">
        <f t="shared" si="115"/>
        <v/>
      </c>
    </row>
    <row r="790" spans="3:15" x14ac:dyDescent="0.25">
      <c r="C790" s="47"/>
      <c r="D790" s="48"/>
      <c r="E790" s="7" t="str">
        <f t="shared" si="108"/>
        <v/>
      </c>
      <c r="F790" s="8" t="str">
        <f t="shared" si="109"/>
        <v/>
      </c>
      <c r="G790" s="8" t="str">
        <f t="shared" si="110"/>
        <v/>
      </c>
      <c r="H790" s="37" t="str">
        <f t="shared" si="111"/>
        <v/>
      </c>
      <c r="I790" s="37" t="str">
        <f t="shared" si="112"/>
        <v/>
      </c>
      <c r="J790" s="8" t="str">
        <f t="shared" si="113"/>
        <v/>
      </c>
      <c r="K790" s="38" t="str">
        <f t="shared" si="114"/>
        <v/>
      </c>
      <c r="N790" s="59" t="str">
        <f t="shared" si="116"/>
        <v/>
      </c>
      <c r="O790" s="59" t="str">
        <f t="shared" si="115"/>
        <v/>
      </c>
    </row>
    <row r="791" spans="3:15" x14ac:dyDescent="0.25">
      <c r="C791" s="47"/>
      <c r="D791" s="48"/>
      <c r="E791" s="7" t="str">
        <f t="shared" si="108"/>
        <v/>
      </c>
      <c r="F791" s="8" t="str">
        <f t="shared" si="109"/>
        <v/>
      </c>
      <c r="G791" s="8" t="str">
        <f t="shared" si="110"/>
        <v/>
      </c>
      <c r="H791" s="37" t="str">
        <f t="shared" si="111"/>
        <v/>
      </c>
      <c r="I791" s="37" t="str">
        <f t="shared" si="112"/>
        <v/>
      </c>
      <c r="J791" s="8" t="str">
        <f t="shared" si="113"/>
        <v/>
      </c>
      <c r="K791" s="38" t="str">
        <f t="shared" si="114"/>
        <v/>
      </c>
      <c r="N791" s="59" t="str">
        <f t="shared" si="116"/>
        <v/>
      </c>
      <c r="O791" s="59" t="str">
        <f t="shared" si="115"/>
        <v/>
      </c>
    </row>
    <row r="792" spans="3:15" x14ac:dyDescent="0.25">
      <c r="C792" s="47"/>
      <c r="D792" s="48"/>
      <c r="E792" s="7" t="str">
        <f t="shared" si="108"/>
        <v/>
      </c>
      <c r="F792" s="8" t="str">
        <f t="shared" si="109"/>
        <v/>
      </c>
      <c r="G792" s="8" t="str">
        <f t="shared" si="110"/>
        <v/>
      </c>
      <c r="H792" s="37" t="str">
        <f t="shared" si="111"/>
        <v/>
      </c>
      <c r="I792" s="37" t="str">
        <f t="shared" si="112"/>
        <v/>
      </c>
      <c r="J792" s="8" t="str">
        <f t="shared" si="113"/>
        <v/>
      </c>
      <c r="K792" s="38" t="str">
        <f t="shared" si="114"/>
        <v/>
      </c>
      <c r="N792" s="59" t="str">
        <f t="shared" si="116"/>
        <v/>
      </c>
      <c r="O792" s="59" t="str">
        <f t="shared" si="115"/>
        <v/>
      </c>
    </row>
    <row r="793" spans="3:15" x14ac:dyDescent="0.25">
      <c r="C793" s="47"/>
      <c r="D793" s="48"/>
      <c r="E793" s="7" t="str">
        <f t="shared" si="108"/>
        <v/>
      </c>
      <c r="F793" s="8" t="str">
        <f t="shared" si="109"/>
        <v/>
      </c>
      <c r="G793" s="8" t="str">
        <f t="shared" si="110"/>
        <v/>
      </c>
      <c r="H793" s="37" t="str">
        <f t="shared" si="111"/>
        <v/>
      </c>
      <c r="I793" s="37" t="str">
        <f t="shared" si="112"/>
        <v/>
      </c>
      <c r="J793" s="8" t="str">
        <f t="shared" si="113"/>
        <v/>
      </c>
      <c r="K793" s="38" t="str">
        <f t="shared" si="114"/>
        <v/>
      </c>
      <c r="N793" s="59" t="str">
        <f t="shared" si="116"/>
        <v/>
      </c>
      <c r="O793" s="59" t="str">
        <f t="shared" si="115"/>
        <v/>
      </c>
    </row>
    <row r="794" spans="3:15" x14ac:dyDescent="0.25">
      <c r="C794" s="47"/>
      <c r="D794" s="48"/>
      <c r="E794" s="7" t="str">
        <f t="shared" si="108"/>
        <v/>
      </c>
      <c r="F794" s="8" t="str">
        <f t="shared" si="109"/>
        <v/>
      </c>
      <c r="G794" s="8" t="str">
        <f t="shared" si="110"/>
        <v/>
      </c>
      <c r="H794" s="37" t="str">
        <f t="shared" si="111"/>
        <v/>
      </c>
      <c r="I794" s="37" t="str">
        <f t="shared" si="112"/>
        <v/>
      </c>
      <c r="J794" s="8" t="str">
        <f t="shared" si="113"/>
        <v/>
      </c>
      <c r="K794" s="38" t="str">
        <f t="shared" si="114"/>
        <v/>
      </c>
      <c r="N794" s="59" t="str">
        <f t="shared" si="116"/>
        <v/>
      </c>
      <c r="O794" s="59" t="str">
        <f t="shared" si="115"/>
        <v/>
      </c>
    </row>
    <row r="795" spans="3:15" x14ac:dyDescent="0.25">
      <c r="C795" s="47"/>
      <c r="D795" s="48"/>
      <c r="E795" s="7" t="str">
        <f t="shared" si="108"/>
        <v/>
      </c>
      <c r="F795" s="8" t="str">
        <f t="shared" si="109"/>
        <v/>
      </c>
      <c r="G795" s="8" t="str">
        <f t="shared" si="110"/>
        <v/>
      </c>
      <c r="H795" s="37" t="str">
        <f t="shared" si="111"/>
        <v/>
      </c>
      <c r="I795" s="37" t="str">
        <f t="shared" si="112"/>
        <v/>
      </c>
      <c r="J795" s="8" t="str">
        <f t="shared" si="113"/>
        <v/>
      </c>
      <c r="K795" s="38" t="str">
        <f t="shared" si="114"/>
        <v/>
      </c>
      <c r="N795" s="59" t="str">
        <f t="shared" si="116"/>
        <v/>
      </c>
      <c r="O795" s="59" t="str">
        <f t="shared" si="115"/>
        <v/>
      </c>
    </row>
    <row r="796" spans="3:15" x14ac:dyDescent="0.25">
      <c r="C796" s="47"/>
      <c r="D796" s="48"/>
      <c r="E796" s="7" t="str">
        <f t="shared" si="108"/>
        <v/>
      </c>
      <c r="F796" s="8" t="str">
        <f t="shared" si="109"/>
        <v/>
      </c>
      <c r="G796" s="8" t="str">
        <f t="shared" si="110"/>
        <v/>
      </c>
      <c r="H796" s="37" t="str">
        <f t="shared" si="111"/>
        <v/>
      </c>
      <c r="I796" s="37" t="str">
        <f t="shared" si="112"/>
        <v/>
      </c>
      <c r="J796" s="8" t="str">
        <f t="shared" si="113"/>
        <v/>
      </c>
      <c r="K796" s="38" t="str">
        <f t="shared" si="114"/>
        <v/>
      </c>
      <c r="N796" s="59" t="str">
        <f t="shared" si="116"/>
        <v/>
      </c>
      <c r="O796" s="59" t="str">
        <f t="shared" si="115"/>
        <v/>
      </c>
    </row>
    <row r="797" spans="3:15" x14ac:dyDescent="0.25">
      <c r="C797" s="47"/>
      <c r="D797" s="48"/>
      <c r="E797" s="7" t="str">
        <f t="shared" si="108"/>
        <v/>
      </c>
      <c r="F797" s="8" t="str">
        <f t="shared" si="109"/>
        <v/>
      </c>
      <c r="G797" s="8" t="str">
        <f t="shared" si="110"/>
        <v/>
      </c>
      <c r="H797" s="37" t="str">
        <f t="shared" si="111"/>
        <v/>
      </c>
      <c r="I797" s="37" t="str">
        <f t="shared" si="112"/>
        <v/>
      </c>
      <c r="J797" s="8" t="str">
        <f t="shared" si="113"/>
        <v/>
      </c>
      <c r="K797" s="38" t="str">
        <f t="shared" si="114"/>
        <v/>
      </c>
      <c r="N797" s="59" t="str">
        <f t="shared" si="116"/>
        <v/>
      </c>
      <c r="O797" s="59" t="str">
        <f t="shared" si="115"/>
        <v/>
      </c>
    </row>
    <row r="798" spans="3:15" x14ac:dyDescent="0.25">
      <c r="C798" s="47"/>
      <c r="D798" s="48"/>
      <c r="E798" s="7" t="str">
        <f t="shared" si="108"/>
        <v/>
      </c>
      <c r="F798" s="8" t="str">
        <f t="shared" si="109"/>
        <v/>
      </c>
      <c r="G798" s="8" t="str">
        <f t="shared" si="110"/>
        <v/>
      </c>
      <c r="H798" s="37" t="str">
        <f t="shared" si="111"/>
        <v/>
      </c>
      <c r="I798" s="37" t="str">
        <f t="shared" si="112"/>
        <v/>
      </c>
      <c r="J798" s="8" t="str">
        <f t="shared" si="113"/>
        <v/>
      </c>
      <c r="K798" s="38" t="str">
        <f t="shared" si="114"/>
        <v/>
      </c>
      <c r="N798" s="59" t="str">
        <f t="shared" si="116"/>
        <v/>
      </c>
      <c r="O798" s="59" t="str">
        <f t="shared" si="115"/>
        <v/>
      </c>
    </row>
    <row r="799" spans="3:15" x14ac:dyDescent="0.25">
      <c r="C799" s="47"/>
      <c r="D799" s="48"/>
      <c r="E799" s="7" t="str">
        <f t="shared" si="108"/>
        <v/>
      </c>
      <c r="F799" s="8" t="str">
        <f t="shared" si="109"/>
        <v/>
      </c>
      <c r="G799" s="8" t="str">
        <f t="shared" si="110"/>
        <v/>
      </c>
      <c r="H799" s="37" t="str">
        <f t="shared" si="111"/>
        <v/>
      </c>
      <c r="I799" s="37" t="str">
        <f t="shared" si="112"/>
        <v/>
      </c>
      <c r="J799" s="8" t="str">
        <f t="shared" si="113"/>
        <v/>
      </c>
      <c r="K799" s="38" t="str">
        <f t="shared" si="114"/>
        <v/>
      </c>
      <c r="N799" s="59" t="str">
        <f t="shared" si="116"/>
        <v/>
      </c>
      <c r="O799" s="59" t="str">
        <f t="shared" si="115"/>
        <v/>
      </c>
    </row>
    <row r="800" spans="3:15" x14ac:dyDescent="0.25">
      <c r="C800" s="47"/>
      <c r="D800" s="48"/>
      <c r="E800" s="7" t="str">
        <f t="shared" si="108"/>
        <v/>
      </c>
      <c r="F800" s="8" t="str">
        <f t="shared" si="109"/>
        <v/>
      </c>
      <c r="G800" s="8" t="str">
        <f t="shared" si="110"/>
        <v/>
      </c>
      <c r="H800" s="37" t="str">
        <f t="shared" si="111"/>
        <v/>
      </c>
      <c r="I800" s="37" t="str">
        <f t="shared" si="112"/>
        <v/>
      </c>
      <c r="J800" s="8" t="str">
        <f t="shared" si="113"/>
        <v/>
      </c>
      <c r="K800" s="38" t="str">
        <f t="shared" si="114"/>
        <v/>
      </c>
      <c r="N800" s="59" t="str">
        <f t="shared" si="116"/>
        <v/>
      </c>
      <c r="O800" s="59" t="str">
        <f t="shared" si="115"/>
        <v/>
      </c>
    </row>
    <row r="801" spans="3:15" x14ac:dyDescent="0.25">
      <c r="C801" s="47"/>
      <c r="D801" s="48"/>
      <c r="E801" s="7" t="str">
        <f t="shared" si="108"/>
        <v/>
      </c>
      <c r="F801" s="8" t="str">
        <f t="shared" si="109"/>
        <v/>
      </c>
      <c r="G801" s="8" t="str">
        <f t="shared" si="110"/>
        <v/>
      </c>
      <c r="H801" s="37" t="str">
        <f t="shared" si="111"/>
        <v/>
      </c>
      <c r="I801" s="37" t="str">
        <f t="shared" si="112"/>
        <v/>
      </c>
      <c r="J801" s="8" t="str">
        <f t="shared" si="113"/>
        <v/>
      </c>
      <c r="K801" s="38" t="str">
        <f t="shared" si="114"/>
        <v/>
      </c>
      <c r="N801" s="59" t="str">
        <f t="shared" si="116"/>
        <v/>
      </c>
      <c r="O801" s="59" t="str">
        <f t="shared" si="115"/>
        <v/>
      </c>
    </row>
    <row r="802" spans="3:15" x14ac:dyDescent="0.25">
      <c r="C802" s="47"/>
      <c r="D802" s="48"/>
      <c r="E802" s="7" t="str">
        <f t="shared" si="108"/>
        <v/>
      </c>
      <c r="F802" s="8" t="str">
        <f t="shared" si="109"/>
        <v/>
      </c>
      <c r="G802" s="8" t="str">
        <f t="shared" si="110"/>
        <v/>
      </c>
      <c r="H802" s="37" t="str">
        <f t="shared" si="111"/>
        <v/>
      </c>
      <c r="I802" s="37" t="str">
        <f t="shared" si="112"/>
        <v/>
      </c>
      <c r="J802" s="8" t="str">
        <f t="shared" si="113"/>
        <v/>
      </c>
      <c r="K802" s="38" t="str">
        <f t="shared" si="114"/>
        <v/>
      </c>
      <c r="N802" s="59" t="str">
        <f t="shared" si="116"/>
        <v/>
      </c>
      <c r="O802" s="59" t="str">
        <f t="shared" si="115"/>
        <v/>
      </c>
    </row>
    <row r="803" spans="3:15" x14ac:dyDescent="0.25">
      <c r="C803" s="47"/>
      <c r="D803" s="48"/>
      <c r="E803" s="7" t="str">
        <f t="shared" si="108"/>
        <v/>
      </c>
      <c r="F803" s="8" t="str">
        <f t="shared" si="109"/>
        <v/>
      </c>
      <c r="G803" s="8" t="str">
        <f t="shared" si="110"/>
        <v/>
      </c>
      <c r="H803" s="37" t="str">
        <f t="shared" si="111"/>
        <v/>
      </c>
      <c r="I803" s="37" t="str">
        <f t="shared" si="112"/>
        <v/>
      </c>
      <c r="J803" s="8" t="str">
        <f t="shared" si="113"/>
        <v/>
      </c>
      <c r="K803" s="38" t="str">
        <f t="shared" si="114"/>
        <v/>
      </c>
      <c r="N803" s="59" t="str">
        <f t="shared" si="116"/>
        <v/>
      </c>
      <c r="O803" s="59" t="str">
        <f t="shared" si="115"/>
        <v/>
      </c>
    </row>
    <row r="804" spans="3:15" x14ac:dyDescent="0.25">
      <c r="C804" s="47"/>
      <c r="D804" s="48"/>
      <c r="E804" s="7" t="str">
        <f t="shared" si="108"/>
        <v/>
      </c>
      <c r="F804" s="8" t="str">
        <f t="shared" si="109"/>
        <v/>
      </c>
      <c r="G804" s="8" t="str">
        <f t="shared" si="110"/>
        <v/>
      </c>
      <c r="H804" s="37" t="str">
        <f t="shared" si="111"/>
        <v/>
      </c>
      <c r="I804" s="37" t="str">
        <f t="shared" si="112"/>
        <v/>
      </c>
      <c r="J804" s="8" t="str">
        <f t="shared" si="113"/>
        <v/>
      </c>
      <c r="K804" s="38" t="str">
        <f t="shared" si="114"/>
        <v/>
      </c>
      <c r="N804" s="59" t="str">
        <f t="shared" si="116"/>
        <v/>
      </c>
      <c r="O804" s="59" t="str">
        <f t="shared" si="115"/>
        <v/>
      </c>
    </row>
    <row r="805" spans="3:15" x14ac:dyDescent="0.25">
      <c r="C805" s="47"/>
      <c r="D805" s="48"/>
      <c r="E805" s="7" t="str">
        <f t="shared" si="108"/>
        <v/>
      </c>
      <c r="F805" s="8" t="str">
        <f t="shared" si="109"/>
        <v/>
      </c>
      <c r="G805" s="8" t="str">
        <f t="shared" si="110"/>
        <v/>
      </c>
      <c r="H805" s="37" t="str">
        <f t="shared" si="111"/>
        <v/>
      </c>
      <c r="I805" s="37" t="str">
        <f t="shared" si="112"/>
        <v/>
      </c>
      <c r="J805" s="8" t="str">
        <f t="shared" si="113"/>
        <v/>
      </c>
      <c r="K805" s="38" t="str">
        <f t="shared" si="114"/>
        <v/>
      </c>
      <c r="N805" s="59" t="str">
        <f t="shared" si="116"/>
        <v/>
      </c>
      <c r="O805" s="59" t="str">
        <f t="shared" si="115"/>
        <v/>
      </c>
    </row>
    <row r="806" spans="3:15" x14ac:dyDescent="0.25">
      <c r="C806" s="47"/>
      <c r="D806" s="48"/>
      <c r="E806" s="7" t="str">
        <f t="shared" si="108"/>
        <v/>
      </c>
      <c r="F806" s="8" t="str">
        <f t="shared" si="109"/>
        <v/>
      </c>
      <c r="G806" s="8" t="str">
        <f t="shared" si="110"/>
        <v/>
      </c>
      <c r="H806" s="37" t="str">
        <f t="shared" si="111"/>
        <v/>
      </c>
      <c r="I806" s="37" t="str">
        <f t="shared" si="112"/>
        <v/>
      </c>
      <c r="J806" s="8" t="str">
        <f t="shared" si="113"/>
        <v/>
      </c>
      <c r="K806" s="38" t="str">
        <f t="shared" si="114"/>
        <v/>
      </c>
      <c r="N806" s="59" t="str">
        <f t="shared" si="116"/>
        <v/>
      </c>
      <c r="O806" s="59" t="str">
        <f t="shared" si="115"/>
        <v/>
      </c>
    </row>
    <row r="807" spans="3:15" x14ac:dyDescent="0.25">
      <c r="C807" s="47"/>
      <c r="D807" s="48"/>
      <c r="E807" s="7" t="str">
        <f t="shared" si="108"/>
        <v/>
      </c>
      <c r="F807" s="8" t="str">
        <f t="shared" si="109"/>
        <v/>
      </c>
      <c r="G807" s="8" t="str">
        <f t="shared" si="110"/>
        <v/>
      </c>
      <c r="H807" s="37" t="str">
        <f t="shared" si="111"/>
        <v/>
      </c>
      <c r="I807" s="37" t="str">
        <f t="shared" si="112"/>
        <v/>
      </c>
      <c r="J807" s="8" t="str">
        <f t="shared" si="113"/>
        <v/>
      </c>
      <c r="K807" s="38" t="str">
        <f t="shared" si="114"/>
        <v/>
      </c>
      <c r="N807" s="59" t="str">
        <f t="shared" si="116"/>
        <v/>
      </c>
      <c r="O807" s="59" t="str">
        <f t="shared" si="115"/>
        <v/>
      </c>
    </row>
    <row r="808" spans="3:15" x14ac:dyDescent="0.25">
      <c r="C808" s="47"/>
      <c r="D808" s="48"/>
      <c r="E808" s="7" t="str">
        <f t="shared" si="108"/>
        <v/>
      </c>
      <c r="F808" s="8" t="str">
        <f t="shared" si="109"/>
        <v/>
      </c>
      <c r="G808" s="8" t="str">
        <f t="shared" si="110"/>
        <v/>
      </c>
      <c r="H808" s="37" t="str">
        <f t="shared" si="111"/>
        <v/>
      </c>
      <c r="I808" s="37" t="str">
        <f t="shared" si="112"/>
        <v/>
      </c>
      <c r="J808" s="8" t="str">
        <f t="shared" si="113"/>
        <v/>
      </c>
      <c r="K808" s="38" t="str">
        <f t="shared" si="114"/>
        <v/>
      </c>
      <c r="N808" s="59" t="str">
        <f t="shared" si="116"/>
        <v/>
      </c>
      <c r="O808" s="59" t="str">
        <f t="shared" si="115"/>
        <v/>
      </c>
    </row>
    <row r="809" spans="3:15" x14ac:dyDescent="0.25">
      <c r="C809" s="47"/>
      <c r="D809" s="48"/>
      <c r="E809" s="7" t="str">
        <f t="shared" si="108"/>
        <v/>
      </c>
      <c r="F809" s="8" t="str">
        <f t="shared" si="109"/>
        <v/>
      </c>
      <c r="G809" s="8" t="str">
        <f t="shared" si="110"/>
        <v/>
      </c>
      <c r="H809" s="37" t="str">
        <f t="shared" si="111"/>
        <v/>
      </c>
      <c r="I809" s="37" t="str">
        <f t="shared" si="112"/>
        <v/>
      </c>
      <c r="J809" s="8" t="str">
        <f t="shared" si="113"/>
        <v/>
      </c>
      <c r="K809" s="38" t="str">
        <f t="shared" si="114"/>
        <v/>
      </c>
      <c r="N809" s="59" t="str">
        <f t="shared" si="116"/>
        <v/>
      </c>
      <c r="O809" s="59" t="str">
        <f t="shared" si="115"/>
        <v/>
      </c>
    </row>
    <row r="810" spans="3:15" x14ac:dyDescent="0.25">
      <c r="C810" s="47"/>
      <c r="D810" s="48"/>
      <c r="E810" s="7" t="str">
        <f t="shared" si="108"/>
        <v/>
      </c>
      <c r="F810" s="8" t="str">
        <f t="shared" si="109"/>
        <v/>
      </c>
      <c r="G810" s="8" t="str">
        <f t="shared" si="110"/>
        <v/>
      </c>
      <c r="H810" s="37" t="str">
        <f t="shared" si="111"/>
        <v/>
      </c>
      <c r="I810" s="37" t="str">
        <f t="shared" si="112"/>
        <v/>
      </c>
      <c r="J810" s="8" t="str">
        <f t="shared" si="113"/>
        <v/>
      </c>
      <c r="K810" s="38" t="str">
        <f t="shared" si="114"/>
        <v/>
      </c>
      <c r="N810" s="59" t="str">
        <f t="shared" si="116"/>
        <v/>
      </c>
      <c r="O810" s="59" t="str">
        <f t="shared" si="115"/>
        <v/>
      </c>
    </row>
    <row r="811" spans="3:15" x14ac:dyDescent="0.25">
      <c r="C811" s="47"/>
      <c r="D811" s="48"/>
      <c r="E811" s="7" t="str">
        <f t="shared" si="108"/>
        <v/>
      </c>
      <c r="F811" s="8" t="str">
        <f t="shared" si="109"/>
        <v/>
      </c>
      <c r="G811" s="8" t="str">
        <f t="shared" si="110"/>
        <v/>
      </c>
      <c r="H811" s="37" t="str">
        <f t="shared" si="111"/>
        <v/>
      </c>
      <c r="I811" s="37" t="str">
        <f t="shared" si="112"/>
        <v/>
      </c>
      <c r="J811" s="8" t="str">
        <f t="shared" si="113"/>
        <v/>
      </c>
      <c r="K811" s="38" t="str">
        <f t="shared" si="114"/>
        <v/>
      </c>
      <c r="N811" s="59" t="str">
        <f t="shared" si="116"/>
        <v/>
      </c>
      <c r="O811" s="59" t="str">
        <f t="shared" si="115"/>
        <v/>
      </c>
    </row>
    <row r="812" spans="3:15" x14ac:dyDescent="0.25">
      <c r="C812" s="47"/>
      <c r="D812" s="48"/>
      <c r="E812" s="7" t="str">
        <f t="shared" si="108"/>
        <v/>
      </c>
      <c r="F812" s="8" t="str">
        <f t="shared" si="109"/>
        <v/>
      </c>
      <c r="G812" s="8" t="str">
        <f t="shared" si="110"/>
        <v/>
      </c>
      <c r="H812" s="37" t="str">
        <f t="shared" si="111"/>
        <v/>
      </c>
      <c r="I812" s="37" t="str">
        <f t="shared" si="112"/>
        <v/>
      </c>
      <c r="J812" s="8" t="str">
        <f t="shared" si="113"/>
        <v/>
      </c>
      <c r="K812" s="38" t="str">
        <f t="shared" si="114"/>
        <v/>
      </c>
      <c r="N812" s="59" t="str">
        <f t="shared" si="116"/>
        <v/>
      </c>
      <c r="O812" s="59" t="str">
        <f t="shared" si="115"/>
        <v/>
      </c>
    </row>
    <row r="813" spans="3:15" x14ac:dyDescent="0.25">
      <c r="C813" s="47"/>
      <c r="D813" s="48"/>
      <c r="E813" s="7" t="str">
        <f t="shared" si="108"/>
        <v/>
      </c>
      <c r="F813" s="8" t="str">
        <f t="shared" si="109"/>
        <v/>
      </c>
      <c r="G813" s="8" t="str">
        <f t="shared" si="110"/>
        <v/>
      </c>
      <c r="H813" s="37" t="str">
        <f t="shared" si="111"/>
        <v/>
      </c>
      <c r="I813" s="37" t="str">
        <f t="shared" si="112"/>
        <v/>
      </c>
      <c r="J813" s="8" t="str">
        <f t="shared" si="113"/>
        <v/>
      </c>
      <c r="K813" s="38" t="str">
        <f t="shared" si="114"/>
        <v/>
      </c>
      <c r="N813" s="59" t="str">
        <f t="shared" si="116"/>
        <v/>
      </c>
      <c r="O813" s="59" t="str">
        <f t="shared" si="115"/>
        <v/>
      </c>
    </row>
    <row r="814" spans="3:15" x14ac:dyDescent="0.25">
      <c r="C814" s="47"/>
      <c r="D814" s="48"/>
      <c r="E814" s="7" t="str">
        <f t="shared" si="108"/>
        <v/>
      </c>
      <c r="F814" s="8" t="str">
        <f t="shared" si="109"/>
        <v/>
      </c>
      <c r="G814" s="8" t="str">
        <f t="shared" si="110"/>
        <v/>
      </c>
      <c r="H814" s="37" t="str">
        <f t="shared" si="111"/>
        <v/>
      </c>
      <c r="I814" s="37" t="str">
        <f t="shared" si="112"/>
        <v/>
      </c>
      <c r="J814" s="8" t="str">
        <f t="shared" si="113"/>
        <v/>
      </c>
      <c r="K814" s="38" t="str">
        <f t="shared" si="114"/>
        <v/>
      </c>
      <c r="N814" s="59" t="str">
        <f t="shared" si="116"/>
        <v/>
      </c>
      <c r="O814" s="59" t="str">
        <f t="shared" si="115"/>
        <v/>
      </c>
    </row>
    <row r="815" spans="3:15" x14ac:dyDescent="0.25">
      <c r="C815" s="47"/>
      <c r="D815" s="48"/>
      <c r="E815" s="7" t="str">
        <f t="shared" si="108"/>
        <v/>
      </c>
      <c r="F815" s="8" t="str">
        <f t="shared" si="109"/>
        <v/>
      </c>
      <c r="G815" s="8" t="str">
        <f t="shared" si="110"/>
        <v/>
      </c>
      <c r="H815" s="37" t="str">
        <f t="shared" si="111"/>
        <v/>
      </c>
      <c r="I815" s="37" t="str">
        <f t="shared" si="112"/>
        <v/>
      </c>
      <c r="J815" s="8" t="str">
        <f t="shared" si="113"/>
        <v/>
      </c>
      <c r="K815" s="38" t="str">
        <f t="shared" si="114"/>
        <v/>
      </c>
      <c r="N815" s="59" t="str">
        <f t="shared" si="116"/>
        <v/>
      </c>
      <c r="O815" s="59" t="str">
        <f t="shared" si="115"/>
        <v/>
      </c>
    </row>
    <row r="816" spans="3:15" x14ac:dyDescent="0.25">
      <c r="C816" s="47"/>
      <c r="D816" s="48"/>
      <c r="E816" s="7" t="str">
        <f t="shared" si="108"/>
        <v/>
      </c>
      <c r="F816" s="8" t="str">
        <f t="shared" si="109"/>
        <v/>
      </c>
      <c r="G816" s="8" t="str">
        <f t="shared" si="110"/>
        <v/>
      </c>
      <c r="H816" s="37" t="str">
        <f t="shared" si="111"/>
        <v/>
      </c>
      <c r="I816" s="37" t="str">
        <f t="shared" si="112"/>
        <v/>
      </c>
      <c r="J816" s="8" t="str">
        <f t="shared" si="113"/>
        <v/>
      </c>
      <c r="K816" s="38" t="str">
        <f t="shared" si="114"/>
        <v/>
      </c>
      <c r="N816" s="59" t="str">
        <f t="shared" si="116"/>
        <v/>
      </c>
      <c r="O816" s="59" t="str">
        <f t="shared" si="115"/>
        <v/>
      </c>
    </row>
    <row r="817" spans="3:15" x14ac:dyDescent="0.25">
      <c r="C817" s="47"/>
      <c r="D817" s="48"/>
      <c r="E817" s="7" t="str">
        <f t="shared" si="108"/>
        <v/>
      </c>
      <c r="F817" s="8" t="str">
        <f t="shared" si="109"/>
        <v/>
      </c>
      <c r="G817" s="8" t="str">
        <f t="shared" si="110"/>
        <v/>
      </c>
      <c r="H817" s="37" t="str">
        <f t="shared" si="111"/>
        <v/>
      </c>
      <c r="I817" s="37" t="str">
        <f t="shared" si="112"/>
        <v/>
      </c>
      <c r="J817" s="8" t="str">
        <f t="shared" si="113"/>
        <v/>
      </c>
      <c r="K817" s="38" t="str">
        <f t="shared" si="114"/>
        <v/>
      </c>
      <c r="N817" s="59" t="str">
        <f t="shared" si="116"/>
        <v/>
      </c>
      <c r="O817" s="59" t="str">
        <f t="shared" si="115"/>
        <v/>
      </c>
    </row>
    <row r="818" spans="3:15" x14ac:dyDescent="0.25">
      <c r="C818" s="47"/>
      <c r="D818" s="48"/>
      <c r="E818" s="7" t="str">
        <f t="shared" si="108"/>
        <v/>
      </c>
      <c r="F818" s="8" t="str">
        <f t="shared" si="109"/>
        <v/>
      </c>
      <c r="G818" s="8" t="str">
        <f t="shared" si="110"/>
        <v/>
      </c>
      <c r="H818" s="37" t="str">
        <f t="shared" si="111"/>
        <v/>
      </c>
      <c r="I818" s="37" t="str">
        <f t="shared" si="112"/>
        <v/>
      </c>
      <c r="J818" s="8" t="str">
        <f t="shared" si="113"/>
        <v/>
      </c>
      <c r="K818" s="38" t="str">
        <f t="shared" si="114"/>
        <v/>
      </c>
      <c r="N818" s="59" t="str">
        <f t="shared" si="116"/>
        <v/>
      </c>
      <c r="O818" s="59" t="str">
        <f t="shared" si="115"/>
        <v/>
      </c>
    </row>
    <row r="819" spans="3:15" x14ac:dyDescent="0.25">
      <c r="C819" s="47"/>
      <c r="D819" s="48"/>
      <c r="E819" s="7" t="str">
        <f t="shared" si="108"/>
        <v/>
      </c>
      <c r="F819" s="8" t="str">
        <f t="shared" si="109"/>
        <v/>
      </c>
      <c r="G819" s="8" t="str">
        <f t="shared" si="110"/>
        <v/>
      </c>
      <c r="H819" s="37" t="str">
        <f t="shared" si="111"/>
        <v/>
      </c>
      <c r="I819" s="37" t="str">
        <f t="shared" si="112"/>
        <v/>
      </c>
      <c r="J819" s="8" t="str">
        <f t="shared" si="113"/>
        <v/>
      </c>
      <c r="K819" s="38" t="str">
        <f t="shared" si="114"/>
        <v/>
      </c>
      <c r="N819" s="59" t="str">
        <f t="shared" si="116"/>
        <v/>
      </c>
      <c r="O819" s="59" t="str">
        <f t="shared" si="115"/>
        <v/>
      </c>
    </row>
    <row r="820" spans="3:15" x14ac:dyDescent="0.25">
      <c r="C820" s="47"/>
      <c r="D820" s="48"/>
      <c r="E820" s="7" t="str">
        <f t="shared" si="108"/>
        <v/>
      </c>
      <c r="F820" s="8" t="str">
        <f t="shared" si="109"/>
        <v/>
      </c>
      <c r="G820" s="8" t="str">
        <f t="shared" si="110"/>
        <v/>
      </c>
      <c r="H820" s="37" t="str">
        <f t="shared" si="111"/>
        <v/>
      </c>
      <c r="I820" s="37" t="str">
        <f t="shared" si="112"/>
        <v/>
      </c>
      <c r="J820" s="8" t="str">
        <f t="shared" si="113"/>
        <v/>
      </c>
      <c r="K820" s="38" t="str">
        <f t="shared" si="114"/>
        <v/>
      </c>
      <c r="N820" s="59" t="str">
        <f t="shared" si="116"/>
        <v/>
      </c>
      <c r="O820" s="59" t="str">
        <f t="shared" si="115"/>
        <v/>
      </c>
    </row>
    <row r="821" spans="3:15" x14ac:dyDescent="0.25">
      <c r="C821" s="47"/>
      <c r="D821" s="48"/>
      <c r="E821" s="7" t="str">
        <f t="shared" si="108"/>
        <v/>
      </c>
      <c r="F821" s="8" t="str">
        <f t="shared" si="109"/>
        <v/>
      </c>
      <c r="G821" s="8" t="str">
        <f t="shared" si="110"/>
        <v/>
      </c>
      <c r="H821" s="37" t="str">
        <f t="shared" si="111"/>
        <v/>
      </c>
      <c r="I821" s="37" t="str">
        <f t="shared" si="112"/>
        <v/>
      </c>
      <c r="J821" s="8" t="str">
        <f t="shared" si="113"/>
        <v/>
      </c>
      <c r="K821" s="38" t="str">
        <f t="shared" si="114"/>
        <v/>
      </c>
      <c r="N821" s="59" t="str">
        <f t="shared" si="116"/>
        <v/>
      </c>
      <c r="O821" s="59" t="str">
        <f t="shared" si="115"/>
        <v/>
      </c>
    </row>
    <row r="822" spans="3:15" x14ac:dyDescent="0.25">
      <c r="C822" s="47"/>
      <c r="D822" s="48"/>
      <c r="E822" s="7" t="str">
        <f t="shared" si="108"/>
        <v/>
      </c>
      <c r="F822" s="8" t="str">
        <f t="shared" si="109"/>
        <v/>
      </c>
      <c r="G822" s="8" t="str">
        <f t="shared" si="110"/>
        <v/>
      </c>
      <c r="H822" s="37" t="str">
        <f t="shared" si="111"/>
        <v/>
      </c>
      <c r="I822" s="37" t="str">
        <f t="shared" si="112"/>
        <v/>
      </c>
      <c r="J822" s="8" t="str">
        <f t="shared" si="113"/>
        <v/>
      </c>
      <c r="K822" s="38" t="str">
        <f t="shared" si="114"/>
        <v/>
      </c>
      <c r="N822" s="59" t="str">
        <f t="shared" si="116"/>
        <v/>
      </c>
      <c r="O822" s="59" t="str">
        <f t="shared" si="115"/>
        <v/>
      </c>
    </row>
    <row r="823" spans="3:15" x14ac:dyDescent="0.25">
      <c r="C823" s="47"/>
      <c r="D823" s="48"/>
      <c r="E823" s="7" t="str">
        <f t="shared" si="108"/>
        <v/>
      </c>
      <c r="F823" s="8" t="str">
        <f t="shared" si="109"/>
        <v/>
      </c>
      <c r="G823" s="8" t="str">
        <f t="shared" si="110"/>
        <v/>
      </c>
      <c r="H823" s="37" t="str">
        <f t="shared" si="111"/>
        <v/>
      </c>
      <c r="I823" s="37" t="str">
        <f t="shared" si="112"/>
        <v/>
      </c>
      <c r="J823" s="8" t="str">
        <f t="shared" si="113"/>
        <v/>
      </c>
      <c r="K823" s="38" t="str">
        <f t="shared" si="114"/>
        <v/>
      </c>
      <c r="N823" s="59" t="str">
        <f t="shared" si="116"/>
        <v/>
      </c>
      <c r="O823" s="59" t="str">
        <f t="shared" si="115"/>
        <v/>
      </c>
    </row>
    <row r="824" spans="3:15" x14ac:dyDescent="0.25">
      <c r="C824" s="47"/>
      <c r="D824" s="48"/>
      <c r="E824" s="7" t="str">
        <f t="shared" si="108"/>
        <v/>
      </c>
      <c r="F824" s="8" t="str">
        <f t="shared" si="109"/>
        <v/>
      </c>
      <c r="G824" s="8" t="str">
        <f t="shared" si="110"/>
        <v/>
      </c>
      <c r="H824" s="37" t="str">
        <f t="shared" si="111"/>
        <v/>
      </c>
      <c r="I824" s="37" t="str">
        <f t="shared" si="112"/>
        <v/>
      </c>
      <c r="J824" s="8" t="str">
        <f t="shared" si="113"/>
        <v/>
      </c>
      <c r="K824" s="38" t="str">
        <f t="shared" si="114"/>
        <v/>
      </c>
      <c r="N824" s="59" t="str">
        <f t="shared" si="116"/>
        <v/>
      </c>
      <c r="O824" s="59" t="str">
        <f t="shared" si="115"/>
        <v/>
      </c>
    </row>
    <row r="825" spans="3:15" x14ac:dyDescent="0.25">
      <c r="C825" s="47"/>
      <c r="D825" s="48"/>
      <c r="E825" s="7" t="str">
        <f t="shared" si="108"/>
        <v/>
      </c>
      <c r="F825" s="8" t="str">
        <f t="shared" si="109"/>
        <v/>
      </c>
      <c r="G825" s="8" t="str">
        <f t="shared" si="110"/>
        <v/>
      </c>
      <c r="H825" s="37" t="str">
        <f t="shared" si="111"/>
        <v/>
      </c>
      <c r="I825" s="37" t="str">
        <f t="shared" si="112"/>
        <v/>
      </c>
      <c r="J825" s="8" t="str">
        <f t="shared" si="113"/>
        <v/>
      </c>
      <c r="K825" s="38" t="str">
        <f t="shared" si="114"/>
        <v/>
      </c>
      <c r="N825" s="59" t="str">
        <f t="shared" si="116"/>
        <v/>
      </c>
      <c r="O825" s="59" t="str">
        <f t="shared" si="115"/>
        <v/>
      </c>
    </row>
    <row r="826" spans="3:15" x14ac:dyDescent="0.25">
      <c r="C826" s="47"/>
      <c r="D826" s="48"/>
      <c r="E826" s="7" t="str">
        <f t="shared" si="108"/>
        <v/>
      </c>
      <c r="F826" s="8" t="str">
        <f t="shared" si="109"/>
        <v/>
      </c>
      <c r="G826" s="8" t="str">
        <f t="shared" si="110"/>
        <v/>
      </c>
      <c r="H826" s="37" t="str">
        <f t="shared" si="111"/>
        <v/>
      </c>
      <c r="I826" s="37" t="str">
        <f t="shared" si="112"/>
        <v/>
      </c>
      <c r="J826" s="8" t="str">
        <f t="shared" si="113"/>
        <v/>
      </c>
      <c r="K826" s="38" t="str">
        <f t="shared" si="114"/>
        <v/>
      </c>
      <c r="N826" s="59" t="str">
        <f t="shared" si="116"/>
        <v/>
      </c>
      <c r="O826" s="59" t="str">
        <f t="shared" si="115"/>
        <v/>
      </c>
    </row>
    <row r="827" spans="3:15" x14ac:dyDescent="0.25">
      <c r="C827" s="47"/>
      <c r="D827" s="48"/>
      <c r="E827" s="7" t="str">
        <f t="shared" si="108"/>
        <v/>
      </c>
      <c r="F827" s="8" t="str">
        <f t="shared" si="109"/>
        <v/>
      </c>
      <c r="G827" s="8" t="str">
        <f t="shared" si="110"/>
        <v/>
      </c>
      <c r="H827" s="37" t="str">
        <f t="shared" si="111"/>
        <v/>
      </c>
      <c r="I827" s="37" t="str">
        <f t="shared" si="112"/>
        <v/>
      </c>
      <c r="J827" s="8" t="str">
        <f t="shared" si="113"/>
        <v/>
      </c>
      <c r="K827" s="38" t="str">
        <f t="shared" si="114"/>
        <v/>
      </c>
      <c r="N827" s="59" t="str">
        <f t="shared" si="116"/>
        <v/>
      </c>
      <c r="O827" s="59" t="str">
        <f t="shared" si="115"/>
        <v/>
      </c>
    </row>
    <row r="828" spans="3:15" x14ac:dyDescent="0.25">
      <c r="C828" s="47"/>
      <c r="D828" s="48"/>
      <c r="E828" s="7" t="str">
        <f t="shared" si="108"/>
        <v/>
      </c>
      <c r="F828" s="8" t="str">
        <f t="shared" si="109"/>
        <v/>
      </c>
      <c r="G828" s="8" t="str">
        <f t="shared" si="110"/>
        <v/>
      </c>
      <c r="H828" s="37" t="str">
        <f t="shared" si="111"/>
        <v/>
      </c>
      <c r="I828" s="37" t="str">
        <f t="shared" si="112"/>
        <v/>
      </c>
      <c r="J828" s="8" t="str">
        <f t="shared" si="113"/>
        <v/>
      </c>
      <c r="K828" s="38" t="str">
        <f t="shared" si="114"/>
        <v/>
      </c>
      <c r="N828" s="59" t="str">
        <f t="shared" si="116"/>
        <v/>
      </c>
      <c r="O828" s="59" t="str">
        <f t="shared" si="115"/>
        <v/>
      </c>
    </row>
    <row r="829" spans="3:15" x14ac:dyDescent="0.25">
      <c r="C829" s="47"/>
      <c r="D829" s="48"/>
      <c r="E829" s="7" t="str">
        <f t="shared" si="108"/>
        <v/>
      </c>
      <c r="F829" s="8" t="str">
        <f t="shared" si="109"/>
        <v/>
      </c>
      <c r="G829" s="8" t="str">
        <f t="shared" si="110"/>
        <v/>
      </c>
      <c r="H829" s="37" t="str">
        <f t="shared" si="111"/>
        <v/>
      </c>
      <c r="I829" s="37" t="str">
        <f t="shared" si="112"/>
        <v/>
      </c>
      <c r="J829" s="8" t="str">
        <f t="shared" si="113"/>
        <v/>
      </c>
      <c r="K829" s="38" t="str">
        <f t="shared" si="114"/>
        <v/>
      </c>
      <c r="N829" s="59" t="str">
        <f t="shared" si="116"/>
        <v/>
      </c>
      <c r="O829" s="59" t="str">
        <f t="shared" si="115"/>
        <v/>
      </c>
    </row>
    <row r="830" spans="3:15" x14ac:dyDescent="0.25">
      <c r="C830" s="47"/>
      <c r="D830" s="48"/>
      <c r="E830" s="7" t="str">
        <f t="shared" si="108"/>
        <v/>
      </c>
      <c r="F830" s="8" t="str">
        <f t="shared" si="109"/>
        <v/>
      </c>
      <c r="G830" s="8" t="str">
        <f t="shared" si="110"/>
        <v/>
      </c>
      <c r="H830" s="37" t="str">
        <f t="shared" si="111"/>
        <v/>
      </c>
      <c r="I830" s="37" t="str">
        <f t="shared" si="112"/>
        <v/>
      </c>
      <c r="J830" s="8" t="str">
        <f t="shared" si="113"/>
        <v/>
      </c>
      <c r="K830" s="38" t="str">
        <f t="shared" si="114"/>
        <v/>
      </c>
      <c r="N830" s="59" t="str">
        <f t="shared" si="116"/>
        <v/>
      </c>
      <c r="O830" s="59" t="str">
        <f t="shared" si="115"/>
        <v/>
      </c>
    </row>
    <row r="831" spans="3:15" x14ac:dyDescent="0.25">
      <c r="C831" s="47"/>
      <c r="D831" s="48"/>
      <c r="E831" s="7" t="str">
        <f t="shared" si="108"/>
        <v/>
      </c>
      <c r="F831" s="8" t="str">
        <f t="shared" si="109"/>
        <v/>
      </c>
      <c r="G831" s="8" t="str">
        <f t="shared" si="110"/>
        <v/>
      </c>
      <c r="H831" s="37" t="str">
        <f t="shared" si="111"/>
        <v/>
      </c>
      <c r="I831" s="37" t="str">
        <f t="shared" si="112"/>
        <v/>
      </c>
      <c r="J831" s="8" t="str">
        <f t="shared" si="113"/>
        <v/>
      </c>
      <c r="K831" s="38" t="str">
        <f t="shared" si="114"/>
        <v/>
      </c>
      <c r="N831" s="59" t="str">
        <f t="shared" si="116"/>
        <v/>
      </c>
      <c r="O831" s="59" t="str">
        <f t="shared" si="115"/>
        <v/>
      </c>
    </row>
    <row r="832" spans="3:15" x14ac:dyDescent="0.25">
      <c r="C832" s="47"/>
      <c r="D832" s="48"/>
      <c r="E832" s="7" t="str">
        <f t="shared" si="108"/>
        <v/>
      </c>
      <c r="F832" s="8" t="str">
        <f t="shared" si="109"/>
        <v/>
      </c>
      <c r="G832" s="8" t="str">
        <f t="shared" si="110"/>
        <v/>
      </c>
      <c r="H832" s="37" t="str">
        <f t="shared" si="111"/>
        <v/>
      </c>
      <c r="I832" s="37" t="str">
        <f t="shared" si="112"/>
        <v/>
      </c>
      <c r="J832" s="8" t="str">
        <f t="shared" si="113"/>
        <v/>
      </c>
      <c r="K832" s="38" t="str">
        <f t="shared" si="114"/>
        <v/>
      </c>
      <c r="N832" s="59" t="str">
        <f t="shared" si="116"/>
        <v/>
      </c>
      <c r="O832" s="59" t="str">
        <f t="shared" si="115"/>
        <v/>
      </c>
    </row>
    <row r="833" spans="3:15" x14ac:dyDescent="0.25">
      <c r="C833" s="47"/>
      <c r="D833" s="48"/>
      <c r="E833" s="7" t="str">
        <f t="shared" si="108"/>
        <v/>
      </c>
      <c r="F833" s="8" t="str">
        <f t="shared" si="109"/>
        <v/>
      </c>
      <c r="G833" s="8" t="str">
        <f t="shared" si="110"/>
        <v/>
      </c>
      <c r="H833" s="37" t="str">
        <f t="shared" si="111"/>
        <v/>
      </c>
      <c r="I833" s="37" t="str">
        <f t="shared" si="112"/>
        <v/>
      </c>
      <c r="J833" s="8" t="str">
        <f t="shared" si="113"/>
        <v/>
      </c>
      <c r="K833" s="38" t="str">
        <f t="shared" si="114"/>
        <v/>
      </c>
      <c r="N833" s="59" t="str">
        <f t="shared" si="116"/>
        <v/>
      </c>
      <c r="O833" s="59" t="str">
        <f t="shared" si="115"/>
        <v/>
      </c>
    </row>
    <row r="834" spans="3:15" x14ac:dyDescent="0.25">
      <c r="C834" s="47"/>
      <c r="D834" s="48"/>
      <c r="E834" s="7" t="str">
        <f t="shared" si="108"/>
        <v/>
      </c>
      <c r="F834" s="8" t="str">
        <f t="shared" si="109"/>
        <v/>
      </c>
      <c r="G834" s="8" t="str">
        <f t="shared" si="110"/>
        <v/>
      </c>
      <c r="H834" s="37" t="str">
        <f t="shared" si="111"/>
        <v/>
      </c>
      <c r="I834" s="37" t="str">
        <f t="shared" si="112"/>
        <v/>
      </c>
      <c r="J834" s="8" t="str">
        <f t="shared" si="113"/>
        <v/>
      </c>
      <c r="K834" s="38" t="str">
        <f t="shared" si="114"/>
        <v/>
      </c>
      <c r="N834" s="59" t="str">
        <f t="shared" si="116"/>
        <v/>
      </c>
      <c r="O834" s="59" t="str">
        <f t="shared" si="115"/>
        <v/>
      </c>
    </row>
    <row r="835" spans="3:15" x14ac:dyDescent="0.25">
      <c r="C835" s="47"/>
      <c r="D835" s="48"/>
      <c r="E835" s="7" t="str">
        <f t="shared" si="108"/>
        <v/>
      </c>
      <c r="F835" s="8" t="str">
        <f t="shared" si="109"/>
        <v/>
      </c>
      <c r="G835" s="8" t="str">
        <f t="shared" si="110"/>
        <v/>
      </c>
      <c r="H835" s="37" t="str">
        <f t="shared" si="111"/>
        <v/>
      </c>
      <c r="I835" s="37" t="str">
        <f t="shared" si="112"/>
        <v/>
      </c>
      <c r="J835" s="8" t="str">
        <f t="shared" si="113"/>
        <v/>
      </c>
      <c r="K835" s="38" t="str">
        <f t="shared" si="114"/>
        <v/>
      </c>
      <c r="N835" s="59" t="str">
        <f t="shared" si="116"/>
        <v/>
      </c>
      <c r="O835" s="59" t="str">
        <f t="shared" si="115"/>
        <v/>
      </c>
    </row>
    <row r="836" spans="3:15" x14ac:dyDescent="0.25">
      <c r="C836" s="47"/>
      <c r="D836" s="48"/>
      <c r="E836" s="7" t="str">
        <f t="shared" si="108"/>
        <v/>
      </c>
      <c r="F836" s="8" t="str">
        <f t="shared" si="109"/>
        <v/>
      </c>
      <c r="G836" s="8" t="str">
        <f t="shared" si="110"/>
        <v/>
      </c>
      <c r="H836" s="37" t="str">
        <f t="shared" si="111"/>
        <v/>
      </c>
      <c r="I836" s="37" t="str">
        <f t="shared" si="112"/>
        <v/>
      </c>
      <c r="J836" s="8" t="str">
        <f t="shared" si="113"/>
        <v/>
      </c>
      <c r="K836" s="38" t="str">
        <f t="shared" si="114"/>
        <v/>
      </c>
      <c r="N836" s="59" t="str">
        <f t="shared" si="116"/>
        <v/>
      </c>
      <c r="O836" s="59" t="str">
        <f t="shared" si="115"/>
        <v/>
      </c>
    </row>
    <row r="837" spans="3:15" x14ac:dyDescent="0.25">
      <c r="C837" s="47"/>
      <c r="D837" s="48"/>
      <c r="E837" s="7" t="str">
        <f t="shared" si="108"/>
        <v/>
      </c>
      <c r="F837" s="8" t="str">
        <f t="shared" si="109"/>
        <v/>
      </c>
      <c r="G837" s="8" t="str">
        <f t="shared" si="110"/>
        <v/>
      </c>
      <c r="H837" s="37" t="str">
        <f t="shared" si="111"/>
        <v/>
      </c>
      <c r="I837" s="37" t="str">
        <f t="shared" si="112"/>
        <v/>
      </c>
      <c r="J837" s="8" t="str">
        <f t="shared" si="113"/>
        <v/>
      </c>
      <c r="K837" s="38" t="str">
        <f t="shared" si="114"/>
        <v/>
      </c>
      <c r="N837" s="59" t="str">
        <f t="shared" si="116"/>
        <v/>
      </c>
      <c r="O837" s="59" t="str">
        <f t="shared" si="115"/>
        <v/>
      </c>
    </row>
    <row r="838" spans="3:15" x14ac:dyDescent="0.25">
      <c r="C838" s="47"/>
      <c r="D838" s="48"/>
      <c r="E838" s="7" t="str">
        <f t="shared" si="108"/>
        <v/>
      </c>
      <c r="F838" s="8" t="str">
        <f t="shared" si="109"/>
        <v/>
      </c>
      <c r="G838" s="8" t="str">
        <f t="shared" si="110"/>
        <v/>
      </c>
      <c r="H838" s="37" t="str">
        <f t="shared" si="111"/>
        <v/>
      </c>
      <c r="I838" s="37" t="str">
        <f t="shared" si="112"/>
        <v/>
      </c>
      <c r="J838" s="8" t="str">
        <f t="shared" si="113"/>
        <v/>
      </c>
      <c r="K838" s="38" t="str">
        <f t="shared" si="114"/>
        <v/>
      </c>
      <c r="N838" s="59" t="str">
        <f t="shared" si="116"/>
        <v/>
      </c>
      <c r="O838" s="59" t="str">
        <f t="shared" si="115"/>
        <v/>
      </c>
    </row>
    <row r="839" spans="3:15" x14ac:dyDescent="0.25">
      <c r="C839" s="47"/>
      <c r="D839" s="48"/>
      <c r="E839" s="7" t="str">
        <f t="shared" si="108"/>
        <v/>
      </c>
      <c r="F839" s="8" t="str">
        <f t="shared" si="109"/>
        <v/>
      </c>
      <c r="G839" s="8" t="str">
        <f t="shared" si="110"/>
        <v/>
      </c>
      <c r="H839" s="37" t="str">
        <f t="shared" si="111"/>
        <v/>
      </c>
      <c r="I839" s="37" t="str">
        <f t="shared" si="112"/>
        <v/>
      </c>
      <c r="J839" s="8" t="str">
        <f t="shared" si="113"/>
        <v/>
      </c>
      <c r="K839" s="38" t="str">
        <f t="shared" si="114"/>
        <v/>
      </c>
      <c r="N839" s="59" t="str">
        <f t="shared" si="116"/>
        <v/>
      </c>
      <c r="O839" s="59" t="str">
        <f t="shared" si="115"/>
        <v/>
      </c>
    </row>
    <row r="840" spans="3:15" x14ac:dyDescent="0.25">
      <c r="C840" s="47"/>
      <c r="D840" s="48"/>
      <c r="E840" s="7" t="str">
        <f t="shared" si="108"/>
        <v/>
      </c>
      <c r="F840" s="8" t="str">
        <f t="shared" si="109"/>
        <v/>
      </c>
      <c r="G840" s="8" t="str">
        <f t="shared" si="110"/>
        <v/>
      </c>
      <c r="H840" s="37" t="str">
        <f t="shared" si="111"/>
        <v/>
      </c>
      <c r="I840" s="37" t="str">
        <f t="shared" si="112"/>
        <v/>
      </c>
      <c r="J840" s="8" t="str">
        <f t="shared" si="113"/>
        <v/>
      </c>
      <c r="K840" s="38" t="str">
        <f t="shared" si="114"/>
        <v/>
      </c>
      <c r="N840" s="59" t="str">
        <f t="shared" si="116"/>
        <v/>
      </c>
      <c r="O840" s="59" t="str">
        <f t="shared" si="115"/>
        <v/>
      </c>
    </row>
    <row r="841" spans="3:15" x14ac:dyDescent="0.25">
      <c r="C841" s="47"/>
      <c r="D841" s="48"/>
      <c r="E841" s="7" t="str">
        <f t="shared" si="108"/>
        <v/>
      </c>
      <c r="F841" s="8" t="str">
        <f t="shared" si="109"/>
        <v/>
      </c>
      <c r="G841" s="8" t="str">
        <f t="shared" si="110"/>
        <v/>
      </c>
      <c r="H841" s="37" t="str">
        <f t="shared" si="111"/>
        <v/>
      </c>
      <c r="I841" s="37" t="str">
        <f t="shared" si="112"/>
        <v/>
      </c>
      <c r="J841" s="8" t="str">
        <f t="shared" si="113"/>
        <v/>
      </c>
      <c r="K841" s="38" t="str">
        <f t="shared" si="114"/>
        <v/>
      </c>
      <c r="N841" s="59" t="str">
        <f t="shared" si="116"/>
        <v/>
      </c>
      <c r="O841" s="59" t="str">
        <f t="shared" si="115"/>
        <v/>
      </c>
    </row>
    <row r="842" spans="3:15" x14ac:dyDescent="0.25">
      <c r="C842" s="47"/>
      <c r="D842" s="48"/>
      <c r="E842" s="7" t="str">
        <f t="shared" si="108"/>
        <v/>
      </c>
      <c r="F842" s="8" t="str">
        <f t="shared" si="109"/>
        <v/>
      </c>
      <c r="G842" s="8" t="str">
        <f t="shared" si="110"/>
        <v/>
      </c>
      <c r="H842" s="37" t="str">
        <f t="shared" si="111"/>
        <v/>
      </c>
      <c r="I842" s="37" t="str">
        <f t="shared" si="112"/>
        <v/>
      </c>
      <c r="J842" s="8" t="str">
        <f t="shared" si="113"/>
        <v/>
      </c>
      <c r="K842" s="38" t="str">
        <f t="shared" si="114"/>
        <v/>
      </c>
      <c r="N842" s="59" t="str">
        <f t="shared" si="116"/>
        <v/>
      </c>
      <c r="O842" s="59" t="str">
        <f t="shared" si="115"/>
        <v/>
      </c>
    </row>
    <row r="843" spans="3:15" x14ac:dyDescent="0.25">
      <c r="C843" s="47"/>
      <c r="D843" s="48"/>
      <c r="E843" s="7" t="str">
        <f t="shared" si="108"/>
        <v/>
      </c>
      <c r="F843" s="8" t="str">
        <f t="shared" si="109"/>
        <v/>
      </c>
      <c r="G843" s="8" t="str">
        <f t="shared" si="110"/>
        <v/>
      </c>
      <c r="H843" s="37" t="str">
        <f t="shared" si="111"/>
        <v/>
      </c>
      <c r="I843" s="37" t="str">
        <f t="shared" si="112"/>
        <v/>
      </c>
      <c r="J843" s="8" t="str">
        <f t="shared" si="113"/>
        <v/>
      </c>
      <c r="K843" s="38" t="str">
        <f t="shared" si="114"/>
        <v/>
      </c>
      <c r="N843" s="59" t="str">
        <f t="shared" si="116"/>
        <v/>
      </c>
      <c r="O843" s="59" t="str">
        <f t="shared" si="115"/>
        <v/>
      </c>
    </row>
    <row r="844" spans="3:15" x14ac:dyDescent="0.25">
      <c r="C844" s="47"/>
      <c r="D844" s="48"/>
      <c r="E844" s="7" t="str">
        <f t="shared" si="108"/>
        <v/>
      </c>
      <c r="F844" s="8" t="str">
        <f t="shared" si="109"/>
        <v/>
      </c>
      <c r="G844" s="8" t="str">
        <f t="shared" si="110"/>
        <v/>
      </c>
      <c r="H844" s="37" t="str">
        <f t="shared" si="111"/>
        <v/>
      </c>
      <c r="I844" s="37" t="str">
        <f t="shared" si="112"/>
        <v/>
      </c>
      <c r="J844" s="8" t="str">
        <f t="shared" si="113"/>
        <v/>
      </c>
      <c r="K844" s="38" t="str">
        <f t="shared" si="114"/>
        <v/>
      </c>
      <c r="N844" s="59" t="str">
        <f t="shared" si="116"/>
        <v/>
      </c>
      <c r="O844" s="59" t="str">
        <f t="shared" si="115"/>
        <v/>
      </c>
    </row>
    <row r="845" spans="3:15" x14ac:dyDescent="0.25">
      <c r="C845" s="47"/>
      <c r="D845" s="48"/>
      <c r="E845" s="7" t="str">
        <f t="shared" si="108"/>
        <v/>
      </c>
      <c r="F845" s="8" t="str">
        <f t="shared" si="109"/>
        <v/>
      </c>
      <c r="G845" s="8" t="str">
        <f t="shared" si="110"/>
        <v/>
      </c>
      <c r="H845" s="37" t="str">
        <f t="shared" si="111"/>
        <v/>
      </c>
      <c r="I845" s="37" t="str">
        <f t="shared" si="112"/>
        <v/>
      </c>
      <c r="J845" s="8" t="str">
        <f t="shared" si="113"/>
        <v/>
      </c>
      <c r="K845" s="38" t="str">
        <f t="shared" si="114"/>
        <v/>
      </c>
      <c r="N845" s="59" t="str">
        <f t="shared" si="116"/>
        <v/>
      </c>
      <c r="O845" s="59" t="str">
        <f t="shared" si="115"/>
        <v/>
      </c>
    </row>
    <row r="846" spans="3:15" x14ac:dyDescent="0.25">
      <c r="C846" s="47"/>
      <c r="D846" s="48"/>
      <c r="E846" s="7" t="str">
        <f t="shared" si="108"/>
        <v/>
      </c>
      <c r="F846" s="8" t="str">
        <f t="shared" si="109"/>
        <v/>
      </c>
      <c r="G846" s="8" t="str">
        <f t="shared" si="110"/>
        <v/>
      </c>
      <c r="H846" s="37" t="str">
        <f t="shared" si="111"/>
        <v/>
      </c>
      <c r="I846" s="37" t="str">
        <f t="shared" si="112"/>
        <v/>
      </c>
      <c r="J846" s="8" t="str">
        <f t="shared" si="113"/>
        <v/>
      </c>
      <c r="K846" s="38" t="str">
        <f t="shared" si="114"/>
        <v/>
      </c>
      <c r="N846" s="59" t="str">
        <f t="shared" si="116"/>
        <v/>
      </c>
      <c r="O846" s="59" t="str">
        <f t="shared" si="115"/>
        <v/>
      </c>
    </row>
    <row r="847" spans="3:15" x14ac:dyDescent="0.25">
      <c r="C847" s="47"/>
      <c r="D847" s="48"/>
      <c r="E847" s="7" t="str">
        <f t="shared" si="108"/>
        <v/>
      </c>
      <c r="F847" s="8" t="str">
        <f t="shared" si="109"/>
        <v/>
      </c>
      <c r="G847" s="8" t="str">
        <f t="shared" si="110"/>
        <v/>
      </c>
      <c r="H847" s="37" t="str">
        <f t="shared" si="111"/>
        <v/>
      </c>
      <c r="I847" s="37" t="str">
        <f t="shared" si="112"/>
        <v/>
      </c>
      <c r="J847" s="8" t="str">
        <f t="shared" si="113"/>
        <v/>
      </c>
      <c r="K847" s="38" t="str">
        <f t="shared" si="114"/>
        <v/>
      </c>
      <c r="N847" s="59" t="str">
        <f t="shared" si="116"/>
        <v/>
      </c>
      <c r="O847" s="59" t="str">
        <f t="shared" si="115"/>
        <v/>
      </c>
    </row>
    <row r="848" spans="3:15" x14ac:dyDescent="0.25">
      <c r="C848" s="47"/>
      <c r="D848" s="48"/>
      <c r="E848" s="7" t="str">
        <f t="shared" si="108"/>
        <v/>
      </c>
      <c r="F848" s="8" t="str">
        <f t="shared" si="109"/>
        <v/>
      </c>
      <c r="G848" s="8" t="str">
        <f t="shared" si="110"/>
        <v/>
      </c>
      <c r="H848" s="37" t="str">
        <f t="shared" si="111"/>
        <v/>
      </c>
      <c r="I848" s="37" t="str">
        <f t="shared" si="112"/>
        <v/>
      </c>
      <c r="J848" s="8" t="str">
        <f t="shared" si="113"/>
        <v/>
      </c>
      <c r="K848" s="38" t="str">
        <f t="shared" si="114"/>
        <v/>
      </c>
      <c r="N848" s="59" t="str">
        <f t="shared" si="116"/>
        <v/>
      </c>
      <c r="O848" s="59" t="str">
        <f t="shared" si="115"/>
        <v/>
      </c>
    </row>
    <row r="849" spans="3:15" x14ac:dyDescent="0.25">
      <c r="C849" s="47"/>
      <c r="D849" s="48"/>
      <c r="E849" s="7" t="str">
        <f t="shared" si="108"/>
        <v/>
      </c>
      <c r="F849" s="8" t="str">
        <f t="shared" si="109"/>
        <v/>
      </c>
      <c r="G849" s="8" t="str">
        <f t="shared" si="110"/>
        <v/>
      </c>
      <c r="H849" s="37" t="str">
        <f t="shared" si="111"/>
        <v/>
      </c>
      <c r="I849" s="37" t="str">
        <f t="shared" si="112"/>
        <v/>
      </c>
      <c r="J849" s="8" t="str">
        <f t="shared" si="113"/>
        <v/>
      </c>
      <c r="K849" s="38" t="str">
        <f t="shared" si="114"/>
        <v/>
      </c>
      <c r="N849" s="59" t="str">
        <f t="shared" si="116"/>
        <v/>
      </c>
      <c r="O849" s="59" t="str">
        <f t="shared" si="115"/>
        <v/>
      </c>
    </row>
    <row r="850" spans="3:15" x14ac:dyDescent="0.25">
      <c r="C850" s="47"/>
      <c r="D850" s="48"/>
      <c r="E850" s="7" t="str">
        <f t="shared" si="108"/>
        <v/>
      </c>
      <c r="F850" s="8" t="str">
        <f t="shared" si="109"/>
        <v/>
      </c>
      <c r="G850" s="8" t="str">
        <f t="shared" si="110"/>
        <v/>
      </c>
      <c r="H850" s="37" t="str">
        <f t="shared" si="111"/>
        <v/>
      </c>
      <c r="I850" s="37" t="str">
        <f t="shared" si="112"/>
        <v/>
      </c>
      <c r="J850" s="8" t="str">
        <f t="shared" si="113"/>
        <v/>
      </c>
      <c r="K850" s="38" t="str">
        <f t="shared" si="114"/>
        <v/>
      </c>
      <c r="N850" s="59" t="str">
        <f t="shared" si="116"/>
        <v/>
      </c>
      <c r="O850" s="59" t="str">
        <f t="shared" si="115"/>
        <v/>
      </c>
    </row>
    <row r="851" spans="3:15" x14ac:dyDescent="0.25">
      <c r="C851" s="47"/>
      <c r="D851" s="48"/>
      <c r="E851" s="7" t="str">
        <f t="shared" ref="E851:E914" si="117">IF(OR(DataRecebimento="",C851=""),"",IF(C851&lt;DataRecebimento,"ERRO!",C851+$F$9-$F$7))</f>
        <v/>
      </c>
      <c r="F851" s="8" t="str">
        <f t="shared" ref="F851:F914" si="118">IF(OR(TaxaJuros="",C851=""),"",IF(C851&lt;DataRecebimento,"DATA",-D851*E851*($F$8/30)))</f>
        <v/>
      </c>
      <c r="G851" s="8" t="str">
        <f t="shared" ref="G851:G914" si="119">IF(OR(TaxaJuros="",C851=""),"",IF(C851&lt;DataRecebimento,"NÃO",-$F$10))</f>
        <v/>
      </c>
      <c r="H851" s="37" t="str">
        <f t="shared" ref="H851:H914" si="120">IF(OR(TaxaJuros="",C851=""),"",IF(C851&lt;DataRecebimento,"PODE",IF(ComSemIOF=FALSE,0,IF(E851&gt;365,-(D851+F851)*365*IOFDiario,-(D851+F851)*E851*IOFDiario))))</f>
        <v/>
      </c>
      <c r="I851" s="37" t="str">
        <f t="shared" ref="I851:I914" si="121">IF(OR(TaxaJuros="",C851=""),"",IF(C851&lt;DataRecebimento,"SER",IF(ComSemIOF=FALSE,0,-(D851+F851)*IOFAdic)))</f>
        <v/>
      </c>
      <c r="J851" s="8" t="str">
        <f t="shared" ref="J851:J914" si="122">IF(OR(TaxaJuros="",C851=""),"",IF(C851&lt;DataRecebimento,"INFERIOR!",D851+SUM(F851:I851)))</f>
        <v/>
      </c>
      <c r="K851" s="38" t="str">
        <f t="shared" ref="K851:K914" si="123">IF(OR(TaxaJuros="",C851=""),"",IF(C851&lt;DataRecebimento,"ERRO!",100%-J851/D851))</f>
        <v/>
      </c>
      <c r="N851" s="59" t="str">
        <f t="shared" si="116"/>
        <v/>
      </c>
      <c r="O851" s="59" t="str">
        <f t="shared" ref="O851:O914" si="124">IF(N851="","",PV(TMA_Dia,E851,,-N851))</f>
        <v/>
      </c>
    </row>
    <row r="852" spans="3:15" x14ac:dyDescent="0.25">
      <c r="C852" s="47"/>
      <c r="D852" s="48"/>
      <c r="E852" s="7" t="str">
        <f t="shared" si="117"/>
        <v/>
      </c>
      <c r="F852" s="8" t="str">
        <f t="shared" si="118"/>
        <v/>
      </c>
      <c r="G852" s="8" t="str">
        <f t="shared" si="119"/>
        <v/>
      </c>
      <c r="H852" s="37" t="str">
        <f t="shared" si="120"/>
        <v/>
      </c>
      <c r="I852" s="37" t="str">
        <f t="shared" si="121"/>
        <v/>
      </c>
      <c r="J852" s="8" t="str">
        <f t="shared" si="122"/>
        <v/>
      </c>
      <c r="K852" s="38" t="str">
        <f t="shared" si="123"/>
        <v/>
      </c>
      <c r="N852" s="59" t="str">
        <f t="shared" ref="N852:N915" si="125">IF(C852="","",-D852)</f>
        <v/>
      </c>
      <c r="O852" s="59" t="str">
        <f t="shared" si="124"/>
        <v/>
      </c>
    </row>
    <row r="853" spans="3:15" x14ac:dyDescent="0.25">
      <c r="C853" s="47"/>
      <c r="D853" s="48"/>
      <c r="E853" s="7" t="str">
        <f t="shared" si="117"/>
        <v/>
      </c>
      <c r="F853" s="8" t="str">
        <f t="shared" si="118"/>
        <v/>
      </c>
      <c r="G853" s="8" t="str">
        <f t="shared" si="119"/>
        <v/>
      </c>
      <c r="H853" s="37" t="str">
        <f t="shared" si="120"/>
        <v/>
      </c>
      <c r="I853" s="37" t="str">
        <f t="shared" si="121"/>
        <v/>
      </c>
      <c r="J853" s="8" t="str">
        <f t="shared" si="122"/>
        <v/>
      </c>
      <c r="K853" s="38" t="str">
        <f t="shared" si="123"/>
        <v/>
      </c>
      <c r="N853" s="59" t="str">
        <f t="shared" si="125"/>
        <v/>
      </c>
      <c r="O853" s="59" t="str">
        <f t="shared" si="124"/>
        <v/>
      </c>
    </row>
    <row r="854" spans="3:15" x14ac:dyDescent="0.25">
      <c r="C854" s="47"/>
      <c r="D854" s="48"/>
      <c r="E854" s="7" t="str">
        <f t="shared" si="117"/>
        <v/>
      </c>
      <c r="F854" s="8" t="str">
        <f t="shared" si="118"/>
        <v/>
      </c>
      <c r="G854" s="8" t="str">
        <f t="shared" si="119"/>
        <v/>
      </c>
      <c r="H854" s="37" t="str">
        <f t="shared" si="120"/>
        <v/>
      </c>
      <c r="I854" s="37" t="str">
        <f t="shared" si="121"/>
        <v/>
      </c>
      <c r="J854" s="8" t="str">
        <f t="shared" si="122"/>
        <v/>
      </c>
      <c r="K854" s="38" t="str">
        <f t="shared" si="123"/>
        <v/>
      </c>
      <c r="N854" s="59" t="str">
        <f t="shared" si="125"/>
        <v/>
      </c>
      <c r="O854" s="59" t="str">
        <f t="shared" si="124"/>
        <v/>
      </c>
    </row>
    <row r="855" spans="3:15" x14ac:dyDescent="0.25">
      <c r="C855" s="47"/>
      <c r="D855" s="48"/>
      <c r="E855" s="7" t="str">
        <f t="shared" si="117"/>
        <v/>
      </c>
      <c r="F855" s="8" t="str">
        <f t="shared" si="118"/>
        <v/>
      </c>
      <c r="G855" s="8" t="str">
        <f t="shared" si="119"/>
        <v/>
      </c>
      <c r="H855" s="37" t="str">
        <f t="shared" si="120"/>
        <v/>
      </c>
      <c r="I855" s="37" t="str">
        <f t="shared" si="121"/>
        <v/>
      </c>
      <c r="J855" s="8" t="str">
        <f t="shared" si="122"/>
        <v/>
      </c>
      <c r="K855" s="38" t="str">
        <f t="shared" si="123"/>
        <v/>
      </c>
      <c r="N855" s="59" t="str">
        <f t="shared" si="125"/>
        <v/>
      </c>
      <c r="O855" s="59" t="str">
        <f t="shared" si="124"/>
        <v/>
      </c>
    </row>
    <row r="856" spans="3:15" x14ac:dyDescent="0.25">
      <c r="C856" s="47"/>
      <c r="D856" s="48"/>
      <c r="E856" s="7" t="str">
        <f t="shared" si="117"/>
        <v/>
      </c>
      <c r="F856" s="8" t="str">
        <f t="shared" si="118"/>
        <v/>
      </c>
      <c r="G856" s="8" t="str">
        <f t="shared" si="119"/>
        <v/>
      </c>
      <c r="H856" s="37" t="str">
        <f t="shared" si="120"/>
        <v/>
      </c>
      <c r="I856" s="37" t="str">
        <f t="shared" si="121"/>
        <v/>
      </c>
      <c r="J856" s="8" t="str">
        <f t="shared" si="122"/>
        <v/>
      </c>
      <c r="K856" s="38" t="str">
        <f t="shared" si="123"/>
        <v/>
      </c>
      <c r="N856" s="59" t="str">
        <f t="shared" si="125"/>
        <v/>
      </c>
      <c r="O856" s="59" t="str">
        <f t="shared" si="124"/>
        <v/>
      </c>
    </row>
    <row r="857" spans="3:15" x14ac:dyDescent="0.25">
      <c r="C857" s="47"/>
      <c r="D857" s="48"/>
      <c r="E857" s="7" t="str">
        <f t="shared" si="117"/>
        <v/>
      </c>
      <c r="F857" s="8" t="str">
        <f t="shared" si="118"/>
        <v/>
      </c>
      <c r="G857" s="8" t="str">
        <f t="shared" si="119"/>
        <v/>
      </c>
      <c r="H857" s="37" t="str">
        <f t="shared" si="120"/>
        <v/>
      </c>
      <c r="I857" s="37" t="str">
        <f t="shared" si="121"/>
        <v/>
      </c>
      <c r="J857" s="8" t="str">
        <f t="shared" si="122"/>
        <v/>
      </c>
      <c r="K857" s="38" t="str">
        <f t="shared" si="123"/>
        <v/>
      </c>
      <c r="N857" s="59" t="str">
        <f t="shared" si="125"/>
        <v/>
      </c>
      <c r="O857" s="59" t="str">
        <f t="shared" si="124"/>
        <v/>
      </c>
    </row>
    <row r="858" spans="3:15" x14ac:dyDescent="0.25">
      <c r="C858" s="47"/>
      <c r="D858" s="48"/>
      <c r="E858" s="7" t="str">
        <f t="shared" si="117"/>
        <v/>
      </c>
      <c r="F858" s="8" t="str">
        <f t="shared" si="118"/>
        <v/>
      </c>
      <c r="G858" s="8" t="str">
        <f t="shared" si="119"/>
        <v/>
      </c>
      <c r="H858" s="37" t="str">
        <f t="shared" si="120"/>
        <v/>
      </c>
      <c r="I858" s="37" t="str">
        <f t="shared" si="121"/>
        <v/>
      </c>
      <c r="J858" s="8" t="str">
        <f t="shared" si="122"/>
        <v/>
      </c>
      <c r="K858" s="38" t="str">
        <f t="shared" si="123"/>
        <v/>
      </c>
      <c r="N858" s="59" t="str">
        <f t="shared" si="125"/>
        <v/>
      </c>
      <c r="O858" s="59" t="str">
        <f t="shared" si="124"/>
        <v/>
      </c>
    </row>
    <row r="859" spans="3:15" x14ac:dyDescent="0.25">
      <c r="C859" s="47"/>
      <c r="D859" s="48"/>
      <c r="E859" s="7" t="str">
        <f t="shared" si="117"/>
        <v/>
      </c>
      <c r="F859" s="8" t="str">
        <f t="shared" si="118"/>
        <v/>
      </c>
      <c r="G859" s="8" t="str">
        <f t="shared" si="119"/>
        <v/>
      </c>
      <c r="H859" s="37" t="str">
        <f t="shared" si="120"/>
        <v/>
      </c>
      <c r="I859" s="37" t="str">
        <f t="shared" si="121"/>
        <v/>
      </c>
      <c r="J859" s="8" t="str">
        <f t="shared" si="122"/>
        <v/>
      </c>
      <c r="K859" s="38" t="str">
        <f t="shared" si="123"/>
        <v/>
      </c>
      <c r="N859" s="59" t="str">
        <f t="shared" si="125"/>
        <v/>
      </c>
      <c r="O859" s="59" t="str">
        <f t="shared" si="124"/>
        <v/>
      </c>
    </row>
    <row r="860" spans="3:15" x14ac:dyDescent="0.25">
      <c r="C860" s="47"/>
      <c r="D860" s="48"/>
      <c r="E860" s="7" t="str">
        <f t="shared" si="117"/>
        <v/>
      </c>
      <c r="F860" s="8" t="str">
        <f t="shared" si="118"/>
        <v/>
      </c>
      <c r="G860" s="8" t="str">
        <f t="shared" si="119"/>
        <v/>
      </c>
      <c r="H860" s="37" t="str">
        <f t="shared" si="120"/>
        <v/>
      </c>
      <c r="I860" s="37" t="str">
        <f t="shared" si="121"/>
        <v/>
      </c>
      <c r="J860" s="8" t="str">
        <f t="shared" si="122"/>
        <v/>
      </c>
      <c r="K860" s="38" t="str">
        <f t="shared" si="123"/>
        <v/>
      </c>
      <c r="N860" s="59" t="str">
        <f t="shared" si="125"/>
        <v/>
      </c>
      <c r="O860" s="59" t="str">
        <f t="shared" si="124"/>
        <v/>
      </c>
    </row>
    <row r="861" spans="3:15" x14ac:dyDescent="0.25">
      <c r="C861" s="47"/>
      <c r="D861" s="48"/>
      <c r="E861" s="7" t="str">
        <f t="shared" si="117"/>
        <v/>
      </c>
      <c r="F861" s="8" t="str">
        <f t="shared" si="118"/>
        <v/>
      </c>
      <c r="G861" s="8" t="str">
        <f t="shared" si="119"/>
        <v/>
      </c>
      <c r="H861" s="37" t="str">
        <f t="shared" si="120"/>
        <v/>
      </c>
      <c r="I861" s="37" t="str">
        <f t="shared" si="121"/>
        <v/>
      </c>
      <c r="J861" s="8" t="str">
        <f t="shared" si="122"/>
        <v/>
      </c>
      <c r="K861" s="38" t="str">
        <f t="shared" si="123"/>
        <v/>
      </c>
      <c r="N861" s="59" t="str">
        <f t="shared" si="125"/>
        <v/>
      </c>
      <c r="O861" s="59" t="str">
        <f t="shared" si="124"/>
        <v/>
      </c>
    </row>
    <row r="862" spans="3:15" x14ac:dyDescent="0.25">
      <c r="C862" s="47"/>
      <c r="D862" s="48"/>
      <c r="E862" s="7" t="str">
        <f t="shared" si="117"/>
        <v/>
      </c>
      <c r="F862" s="8" t="str">
        <f t="shared" si="118"/>
        <v/>
      </c>
      <c r="G862" s="8" t="str">
        <f t="shared" si="119"/>
        <v/>
      </c>
      <c r="H862" s="37" t="str">
        <f t="shared" si="120"/>
        <v/>
      </c>
      <c r="I862" s="37" t="str">
        <f t="shared" si="121"/>
        <v/>
      </c>
      <c r="J862" s="8" t="str">
        <f t="shared" si="122"/>
        <v/>
      </c>
      <c r="K862" s="38" t="str">
        <f t="shared" si="123"/>
        <v/>
      </c>
      <c r="N862" s="59" t="str">
        <f t="shared" si="125"/>
        <v/>
      </c>
      <c r="O862" s="59" t="str">
        <f t="shared" si="124"/>
        <v/>
      </c>
    </row>
    <row r="863" spans="3:15" x14ac:dyDescent="0.25">
      <c r="C863" s="47"/>
      <c r="D863" s="48"/>
      <c r="E863" s="7" t="str">
        <f t="shared" si="117"/>
        <v/>
      </c>
      <c r="F863" s="8" t="str">
        <f t="shared" si="118"/>
        <v/>
      </c>
      <c r="G863" s="8" t="str">
        <f t="shared" si="119"/>
        <v/>
      </c>
      <c r="H863" s="37" t="str">
        <f t="shared" si="120"/>
        <v/>
      </c>
      <c r="I863" s="37" t="str">
        <f t="shared" si="121"/>
        <v/>
      </c>
      <c r="J863" s="8" t="str">
        <f t="shared" si="122"/>
        <v/>
      </c>
      <c r="K863" s="38" t="str">
        <f t="shared" si="123"/>
        <v/>
      </c>
      <c r="N863" s="59" t="str">
        <f t="shared" si="125"/>
        <v/>
      </c>
      <c r="O863" s="59" t="str">
        <f t="shared" si="124"/>
        <v/>
      </c>
    </row>
    <row r="864" spans="3:15" x14ac:dyDescent="0.25">
      <c r="C864" s="47"/>
      <c r="D864" s="48"/>
      <c r="E864" s="7" t="str">
        <f t="shared" si="117"/>
        <v/>
      </c>
      <c r="F864" s="8" t="str">
        <f t="shared" si="118"/>
        <v/>
      </c>
      <c r="G864" s="8" t="str">
        <f t="shared" si="119"/>
        <v/>
      </c>
      <c r="H864" s="37" t="str">
        <f t="shared" si="120"/>
        <v/>
      </c>
      <c r="I864" s="37" t="str">
        <f t="shared" si="121"/>
        <v/>
      </c>
      <c r="J864" s="8" t="str">
        <f t="shared" si="122"/>
        <v/>
      </c>
      <c r="K864" s="38" t="str">
        <f t="shared" si="123"/>
        <v/>
      </c>
      <c r="N864" s="59" t="str">
        <f t="shared" si="125"/>
        <v/>
      </c>
      <c r="O864" s="59" t="str">
        <f t="shared" si="124"/>
        <v/>
      </c>
    </row>
    <row r="865" spans="3:15" x14ac:dyDescent="0.25">
      <c r="C865" s="47"/>
      <c r="D865" s="48"/>
      <c r="E865" s="7" t="str">
        <f t="shared" si="117"/>
        <v/>
      </c>
      <c r="F865" s="8" t="str">
        <f t="shared" si="118"/>
        <v/>
      </c>
      <c r="G865" s="8" t="str">
        <f t="shared" si="119"/>
        <v/>
      </c>
      <c r="H865" s="37" t="str">
        <f t="shared" si="120"/>
        <v/>
      </c>
      <c r="I865" s="37" t="str">
        <f t="shared" si="121"/>
        <v/>
      </c>
      <c r="J865" s="8" t="str">
        <f t="shared" si="122"/>
        <v/>
      </c>
      <c r="K865" s="38" t="str">
        <f t="shared" si="123"/>
        <v/>
      </c>
      <c r="N865" s="59" t="str">
        <f t="shared" si="125"/>
        <v/>
      </c>
      <c r="O865" s="59" t="str">
        <f t="shared" si="124"/>
        <v/>
      </c>
    </row>
    <row r="866" spans="3:15" x14ac:dyDescent="0.25">
      <c r="C866" s="47"/>
      <c r="D866" s="48"/>
      <c r="E866" s="7" t="str">
        <f t="shared" si="117"/>
        <v/>
      </c>
      <c r="F866" s="8" t="str">
        <f t="shared" si="118"/>
        <v/>
      </c>
      <c r="G866" s="8" t="str">
        <f t="shared" si="119"/>
        <v/>
      </c>
      <c r="H866" s="37" t="str">
        <f t="shared" si="120"/>
        <v/>
      </c>
      <c r="I866" s="37" t="str">
        <f t="shared" si="121"/>
        <v/>
      </c>
      <c r="J866" s="8" t="str">
        <f t="shared" si="122"/>
        <v/>
      </c>
      <c r="K866" s="38" t="str">
        <f t="shared" si="123"/>
        <v/>
      </c>
      <c r="N866" s="59" t="str">
        <f t="shared" si="125"/>
        <v/>
      </c>
      <c r="O866" s="59" t="str">
        <f t="shared" si="124"/>
        <v/>
      </c>
    </row>
    <row r="867" spans="3:15" x14ac:dyDescent="0.25">
      <c r="C867" s="47"/>
      <c r="D867" s="48"/>
      <c r="E867" s="7" t="str">
        <f t="shared" si="117"/>
        <v/>
      </c>
      <c r="F867" s="8" t="str">
        <f t="shared" si="118"/>
        <v/>
      </c>
      <c r="G867" s="8" t="str">
        <f t="shared" si="119"/>
        <v/>
      </c>
      <c r="H867" s="37" t="str">
        <f t="shared" si="120"/>
        <v/>
      </c>
      <c r="I867" s="37" t="str">
        <f t="shared" si="121"/>
        <v/>
      </c>
      <c r="J867" s="8" t="str">
        <f t="shared" si="122"/>
        <v/>
      </c>
      <c r="K867" s="38" t="str">
        <f t="shared" si="123"/>
        <v/>
      </c>
      <c r="N867" s="59" t="str">
        <f t="shared" si="125"/>
        <v/>
      </c>
      <c r="O867" s="59" t="str">
        <f t="shared" si="124"/>
        <v/>
      </c>
    </row>
    <row r="868" spans="3:15" x14ac:dyDescent="0.25">
      <c r="C868" s="47"/>
      <c r="D868" s="48"/>
      <c r="E868" s="7" t="str">
        <f t="shared" si="117"/>
        <v/>
      </c>
      <c r="F868" s="8" t="str">
        <f t="shared" si="118"/>
        <v/>
      </c>
      <c r="G868" s="8" t="str">
        <f t="shared" si="119"/>
        <v/>
      </c>
      <c r="H868" s="37" t="str">
        <f t="shared" si="120"/>
        <v/>
      </c>
      <c r="I868" s="37" t="str">
        <f t="shared" si="121"/>
        <v/>
      </c>
      <c r="J868" s="8" t="str">
        <f t="shared" si="122"/>
        <v/>
      </c>
      <c r="K868" s="38" t="str">
        <f t="shared" si="123"/>
        <v/>
      </c>
      <c r="N868" s="59" t="str">
        <f t="shared" si="125"/>
        <v/>
      </c>
      <c r="O868" s="59" t="str">
        <f t="shared" si="124"/>
        <v/>
      </c>
    </row>
    <row r="869" spans="3:15" x14ac:dyDescent="0.25">
      <c r="C869" s="47"/>
      <c r="D869" s="48"/>
      <c r="E869" s="7" t="str">
        <f t="shared" si="117"/>
        <v/>
      </c>
      <c r="F869" s="8" t="str">
        <f t="shared" si="118"/>
        <v/>
      </c>
      <c r="G869" s="8" t="str">
        <f t="shared" si="119"/>
        <v/>
      </c>
      <c r="H869" s="37" t="str">
        <f t="shared" si="120"/>
        <v/>
      </c>
      <c r="I869" s="37" t="str">
        <f t="shared" si="121"/>
        <v/>
      </c>
      <c r="J869" s="8" t="str">
        <f t="shared" si="122"/>
        <v/>
      </c>
      <c r="K869" s="38" t="str">
        <f t="shared" si="123"/>
        <v/>
      </c>
      <c r="N869" s="59" t="str">
        <f t="shared" si="125"/>
        <v/>
      </c>
      <c r="O869" s="59" t="str">
        <f t="shared" si="124"/>
        <v/>
      </c>
    </row>
    <row r="870" spans="3:15" x14ac:dyDescent="0.25">
      <c r="C870" s="47"/>
      <c r="D870" s="48"/>
      <c r="E870" s="7" t="str">
        <f t="shared" si="117"/>
        <v/>
      </c>
      <c r="F870" s="8" t="str">
        <f t="shared" si="118"/>
        <v/>
      </c>
      <c r="G870" s="8" t="str">
        <f t="shared" si="119"/>
        <v/>
      </c>
      <c r="H870" s="37" t="str">
        <f t="shared" si="120"/>
        <v/>
      </c>
      <c r="I870" s="37" t="str">
        <f t="shared" si="121"/>
        <v/>
      </c>
      <c r="J870" s="8" t="str">
        <f t="shared" si="122"/>
        <v/>
      </c>
      <c r="K870" s="38" t="str">
        <f t="shared" si="123"/>
        <v/>
      </c>
      <c r="N870" s="59" t="str">
        <f t="shared" si="125"/>
        <v/>
      </c>
      <c r="O870" s="59" t="str">
        <f t="shared" si="124"/>
        <v/>
      </c>
    </row>
    <row r="871" spans="3:15" x14ac:dyDescent="0.25">
      <c r="C871" s="47"/>
      <c r="D871" s="48"/>
      <c r="E871" s="7" t="str">
        <f t="shared" si="117"/>
        <v/>
      </c>
      <c r="F871" s="8" t="str">
        <f t="shared" si="118"/>
        <v/>
      </c>
      <c r="G871" s="8" t="str">
        <f t="shared" si="119"/>
        <v/>
      </c>
      <c r="H871" s="37" t="str">
        <f t="shared" si="120"/>
        <v/>
      </c>
      <c r="I871" s="37" t="str">
        <f t="shared" si="121"/>
        <v/>
      </c>
      <c r="J871" s="8" t="str">
        <f t="shared" si="122"/>
        <v/>
      </c>
      <c r="K871" s="38" t="str">
        <f t="shared" si="123"/>
        <v/>
      </c>
      <c r="N871" s="59" t="str">
        <f t="shared" si="125"/>
        <v/>
      </c>
      <c r="O871" s="59" t="str">
        <f t="shared" si="124"/>
        <v/>
      </c>
    </row>
    <row r="872" spans="3:15" x14ac:dyDescent="0.25">
      <c r="C872" s="47"/>
      <c r="D872" s="48"/>
      <c r="E872" s="7" t="str">
        <f t="shared" si="117"/>
        <v/>
      </c>
      <c r="F872" s="8" t="str">
        <f t="shared" si="118"/>
        <v/>
      </c>
      <c r="G872" s="8" t="str">
        <f t="shared" si="119"/>
        <v/>
      </c>
      <c r="H872" s="37" t="str">
        <f t="shared" si="120"/>
        <v/>
      </c>
      <c r="I872" s="37" t="str">
        <f t="shared" si="121"/>
        <v/>
      </c>
      <c r="J872" s="8" t="str">
        <f t="shared" si="122"/>
        <v/>
      </c>
      <c r="K872" s="38" t="str">
        <f t="shared" si="123"/>
        <v/>
      </c>
      <c r="N872" s="59" t="str">
        <f t="shared" si="125"/>
        <v/>
      </c>
      <c r="O872" s="59" t="str">
        <f t="shared" si="124"/>
        <v/>
      </c>
    </row>
    <row r="873" spans="3:15" x14ac:dyDescent="0.25">
      <c r="C873" s="47"/>
      <c r="D873" s="48"/>
      <c r="E873" s="7" t="str">
        <f t="shared" si="117"/>
        <v/>
      </c>
      <c r="F873" s="8" t="str">
        <f t="shared" si="118"/>
        <v/>
      </c>
      <c r="G873" s="8" t="str">
        <f t="shared" si="119"/>
        <v/>
      </c>
      <c r="H873" s="37" t="str">
        <f t="shared" si="120"/>
        <v/>
      </c>
      <c r="I873" s="37" t="str">
        <f t="shared" si="121"/>
        <v/>
      </c>
      <c r="J873" s="8" t="str">
        <f t="shared" si="122"/>
        <v/>
      </c>
      <c r="K873" s="38" t="str">
        <f t="shared" si="123"/>
        <v/>
      </c>
      <c r="N873" s="59" t="str">
        <f t="shared" si="125"/>
        <v/>
      </c>
      <c r="O873" s="59" t="str">
        <f t="shared" si="124"/>
        <v/>
      </c>
    </row>
    <row r="874" spans="3:15" x14ac:dyDescent="0.25">
      <c r="C874" s="47"/>
      <c r="D874" s="48"/>
      <c r="E874" s="7" t="str">
        <f t="shared" si="117"/>
        <v/>
      </c>
      <c r="F874" s="8" t="str">
        <f t="shared" si="118"/>
        <v/>
      </c>
      <c r="G874" s="8" t="str">
        <f t="shared" si="119"/>
        <v/>
      </c>
      <c r="H874" s="37" t="str">
        <f t="shared" si="120"/>
        <v/>
      </c>
      <c r="I874" s="37" t="str">
        <f t="shared" si="121"/>
        <v/>
      </c>
      <c r="J874" s="8" t="str">
        <f t="shared" si="122"/>
        <v/>
      </c>
      <c r="K874" s="38" t="str">
        <f t="shared" si="123"/>
        <v/>
      </c>
      <c r="N874" s="59" t="str">
        <f t="shared" si="125"/>
        <v/>
      </c>
      <c r="O874" s="59" t="str">
        <f t="shared" si="124"/>
        <v/>
      </c>
    </row>
    <row r="875" spans="3:15" x14ac:dyDescent="0.25">
      <c r="C875" s="47"/>
      <c r="D875" s="48"/>
      <c r="E875" s="7" t="str">
        <f t="shared" si="117"/>
        <v/>
      </c>
      <c r="F875" s="8" t="str">
        <f t="shared" si="118"/>
        <v/>
      </c>
      <c r="G875" s="8" t="str">
        <f t="shared" si="119"/>
        <v/>
      </c>
      <c r="H875" s="37" t="str">
        <f t="shared" si="120"/>
        <v/>
      </c>
      <c r="I875" s="37" t="str">
        <f t="shared" si="121"/>
        <v/>
      </c>
      <c r="J875" s="8" t="str">
        <f t="shared" si="122"/>
        <v/>
      </c>
      <c r="K875" s="38" t="str">
        <f t="shared" si="123"/>
        <v/>
      </c>
      <c r="N875" s="59" t="str">
        <f t="shared" si="125"/>
        <v/>
      </c>
      <c r="O875" s="59" t="str">
        <f t="shared" si="124"/>
        <v/>
      </c>
    </row>
    <row r="876" spans="3:15" x14ac:dyDescent="0.25">
      <c r="C876" s="47"/>
      <c r="D876" s="48"/>
      <c r="E876" s="7" t="str">
        <f t="shared" si="117"/>
        <v/>
      </c>
      <c r="F876" s="8" t="str">
        <f t="shared" si="118"/>
        <v/>
      </c>
      <c r="G876" s="8" t="str">
        <f t="shared" si="119"/>
        <v/>
      </c>
      <c r="H876" s="37" t="str">
        <f t="shared" si="120"/>
        <v/>
      </c>
      <c r="I876" s="37" t="str">
        <f t="shared" si="121"/>
        <v/>
      </c>
      <c r="J876" s="8" t="str">
        <f t="shared" si="122"/>
        <v/>
      </c>
      <c r="K876" s="38" t="str">
        <f t="shared" si="123"/>
        <v/>
      </c>
      <c r="N876" s="59" t="str">
        <f t="shared" si="125"/>
        <v/>
      </c>
      <c r="O876" s="59" t="str">
        <f t="shared" si="124"/>
        <v/>
      </c>
    </row>
    <row r="877" spans="3:15" x14ac:dyDescent="0.25">
      <c r="C877" s="47"/>
      <c r="D877" s="48"/>
      <c r="E877" s="7" t="str">
        <f t="shared" si="117"/>
        <v/>
      </c>
      <c r="F877" s="8" t="str">
        <f t="shared" si="118"/>
        <v/>
      </c>
      <c r="G877" s="8" t="str">
        <f t="shared" si="119"/>
        <v/>
      </c>
      <c r="H877" s="37" t="str">
        <f t="shared" si="120"/>
        <v/>
      </c>
      <c r="I877" s="37" t="str">
        <f t="shared" si="121"/>
        <v/>
      </c>
      <c r="J877" s="8" t="str">
        <f t="shared" si="122"/>
        <v/>
      </c>
      <c r="K877" s="38" t="str">
        <f t="shared" si="123"/>
        <v/>
      </c>
      <c r="N877" s="59" t="str">
        <f t="shared" si="125"/>
        <v/>
      </c>
      <c r="O877" s="59" t="str">
        <f t="shared" si="124"/>
        <v/>
      </c>
    </row>
    <row r="878" spans="3:15" x14ac:dyDescent="0.25">
      <c r="C878" s="47"/>
      <c r="D878" s="48"/>
      <c r="E878" s="7" t="str">
        <f t="shared" si="117"/>
        <v/>
      </c>
      <c r="F878" s="8" t="str">
        <f t="shared" si="118"/>
        <v/>
      </c>
      <c r="G878" s="8" t="str">
        <f t="shared" si="119"/>
        <v/>
      </c>
      <c r="H878" s="37" t="str">
        <f t="shared" si="120"/>
        <v/>
      </c>
      <c r="I878" s="37" t="str">
        <f t="shared" si="121"/>
        <v/>
      </c>
      <c r="J878" s="8" t="str">
        <f t="shared" si="122"/>
        <v/>
      </c>
      <c r="K878" s="38" t="str">
        <f t="shared" si="123"/>
        <v/>
      </c>
      <c r="N878" s="59" t="str">
        <f t="shared" si="125"/>
        <v/>
      </c>
      <c r="O878" s="59" t="str">
        <f t="shared" si="124"/>
        <v/>
      </c>
    </row>
    <row r="879" spans="3:15" x14ac:dyDescent="0.25">
      <c r="C879" s="47"/>
      <c r="D879" s="48"/>
      <c r="E879" s="7" t="str">
        <f t="shared" si="117"/>
        <v/>
      </c>
      <c r="F879" s="8" t="str">
        <f t="shared" si="118"/>
        <v/>
      </c>
      <c r="G879" s="8" t="str">
        <f t="shared" si="119"/>
        <v/>
      </c>
      <c r="H879" s="37" t="str">
        <f t="shared" si="120"/>
        <v/>
      </c>
      <c r="I879" s="37" t="str">
        <f t="shared" si="121"/>
        <v/>
      </c>
      <c r="J879" s="8" t="str">
        <f t="shared" si="122"/>
        <v/>
      </c>
      <c r="K879" s="38" t="str">
        <f t="shared" si="123"/>
        <v/>
      </c>
      <c r="N879" s="59" t="str">
        <f t="shared" si="125"/>
        <v/>
      </c>
      <c r="O879" s="59" t="str">
        <f t="shared" si="124"/>
        <v/>
      </c>
    </row>
    <row r="880" spans="3:15" x14ac:dyDescent="0.25">
      <c r="C880" s="47"/>
      <c r="D880" s="48"/>
      <c r="E880" s="7" t="str">
        <f t="shared" si="117"/>
        <v/>
      </c>
      <c r="F880" s="8" t="str">
        <f t="shared" si="118"/>
        <v/>
      </c>
      <c r="G880" s="8" t="str">
        <f t="shared" si="119"/>
        <v/>
      </c>
      <c r="H880" s="37" t="str">
        <f t="shared" si="120"/>
        <v/>
      </c>
      <c r="I880" s="37" t="str">
        <f t="shared" si="121"/>
        <v/>
      </c>
      <c r="J880" s="8" t="str">
        <f t="shared" si="122"/>
        <v/>
      </c>
      <c r="K880" s="38" t="str">
        <f t="shared" si="123"/>
        <v/>
      </c>
      <c r="N880" s="59" t="str">
        <f t="shared" si="125"/>
        <v/>
      </c>
      <c r="O880" s="59" t="str">
        <f t="shared" si="124"/>
        <v/>
      </c>
    </row>
    <row r="881" spans="3:15" x14ac:dyDescent="0.25">
      <c r="C881" s="47"/>
      <c r="D881" s="48"/>
      <c r="E881" s="7" t="str">
        <f t="shared" si="117"/>
        <v/>
      </c>
      <c r="F881" s="8" t="str">
        <f t="shared" si="118"/>
        <v/>
      </c>
      <c r="G881" s="8" t="str">
        <f t="shared" si="119"/>
        <v/>
      </c>
      <c r="H881" s="37" t="str">
        <f t="shared" si="120"/>
        <v/>
      </c>
      <c r="I881" s="37" t="str">
        <f t="shared" si="121"/>
        <v/>
      </c>
      <c r="J881" s="8" t="str">
        <f t="shared" si="122"/>
        <v/>
      </c>
      <c r="K881" s="38" t="str">
        <f t="shared" si="123"/>
        <v/>
      </c>
      <c r="N881" s="59" t="str">
        <f t="shared" si="125"/>
        <v/>
      </c>
      <c r="O881" s="59" t="str">
        <f t="shared" si="124"/>
        <v/>
      </c>
    </row>
    <row r="882" spans="3:15" x14ac:dyDescent="0.25">
      <c r="C882" s="47"/>
      <c r="D882" s="48"/>
      <c r="E882" s="7" t="str">
        <f t="shared" si="117"/>
        <v/>
      </c>
      <c r="F882" s="8" t="str">
        <f t="shared" si="118"/>
        <v/>
      </c>
      <c r="G882" s="8" t="str">
        <f t="shared" si="119"/>
        <v/>
      </c>
      <c r="H882" s="37" t="str">
        <f t="shared" si="120"/>
        <v/>
      </c>
      <c r="I882" s="37" t="str">
        <f t="shared" si="121"/>
        <v/>
      </c>
      <c r="J882" s="8" t="str">
        <f t="shared" si="122"/>
        <v/>
      </c>
      <c r="K882" s="38" t="str">
        <f t="shared" si="123"/>
        <v/>
      </c>
      <c r="N882" s="59" t="str">
        <f t="shared" si="125"/>
        <v/>
      </c>
      <c r="O882" s="59" t="str">
        <f t="shared" si="124"/>
        <v/>
      </c>
    </row>
    <row r="883" spans="3:15" x14ac:dyDescent="0.25">
      <c r="C883" s="47"/>
      <c r="D883" s="48"/>
      <c r="E883" s="7" t="str">
        <f t="shared" si="117"/>
        <v/>
      </c>
      <c r="F883" s="8" t="str">
        <f t="shared" si="118"/>
        <v/>
      </c>
      <c r="G883" s="8" t="str">
        <f t="shared" si="119"/>
        <v/>
      </c>
      <c r="H883" s="37" t="str">
        <f t="shared" si="120"/>
        <v/>
      </c>
      <c r="I883" s="37" t="str">
        <f t="shared" si="121"/>
        <v/>
      </c>
      <c r="J883" s="8" t="str">
        <f t="shared" si="122"/>
        <v/>
      </c>
      <c r="K883" s="38" t="str">
        <f t="shared" si="123"/>
        <v/>
      </c>
      <c r="N883" s="59" t="str">
        <f t="shared" si="125"/>
        <v/>
      </c>
      <c r="O883" s="59" t="str">
        <f t="shared" si="124"/>
        <v/>
      </c>
    </row>
    <row r="884" spans="3:15" x14ac:dyDescent="0.25">
      <c r="C884" s="47"/>
      <c r="D884" s="48"/>
      <c r="E884" s="7" t="str">
        <f t="shared" si="117"/>
        <v/>
      </c>
      <c r="F884" s="8" t="str">
        <f t="shared" si="118"/>
        <v/>
      </c>
      <c r="G884" s="8" t="str">
        <f t="shared" si="119"/>
        <v/>
      </c>
      <c r="H884" s="37" t="str">
        <f t="shared" si="120"/>
        <v/>
      </c>
      <c r="I884" s="37" t="str">
        <f t="shared" si="121"/>
        <v/>
      </c>
      <c r="J884" s="8" t="str">
        <f t="shared" si="122"/>
        <v/>
      </c>
      <c r="K884" s="38" t="str">
        <f t="shared" si="123"/>
        <v/>
      </c>
      <c r="N884" s="59" t="str">
        <f t="shared" si="125"/>
        <v/>
      </c>
      <c r="O884" s="59" t="str">
        <f t="shared" si="124"/>
        <v/>
      </c>
    </row>
    <row r="885" spans="3:15" x14ac:dyDescent="0.25">
      <c r="C885" s="47"/>
      <c r="D885" s="48"/>
      <c r="E885" s="7" t="str">
        <f t="shared" si="117"/>
        <v/>
      </c>
      <c r="F885" s="8" t="str">
        <f t="shared" si="118"/>
        <v/>
      </c>
      <c r="G885" s="8" t="str">
        <f t="shared" si="119"/>
        <v/>
      </c>
      <c r="H885" s="37" t="str">
        <f t="shared" si="120"/>
        <v/>
      </c>
      <c r="I885" s="37" t="str">
        <f t="shared" si="121"/>
        <v/>
      </c>
      <c r="J885" s="8" t="str">
        <f t="shared" si="122"/>
        <v/>
      </c>
      <c r="K885" s="38" t="str">
        <f t="shared" si="123"/>
        <v/>
      </c>
      <c r="N885" s="59" t="str">
        <f t="shared" si="125"/>
        <v/>
      </c>
      <c r="O885" s="59" t="str">
        <f t="shared" si="124"/>
        <v/>
      </c>
    </row>
    <row r="886" spans="3:15" x14ac:dyDescent="0.25">
      <c r="C886" s="47"/>
      <c r="D886" s="48"/>
      <c r="E886" s="7" t="str">
        <f t="shared" si="117"/>
        <v/>
      </c>
      <c r="F886" s="8" t="str">
        <f t="shared" si="118"/>
        <v/>
      </c>
      <c r="G886" s="8" t="str">
        <f t="shared" si="119"/>
        <v/>
      </c>
      <c r="H886" s="37" t="str">
        <f t="shared" si="120"/>
        <v/>
      </c>
      <c r="I886" s="37" t="str">
        <f t="shared" si="121"/>
        <v/>
      </c>
      <c r="J886" s="8" t="str">
        <f t="shared" si="122"/>
        <v/>
      </c>
      <c r="K886" s="38" t="str">
        <f t="shared" si="123"/>
        <v/>
      </c>
      <c r="N886" s="59" t="str">
        <f t="shared" si="125"/>
        <v/>
      </c>
      <c r="O886" s="59" t="str">
        <f t="shared" si="124"/>
        <v/>
      </c>
    </row>
    <row r="887" spans="3:15" x14ac:dyDescent="0.25">
      <c r="C887" s="47"/>
      <c r="D887" s="48"/>
      <c r="E887" s="7" t="str">
        <f t="shared" si="117"/>
        <v/>
      </c>
      <c r="F887" s="8" t="str">
        <f t="shared" si="118"/>
        <v/>
      </c>
      <c r="G887" s="8" t="str">
        <f t="shared" si="119"/>
        <v/>
      </c>
      <c r="H887" s="37" t="str">
        <f t="shared" si="120"/>
        <v/>
      </c>
      <c r="I887" s="37" t="str">
        <f t="shared" si="121"/>
        <v/>
      </c>
      <c r="J887" s="8" t="str">
        <f t="shared" si="122"/>
        <v/>
      </c>
      <c r="K887" s="38" t="str">
        <f t="shared" si="123"/>
        <v/>
      </c>
      <c r="N887" s="59" t="str">
        <f t="shared" si="125"/>
        <v/>
      </c>
      <c r="O887" s="59" t="str">
        <f t="shared" si="124"/>
        <v/>
      </c>
    </row>
    <row r="888" spans="3:15" x14ac:dyDescent="0.25">
      <c r="C888" s="47"/>
      <c r="D888" s="48"/>
      <c r="E888" s="7" t="str">
        <f t="shared" si="117"/>
        <v/>
      </c>
      <c r="F888" s="8" t="str">
        <f t="shared" si="118"/>
        <v/>
      </c>
      <c r="G888" s="8" t="str">
        <f t="shared" si="119"/>
        <v/>
      </c>
      <c r="H888" s="37" t="str">
        <f t="shared" si="120"/>
        <v/>
      </c>
      <c r="I888" s="37" t="str">
        <f t="shared" si="121"/>
        <v/>
      </c>
      <c r="J888" s="8" t="str">
        <f t="shared" si="122"/>
        <v/>
      </c>
      <c r="K888" s="38" t="str">
        <f t="shared" si="123"/>
        <v/>
      </c>
      <c r="N888" s="59" t="str">
        <f t="shared" si="125"/>
        <v/>
      </c>
      <c r="O888" s="59" t="str">
        <f t="shared" si="124"/>
        <v/>
      </c>
    </row>
    <row r="889" spans="3:15" x14ac:dyDescent="0.25">
      <c r="C889" s="47"/>
      <c r="D889" s="48"/>
      <c r="E889" s="7" t="str">
        <f t="shared" si="117"/>
        <v/>
      </c>
      <c r="F889" s="8" t="str">
        <f t="shared" si="118"/>
        <v/>
      </c>
      <c r="G889" s="8" t="str">
        <f t="shared" si="119"/>
        <v/>
      </c>
      <c r="H889" s="37" t="str">
        <f t="shared" si="120"/>
        <v/>
      </c>
      <c r="I889" s="37" t="str">
        <f t="shared" si="121"/>
        <v/>
      </c>
      <c r="J889" s="8" t="str">
        <f t="shared" si="122"/>
        <v/>
      </c>
      <c r="K889" s="38" t="str">
        <f t="shared" si="123"/>
        <v/>
      </c>
      <c r="N889" s="59" t="str">
        <f t="shared" si="125"/>
        <v/>
      </c>
      <c r="O889" s="59" t="str">
        <f t="shared" si="124"/>
        <v/>
      </c>
    </row>
    <row r="890" spans="3:15" x14ac:dyDescent="0.25">
      <c r="C890" s="47"/>
      <c r="D890" s="48"/>
      <c r="E890" s="7" t="str">
        <f t="shared" si="117"/>
        <v/>
      </c>
      <c r="F890" s="8" t="str">
        <f t="shared" si="118"/>
        <v/>
      </c>
      <c r="G890" s="8" t="str">
        <f t="shared" si="119"/>
        <v/>
      </c>
      <c r="H890" s="37" t="str">
        <f t="shared" si="120"/>
        <v/>
      </c>
      <c r="I890" s="37" t="str">
        <f t="shared" si="121"/>
        <v/>
      </c>
      <c r="J890" s="8" t="str">
        <f t="shared" si="122"/>
        <v/>
      </c>
      <c r="K890" s="38" t="str">
        <f t="shared" si="123"/>
        <v/>
      </c>
      <c r="N890" s="59" t="str">
        <f t="shared" si="125"/>
        <v/>
      </c>
      <c r="O890" s="59" t="str">
        <f t="shared" si="124"/>
        <v/>
      </c>
    </row>
    <row r="891" spans="3:15" x14ac:dyDescent="0.25">
      <c r="C891" s="47"/>
      <c r="D891" s="48"/>
      <c r="E891" s="7" t="str">
        <f t="shared" si="117"/>
        <v/>
      </c>
      <c r="F891" s="8" t="str">
        <f t="shared" si="118"/>
        <v/>
      </c>
      <c r="G891" s="8" t="str">
        <f t="shared" si="119"/>
        <v/>
      </c>
      <c r="H891" s="37" t="str">
        <f t="shared" si="120"/>
        <v/>
      </c>
      <c r="I891" s="37" t="str">
        <f t="shared" si="121"/>
        <v/>
      </c>
      <c r="J891" s="8" t="str">
        <f t="shared" si="122"/>
        <v/>
      </c>
      <c r="K891" s="38" t="str">
        <f t="shared" si="123"/>
        <v/>
      </c>
      <c r="N891" s="59" t="str">
        <f t="shared" si="125"/>
        <v/>
      </c>
      <c r="O891" s="59" t="str">
        <f t="shared" si="124"/>
        <v/>
      </c>
    </row>
    <row r="892" spans="3:15" x14ac:dyDescent="0.25">
      <c r="C892" s="47"/>
      <c r="D892" s="48"/>
      <c r="E892" s="7" t="str">
        <f t="shared" si="117"/>
        <v/>
      </c>
      <c r="F892" s="8" t="str">
        <f t="shared" si="118"/>
        <v/>
      </c>
      <c r="G892" s="8" t="str">
        <f t="shared" si="119"/>
        <v/>
      </c>
      <c r="H892" s="37" t="str">
        <f t="shared" si="120"/>
        <v/>
      </c>
      <c r="I892" s="37" t="str">
        <f t="shared" si="121"/>
        <v/>
      </c>
      <c r="J892" s="8" t="str">
        <f t="shared" si="122"/>
        <v/>
      </c>
      <c r="K892" s="38" t="str">
        <f t="shared" si="123"/>
        <v/>
      </c>
      <c r="N892" s="59" t="str">
        <f t="shared" si="125"/>
        <v/>
      </c>
      <c r="O892" s="59" t="str">
        <f t="shared" si="124"/>
        <v/>
      </c>
    </row>
    <row r="893" spans="3:15" x14ac:dyDescent="0.25">
      <c r="C893" s="47"/>
      <c r="D893" s="48"/>
      <c r="E893" s="7" t="str">
        <f t="shared" si="117"/>
        <v/>
      </c>
      <c r="F893" s="8" t="str">
        <f t="shared" si="118"/>
        <v/>
      </c>
      <c r="G893" s="8" t="str">
        <f t="shared" si="119"/>
        <v/>
      </c>
      <c r="H893" s="37" t="str">
        <f t="shared" si="120"/>
        <v/>
      </c>
      <c r="I893" s="37" t="str">
        <f t="shared" si="121"/>
        <v/>
      </c>
      <c r="J893" s="8" t="str">
        <f t="shared" si="122"/>
        <v/>
      </c>
      <c r="K893" s="38" t="str">
        <f t="shared" si="123"/>
        <v/>
      </c>
      <c r="N893" s="59" t="str">
        <f t="shared" si="125"/>
        <v/>
      </c>
      <c r="O893" s="59" t="str">
        <f t="shared" si="124"/>
        <v/>
      </c>
    </row>
    <row r="894" spans="3:15" x14ac:dyDescent="0.25">
      <c r="C894" s="47"/>
      <c r="D894" s="48"/>
      <c r="E894" s="7" t="str">
        <f t="shared" si="117"/>
        <v/>
      </c>
      <c r="F894" s="8" t="str">
        <f t="shared" si="118"/>
        <v/>
      </c>
      <c r="G894" s="8" t="str">
        <f t="shared" si="119"/>
        <v/>
      </c>
      <c r="H894" s="37" t="str">
        <f t="shared" si="120"/>
        <v/>
      </c>
      <c r="I894" s="37" t="str">
        <f t="shared" si="121"/>
        <v/>
      </c>
      <c r="J894" s="8" t="str">
        <f t="shared" si="122"/>
        <v/>
      </c>
      <c r="K894" s="38" t="str">
        <f t="shared" si="123"/>
        <v/>
      </c>
      <c r="N894" s="59" t="str">
        <f t="shared" si="125"/>
        <v/>
      </c>
      <c r="O894" s="59" t="str">
        <f t="shared" si="124"/>
        <v/>
      </c>
    </row>
    <row r="895" spans="3:15" x14ac:dyDescent="0.25">
      <c r="C895" s="47"/>
      <c r="D895" s="48"/>
      <c r="E895" s="7" t="str">
        <f t="shared" si="117"/>
        <v/>
      </c>
      <c r="F895" s="8" t="str">
        <f t="shared" si="118"/>
        <v/>
      </c>
      <c r="G895" s="8" t="str">
        <f t="shared" si="119"/>
        <v/>
      </c>
      <c r="H895" s="37" t="str">
        <f t="shared" si="120"/>
        <v/>
      </c>
      <c r="I895" s="37" t="str">
        <f t="shared" si="121"/>
        <v/>
      </c>
      <c r="J895" s="8" t="str">
        <f t="shared" si="122"/>
        <v/>
      </c>
      <c r="K895" s="38" t="str">
        <f t="shared" si="123"/>
        <v/>
      </c>
      <c r="N895" s="59" t="str">
        <f t="shared" si="125"/>
        <v/>
      </c>
      <c r="O895" s="59" t="str">
        <f t="shared" si="124"/>
        <v/>
      </c>
    </row>
    <row r="896" spans="3:15" x14ac:dyDescent="0.25">
      <c r="C896" s="47"/>
      <c r="D896" s="48"/>
      <c r="E896" s="7" t="str">
        <f t="shared" si="117"/>
        <v/>
      </c>
      <c r="F896" s="8" t="str">
        <f t="shared" si="118"/>
        <v/>
      </c>
      <c r="G896" s="8" t="str">
        <f t="shared" si="119"/>
        <v/>
      </c>
      <c r="H896" s="37" t="str">
        <f t="shared" si="120"/>
        <v/>
      </c>
      <c r="I896" s="37" t="str">
        <f t="shared" si="121"/>
        <v/>
      </c>
      <c r="J896" s="8" t="str">
        <f t="shared" si="122"/>
        <v/>
      </c>
      <c r="K896" s="38" t="str">
        <f t="shared" si="123"/>
        <v/>
      </c>
      <c r="N896" s="59" t="str">
        <f t="shared" si="125"/>
        <v/>
      </c>
      <c r="O896" s="59" t="str">
        <f t="shared" si="124"/>
        <v/>
      </c>
    </row>
    <row r="897" spans="3:15" x14ac:dyDescent="0.25">
      <c r="C897" s="47"/>
      <c r="D897" s="48"/>
      <c r="E897" s="7" t="str">
        <f t="shared" si="117"/>
        <v/>
      </c>
      <c r="F897" s="8" t="str">
        <f t="shared" si="118"/>
        <v/>
      </c>
      <c r="G897" s="8" t="str">
        <f t="shared" si="119"/>
        <v/>
      </c>
      <c r="H897" s="37" t="str">
        <f t="shared" si="120"/>
        <v/>
      </c>
      <c r="I897" s="37" t="str">
        <f t="shared" si="121"/>
        <v/>
      </c>
      <c r="J897" s="8" t="str">
        <f t="shared" si="122"/>
        <v/>
      </c>
      <c r="K897" s="38" t="str">
        <f t="shared" si="123"/>
        <v/>
      </c>
      <c r="N897" s="59" t="str">
        <f t="shared" si="125"/>
        <v/>
      </c>
      <c r="O897" s="59" t="str">
        <f t="shared" si="124"/>
        <v/>
      </c>
    </row>
    <row r="898" spans="3:15" x14ac:dyDescent="0.25">
      <c r="C898" s="47"/>
      <c r="D898" s="48"/>
      <c r="E898" s="7" t="str">
        <f t="shared" si="117"/>
        <v/>
      </c>
      <c r="F898" s="8" t="str">
        <f t="shared" si="118"/>
        <v/>
      </c>
      <c r="G898" s="8" t="str">
        <f t="shared" si="119"/>
        <v/>
      </c>
      <c r="H898" s="37" t="str">
        <f t="shared" si="120"/>
        <v/>
      </c>
      <c r="I898" s="37" t="str">
        <f t="shared" si="121"/>
        <v/>
      </c>
      <c r="J898" s="8" t="str">
        <f t="shared" si="122"/>
        <v/>
      </c>
      <c r="K898" s="38" t="str">
        <f t="shared" si="123"/>
        <v/>
      </c>
      <c r="N898" s="59" t="str">
        <f t="shared" si="125"/>
        <v/>
      </c>
      <c r="O898" s="59" t="str">
        <f t="shared" si="124"/>
        <v/>
      </c>
    </row>
    <row r="899" spans="3:15" x14ac:dyDescent="0.25">
      <c r="C899" s="47"/>
      <c r="D899" s="48"/>
      <c r="E899" s="7" t="str">
        <f t="shared" si="117"/>
        <v/>
      </c>
      <c r="F899" s="8" t="str">
        <f t="shared" si="118"/>
        <v/>
      </c>
      <c r="G899" s="8" t="str">
        <f t="shared" si="119"/>
        <v/>
      </c>
      <c r="H899" s="37" t="str">
        <f t="shared" si="120"/>
        <v/>
      </c>
      <c r="I899" s="37" t="str">
        <f t="shared" si="121"/>
        <v/>
      </c>
      <c r="J899" s="8" t="str">
        <f t="shared" si="122"/>
        <v/>
      </c>
      <c r="K899" s="38" t="str">
        <f t="shared" si="123"/>
        <v/>
      </c>
      <c r="N899" s="59" t="str">
        <f t="shared" si="125"/>
        <v/>
      </c>
      <c r="O899" s="59" t="str">
        <f t="shared" si="124"/>
        <v/>
      </c>
    </row>
    <row r="900" spans="3:15" x14ac:dyDescent="0.25">
      <c r="C900" s="47"/>
      <c r="D900" s="48"/>
      <c r="E900" s="7" t="str">
        <f t="shared" si="117"/>
        <v/>
      </c>
      <c r="F900" s="8" t="str">
        <f t="shared" si="118"/>
        <v/>
      </c>
      <c r="G900" s="8" t="str">
        <f t="shared" si="119"/>
        <v/>
      </c>
      <c r="H900" s="37" t="str">
        <f t="shared" si="120"/>
        <v/>
      </c>
      <c r="I900" s="37" t="str">
        <f t="shared" si="121"/>
        <v/>
      </c>
      <c r="J900" s="8" t="str">
        <f t="shared" si="122"/>
        <v/>
      </c>
      <c r="K900" s="38" t="str">
        <f t="shared" si="123"/>
        <v/>
      </c>
      <c r="N900" s="59" t="str">
        <f t="shared" si="125"/>
        <v/>
      </c>
      <c r="O900" s="59" t="str">
        <f t="shared" si="124"/>
        <v/>
      </c>
    </row>
    <row r="901" spans="3:15" x14ac:dyDescent="0.25">
      <c r="C901" s="47"/>
      <c r="D901" s="48"/>
      <c r="E901" s="7" t="str">
        <f t="shared" si="117"/>
        <v/>
      </c>
      <c r="F901" s="8" t="str">
        <f t="shared" si="118"/>
        <v/>
      </c>
      <c r="G901" s="8" t="str">
        <f t="shared" si="119"/>
        <v/>
      </c>
      <c r="H901" s="37" t="str">
        <f t="shared" si="120"/>
        <v/>
      </c>
      <c r="I901" s="37" t="str">
        <f t="shared" si="121"/>
        <v/>
      </c>
      <c r="J901" s="8" t="str">
        <f t="shared" si="122"/>
        <v/>
      </c>
      <c r="K901" s="38" t="str">
        <f t="shared" si="123"/>
        <v/>
      </c>
      <c r="N901" s="59" t="str">
        <f t="shared" si="125"/>
        <v/>
      </c>
      <c r="O901" s="59" t="str">
        <f t="shared" si="124"/>
        <v/>
      </c>
    </row>
    <row r="902" spans="3:15" x14ac:dyDescent="0.25">
      <c r="C902" s="47"/>
      <c r="D902" s="48"/>
      <c r="E902" s="7" t="str">
        <f t="shared" si="117"/>
        <v/>
      </c>
      <c r="F902" s="8" t="str">
        <f t="shared" si="118"/>
        <v/>
      </c>
      <c r="G902" s="8" t="str">
        <f t="shared" si="119"/>
        <v/>
      </c>
      <c r="H902" s="37" t="str">
        <f t="shared" si="120"/>
        <v/>
      </c>
      <c r="I902" s="37" t="str">
        <f t="shared" si="121"/>
        <v/>
      </c>
      <c r="J902" s="8" t="str">
        <f t="shared" si="122"/>
        <v/>
      </c>
      <c r="K902" s="38" t="str">
        <f t="shared" si="123"/>
        <v/>
      </c>
      <c r="N902" s="59" t="str">
        <f t="shared" si="125"/>
        <v/>
      </c>
      <c r="O902" s="59" t="str">
        <f t="shared" si="124"/>
        <v/>
      </c>
    </row>
    <row r="903" spans="3:15" x14ac:dyDescent="0.25">
      <c r="C903" s="47"/>
      <c r="D903" s="48"/>
      <c r="E903" s="7" t="str">
        <f t="shared" si="117"/>
        <v/>
      </c>
      <c r="F903" s="8" t="str">
        <f t="shared" si="118"/>
        <v/>
      </c>
      <c r="G903" s="8" t="str">
        <f t="shared" si="119"/>
        <v/>
      </c>
      <c r="H903" s="37" t="str">
        <f t="shared" si="120"/>
        <v/>
      </c>
      <c r="I903" s="37" t="str">
        <f t="shared" si="121"/>
        <v/>
      </c>
      <c r="J903" s="8" t="str">
        <f t="shared" si="122"/>
        <v/>
      </c>
      <c r="K903" s="38" t="str">
        <f t="shared" si="123"/>
        <v/>
      </c>
      <c r="N903" s="59" t="str">
        <f t="shared" si="125"/>
        <v/>
      </c>
      <c r="O903" s="59" t="str">
        <f t="shared" si="124"/>
        <v/>
      </c>
    </row>
    <row r="904" spans="3:15" x14ac:dyDescent="0.25">
      <c r="C904" s="47"/>
      <c r="D904" s="48"/>
      <c r="E904" s="7" t="str">
        <f t="shared" si="117"/>
        <v/>
      </c>
      <c r="F904" s="8" t="str">
        <f t="shared" si="118"/>
        <v/>
      </c>
      <c r="G904" s="8" t="str">
        <f t="shared" si="119"/>
        <v/>
      </c>
      <c r="H904" s="37" t="str">
        <f t="shared" si="120"/>
        <v/>
      </c>
      <c r="I904" s="37" t="str">
        <f t="shared" si="121"/>
        <v/>
      </c>
      <c r="J904" s="8" t="str">
        <f t="shared" si="122"/>
        <v/>
      </c>
      <c r="K904" s="38" t="str">
        <f t="shared" si="123"/>
        <v/>
      </c>
      <c r="N904" s="59" t="str">
        <f t="shared" si="125"/>
        <v/>
      </c>
      <c r="O904" s="59" t="str">
        <f t="shared" si="124"/>
        <v/>
      </c>
    </row>
    <row r="905" spans="3:15" x14ac:dyDescent="0.25">
      <c r="C905" s="47"/>
      <c r="D905" s="48"/>
      <c r="E905" s="7" t="str">
        <f t="shared" si="117"/>
        <v/>
      </c>
      <c r="F905" s="8" t="str">
        <f t="shared" si="118"/>
        <v/>
      </c>
      <c r="G905" s="8" t="str">
        <f t="shared" si="119"/>
        <v/>
      </c>
      <c r="H905" s="37" t="str">
        <f t="shared" si="120"/>
        <v/>
      </c>
      <c r="I905" s="37" t="str">
        <f t="shared" si="121"/>
        <v/>
      </c>
      <c r="J905" s="8" t="str">
        <f t="shared" si="122"/>
        <v/>
      </c>
      <c r="K905" s="38" t="str">
        <f t="shared" si="123"/>
        <v/>
      </c>
      <c r="N905" s="59" t="str">
        <f t="shared" si="125"/>
        <v/>
      </c>
      <c r="O905" s="59" t="str">
        <f t="shared" si="124"/>
        <v/>
      </c>
    </row>
    <row r="906" spans="3:15" x14ac:dyDescent="0.25">
      <c r="C906" s="47"/>
      <c r="D906" s="48"/>
      <c r="E906" s="7" t="str">
        <f t="shared" si="117"/>
        <v/>
      </c>
      <c r="F906" s="8" t="str">
        <f t="shared" si="118"/>
        <v/>
      </c>
      <c r="G906" s="8" t="str">
        <f t="shared" si="119"/>
        <v/>
      </c>
      <c r="H906" s="37" t="str">
        <f t="shared" si="120"/>
        <v/>
      </c>
      <c r="I906" s="37" t="str">
        <f t="shared" si="121"/>
        <v/>
      </c>
      <c r="J906" s="8" t="str">
        <f t="shared" si="122"/>
        <v/>
      </c>
      <c r="K906" s="38" t="str">
        <f t="shared" si="123"/>
        <v/>
      </c>
      <c r="N906" s="59" t="str">
        <f t="shared" si="125"/>
        <v/>
      </c>
      <c r="O906" s="59" t="str">
        <f t="shared" si="124"/>
        <v/>
      </c>
    </row>
    <row r="907" spans="3:15" x14ac:dyDescent="0.25">
      <c r="C907" s="47"/>
      <c r="D907" s="48"/>
      <c r="E907" s="7" t="str">
        <f t="shared" si="117"/>
        <v/>
      </c>
      <c r="F907" s="8" t="str">
        <f t="shared" si="118"/>
        <v/>
      </c>
      <c r="G907" s="8" t="str">
        <f t="shared" si="119"/>
        <v/>
      </c>
      <c r="H907" s="37" t="str">
        <f t="shared" si="120"/>
        <v/>
      </c>
      <c r="I907" s="37" t="str">
        <f t="shared" si="121"/>
        <v/>
      </c>
      <c r="J907" s="8" t="str">
        <f t="shared" si="122"/>
        <v/>
      </c>
      <c r="K907" s="38" t="str">
        <f t="shared" si="123"/>
        <v/>
      </c>
      <c r="N907" s="59" t="str">
        <f t="shared" si="125"/>
        <v/>
      </c>
      <c r="O907" s="59" t="str">
        <f t="shared" si="124"/>
        <v/>
      </c>
    </row>
    <row r="908" spans="3:15" x14ac:dyDescent="0.25">
      <c r="C908" s="47"/>
      <c r="D908" s="48"/>
      <c r="E908" s="7" t="str">
        <f t="shared" si="117"/>
        <v/>
      </c>
      <c r="F908" s="8" t="str">
        <f t="shared" si="118"/>
        <v/>
      </c>
      <c r="G908" s="8" t="str">
        <f t="shared" si="119"/>
        <v/>
      </c>
      <c r="H908" s="37" t="str">
        <f t="shared" si="120"/>
        <v/>
      </c>
      <c r="I908" s="37" t="str">
        <f t="shared" si="121"/>
        <v/>
      </c>
      <c r="J908" s="8" t="str">
        <f t="shared" si="122"/>
        <v/>
      </c>
      <c r="K908" s="38" t="str">
        <f t="shared" si="123"/>
        <v/>
      </c>
      <c r="N908" s="59" t="str">
        <f t="shared" si="125"/>
        <v/>
      </c>
      <c r="O908" s="59" t="str">
        <f t="shared" si="124"/>
        <v/>
      </c>
    </row>
    <row r="909" spans="3:15" x14ac:dyDescent="0.25">
      <c r="C909" s="47"/>
      <c r="D909" s="48"/>
      <c r="E909" s="7" t="str">
        <f t="shared" si="117"/>
        <v/>
      </c>
      <c r="F909" s="8" t="str">
        <f t="shared" si="118"/>
        <v/>
      </c>
      <c r="G909" s="8" t="str">
        <f t="shared" si="119"/>
        <v/>
      </c>
      <c r="H909" s="37" t="str">
        <f t="shared" si="120"/>
        <v/>
      </c>
      <c r="I909" s="37" t="str">
        <f t="shared" si="121"/>
        <v/>
      </c>
      <c r="J909" s="8" t="str">
        <f t="shared" si="122"/>
        <v/>
      </c>
      <c r="K909" s="38" t="str">
        <f t="shared" si="123"/>
        <v/>
      </c>
      <c r="N909" s="59" t="str">
        <f t="shared" si="125"/>
        <v/>
      </c>
      <c r="O909" s="59" t="str">
        <f t="shared" si="124"/>
        <v/>
      </c>
    </row>
    <row r="910" spans="3:15" x14ac:dyDescent="0.25">
      <c r="C910" s="47"/>
      <c r="D910" s="48"/>
      <c r="E910" s="7" t="str">
        <f t="shared" si="117"/>
        <v/>
      </c>
      <c r="F910" s="8" t="str">
        <f t="shared" si="118"/>
        <v/>
      </c>
      <c r="G910" s="8" t="str">
        <f t="shared" si="119"/>
        <v/>
      </c>
      <c r="H910" s="37" t="str">
        <f t="shared" si="120"/>
        <v/>
      </c>
      <c r="I910" s="37" t="str">
        <f t="shared" si="121"/>
        <v/>
      </c>
      <c r="J910" s="8" t="str">
        <f t="shared" si="122"/>
        <v/>
      </c>
      <c r="K910" s="38" t="str">
        <f t="shared" si="123"/>
        <v/>
      </c>
      <c r="N910" s="59" t="str">
        <f t="shared" si="125"/>
        <v/>
      </c>
      <c r="O910" s="59" t="str">
        <f t="shared" si="124"/>
        <v/>
      </c>
    </row>
    <row r="911" spans="3:15" x14ac:dyDescent="0.25">
      <c r="C911" s="47"/>
      <c r="D911" s="48"/>
      <c r="E911" s="7" t="str">
        <f t="shared" si="117"/>
        <v/>
      </c>
      <c r="F911" s="8" t="str">
        <f t="shared" si="118"/>
        <v/>
      </c>
      <c r="G911" s="8" t="str">
        <f t="shared" si="119"/>
        <v/>
      </c>
      <c r="H911" s="37" t="str">
        <f t="shared" si="120"/>
        <v/>
      </c>
      <c r="I911" s="37" t="str">
        <f t="shared" si="121"/>
        <v/>
      </c>
      <c r="J911" s="8" t="str">
        <f t="shared" si="122"/>
        <v/>
      </c>
      <c r="K911" s="38" t="str">
        <f t="shared" si="123"/>
        <v/>
      </c>
      <c r="N911" s="59" t="str">
        <f t="shared" si="125"/>
        <v/>
      </c>
      <c r="O911" s="59" t="str">
        <f t="shared" si="124"/>
        <v/>
      </c>
    </row>
    <row r="912" spans="3:15" x14ac:dyDescent="0.25">
      <c r="C912" s="47"/>
      <c r="D912" s="48"/>
      <c r="E912" s="7" t="str">
        <f t="shared" si="117"/>
        <v/>
      </c>
      <c r="F912" s="8" t="str">
        <f t="shared" si="118"/>
        <v/>
      </c>
      <c r="G912" s="8" t="str">
        <f t="shared" si="119"/>
        <v/>
      </c>
      <c r="H912" s="37" t="str">
        <f t="shared" si="120"/>
        <v/>
      </c>
      <c r="I912" s="37" t="str">
        <f t="shared" si="121"/>
        <v/>
      </c>
      <c r="J912" s="8" t="str">
        <f t="shared" si="122"/>
        <v/>
      </c>
      <c r="K912" s="38" t="str">
        <f t="shared" si="123"/>
        <v/>
      </c>
      <c r="N912" s="59" t="str">
        <f t="shared" si="125"/>
        <v/>
      </c>
      <c r="O912" s="59" t="str">
        <f t="shared" si="124"/>
        <v/>
      </c>
    </row>
    <row r="913" spans="3:15" x14ac:dyDescent="0.25">
      <c r="C913" s="47"/>
      <c r="D913" s="48"/>
      <c r="E913" s="7" t="str">
        <f t="shared" si="117"/>
        <v/>
      </c>
      <c r="F913" s="8" t="str">
        <f t="shared" si="118"/>
        <v/>
      </c>
      <c r="G913" s="8" t="str">
        <f t="shared" si="119"/>
        <v/>
      </c>
      <c r="H913" s="37" t="str">
        <f t="shared" si="120"/>
        <v/>
      </c>
      <c r="I913" s="37" t="str">
        <f t="shared" si="121"/>
        <v/>
      </c>
      <c r="J913" s="8" t="str">
        <f t="shared" si="122"/>
        <v/>
      </c>
      <c r="K913" s="38" t="str">
        <f t="shared" si="123"/>
        <v/>
      </c>
      <c r="N913" s="59" t="str">
        <f t="shared" si="125"/>
        <v/>
      </c>
      <c r="O913" s="59" t="str">
        <f t="shared" si="124"/>
        <v/>
      </c>
    </row>
    <row r="914" spans="3:15" x14ac:dyDescent="0.25">
      <c r="C914" s="47"/>
      <c r="D914" s="48"/>
      <c r="E914" s="7" t="str">
        <f t="shared" si="117"/>
        <v/>
      </c>
      <c r="F914" s="8" t="str">
        <f t="shared" si="118"/>
        <v/>
      </c>
      <c r="G914" s="8" t="str">
        <f t="shared" si="119"/>
        <v/>
      </c>
      <c r="H914" s="37" t="str">
        <f t="shared" si="120"/>
        <v/>
      </c>
      <c r="I914" s="37" t="str">
        <f t="shared" si="121"/>
        <v/>
      </c>
      <c r="J914" s="8" t="str">
        <f t="shared" si="122"/>
        <v/>
      </c>
      <c r="K914" s="38" t="str">
        <f t="shared" si="123"/>
        <v/>
      </c>
      <c r="N914" s="59" t="str">
        <f t="shared" si="125"/>
        <v/>
      </c>
      <c r="O914" s="59" t="str">
        <f t="shared" si="124"/>
        <v/>
      </c>
    </row>
    <row r="915" spans="3:15" x14ac:dyDescent="0.25">
      <c r="C915" s="47"/>
      <c r="D915" s="48"/>
      <c r="E915" s="7" t="str">
        <f t="shared" ref="E915:E978" si="126">IF(OR(DataRecebimento="",C915=""),"",IF(C915&lt;DataRecebimento,"ERRO!",C915+$F$9-$F$7))</f>
        <v/>
      </c>
      <c r="F915" s="8" t="str">
        <f t="shared" ref="F915:F978" si="127">IF(OR(TaxaJuros="",C915=""),"",IF(C915&lt;DataRecebimento,"DATA",-D915*E915*($F$8/30)))</f>
        <v/>
      </c>
      <c r="G915" s="8" t="str">
        <f t="shared" ref="G915:G978" si="128">IF(OR(TaxaJuros="",C915=""),"",IF(C915&lt;DataRecebimento,"NÃO",-$F$10))</f>
        <v/>
      </c>
      <c r="H915" s="37" t="str">
        <f t="shared" ref="H915:H978" si="129">IF(OR(TaxaJuros="",C915=""),"",IF(C915&lt;DataRecebimento,"PODE",IF(ComSemIOF=FALSE,0,IF(E915&gt;365,-(D915+F915)*365*IOFDiario,-(D915+F915)*E915*IOFDiario))))</f>
        <v/>
      </c>
      <c r="I915" s="37" t="str">
        <f t="shared" ref="I915:I978" si="130">IF(OR(TaxaJuros="",C915=""),"",IF(C915&lt;DataRecebimento,"SER",IF(ComSemIOF=FALSE,0,-(D915+F915)*IOFAdic)))</f>
        <v/>
      </c>
      <c r="J915" s="8" t="str">
        <f t="shared" ref="J915:J978" si="131">IF(OR(TaxaJuros="",C915=""),"",IF(C915&lt;DataRecebimento,"INFERIOR!",D915+SUM(F915:I915)))</f>
        <v/>
      </c>
      <c r="K915" s="38" t="str">
        <f t="shared" ref="K915:K978" si="132">IF(OR(TaxaJuros="",C915=""),"",IF(C915&lt;DataRecebimento,"ERRO!",100%-J915/D915))</f>
        <v/>
      </c>
      <c r="N915" s="59" t="str">
        <f t="shared" si="125"/>
        <v/>
      </c>
      <c r="O915" s="59" t="str">
        <f t="shared" ref="O915:O978" si="133">IF(N915="","",PV(TMA_Dia,E915,,-N915))</f>
        <v/>
      </c>
    </row>
    <row r="916" spans="3:15" x14ac:dyDescent="0.25">
      <c r="C916" s="47"/>
      <c r="D916" s="48"/>
      <c r="E916" s="7" t="str">
        <f t="shared" si="126"/>
        <v/>
      </c>
      <c r="F916" s="8" t="str">
        <f t="shared" si="127"/>
        <v/>
      </c>
      <c r="G916" s="8" t="str">
        <f t="shared" si="128"/>
        <v/>
      </c>
      <c r="H916" s="37" t="str">
        <f t="shared" si="129"/>
        <v/>
      </c>
      <c r="I916" s="37" t="str">
        <f t="shared" si="130"/>
        <v/>
      </c>
      <c r="J916" s="8" t="str">
        <f t="shared" si="131"/>
        <v/>
      </c>
      <c r="K916" s="38" t="str">
        <f t="shared" si="132"/>
        <v/>
      </c>
      <c r="N916" s="59" t="str">
        <f t="shared" ref="N916:N979" si="134">IF(C916="","",-D916)</f>
        <v/>
      </c>
      <c r="O916" s="59" t="str">
        <f t="shared" si="133"/>
        <v/>
      </c>
    </row>
    <row r="917" spans="3:15" x14ac:dyDescent="0.25">
      <c r="C917" s="47"/>
      <c r="D917" s="48"/>
      <c r="E917" s="7" t="str">
        <f t="shared" si="126"/>
        <v/>
      </c>
      <c r="F917" s="8" t="str">
        <f t="shared" si="127"/>
        <v/>
      </c>
      <c r="G917" s="8" t="str">
        <f t="shared" si="128"/>
        <v/>
      </c>
      <c r="H917" s="37" t="str">
        <f t="shared" si="129"/>
        <v/>
      </c>
      <c r="I917" s="37" t="str">
        <f t="shared" si="130"/>
        <v/>
      </c>
      <c r="J917" s="8" t="str">
        <f t="shared" si="131"/>
        <v/>
      </c>
      <c r="K917" s="38" t="str">
        <f t="shared" si="132"/>
        <v/>
      </c>
      <c r="N917" s="59" t="str">
        <f t="shared" si="134"/>
        <v/>
      </c>
      <c r="O917" s="59" t="str">
        <f t="shared" si="133"/>
        <v/>
      </c>
    </row>
    <row r="918" spans="3:15" x14ac:dyDescent="0.25">
      <c r="C918" s="47"/>
      <c r="D918" s="48"/>
      <c r="E918" s="7" t="str">
        <f t="shared" si="126"/>
        <v/>
      </c>
      <c r="F918" s="8" t="str">
        <f t="shared" si="127"/>
        <v/>
      </c>
      <c r="G918" s="8" t="str">
        <f t="shared" si="128"/>
        <v/>
      </c>
      <c r="H918" s="37" t="str">
        <f t="shared" si="129"/>
        <v/>
      </c>
      <c r="I918" s="37" t="str">
        <f t="shared" si="130"/>
        <v/>
      </c>
      <c r="J918" s="8" t="str">
        <f t="shared" si="131"/>
        <v/>
      </c>
      <c r="K918" s="38" t="str">
        <f t="shared" si="132"/>
        <v/>
      </c>
      <c r="N918" s="59" t="str">
        <f t="shared" si="134"/>
        <v/>
      </c>
      <c r="O918" s="59" t="str">
        <f t="shared" si="133"/>
        <v/>
      </c>
    </row>
    <row r="919" spans="3:15" x14ac:dyDescent="0.25">
      <c r="C919" s="47"/>
      <c r="D919" s="48"/>
      <c r="E919" s="7" t="str">
        <f t="shared" si="126"/>
        <v/>
      </c>
      <c r="F919" s="8" t="str">
        <f t="shared" si="127"/>
        <v/>
      </c>
      <c r="G919" s="8" t="str">
        <f t="shared" si="128"/>
        <v/>
      </c>
      <c r="H919" s="37" t="str">
        <f t="shared" si="129"/>
        <v/>
      </c>
      <c r="I919" s="37" t="str">
        <f t="shared" si="130"/>
        <v/>
      </c>
      <c r="J919" s="8" t="str">
        <f t="shared" si="131"/>
        <v/>
      </c>
      <c r="K919" s="38" t="str">
        <f t="shared" si="132"/>
        <v/>
      </c>
      <c r="N919" s="59" t="str">
        <f t="shared" si="134"/>
        <v/>
      </c>
      <c r="O919" s="59" t="str">
        <f t="shared" si="133"/>
        <v/>
      </c>
    </row>
    <row r="920" spans="3:15" x14ac:dyDescent="0.25">
      <c r="C920" s="47"/>
      <c r="D920" s="48"/>
      <c r="E920" s="7" t="str">
        <f t="shared" si="126"/>
        <v/>
      </c>
      <c r="F920" s="8" t="str">
        <f t="shared" si="127"/>
        <v/>
      </c>
      <c r="G920" s="8" t="str">
        <f t="shared" si="128"/>
        <v/>
      </c>
      <c r="H920" s="37" t="str">
        <f t="shared" si="129"/>
        <v/>
      </c>
      <c r="I920" s="37" t="str">
        <f t="shared" si="130"/>
        <v/>
      </c>
      <c r="J920" s="8" t="str">
        <f t="shared" si="131"/>
        <v/>
      </c>
      <c r="K920" s="38" t="str">
        <f t="shared" si="132"/>
        <v/>
      </c>
      <c r="N920" s="59" t="str">
        <f t="shared" si="134"/>
        <v/>
      </c>
      <c r="O920" s="59" t="str">
        <f t="shared" si="133"/>
        <v/>
      </c>
    </row>
    <row r="921" spans="3:15" x14ac:dyDescent="0.25">
      <c r="C921" s="47"/>
      <c r="D921" s="48"/>
      <c r="E921" s="7" t="str">
        <f t="shared" si="126"/>
        <v/>
      </c>
      <c r="F921" s="8" t="str">
        <f t="shared" si="127"/>
        <v/>
      </c>
      <c r="G921" s="8" t="str">
        <f t="shared" si="128"/>
        <v/>
      </c>
      <c r="H921" s="37" t="str">
        <f t="shared" si="129"/>
        <v/>
      </c>
      <c r="I921" s="37" t="str">
        <f t="shared" si="130"/>
        <v/>
      </c>
      <c r="J921" s="8" t="str">
        <f t="shared" si="131"/>
        <v/>
      </c>
      <c r="K921" s="38" t="str">
        <f t="shared" si="132"/>
        <v/>
      </c>
      <c r="N921" s="59" t="str">
        <f t="shared" si="134"/>
        <v/>
      </c>
      <c r="O921" s="59" t="str">
        <f t="shared" si="133"/>
        <v/>
      </c>
    </row>
    <row r="922" spans="3:15" x14ac:dyDescent="0.25">
      <c r="C922" s="47"/>
      <c r="D922" s="48"/>
      <c r="E922" s="7" t="str">
        <f t="shared" si="126"/>
        <v/>
      </c>
      <c r="F922" s="8" t="str">
        <f t="shared" si="127"/>
        <v/>
      </c>
      <c r="G922" s="8" t="str">
        <f t="shared" si="128"/>
        <v/>
      </c>
      <c r="H922" s="37" t="str">
        <f t="shared" si="129"/>
        <v/>
      </c>
      <c r="I922" s="37" t="str">
        <f t="shared" si="130"/>
        <v/>
      </c>
      <c r="J922" s="8" t="str">
        <f t="shared" si="131"/>
        <v/>
      </c>
      <c r="K922" s="38" t="str">
        <f t="shared" si="132"/>
        <v/>
      </c>
      <c r="N922" s="59" t="str">
        <f t="shared" si="134"/>
        <v/>
      </c>
      <c r="O922" s="59" t="str">
        <f t="shared" si="133"/>
        <v/>
      </c>
    </row>
    <row r="923" spans="3:15" x14ac:dyDescent="0.25">
      <c r="C923" s="47"/>
      <c r="D923" s="48"/>
      <c r="E923" s="7" t="str">
        <f t="shared" si="126"/>
        <v/>
      </c>
      <c r="F923" s="8" t="str">
        <f t="shared" si="127"/>
        <v/>
      </c>
      <c r="G923" s="8" t="str">
        <f t="shared" si="128"/>
        <v/>
      </c>
      <c r="H923" s="37" t="str">
        <f t="shared" si="129"/>
        <v/>
      </c>
      <c r="I923" s="37" t="str">
        <f t="shared" si="130"/>
        <v/>
      </c>
      <c r="J923" s="8" t="str">
        <f t="shared" si="131"/>
        <v/>
      </c>
      <c r="K923" s="38" t="str">
        <f t="shared" si="132"/>
        <v/>
      </c>
      <c r="N923" s="59" t="str">
        <f t="shared" si="134"/>
        <v/>
      </c>
      <c r="O923" s="59" t="str">
        <f t="shared" si="133"/>
        <v/>
      </c>
    </row>
    <row r="924" spans="3:15" x14ac:dyDescent="0.25">
      <c r="C924" s="47"/>
      <c r="D924" s="48"/>
      <c r="E924" s="7" t="str">
        <f t="shared" si="126"/>
        <v/>
      </c>
      <c r="F924" s="8" t="str">
        <f t="shared" si="127"/>
        <v/>
      </c>
      <c r="G924" s="8" t="str">
        <f t="shared" si="128"/>
        <v/>
      </c>
      <c r="H924" s="37" t="str">
        <f t="shared" si="129"/>
        <v/>
      </c>
      <c r="I924" s="37" t="str">
        <f t="shared" si="130"/>
        <v/>
      </c>
      <c r="J924" s="8" t="str">
        <f t="shared" si="131"/>
        <v/>
      </c>
      <c r="K924" s="38" t="str">
        <f t="shared" si="132"/>
        <v/>
      </c>
      <c r="N924" s="59" t="str">
        <f t="shared" si="134"/>
        <v/>
      </c>
      <c r="O924" s="59" t="str">
        <f t="shared" si="133"/>
        <v/>
      </c>
    </row>
    <row r="925" spans="3:15" x14ac:dyDescent="0.25">
      <c r="C925" s="47"/>
      <c r="D925" s="48"/>
      <c r="E925" s="7" t="str">
        <f t="shared" si="126"/>
        <v/>
      </c>
      <c r="F925" s="8" t="str">
        <f t="shared" si="127"/>
        <v/>
      </c>
      <c r="G925" s="8" t="str">
        <f t="shared" si="128"/>
        <v/>
      </c>
      <c r="H925" s="37" t="str">
        <f t="shared" si="129"/>
        <v/>
      </c>
      <c r="I925" s="37" t="str">
        <f t="shared" si="130"/>
        <v/>
      </c>
      <c r="J925" s="8" t="str">
        <f t="shared" si="131"/>
        <v/>
      </c>
      <c r="K925" s="38" t="str">
        <f t="shared" si="132"/>
        <v/>
      </c>
      <c r="N925" s="59" t="str">
        <f t="shared" si="134"/>
        <v/>
      </c>
      <c r="O925" s="59" t="str">
        <f t="shared" si="133"/>
        <v/>
      </c>
    </row>
    <row r="926" spans="3:15" x14ac:dyDescent="0.25">
      <c r="C926" s="47"/>
      <c r="D926" s="48"/>
      <c r="E926" s="7" t="str">
        <f t="shared" si="126"/>
        <v/>
      </c>
      <c r="F926" s="8" t="str">
        <f t="shared" si="127"/>
        <v/>
      </c>
      <c r="G926" s="8" t="str">
        <f t="shared" si="128"/>
        <v/>
      </c>
      <c r="H926" s="37" t="str">
        <f t="shared" si="129"/>
        <v/>
      </c>
      <c r="I926" s="37" t="str">
        <f t="shared" si="130"/>
        <v/>
      </c>
      <c r="J926" s="8" t="str">
        <f t="shared" si="131"/>
        <v/>
      </c>
      <c r="K926" s="38" t="str">
        <f t="shared" si="132"/>
        <v/>
      </c>
      <c r="N926" s="59" t="str">
        <f t="shared" si="134"/>
        <v/>
      </c>
      <c r="O926" s="59" t="str">
        <f t="shared" si="133"/>
        <v/>
      </c>
    </row>
    <row r="927" spans="3:15" x14ac:dyDescent="0.25">
      <c r="C927" s="47"/>
      <c r="D927" s="48"/>
      <c r="E927" s="7" t="str">
        <f t="shared" si="126"/>
        <v/>
      </c>
      <c r="F927" s="8" t="str">
        <f t="shared" si="127"/>
        <v/>
      </c>
      <c r="G927" s="8" t="str">
        <f t="shared" si="128"/>
        <v/>
      </c>
      <c r="H927" s="37" t="str">
        <f t="shared" si="129"/>
        <v/>
      </c>
      <c r="I927" s="37" t="str">
        <f t="shared" si="130"/>
        <v/>
      </c>
      <c r="J927" s="8" t="str">
        <f t="shared" si="131"/>
        <v/>
      </c>
      <c r="K927" s="38" t="str">
        <f t="shared" si="132"/>
        <v/>
      </c>
      <c r="N927" s="59" t="str">
        <f t="shared" si="134"/>
        <v/>
      </c>
      <c r="O927" s="59" t="str">
        <f t="shared" si="133"/>
        <v/>
      </c>
    </row>
    <row r="928" spans="3:15" x14ac:dyDescent="0.25">
      <c r="C928" s="47"/>
      <c r="D928" s="48"/>
      <c r="E928" s="7" t="str">
        <f t="shared" si="126"/>
        <v/>
      </c>
      <c r="F928" s="8" t="str">
        <f t="shared" si="127"/>
        <v/>
      </c>
      <c r="G928" s="8" t="str">
        <f t="shared" si="128"/>
        <v/>
      </c>
      <c r="H928" s="37" t="str">
        <f t="shared" si="129"/>
        <v/>
      </c>
      <c r="I928" s="37" t="str">
        <f t="shared" si="130"/>
        <v/>
      </c>
      <c r="J928" s="8" t="str">
        <f t="shared" si="131"/>
        <v/>
      </c>
      <c r="K928" s="38" t="str">
        <f t="shared" si="132"/>
        <v/>
      </c>
      <c r="N928" s="59" t="str">
        <f t="shared" si="134"/>
        <v/>
      </c>
      <c r="O928" s="59" t="str">
        <f t="shared" si="133"/>
        <v/>
      </c>
    </row>
    <row r="929" spans="3:15" x14ac:dyDescent="0.25">
      <c r="C929" s="47"/>
      <c r="D929" s="48"/>
      <c r="E929" s="7" t="str">
        <f t="shared" si="126"/>
        <v/>
      </c>
      <c r="F929" s="8" t="str">
        <f t="shared" si="127"/>
        <v/>
      </c>
      <c r="G929" s="8" t="str">
        <f t="shared" si="128"/>
        <v/>
      </c>
      <c r="H929" s="37" t="str">
        <f t="shared" si="129"/>
        <v/>
      </c>
      <c r="I929" s="37" t="str">
        <f t="shared" si="130"/>
        <v/>
      </c>
      <c r="J929" s="8" t="str">
        <f t="shared" si="131"/>
        <v/>
      </c>
      <c r="K929" s="38" t="str">
        <f t="shared" si="132"/>
        <v/>
      </c>
      <c r="N929" s="59" t="str">
        <f t="shared" si="134"/>
        <v/>
      </c>
      <c r="O929" s="59" t="str">
        <f t="shared" si="133"/>
        <v/>
      </c>
    </row>
    <row r="930" spans="3:15" x14ac:dyDescent="0.25">
      <c r="C930" s="47"/>
      <c r="D930" s="48"/>
      <c r="E930" s="7" t="str">
        <f t="shared" si="126"/>
        <v/>
      </c>
      <c r="F930" s="8" t="str">
        <f t="shared" si="127"/>
        <v/>
      </c>
      <c r="G930" s="8" t="str">
        <f t="shared" si="128"/>
        <v/>
      </c>
      <c r="H930" s="37" t="str">
        <f t="shared" si="129"/>
        <v/>
      </c>
      <c r="I930" s="37" t="str">
        <f t="shared" si="130"/>
        <v/>
      </c>
      <c r="J930" s="8" t="str">
        <f t="shared" si="131"/>
        <v/>
      </c>
      <c r="K930" s="38" t="str">
        <f t="shared" si="132"/>
        <v/>
      </c>
      <c r="N930" s="59" t="str">
        <f t="shared" si="134"/>
        <v/>
      </c>
      <c r="O930" s="59" t="str">
        <f t="shared" si="133"/>
        <v/>
      </c>
    </row>
    <row r="931" spans="3:15" x14ac:dyDescent="0.25">
      <c r="C931" s="47"/>
      <c r="D931" s="48"/>
      <c r="E931" s="7" t="str">
        <f t="shared" si="126"/>
        <v/>
      </c>
      <c r="F931" s="8" t="str">
        <f t="shared" si="127"/>
        <v/>
      </c>
      <c r="G931" s="8" t="str">
        <f t="shared" si="128"/>
        <v/>
      </c>
      <c r="H931" s="37" t="str">
        <f t="shared" si="129"/>
        <v/>
      </c>
      <c r="I931" s="37" t="str">
        <f t="shared" si="130"/>
        <v/>
      </c>
      <c r="J931" s="8" t="str">
        <f t="shared" si="131"/>
        <v/>
      </c>
      <c r="K931" s="38" t="str">
        <f t="shared" si="132"/>
        <v/>
      </c>
      <c r="N931" s="59" t="str">
        <f t="shared" si="134"/>
        <v/>
      </c>
      <c r="O931" s="59" t="str">
        <f t="shared" si="133"/>
        <v/>
      </c>
    </row>
    <row r="932" spans="3:15" x14ac:dyDescent="0.25">
      <c r="C932" s="47"/>
      <c r="D932" s="48"/>
      <c r="E932" s="7" t="str">
        <f t="shared" si="126"/>
        <v/>
      </c>
      <c r="F932" s="8" t="str">
        <f t="shared" si="127"/>
        <v/>
      </c>
      <c r="G932" s="8" t="str">
        <f t="shared" si="128"/>
        <v/>
      </c>
      <c r="H932" s="37" t="str">
        <f t="shared" si="129"/>
        <v/>
      </c>
      <c r="I932" s="37" t="str">
        <f t="shared" si="130"/>
        <v/>
      </c>
      <c r="J932" s="8" t="str">
        <f t="shared" si="131"/>
        <v/>
      </c>
      <c r="K932" s="38" t="str">
        <f t="shared" si="132"/>
        <v/>
      </c>
      <c r="N932" s="59" t="str">
        <f t="shared" si="134"/>
        <v/>
      </c>
      <c r="O932" s="59" t="str">
        <f t="shared" si="133"/>
        <v/>
      </c>
    </row>
    <row r="933" spans="3:15" x14ac:dyDescent="0.25">
      <c r="C933" s="47"/>
      <c r="D933" s="48"/>
      <c r="E933" s="7" t="str">
        <f t="shared" si="126"/>
        <v/>
      </c>
      <c r="F933" s="8" t="str">
        <f t="shared" si="127"/>
        <v/>
      </c>
      <c r="G933" s="8" t="str">
        <f t="shared" si="128"/>
        <v/>
      </c>
      <c r="H933" s="37" t="str">
        <f t="shared" si="129"/>
        <v/>
      </c>
      <c r="I933" s="37" t="str">
        <f t="shared" si="130"/>
        <v/>
      </c>
      <c r="J933" s="8" t="str">
        <f t="shared" si="131"/>
        <v/>
      </c>
      <c r="K933" s="38" t="str">
        <f t="shared" si="132"/>
        <v/>
      </c>
      <c r="N933" s="59" t="str">
        <f t="shared" si="134"/>
        <v/>
      </c>
      <c r="O933" s="59" t="str">
        <f t="shared" si="133"/>
        <v/>
      </c>
    </row>
    <row r="934" spans="3:15" x14ac:dyDescent="0.25">
      <c r="C934" s="47"/>
      <c r="D934" s="48"/>
      <c r="E934" s="7" t="str">
        <f t="shared" si="126"/>
        <v/>
      </c>
      <c r="F934" s="8" t="str">
        <f t="shared" si="127"/>
        <v/>
      </c>
      <c r="G934" s="8" t="str">
        <f t="shared" si="128"/>
        <v/>
      </c>
      <c r="H934" s="37" t="str">
        <f t="shared" si="129"/>
        <v/>
      </c>
      <c r="I934" s="37" t="str">
        <f t="shared" si="130"/>
        <v/>
      </c>
      <c r="J934" s="8" t="str">
        <f t="shared" si="131"/>
        <v/>
      </c>
      <c r="K934" s="38" t="str">
        <f t="shared" si="132"/>
        <v/>
      </c>
      <c r="N934" s="59" t="str">
        <f t="shared" si="134"/>
        <v/>
      </c>
      <c r="O934" s="59" t="str">
        <f t="shared" si="133"/>
        <v/>
      </c>
    </row>
    <row r="935" spans="3:15" x14ac:dyDescent="0.25">
      <c r="C935" s="47"/>
      <c r="D935" s="48"/>
      <c r="E935" s="7" t="str">
        <f t="shared" si="126"/>
        <v/>
      </c>
      <c r="F935" s="8" t="str">
        <f t="shared" si="127"/>
        <v/>
      </c>
      <c r="G935" s="8" t="str">
        <f t="shared" si="128"/>
        <v/>
      </c>
      <c r="H935" s="37" t="str">
        <f t="shared" si="129"/>
        <v/>
      </c>
      <c r="I935" s="37" t="str">
        <f t="shared" si="130"/>
        <v/>
      </c>
      <c r="J935" s="8" t="str">
        <f t="shared" si="131"/>
        <v/>
      </c>
      <c r="K935" s="38" t="str">
        <f t="shared" si="132"/>
        <v/>
      </c>
      <c r="N935" s="59" t="str">
        <f t="shared" si="134"/>
        <v/>
      </c>
      <c r="O935" s="59" t="str">
        <f t="shared" si="133"/>
        <v/>
      </c>
    </row>
    <row r="936" spans="3:15" x14ac:dyDescent="0.25">
      <c r="C936" s="47"/>
      <c r="D936" s="48"/>
      <c r="E936" s="7" t="str">
        <f t="shared" si="126"/>
        <v/>
      </c>
      <c r="F936" s="8" t="str">
        <f t="shared" si="127"/>
        <v/>
      </c>
      <c r="G936" s="8" t="str">
        <f t="shared" si="128"/>
        <v/>
      </c>
      <c r="H936" s="37" t="str">
        <f t="shared" si="129"/>
        <v/>
      </c>
      <c r="I936" s="37" t="str">
        <f t="shared" si="130"/>
        <v/>
      </c>
      <c r="J936" s="8" t="str">
        <f t="shared" si="131"/>
        <v/>
      </c>
      <c r="K936" s="38" t="str">
        <f t="shared" si="132"/>
        <v/>
      </c>
      <c r="N936" s="59" t="str">
        <f t="shared" si="134"/>
        <v/>
      </c>
      <c r="O936" s="59" t="str">
        <f t="shared" si="133"/>
        <v/>
      </c>
    </row>
    <row r="937" spans="3:15" x14ac:dyDescent="0.25">
      <c r="C937" s="47"/>
      <c r="D937" s="48"/>
      <c r="E937" s="7" t="str">
        <f t="shared" si="126"/>
        <v/>
      </c>
      <c r="F937" s="8" t="str">
        <f t="shared" si="127"/>
        <v/>
      </c>
      <c r="G937" s="8" t="str">
        <f t="shared" si="128"/>
        <v/>
      </c>
      <c r="H937" s="37" t="str">
        <f t="shared" si="129"/>
        <v/>
      </c>
      <c r="I937" s="37" t="str">
        <f t="shared" si="130"/>
        <v/>
      </c>
      <c r="J937" s="8" t="str">
        <f t="shared" si="131"/>
        <v/>
      </c>
      <c r="K937" s="38" t="str">
        <f t="shared" si="132"/>
        <v/>
      </c>
      <c r="N937" s="59" t="str">
        <f t="shared" si="134"/>
        <v/>
      </c>
      <c r="O937" s="59" t="str">
        <f t="shared" si="133"/>
        <v/>
      </c>
    </row>
    <row r="938" spans="3:15" x14ac:dyDescent="0.25">
      <c r="C938" s="47"/>
      <c r="D938" s="48"/>
      <c r="E938" s="7" t="str">
        <f t="shared" si="126"/>
        <v/>
      </c>
      <c r="F938" s="8" t="str">
        <f t="shared" si="127"/>
        <v/>
      </c>
      <c r="G938" s="8" t="str">
        <f t="shared" si="128"/>
        <v/>
      </c>
      <c r="H938" s="37" t="str">
        <f t="shared" si="129"/>
        <v/>
      </c>
      <c r="I938" s="37" t="str">
        <f t="shared" si="130"/>
        <v/>
      </c>
      <c r="J938" s="8" t="str">
        <f t="shared" si="131"/>
        <v/>
      </c>
      <c r="K938" s="38" t="str">
        <f t="shared" si="132"/>
        <v/>
      </c>
      <c r="N938" s="59" t="str">
        <f t="shared" si="134"/>
        <v/>
      </c>
      <c r="O938" s="59" t="str">
        <f t="shared" si="133"/>
        <v/>
      </c>
    </row>
    <row r="939" spans="3:15" x14ac:dyDescent="0.25">
      <c r="C939" s="47"/>
      <c r="D939" s="48"/>
      <c r="E939" s="7" t="str">
        <f t="shared" si="126"/>
        <v/>
      </c>
      <c r="F939" s="8" t="str">
        <f t="shared" si="127"/>
        <v/>
      </c>
      <c r="G939" s="8" t="str">
        <f t="shared" si="128"/>
        <v/>
      </c>
      <c r="H939" s="37" t="str">
        <f t="shared" si="129"/>
        <v/>
      </c>
      <c r="I939" s="37" t="str">
        <f t="shared" si="130"/>
        <v/>
      </c>
      <c r="J939" s="8" t="str">
        <f t="shared" si="131"/>
        <v/>
      </c>
      <c r="K939" s="38" t="str">
        <f t="shared" si="132"/>
        <v/>
      </c>
      <c r="N939" s="59" t="str">
        <f t="shared" si="134"/>
        <v/>
      </c>
      <c r="O939" s="59" t="str">
        <f t="shared" si="133"/>
        <v/>
      </c>
    </row>
    <row r="940" spans="3:15" x14ac:dyDescent="0.25">
      <c r="C940" s="47"/>
      <c r="D940" s="48"/>
      <c r="E940" s="7" t="str">
        <f t="shared" si="126"/>
        <v/>
      </c>
      <c r="F940" s="8" t="str">
        <f t="shared" si="127"/>
        <v/>
      </c>
      <c r="G940" s="8" t="str">
        <f t="shared" si="128"/>
        <v/>
      </c>
      <c r="H940" s="37" t="str">
        <f t="shared" si="129"/>
        <v/>
      </c>
      <c r="I940" s="37" t="str">
        <f t="shared" si="130"/>
        <v/>
      </c>
      <c r="J940" s="8" t="str">
        <f t="shared" si="131"/>
        <v/>
      </c>
      <c r="K940" s="38" t="str">
        <f t="shared" si="132"/>
        <v/>
      </c>
      <c r="N940" s="59" t="str">
        <f t="shared" si="134"/>
        <v/>
      </c>
      <c r="O940" s="59" t="str">
        <f t="shared" si="133"/>
        <v/>
      </c>
    </row>
    <row r="941" spans="3:15" x14ac:dyDescent="0.25">
      <c r="C941" s="47"/>
      <c r="D941" s="48"/>
      <c r="E941" s="7" t="str">
        <f t="shared" si="126"/>
        <v/>
      </c>
      <c r="F941" s="8" t="str">
        <f t="shared" si="127"/>
        <v/>
      </c>
      <c r="G941" s="8" t="str">
        <f t="shared" si="128"/>
        <v/>
      </c>
      <c r="H941" s="37" t="str">
        <f t="shared" si="129"/>
        <v/>
      </c>
      <c r="I941" s="37" t="str">
        <f t="shared" si="130"/>
        <v/>
      </c>
      <c r="J941" s="8" t="str">
        <f t="shared" si="131"/>
        <v/>
      </c>
      <c r="K941" s="38" t="str">
        <f t="shared" si="132"/>
        <v/>
      </c>
      <c r="N941" s="59" t="str">
        <f t="shared" si="134"/>
        <v/>
      </c>
      <c r="O941" s="59" t="str">
        <f t="shared" si="133"/>
        <v/>
      </c>
    </row>
    <row r="942" spans="3:15" x14ac:dyDescent="0.25">
      <c r="C942" s="47"/>
      <c r="D942" s="48"/>
      <c r="E942" s="7" t="str">
        <f t="shared" si="126"/>
        <v/>
      </c>
      <c r="F942" s="8" t="str">
        <f t="shared" si="127"/>
        <v/>
      </c>
      <c r="G942" s="8" t="str">
        <f t="shared" si="128"/>
        <v/>
      </c>
      <c r="H942" s="37" t="str">
        <f t="shared" si="129"/>
        <v/>
      </c>
      <c r="I942" s="37" t="str">
        <f t="shared" si="130"/>
        <v/>
      </c>
      <c r="J942" s="8" t="str">
        <f t="shared" si="131"/>
        <v/>
      </c>
      <c r="K942" s="38" t="str">
        <f t="shared" si="132"/>
        <v/>
      </c>
      <c r="N942" s="59" t="str">
        <f t="shared" si="134"/>
        <v/>
      </c>
      <c r="O942" s="59" t="str">
        <f t="shared" si="133"/>
        <v/>
      </c>
    </row>
    <row r="943" spans="3:15" x14ac:dyDescent="0.25">
      <c r="C943" s="47"/>
      <c r="D943" s="48"/>
      <c r="E943" s="7" t="str">
        <f t="shared" si="126"/>
        <v/>
      </c>
      <c r="F943" s="8" t="str">
        <f t="shared" si="127"/>
        <v/>
      </c>
      <c r="G943" s="8" t="str">
        <f t="shared" si="128"/>
        <v/>
      </c>
      <c r="H943" s="37" t="str">
        <f t="shared" si="129"/>
        <v/>
      </c>
      <c r="I943" s="37" t="str">
        <f t="shared" si="130"/>
        <v/>
      </c>
      <c r="J943" s="8" t="str">
        <f t="shared" si="131"/>
        <v/>
      </c>
      <c r="K943" s="38" t="str">
        <f t="shared" si="132"/>
        <v/>
      </c>
      <c r="N943" s="59" t="str">
        <f t="shared" si="134"/>
        <v/>
      </c>
      <c r="O943" s="59" t="str">
        <f t="shared" si="133"/>
        <v/>
      </c>
    </row>
    <row r="944" spans="3:15" x14ac:dyDescent="0.25">
      <c r="C944" s="47"/>
      <c r="D944" s="48"/>
      <c r="E944" s="7" t="str">
        <f t="shared" si="126"/>
        <v/>
      </c>
      <c r="F944" s="8" t="str">
        <f t="shared" si="127"/>
        <v/>
      </c>
      <c r="G944" s="8" t="str">
        <f t="shared" si="128"/>
        <v/>
      </c>
      <c r="H944" s="37" t="str">
        <f t="shared" si="129"/>
        <v/>
      </c>
      <c r="I944" s="37" t="str">
        <f t="shared" si="130"/>
        <v/>
      </c>
      <c r="J944" s="8" t="str">
        <f t="shared" si="131"/>
        <v/>
      </c>
      <c r="K944" s="38" t="str">
        <f t="shared" si="132"/>
        <v/>
      </c>
      <c r="N944" s="59" t="str">
        <f t="shared" si="134"/>
        <v/>
      </c>
      <c r="O944" s="59" t="str">
        <f t="shared" si="133"/>
        <v/>
      </c>
    </row>
    <row r="945" spans="3:15" x14ac:dyDescent="0.25">
      <c r="C945" s="47"/>
      <c r="D945" s="48"/>
      <c r="E945" s="7" t="str">
        <f t="shared" si="126"/>
        <v/>
      </c>
      <c r="F945" s="8" t="str">
        <f t="shared" si="127"/>
        <v/>
      </c>
      <c r="G945" s="8" t="str">
        <f t="shared" si="128"/>
        <v/>
      </c>
      <c r="H945" s="37" t="str">
        <f t="shared" si="129"/>
        <v/>
      </c>
      <c r="I945" s="37" t="str">
        <f t="shared" si="130"/>
        <v/>
      </c>
      <c r="J945" s="8" t="str">
        <f t="shared" si="131"/>
        <v/>
      </c>
      <c r="K945" s="38" t="str">
        <f t="shared" si="132"/>
        <v/>
      </c>
      <c r="N945" s="59" t="str">
        <f t="shared" si="134"/>
        <v/>
      </c>
      <c r="O945" s="59" t="str">
        <f t="shared" si="133"/>
        <v/>
      </c>
    </row>
    <row r="946" spans="3:15" x14ac:dyDescent="0.25">
      <c r="C946" s="47"/>
      <c r="D946" s="48"/>
      <c r="E946" s="7" t="str">
        <f t="shared" si="126"/>
        <v/>
      </c>
      <c r="F946" s="8" t="str">
        <f t="shared" si="127"/>
        <v/>
      </c>
      <c r="G946" s="8" t="str">
        <f t="shared" si="128"/>
        <v/>
      </c>
      <c r="H946" s="37" t="str">
        <f t="shared" si="129"/>
        <v/>
      </c>
      <c r="I946" s="37" t="str">
        <f t="shared" si="130"/>
        <v/>
      </c>
      <c r="J946" s="8" t="str">
        <f t="shared" si="131"/>
        <v/>
      </c>
      <c r="K946" s="38" t="str">
        <f t="shared" si="132"/>
        <v/>
      </c>
      <c r="N946" s="59" t="str">
        <f t="shared" si="134"/>
        <v/>
      </c>
      <c r="O946" s="59" t="str">
        <f t="shared" si="133"/>
        <v/>
      </c>
    </row>
    <row r="947" spans="3:15" x14ac:dyDescent="0.25">
      <c r="C947" s="47"/>
      <c r="D947" s="48"/>
      <c r="E947" s="7" t="str">
        <f t="shared" si="126"/>
        <v/>
      </c>
      <c r="F947" s="8" t="str">
        <f t="shared" si="127"/>
        <v/>
      </c>
      <c r="G947" s="8" t="str">
        <f t="shared" si="128"/>
        <v/>
      </c>
      <c r="H947" s="37" t="str">
        <f t="shared" si="129"/>
        <v/>
      </c>
      <c r="I947" s="37" t="str">
        <f t="shared" si="130"/>
        <v/>
      </c>
      <c r="J947" s="8" t="str">
        <f t="shared" si="131"/>
        <v/>
      </c>
      <c r="K947" s="38" t="str">
        <f t="shared" si="132"/>
        <v/>
      </c>
      <c r="N947" s="59" t="str">
        <f t="shared" si="134"/>
        <v/>
      </c>
      <c r="O947" s="59" t="str">
        <f t="shared" si="133"/>
        <v/>
      </c>
    </row>
    <row r="948" spans="3:15" x14ac:dyDescent="0.25">
      <c r="C948" s="47"/>
      <c r="D948" s="48"/>
      <c r="E948" s="7" t="str">
        <f t="shared" si="126"/>
        <v/>
      </c>
      <c r="F948" s="8" t="str">
        <f t="shared" si="127"/>
        <v/>
      </c>
      <c r="G948" s="8" t="str">
        <f t="shared" si="128"/>
        <v/>
      </c>
      <c r="H948" s="37" t="str">
        <f t="shared" si="129"/>
        <v/>
      </c>
      <c r="I948" s="37" t="str">
        <f t="shared" si="130"/>
        <v/>
      </c>
      <c r="J948" s="8" t="str">
        <f t="shared" si="131"/>
        <v/>
      </c>
      <c r="K948" s="38" t="str">
        <f t="shared" si="132"/>
        <v/>
      </c>
      <c r="N948" s="59" t="str">
        <f t="shared" si="134"/>
        <v/>
      </c>
      <c r="O948" s="59" t="str">
        <f t="shared" si="133"/>
        <v/>
      </c>
    </row>
    <row r="949" spans="3:15" x14ac:dyDescent="0.25">
      <c r="C949" s="47"/>
      <c r="D949" s="48"/>
      <c r="E949" s="7" t="str">
        <f t="shared" si="126"/>
        <v/>
      </c>
      <c r="F949" s="8" t="str">
        <f t="shared" si="127"/>
        <v/>
      </c>
      <c r="G949" s="8" t="str">
        <f t="shared" si="128"/>
        <v/>
      </c>
      <c r="H949" s="37" t="str">
        <f t="shared" si="129"/>
        <v/>
      </c>
      <c r="I949" s="37" t="str">
        <f t="shared" si="130"/>
        <v/>
      </c>
      <c r="J949" s="8" t="str">
        <f t="shared" si="131"/>
        <v/>
      </c>
      <c r="K949" s="38" t="str">
        <f t="shared" si="132"/>
        <v/>
      </c>
      <c r="N949" s="59" t="str">
        <f t="shared" si="134"/>
        <v/>
      </c>
      <c r="O949" s="59" t="str">
        <f t="shared" si="133"/>
        <v/>
      </c>
    </row>
    <row r="950" spans="3:15" x14ac:dyDescent="0.25">
      <c r="C950" s="47"/>
      <c r="D950" s="48"/>
      <c r="E950" s="7" t="str">
        <f t="shared" si="126"/>
        <v/>
      </c>
      <c r="F950" s="8" t="str">
        <f t="shared" si="127"/>
        <v/>
      </c>
      <c r="G950" s="8" t="str">
        <f t="shared" si="128"/>
        <v/>
      </c>
      <c r="H950" s="37" t="str">
        <f t="shared" si="129"/>
        <v/>
      </c>
      <c r="I950" s="37" t="str">
        <f t="shared" si="130"/>
        <v/>
      </c>
      <c r="J950" s="8" t="str">
        <f t="shared" si="131"/>
        <v/>
      </c>
      <c r="K950" s="38" t="str">
        <f t="shared" si="132"/>
        <v/>
      </c>
      <c r="N950" s="59" t="str">
        <f t="shared" si="134"/>
        <v/>
      </c>
      <c r="O950" s="59" t="str">
        <f t="shared" si="133"/>
        <v/>
      </c>
    </row>
    <row r="951" spans="3:15" x14ac:dyDescent="0.25">
      <c r="C951" s="47"/>
      <c r="D951" s="48"/>
      <c r="E951" s="7" t="str">
        <f t="shared" si="126"/>
        <v/>
      </c>
      <c r="F951" s="8" t="str">
        <f t="shared" si="127"/>
        <v/>
      </c>
      <c r="G951" s="8" t="str">
        <f t="shared" si="128"/>
        <v/>
      </c>
      <c r="H951" s="37" t="str">
        <f t="shared" si="129"/>
        <v/>
      </c>
      <c r="I951" s="37" t="str">
        <f t="shared" si="130"/>
        <v/>
      </c>
      <c r="J951" s="8" t="str">
        <f t="shared" si="131"/>
        <v/>
      </c>
      <c r="K951" s="38" t="str">
        <f t="shared" si="132"/>
        <v/>
      </c>
      <c r="N951" s="59" t="str">
        <f t="shared" si="134"/>
        <v/>
      </c>
      <c r="O951" s="59" t="str">
        <f t="shared" si="133"/>
        <v/>
      </c>
    </row>
    <row r="952" spans="3:15" x14ac:dyDescent="0.25">
      <c r="C952" s="47"/>
      <c r="D952" s="48"/>
      <c r="E952" s="7" t="str">
        <f t="shared" si="126"/>
        <v/>
      </c>
      <c r="F952" s="8" t="str">
        <f t="shared" si="127"/>
        <v/>
      </c>
      <c r="G952" s="8" t="str">
        <f t="shared" si="128"/>
        <v/>
      </c>
      <c r="H952" s="37" t="str">
        <f t="shared" si="129"/>
        <v/>
      </c>
      <c r="I952" s="37" t="str">
        <f t="shared" si="130"/>
        <v/>
      </c>
      <c r="J952" s="8" t="str">
        <f t="shared" si="131"/>
        <v/>
      </c>
      <c r="K952" s="38" t="str">
        <f t="shared" si="132"/>
        <v/>
      </c>
      <c r="N952" s="59" t="str">
        <f t="shared" si="134"/>
        <v/>
      </c>
      <c r="O952" s="59" t="str">
        <f t="shared" si="133"/>
        <v/>
      </c>
    </row>
    <row r="953" spans="3:15" x14ac:dyDescent="0.25">
      <c r="C953" s="47"/>
      <c r="D953" s="48"/>
      <c r="E953" s="7" t="str">
        <f t="shared" si="126"/>
        <v/>
      </c>
      <c r="F953" s="8" t="str">
        <f t="shared" si="127"/>
        <v/>
      </c>
      <c r="G953" s="8" t="str">
        <f t="shared" si="128"/>
        <v/>
      </c>
      <c r="H953" s="37" t="str">
        <f t="shared" si="129"/>
        <v/>
      </c>
      <c r="I953" s="37" t="str">
        <f t="shared" si="130"/>
        <v/>
      </c>
      <c r="J953" s="8" t="str">
        <f t="shared" si="131"/>
        <v/>
      </c>
      <c r="K953" s="38" t="str">
        <f t="shared" si="132"/>
        <v/>
      </c>
      <c r="N953" s="59" t="str">
        <f t="shared" si="134"/>
        <v/>
      </c>
      <c r="O953" s="59" t="str">
        <f t="shared" si="133"/>
        <v/>
      </c>
    </row>
    <row r="954" spans="3:15" x14ac:dyDescent="0.25">
      <c r="C954" s="47"/>
      <c r="D954" s="48"/>
      <c r="E954" s="7" t="str">
        <f t="shared" si="126"/>
        <v/>
      </c>
      <c r="F954" s="8" t="str">
        <f t="shared" si="127"/>
        <v/>
      </c>
      <c r="G954" s="8" t="str">
        <f t="shared" si="128"/>
        <v/>
      </c>
      <c r="H954" s="37" t="str">
        <f t="shared" si="129"/>
        <v/>
      </c>
      <c r="I954" s="37" t="str">
        <f t="shared" si="130"/>
        <v/>
      </c>
      <c r="J954" s="8" t="str">
        <f t="shared" si="131"/>
        <v/>
      </c>
      <c r="K954" s="38" t="str">
        <f t="shared" si="132"/>
        <v/>
      </c>
      <c r="N954" s="59" t="str">
        <f t="shared" si="134"/>
        <v/>
      </c>
      <c r="O954" s="59" t="str">
        <f t="shared" si="133"/>
        <v/>
      </c>
    </row>
    <row r="955" spans="3:15" x14ac:dyDescent="0.25">
      <c r="C955" s="47"/>
      <c r="D955" s="48"/>
      <c r="E955" s="7" t="str">
        <f t="shared" si="126"/>
        <v/>
      </c>
      <c r="F955" s="8" t="str">
        <f t="shared" si="127"/>
        <v/>
      </c>
      <c r="G955" s="8" t="str">
        <f t="shared" si="128"/>
        <v/>
      </c>
      <c r="H955" s="37" t="str">
        <f t="shared" si="129"/>
        <v/>
      </c>
      <c r="I955" s="37" t="str">
        <f t="shared" si="130"/>
        <v/>
      </c>
      <c r="J955" s="8" t="str">
        <f t="shared" si="131"/>
        <v/>
      </c>
      <c r="K955" s="38" t="str">
        <f t="shared" si="132"/>
        <v/>
      </c>
      <c r="N955" s="59" t="str">
        <f t="shared" si="134"/>
        <v/>
      </c>
      <c r="O955" s="59" t="str">
        <f t="shared" si="133"/>
        <v/>
      </c>
    </row>
    <row r="956" spans="3:15" x14ac:dyDescent="0.25">
      <c r="C956" s="47"/>
      <c r="D956" s="48"/>
      <c r="E956" s="7" t="str">
        <f t="shared" si="126"/>
        <v/>
      </c>
      <c r="F956" s="8" t="str">
        <f t="shared" si="127"/>
        <v/>
      </c>
      <c r="G956" s="8" t="str">
        <f t="shared" si="128"/>
        <v/>
      </c>
      <c r="H956" s="37" t="str">
        <f t="shared" si="129"/>
        <v/>
      </c>
      <c r="I956" s="37" t="str">
        <f t="shared" si="130"/>
        <v/>
      </c>
      <c r="J956" s="8" t="str">
        <f t="shared" si="131"/>
        <v/>
      </c>
      <c r="K956" s="38" t="str">
        <f t="shared" si="132"/>
        <v/>
      </c>
      <c r="N956" s="59" t="str">
        <f t="shared" si="134"/>
        <v/>
      </c>
      <c r="O956" s="59" t="str">
        <f t="shared" si="133"/>
        <v/>
      </c>
    </row>
    <row r="957" spans="3:15" x14ac:dyDescent="0.25">
      <c r="C957" s="47"/>
      <c r="D957" s="48"/>
      <c r="E957" s="7" t="str">
        <f t="shared" si="126"/>
        <v/>
      </c>
      <c r="F957" s="8" t="str">
        <f t="shared" si="127"/>
        <v/>
      </c>
      <c r="G957" s="8" t="str">
        <f t="shared" si="128"/>
        <v/>
      </c>
      <c r="H957" s="37" t="str">
        <f t="shared" si="129"/>
        <v/>
      </c>
      <c r="I957" s="37" t="str">
        <f t="shared" si="130"/>
        <v/>
      </c>
      <c r="J957" s="8" t="str">
        <f t="shared" si="131"/>
        <v/>
      </c>
      <c r="K957" s="38" t="str">
        <f t="shared" si="132"/>
        <v/>
      </c>
      <c r="N957" s="59" t="str">
        <f t="shared" si="134"/>
        <v/>
      </c>
      <c r="O957" s="59" t="str">
        <f t="shared" si="133"/>
        <v/>
      </c>
    </row>
    <row r="958" spans="3:15" x14ac:dyDescent="0.25">
      <c r="C958" s="47"/>
      <c r="D958" s="48"/>
      <c r="E958" s="7" t="str">
        <f t="shared" si="126"/>
        <v/>
      </c>
      <c r="F958" s="8" t="str">
        <f t="shared" si="127"/>
        <v/>
      </c>
      <c r="G958" s="8" t="str">
        <f t="shared" si="128"/>
        <v/>
      </c>
      <c r="H958" s="37" t="str">
        <f t="shared" si="129"/>
        <v/>
      </c>
      <c r="I958" s="37" t="str">
        <f t="shared" si="130"/>
        <v/>
      </c>
      <c r="J958" s="8" t="str">
        <f t="shared" si="131"/>
        <v/>
      </c>
      <c r="K958" s="38" t="str">
        <f t="shared" si="132"/>
        <v/>
      </c>
      <c r="N958" s="59" t="str">
        <f t="shared" si="134"/>
        <v/>
      </c>
      <c r="O958" s="59" t="str">
        <f t="shared" si="133"/>
        <v/>
      </c>
    </row>
    <row r="959" spans="3:15" x14ac:dyDescent="0.25">
      <c r="C959" s="47"/>
      <c r="D959" s="48"/>
      <c r="E959" s="7" t="str">
        <f t="shared" si="126"/>
        <v/>
      </c>
      <c r="F959" s="8" t="str">
        <f t="shared" si="127"/>
        <v/>
      </c>
      <c r="G959" s="8" t="str">
        <f t="shared" si="128"/>
        <v/>
      </c>
      <c r="H959" s="37" t="str">
        <f t="shared" si="129"/>
        <v/>
      </c>
      <c r="I959" s="37" t="str">
        <f t="shared" si="130"/>
        <v/>
      </c>
      <c r="J959" s="8" t="str">
        <f t="shared" si="131"/>
        <v/>
      </c>
      <c r="K959" s="38" t="str">
        <f t="shared" si="132"/>
        <v/>
      </c>
      <c r="N959" s="59" t="str">
        <f t="shared" si="134"/>
        <v/>
      </c>
      <c r="O959" s="59" t="str">
        <f t="shared" si="133"/>
        <v/>
      </c>
    </row>
    <row r="960" spans="3:15" x14ac:dyDescent="0.25">
      <c r="C960" s="47"/>
      <c r="D960" s="48"/>
      <c r="E960" s="7" t="str">
        <f t="shared" si="126"/>
        <v/>
      </c>
      <c r="F960" s="8" t="str">
        <f t="shared" si="127"/>
        <v/>
      </c>
      <c r="G960" s="8" t="str">
        <f t="shared" si="128"/>
        <v/>
      </c>
      <c r="H960" s="37" t="str">
        <f t="shared" si="129"/>
        <v/>
      </c>
      <c r="I960" s="37" t="str">
        <f t="shared" si="130"/>
        <v/>
      </c>
      <c r="J960" s="8" t="str">
        <f t="shared" si="131"/>
        <v/>
      </c>
      <c r="K960" s="38" t="str">
        <f t="shared" si="132"/>
        <v/>
      </c>
      <c r="N960" s="59" t="str">
        <f t="shared" si="134"/>
        <v/>
      </c>
      <c r="O960" s="59" t="str">
        <f t="shared" si="133"/>
        <v/>
      </c>
    </row>
    <row r="961" spans="3:15" x14ac:dyDescent="0.25">
      <c r="C961" s="47"/>
      <c r="D961" s="48"/>
      <c r="E961" s="7" t="str">
        <f t="shared" si="126"/>
        <v/>
      </c>
      <c r="F961" s="8" t="str">
        <f t="shared" si="127"/>
        <v/>
      </c>
      <c r="G961" s="8" t="str">
        <f t="shared" si="128"/>
        <v/>
      </c>
      <c r="H961" s="37" t="str">
        <f t="shared" si="129"/>
        <v/>
      </c>
      <c r="I961" s="37" t="str">
        <f t="shared" si="130"/>
        <v/>
      </c>
      <c r="J961" s="8" t="str">
        <f t="shared" si="131"/>
        <v/>
      </c>
      <c r="K961" s="38" t="str">
        <f t="shared" si="132"/>
        <v/>
      </c>
      <c r="N961" s="59" t="str">
        <f t="shared" si="134"/>
        <v/>
      </c>
      <c r="O961" s="59" t="str">
        <f t="shared" si="133"/>
        <v/>
      </c>
    </row>
    <row r="962" spans="3:15" x14ac:dyDescent="0.25">
      <c r="C962" s="47"/>
      <c r="D962" s="48"/>
      <c r="E962" s="7" t="str">
        <f t="shared" si="126"/>
        <v/>
      </c>
      <c r="F962" s="8" t="str">
        <f t="shared" si="127"/>
        <v/>
      </c>
      <c r="G962" s="8" t="str">
        <f t="shared" si="128"/>
        <v/>
      </c>
      <c r="H962" s="37" t="str">
        <f t="shared" si="129"/>
        <v/>
      </c>
      <c r="I962" s="37" t="str">
        <f t="shared" si="130"/>
        <v/>
      </c>
      <c r="J962" s="8" t="str">
        <f t="shared" si="131"/>
        <v/>
      </c>
      <c r="K962" s="38" t="str">
        <f t="shared" si="132"/>
        <v/>
      </c>
      <c r="N962" s="59" t="str">
        <f t="shared" si="134"/>
        <v/>
      </c>
      <c r="O962" s="59" t="str">
        <f t="shared" si="133"/>
        <v/>
      </c>
    </row>
    <row r="963" spans="3:15" x14ac:dyDescent="0.25">
      <c r="C963" s="47"/>
      <c r="D963" s="48"/>
      <c r="E963" s="7" t="str">
        <f t="shared" si="126"/>
        <v/>
      </c>
      <c r="F963" s="8" t="str">
        <f t="shared" si="127"/>
        <v/>
      </c>
      <c r="G963" s="8" t="str">
        <f t="shared" si="128"/>
        <v/>
      </c>
      <c r="H963" s="37" t="str">
        <f t="shared" si="129"/>
        <v/>
      </c>
      <c r="I963" s="37" t="str">
        <f t="shared" si="130"/>
        <v/>
      </c>
      <c r="J963" s="8" t="str">
        <f t="shared" si="131"/>
        <v/>
      </c>
      <c r="K963" s="38" t="str">
        <f t="shared" si="132"/>
        <v/>
      </c>
      <c r="N963" s="59" t="str">
        <f t="shared" si="134"/>
        <v/>
      </c>
      <c r="O963" s="59" t="str">
        <f t="shared" si="133"/>
        <v/>
      </c>
    </row>
    <row r="964" spans="3:15" x14ac:dyDescent="0.25">
      <c r="C964" s="47"/>
      <c r="D964" s="48"/>
      <c r="E964" s="7" t="str">
        <f t="shared" si="126"/>
        <v/>
      </c>
      <c r="F964" s="8" t="str">
        <f t="shared" si="127"/>
        <v/>
      </c>
      <c r="G964" s="8" t="str">
        <f t="shared" si="128"/>
        <v/>
      </c>
      <c r="H964" s="37" t="str">
        <f t="shared" si="129"/>
        <v/>
      </c>
      <c r="I964" s="37" t="str">
        <f t="shared" si="130"/>
        <v/>
      </c>
      <c r="J964" s="8" t="str">
        <f t="shared" si="131"/>
        <v/>
      </c>
      <c r="K964" s="38" t="str">
        <f t="shared" si="132"/>
        <v/>
      </c>
      <c r="N964" s="59" t="str">
        <f t="shared" si="134"/>
        <v/>
      </c>
      <c r="O964" s="59" t="str">
        <f t="shared" si="133"/>
        <v/>
      </c>
    </row>
    <row r="965" spans="3:15" x14ac:dyDescent="0.25">
      <c r="C965" s="47"/>
      <c r="D965" s="48"/>
      <c r="E965" s="7" t="str">
        <f t="shared" si="126"/>
        <v/>
      </c>
      <c r="F965" s="8" t="str">
        <f t="shared" si="127"/>
        <v/>
      </c>
      <c r="G965" s="8" t="str">
        <f t="shared" si="128"/>
        <v/>
      </c>
      <c r="H965" s="37" t="str">
        <f t="shared" si="129"/>
        <v/>
      </c>
      <c r="I965" s="37" t="str">
        <f t="shared" si="130"/>
        <v/>
      </c>
      <c r="J965" s="8" t="str">
        <f t="shared" si="131"/>
        <v/>
      </c>
      <c r="K965" s="38" t="str">
        <f t="shared" si="132"/>
        <v/>
      </c>
      <c r="N965" s="59" t="str">
        <f t="shared" si="134"/>
        <v/>
      </c>
      <c r="O965" s="59" t="str">
        <f t="shared" si="133"/>
        <v/>
      </c>
    </row>
    <row r="966" spans="3:15" x14ac:dyDescent="0.25">
      <c r="C966" s="47"/>
      <c r="D966" s="48"/>
      <c r="E966" s="7" t="str">
        <f t="shared" si="126"/>
        <v/>
      </c>
      <c r="F966" s="8" t="str">
        <f t="shared" si="127"/>
        <v/>
      </c>
      <c r="G966" s="8" t="str">
        <f t="shared" si="128"/>
        <v/>
      </c>
      <c r="H966" s="37" t="str">
        <f t="shared" si="129"/>
        <v/>
      </c>
      <c r="I966" s="37" t="str">
        <f t="shared" si="130"/>
        <v/>
      </c>
      <c r="J966" s="8" t="str">
        <f t="shared" si="131"/>
        <v/>
      </c>
      <c r="K966" s="38" t="str">
        <f t="shared" si="132"/>
        <v/>
      </c>
      <c r="N966" s="59" t="str">
        <f t="shared" si="134"/>
        <v/>
      </c>
      <c r="O966" s="59" t="str">
        <f t="shared" si="133"/>
        <v/>
      </c>
    </row>
    <row r="967" spans="3:15" x14ac:dyDescent="0.25">
      <c r="C967" s="47"/>
      <c r="D967" s="48"/>
      <c r="E967" s="7" t="str">
        <f t="shared" si="126"/>
        <v/>
      </c>
      <c r="F967" s="8" t="str">
        <f t="shared" si="127"/>
        <v/>
      </c>
      <c r="G967" s="8" t="str">
        <f t="shared" si="128"/>
        <v/>
      </c>
      <c r="H967" s="37" t="str">
        <f t="shared" si="129"/>
        <v/>
      </c>
      <c r="I967" s="37" t="str">
        <f t="shared" si="130"/>
        <v/>
      </c>
      <c r="J967" s="8" t="str">
        <f t="shared" si="131"/>
        <v/>
      </c>
      <c r="K967" s="38" t="str">
        <f t="shared" si="132"/>
        <v/>
      </c>
      <c r="N967" s="59" t="str">
        <f t="shared" si="134"/>
        <v/>
      </c>
      <c r="O967" s="59" t="str">
        <f t="shared" si="133"/>
        <v/>
      </c>
    </row>
    <row r="968" spans="3:15" x14ac:dyDescent="0.25">
      <c r="C968" s="47"/>
      <c r="D968" s="48"/>
      <c r="E968" s="7" t="str">
        <f t="shared" si="126"/>
        <v/>
      </c>
      <c r="F968" s="8" t="str">
        <f t="shared" si="127"/>
        <v/>
      </c>
      <c r="G968" s="8" t="str">
        <f t="shared" si="128"/>
        <v/>
      </c>
      <c r="H968" s="37" t="str">
        <f t="shared" si="129"/>
        <v/>
      </c>
      <c r="I968" s="37" t="str">
        <f t="shared" si="130"/>
        <v/>
      </c>
      <c r="J968" s="8" t="str">
        <f t="shared" si="131"/>
        <v/>
      </c>
      <c r="K968" s="38" t="str">
        <f t="shared" si="132"/>
        <v/>
      </c>
      <c r="N968" s="59" t="str">
        <f t="shared" si="134"/>
        <v/>
      </c>
      <c r="O968" s="59" t="str">
        <f t="shared" si="133"/>
        <v/>
      </c>
    </row>
    <row r="969" spans="3:15" x14ac:dyDescent="0.25">
      <c r="C969" s="47"/>
      <c r="D969" s="48"/>
      <c r="E969" s="7" t="str">
        <f t="shared" si="126"/>
        <v/>
      </c>
      <c r="F969" s="8" t="str">
        <f t="shared" si="127"/>
        <v/>
      </c>
      <c r="G969" s="8" t="str">
        <f t="shared" si="128"/>
        <v/>
      </c>
      <c r="H969" s="37" t="str">
        <f t="shared" si="129"/>
        <v/>
      </c>
      <c r="I969" s="37" t="str">
        <f t="shared" si="130"/>
        <v/>
      </c>
      <c r="J969" s="8" t="str">
        <f t="shared" si="131"/>
        <v/>
      </c>
      <c r="K969" s="38" t="str">
        <f t="shared" si="132"/>
        <v/>
      </c>
      <c r="N969" s="59" t="str">
        <f t="shared" si="134"/>
        <v/>
      </c>
      <c r="O969" s="59" t="str">
        <f t="shared" si="133"/>
        <v/>
      </c>
    </row>
    <row r="970" spans="3:15" x14ac:dyDescent="0.25">
      <c r="C970" s="47"/>
      <c r="D970" s="48"/>
      <c r="E970" s="7" t="str">
        <f t="shared" si="126"/>
        <v/>
      </c>
      <c r="F970" s="8" t="str">
        <f t="shared" si="127"/>
        <v/>
      </c>
      <c r="G970" s="8" t="str">
        <f t="shared" si="128"/>
        <v/>
      </c>
      <c r="H970" s="37" t="str">
        <f t="shared" si="129"/>
        <v/>
      </c>
      <c r="I970" s="37" t="str">
        <f t="shared" si="130"/>
        <v/>
      </c>
      <c r="J970" s="8" t="str">
        <f t="shared" si="131"/>
        <v/>
      </c>
      <c r="K970" s="38" t="str">
        <f t="shared" si="132"/>
        <v/>
      </c>
      <c r="N970" s="59" t="str">
        <f t="shared" si="134"/>
        <v/>
      </c>
      <c r="O970" s="59" t="str">
        <f t="shared" si="133"/>
        <v/>
      </c>
    </row>
    <row r="971" spans="3:15" x14ac:dyDescent="0.25">
      <c r="C971" s="47"/>
      <c r="D971" s="48"/>
      <c r="E971" s="7" t="str">
        <f t="shared" si="126"/>
        <v/>
      </c>
      <c r="F971" s="8" t="str">
        <f t="shared" si="127"/>
        <v/>
      </c>
      <c r="G971" s="8" t="str">
        <f t="shared" si="128"/>
        <v/>
      </c>
      <c r="H971" s="37" t="str">
        <f t="shared" si="129"/>
        <v/>
      </c>
      <c r="I971" s="37" t="str">
        <f t="shared" si="130"/>
        <v/>
      </c>
      <c r="J971" s="8" t="str">
        <f t="shared" si="131"/>
        <v/>
      </c>
      <c r="K971" s="38" t="str">
        <f t="shared" si="132"/>
        <v/>
      </c>
      <c r="N971" s="59" t="str">
        <f t="shared" si="134"/>
        <v/>
      </c>
      <c r="O971" s="59" t="str">
        <f t="shared" si="133"/>
        <v/>
      </c>
    </row>
    <row r="972" spans="3:15" x14ac:dyDescent="0.25">
      <c r="C972" s="47"/>
      <c r="D972" s="48"/>
      <c r="E972" s="7" t="str">
        <f t="shared" si="126"/>
        <v/>
      </c>
      <c r="F972" s="8" t="str">
        <f t="shared" si="127"/>
        <v/>
      </c>
      <c r="G972" s="8" t="str">
        <f t="shared" si="128"/>
        <v/>
      </c>
      <c r="H972" s="37" t="str">
        <f t="shared" si="129"/>
        <v/>
      </c>
      <c r="I972" s="37" t="str">
        <f t="shared" si="130"/>
        <v/>
      </c>
      <c r="J972" s="8" t="str">
        <f t="shared" si="131"/>
        <v/>
      </c>
      <c r="K972" s="38" t="str">
        <f t="shared" si="132"/>
        <v/>
      </c>
      <c r="N972" s="59" t="str">
        <f t="shared" si="134"/>
        <v/>
      </c>
      <c r="O972" s="59" t="str">
        <f t="shared" si="133"/>
        <v/>
      </c>
    </row>
    <row r="973" spans="3:15" x14ac:dyDescent="0.25">
      <c r="C973" s="47"/>
      <c r="D973" s="48"/>
      <c r="E973" s="7" t="str">
        <f t="shared" si="126"/>
        <v/>
      </c>
      <c r="F973" s="8" t="str">
        <f t="shared" si="127"/>
        <v/>
      </c>
      <c r="G973" s="8" t="str">
        <f t="shared" si="128"/>
        <v/>
      </c>
      <c r="H973" s="37" t="str">
        <f t="shared" si="129"/>
        <v/>
      </c>
      <c r="I973" s="37" t="str">
        <f t="shared" si="130"/>
        <v/>
      </c>
      <c r="J973" s="8" t="str">
        <f t="shared" si="131"/>
        <v/>
      </c>
      <c r="K973" s="38" t="str">
        <f t="shared" si="132"/>
        <v/>
      </c>
      <c r="N973" s="59" t="str">
        <f t="shared" si="134"/>
        <v/>
      </c>
      <c r="O973" s="59" t="str">
        <f t="shared" si="133"/>
        <v/>
      </c>
    </row>
    <row r="974" spans="3:15" x14ac:dyDescent="0.25">
      <c r="C974" s="47"/>
      <c r="D974" s="48"/>
      <c r="E974" s="7" t="str">
        <f t="shared" si="126"/>
        <v/>
      </c>
      <c r="F974" s="8" t="str">
        <f t="shared" si="127"/>
        <v/>
      </c>
      <c r="G974" s="8" t="str">
        <f t="shared" si="128"/>
        <v/>
      </c>
      <c r="H974" s="37" t="str">
        <f t="shared" si="129"/>
        <v/>
      </c>
      <c r="I974" s="37" t="str">
        <f t="shared" si="130"/>
        <v/>
      </c>
      <c r="J974" s="8" t="str">
        <f t="shared" si="131"/>
        <v/>
      </c>
      <c r="K974" s="38" t="str">
        <f t="shared" si="132"/>
        <v/>
      </c>
      <c r="N974" s="59" t="str">
        <f t="shared" si="134"/>
        <v/>
      </c>
      <c r="O974" s="59" t="str">
        <f t="shared" si="133"/>
        <v/>
      </c>
    </row>
    <row r="975" spans="3:15" x14ac:dyDescent="0.25">
      <c r="C975" s="47"/>
      <c r="D975" s="48"/>
      <c r="E975" s="7" t="str">
        <f t="shared" si="126"/>
        <v/>
      </c>
      <c r="F975" s="8" t="str">
        <f t="shared" si="127"/>
        <v/>
      </c>
      <c r="G975" s="8" t="str">
        <f t="shared" si="128"/>
        <v/>
      </c>
      <c r="H975" s="37" t="str">
        <f t="shared" si="129"/>
        <v/>
      </c>
      <c r="I975" s="37" t="str">
        <f t="shared" si="130"/>
        <v/>
      </c>
      <c r="J975" s="8" t="str">
        <f t="shared" si="131"/>
        <v/>
      </c>
      <c r="K975" s="38" t="str">
        <f t="shared" si="132"/>
        <v/>
      </c>
      <c r="N975" s="59" t="str">
        <f t="shared" si="134"/>
        <v/>
      </c>
      <c r="O975" s="59" t="str">
        <f t="shared" si="133"/>
        <v/>
      </c>
    </row>
    <row r="976" spans="3:15" x14ac:dyDescent="0.25">
      <c r="C976" s="47"/>
      <c r="D976" s="48"/>
      <c r="E976" s="7" t="str">
        <f t="shared" si="126"/>
        <v/>
      </c>
      <c r="F976" s="8" t="str">
        <f t="shared" si="127"/>
        <v/>
      </c>
      <c r="G976" s="8" t="str">
        <f t="shared" si="128"/>
        <v/>
      </c>
      <c r="H976" s="37" t="str">
        <f t="shared" si="129"/>
        <v/>
      </c>
      <c r="I976" s="37" t="str">
        <f t="shared" si="130"/>
        <v/>
      </c>
      <c r="J976" s="8" t="str">
        <f t="shared" si="131"/>
        <v/>
      </c>
      <c r="K976" s="38" t="str">
        <f t="shared" si="132"/>
        <v/>
      </c>
      <c r="N976" s="59" t="str">
        <f t="shared" si="134"/>
        <v/>
      </c>
      <c r="O976" s="59" t="str">
        <f t="shared" si="133"/>
        <v/>
      </c>
    </row>
    <row r="977" spans="3:15" x14ac:dyDescent="0.25">
      <c r="C977" s="47"/>
      <c r="D977" s="48"/>
      <c r="E977" s="7" t="str">
        <f t="shared" si="126"/>
        <v/>
      </c>
      <c r="F977" s="8" t="str">
        <f t="shared" si="127"/>
        <v/>
      </c>
      <c r="G977" s="8" t="str">
        <f t="shared" si="128"/>
        <v/>
      </c>
      <c r="H977" s="37" t="str">
        <f t="shared" si="129"/>
        <v/>
      </c>
      <c r="I977" s="37" t="str">
        <f t="shared" si="130"/>
        <v/>
      </c>
      <c r="J977" s="8" t="str">
        <f t="shared" si="131"/>
        <v/>
      </c>
      <c r="K977" s="38" t="str">
        <f t="shared" si="132"/>
        <v/>
      </c>
      <c r="N977" s="59" t="str">
        <f t="shared" si="134"/>
        <v/>
      </c>
      <c r="O977" s="59" t="str">
        <f t="shared" si="133"/>
        <v/>
      </c>
    </row>
    <row r="978" spans="3:15" x14ac:dyDescent="0.25">
      <c r="C978" s="47"/>
      <c r="D978" s="48"/>
      <c r="E978" s="7" t="str">
        <f t="shared" si="126"/>
        <v/>
      </c>
      <c r="F978" s="8" t="str">
        <f t="shared" si="127"/>
        <v/>
      </c>
      <c r="G978" s="8" t="str">
        <f t="shared" si="128"/>
        <v/>
      </c>
      <c r="H978" s="37" t="str">
        <f t="shared" si="129"/>
        <v/>
      </c>
      <c r="I978" s="37" t="str">
        <f t="shared" si="130"/>
        <v/>
      </c>
      <c r="J978" s="8" t="str">
        <f t="shared" si="131"/>
        <v/>
      </c>
      <c r="K978" s="38" t="str">
        <f t="shared" si="132"/>
        <v/>
      </c>
      <c r="N978" s="59" t="str">
        <f t="shared" si="134"/>
        <v/>
      </c>
      <c r="O978" s="59" t="str">
        <f t="shared" si="133"/>
        <v/>
      </c>
    </row>
    <row r="979" spans="3:15" x14ac:dyDescent="0.25">
      <c r="C979" s="47"/>
      <c r="D979" s="48"/>
      <c r="E979" s="7" t="str">
        <f t="shared" ref="E979:E1000" si="135">IF(OR(DataRecebimento="",C979=""),"",IF(C979&lt;DataRecebimento,"ERRO!",C979+$F$9-$F$7))</f>
        <v/>
      </c>
      <c r="F979" s="8" t="str">
        <f t="shared" ref="F979:F1000" si="136">IF(OR(TaxaJuros="",C979=""),"",IF(C979&lt;DataRecebimento,"DATA",-D979*E979*($F$8/30)))</f>
        <v/>
      </c>
      <c r="G979" s="8" t="str">
        <f t="shared" ref="G979:G1000" si="137">IF(OR(TaxaJuros="",C979=""),"",IF(C979&lt;DataRecebimento,"NÃO",-$F$10))</f>
        <v/>
      </c>
      <c r="H979" s="37" t="str">
        <f t="shared" ref="H979:H1000" si="138">IF(OR(TaxaJuros="",C979=""),"",IF(C979&lt;DataRecebimento,"PODE",IF(ComSemIOF=FALSE,0,IF(E979&gt;365,-(D979+F979)*365*IOFDiario,-(D979+F979)*E979*IOFDiario))))</f>
        <v/>
      </c>
      <c r="I979" s="37" t="str">
        <f t="shared" ref="I979:I1000" si="139">IF(OR(TaxaJuros="",C979=""),"",IF(C979&lt;DataRecebimento,"SER",IF(ComSemIOF=FALSE,0,-(D979+F979)*IOFAdic)))</f>
        <v/>
      </c>
      <c r="J979" s="8" t="str">
        <f t="shared" ref="J979:J1000" si="140">IF(OR(TaxaJuros="",C979=""),"",IF(C979&lt;DataRecebimento,"INFERIOR!",D979+SUM(F979:I979)))</f>
        <v/>
      </c>
      <c r="K979" s="38" t="str">
        <f t="shared" ref="K979:K1000" si="141">IF(OR(TaxaJuros="",C979=""),"",IF(C979&lt;DataRecebimento,"ERRO!",100%-J979/D979))</f>
        <v/>
      </c>
      <c r="N979" s="59" t="str">
        <f t="shared" si="134"/>
        <v/>
      </c>
      <c r="O979" s="59" t="str">
        <f t="shared" ref="O979:O1042" si="142">IF(N979="","",PV(TMA_Dia,E979,,-N979))</f>
        <v/>
      </c>
    </row>
    <row r="980" spans="3:15" x14ac:dyDescent="0.25">
      <c r="C980" s="47"/>
      <c r="D980" s="48"/>
      <c r="E980" s="7" t="str">
        <f t="shared" si="135"/>
        <v/>
      </c>
      <c r="F980" s="8" t="str">
        <f t="shared" si="136"/>
        <v/>
      </c>
      <c r="G980" s="8" t="str">
        <f t="shared" si="137"/>
        <v/>
      </c>
      <c r="H980" s="37" t="str">
        <f t="shared" si="138"/>
        <v/>
      </c>
      <c r="I980" s="37" t="str">
        <f t="shared" si="139"/>
        <v/>
      </c>
      <c r="J980" s="8" t="str">
        <f t="shared" si="140"/>
        <v/>
      </c>
      <c r="K980" s="38" t="str">
        <f t="shared" si="141"/>
        <v/>
      </c>
      <c r="N980" s="59" t="str">
        <f t="shared" ref="N980:N1000" si="143">IF(C980="","",-D980)</f>
        <v/>
      </c>
      <c r="O980" s="59" t="str">
        <f t="shared" si="142"/>
        <v/>
      </c>
    </row>
    <row r="981" spans="3:15" x14ac:dyDescent="0.25">
      <c r="C981" s="47"/>
      <c r="D981" s="48"/>
      <c r="E981" s="7" t="str">
        <f t="shared" si="135"/>
        <v/>
      </c>
      <c r="F981" s="8" t="str">
        <f t="shared" si="136"/>
        <v/>
      </c>
      <c r="G981" s="8" t="str">
        <f t="shared" si="137"/>
        <v/>
      </c>
      <c r="H981" s="37" t="str">
        <f t="shared" si="138"/>
        <v/>
      </c>
      <c r="I981" s="37" t="str">
        <f t="shared" si="139"/>
        <v/>
      </c>
      <c r="J981" s="8" t="str">
        <f t="shared" si="140"/>
        <v/>
      </c>
      <c r="K981" s="38" t="str">
        <f t="shared" si="141"/>
        <v/>
      </c>
      <c r="N981" s="59" t="str">
        <f t="shared" si="143"/>
        <v/>
      </c>
      <c r="O981" s="59" t="str">
        <f t="shared" si="142"/>
        <v/>
      </c>
    </row>
    <row r="982" spans="3:15" x14ac:dyDescent="0.25">
      <c r="C982" s="47"/>
      <c r="D982" s="48"/>
      <c r="E982" s="7" t="str">
        <f t="shared" si="135"/>
        <v/>
      </c>
      <c r="F982" s="8" t="str">
        <f t="shared" si="136"/>
        <v/>
      </c>
      <c r="G982" s="8" t="str">
        <f t="shared" si="137"/>
        <v/>
      </c>
      <c r="H982" s="37" t="str">
        <f t="shared" si="138"/>
        <v/>
      </c>
      <c r="I982" s="37" t="str">
        <f t="shared" si="139"/>
        <v/>
      </c>
      <c r="J982" s="8" t="str">
        <f t="shared" si="140"/>
        <v/>
      </c>
      <c r="K982" s="38" t="str">
        <f t="shared" si="141"/>
        <v/>
      </c>
      <c r="N982" s="59" t="str">
        <f t="shared" si="143"/>
        <v/>
      </c>
      <c r="O982" s="59" t="str">
        <f t="shared" si="142"/>
        <v/>
      </c>
    </row>
    <row r="983" spans="3:15" x14ac:dyDescent="0.25">
      <c r="C983" s="47"/>
      <c r="D983" s="48"/>
      <c r="E983" s="7" t="str">
        <f t="shared" si="135"/>
        <v/>
      </c>
      <c r="F983" s="8" t="str">
        <f t="shared" si="136"/>
        <v/>
      </c>
      <c r="G983" s="8" t="str">
        <f t="shared" si="137"/>
        <v/>
      </c>
      <c r="H983" s="37" t="str">
        <f t="shared" si="138"/>
        <v/>
      </c>
      <c r="I983" s="37" t="str">
        <f t="shared" si="139"/>
        <v/>
      </c>
      <c r="J983" s="8" t="str">
        <f t="shared" si="140"/>
        <v/>
      </c>
      <c r="K983" s="38" t="str">
        <f t="shared" si="141"/>
        <v/>
      </c>
      <c r="N983" s="59" t="str">
        <f t="shared" si="143"/>
        <v/>
      </c>
      <c r="O983" s="59" t="str">
        <f t="shared" si="142"/>
        <v/>
      </c>
    </row>
    <row r="984" spans="3:15" x14ac:dyDescent="0.25">
      <c r="C984" s="47"/>
      <c r="D984" s="48"/>
      <c r="E984" s="7" t="str">
        <f t="shared" si="135"/>
        <v/>
      </c>
      <c r="F984" s="8" t="str">
        <f t="shared" si="136"/>
        <v/>
      </c>
      <c r="G984" s="8" t="str">
        <f t="shared" si="137"/>
        <v/>
      </c>
      <c r="H984" s="37" t="str">
        <f t="shared" si="138"/>
        <v/>
      </c>
      <c r="I984" s="37" t="str">
        <f t="shared" si="139"/>
        <v/>
      </c>
      <c r="J984" s="8" t="str">
        <f t="shared" si="140"/>
        <v/>
      </c>
      <c r="K984" s="38" t="str">
        <f t="shared" si="141"/>
        <v/>
      </c>
      <c r="N984" s="59" t="str">
        <f t="shared" si="143"/>
        <v/>
      </c>
      <c r="O984" s="59" t="str">
        <f t="shared" si="142"/>
        <v/>
      </c>
    </row>
    <row r="985" spans="3:15" x14ac:dyDescent="0.25">
      <c r="C985" s="47"/>
      <c r="D985" s="48"/>
      <c r="E985" s="7" t="str">
        <f t="shared" si="135"/>
        <v/>
      </c>
      <c r="F985" s="8" t="str">
        <f t="shared" si="136"/>
        <v/>
      </c>
      <c r="G985" s="8" t="str">
        <f t="shared" si="137"/>
        <v/>
      </c>
      <c r="H985" s="37" t="str">
        <f t="shared" si="138"/>
        <v/>
      </c>
      <c r="I985" s="37" t="str">
        <f t="shared" si="139"/>
        <v/>
      </c>
      <c r="J985" s="8" t="str">
        <f t="shared" si="140"/>
        <v/>
      </c>
      <c r="K985" s="38" t="str">
        <f t="shared" si="141"/>
        <v/>
      </c>
      <c r="N985" s="59" t="str">
        <f t="shared" si="143"/>
        <v/>
      </c>
      <c r="O985" s="59" t="str">
        <f t="shared" si="142"/>
        <v/>
      </c>
    </row>
    <row r="986" spans="3:15" x14ac:dyDescent="0.25">
      <c r="C986" s="47"/>
      <c r="D986" s="48"/>
      <c r="E986" s="7" t="str">
        <f t="shared" si="135"/>
        <v/>
      </c>
      <c r="F986" s="8" t="str">
        <f t="shared" si="136"/>
        <v/>
      </c>
      <c r="G986" s="8" t="str">
        <f t="shared" si="137"/>
        <v/>
      </c>
      <c r="H986" s="37" t="str">
        <f t="shared" si="138"/>
        <v/>
      </c>
      <c r="I986" s="37" t="str">
        <f t="shared" si="139"/>
        <v/>
      </c>
      <c r="J986" s="8" t="str">
        <f t="shared" si="140"/>
        <v/>
      </c>
      <c r="K986" s="38" t="str">
        <f t="shared" si="141"/>
        <v/>
      </c>
      <c r="N986" s="59" t="str">
        <f t="shared" si="143"/>
        <v/>
      </c>
      <c r="O986" s="59" t="str">
        <f t="shared" si="142"/>
        <v/>
      </c>
    </row>
    <row r="987" spans="3:15" x14ac:dyDescent="0.25">
      <c r="C987" s="47"/>
      <c r="D987" s="48"/>
      <c r="E987" s="7" t="str">
        <f t="shared" si="135"/>
        <v/>
      </c>
      <c r="F987" s="8" t="str">
        <f t="shared" si="136"/>
        <v/>
      </c>
      <c r="G987" s="8" t="str">
        <f t="shared" si="137"/>
        <v/>
      </c>
      <c r="H987" s="8" t="str">
        <f t="shared" si="138"/>
        <v/>
      </c>
      <c r="I987" s="8" t="str">
        <f t="shared" si="139"/>
        <v/>
      </c>
      <c r="J987" s="8" t="str">
        <f t="shared" si="140"/>
        <v/>
      </c>
      <c r="K987" s="31" t="str">
        <f t="shared" si="141"/>
        <v/>
      </c>
      <c r="N987" s="59" t="str">
        <f t="shared" si="143"/>
        <v/>
      </c>
      <c r="O987" s="59" t="str">
        <f t="shared" si="142"/>
        <v/>
      </c>
    </row>
    <row r="988" spans="3:15" x14ac:dyDescent="0.25">
      <c r="C988" s="47"/>
      <c r="D988" s="48"/>
      <c r="E988" s="7" t="str">
        <f t="shared" si="135"/>
        <v/>
      </c>
      <c r="F988" s="8" t="str">
        <f t="shared" si="136"/>
        <v/>
      </c>
      <c r="G988" s="8" t="str">
        <f t="shared" si="137"/>
        <v/>
      </c>
      <c r="H988" s="8" t="str">
        <f t="shared" si="138"/>
        <v/>
      </c>
      <c r="I988" s="8" t="str">
        <f t="shared" si="139"/>
        <v/>
      </c>
      <c r="J988" s="8" t="str">
        <f t="shared" si="140"/>
        <v/>
      </c>
      <c r="K988" s="31" t="str">
        <f t="shared" si="141"/>
        <v/>
      </c>
      <c r="N988" s="59" t="str">
        <f t="shared" si="143"/>
        <v/>
      </c>
      <c r="O988" s="59" t="str">
        <f t="shared" si="142"/>
        <v/>
      </c>
    </row>
    <row r="989" spans="3:15" x14ac:dyDescent="0.25">
      <c r="C989" s="47"/>
      <c r="D989" s="48"/>
      <c r="E989" s="7" t="str">
        <f t="shared" si="135"/>
        <v/>
      </c>
      <c r="F989" s="8" t="str">
        <f t="shared" si="136"/>
        <v/>
      </c>
      <c r="G989" s="8" t="str">
        <f t="shared" si="137"/>
        <v/>
      </c>
      <c r="H989" s="8" t="str">
        <f t="shared" si="138"/>
        <v/>
      </c>
      <c r="I989" s="8" t="str">
        <f t="shared" si="139"/>
        <v/>
      </c>
      <c r="J989" s="8" t="str">
        <f t="shared" si="140"/>
        <v/>
      </c>
      <c r="K989" s="31" t="str">
        <f t="shared" si="141"/>
        <v/>
      </c>
      <c r="N989" s="59" t="str">
        <f t="shared" si="143"/>
        <v/>
      </c>
      <c r="O989" s="59" t="str">
        <f t="shared" si="142"/>
        <v/>
      </c>
    </row>
    <row r="990" spans="3:15" x14ac:dyDescent="0.25">
      <c r="C990" s="47"/>
      <c r="D990" s="48"/>
      <c r="E990" s="7" t="str">
        <f t="shared" si="135"/>
        <v/>
      </c>
      <c r="F990" s="8" t="str">
        <f t="shared" si="136"/>
        <v/>
      </c>
      <c r="G990" s="8" t="str">
        <f t="shared" si="137"/>
        <v/>
      </c>
      <c r="H990" s="8" t="str">
        <f t="shared" si="138"/>
        <v/>
      </c>
      <c r="I990" s="8" t="str">
        <f t="shared" si="139"/>
        <v/>
      </c>
      <c r="J990" s="8" t="str">
        <f t="shared" si="140"/>
        <v/>
      </c>
      <c r="K990" s="31" t="str">
        <f t="shared" si="141"/>
        <v/>
      </c>
      <c r="N990" s="59" t="str">
        <f t="shared" si="143"/>
        <v/>
      </c>
      <c r="O990" s="59" t="str">
        <f t="shared" si="142"/>
        <v/>
      </c>
    </row>
    <row r="991" spans="3:15" x14ac:dyDescent="0.25">
      <c r="C991" s="47"/>
      <c r="D991" s="48"/>
      <c r="E991" s="7" t="str">
        <f t="shared" si="135"/>
        <v/>
      </c>
      <c r="F991" s="8" t="str">
        <f t="shared" si="136"/>
        <v/>
      </c>
      <c r="G991" s="8" t="str">
        <f t="shared" si="137"/>
        <v/>
      </c>
      <c r="H991" s="8" t="str">
        <f t="shared" si="138"/>
        <v/>
      </c>
      <c r="I991" s="8" t="str">
        <f t="shared" si="139"/>
        <v/>
      </c>
      <c r="J991" s="8" t="str">
        <f t="shared" si="140"/>
        <v/>
      </c>
      <c r="K991" s="31" t="str">
        <f t="shared" si="141"/>
        <v/>
      </c>
      <c r="N991" s="59" t="str">
        <f t="shared" si="143"/>
        <v/>
      </c>
      <c r="O991" s="59" t="str">
        <f t="shared" si="142"/>
        <v/>
      </c>
    </row>
    <row r="992" spans="3:15" x14ac:dyDescent="0.25">
      <c r="C992" s="47"/>
      <c r="D992" s="48"/>
      <c r="E992" s="7" t="str">
        <f t="shared" si="135"/>
        <v/>
      </c>
      <c r="F992" s="8" t="str">
        <f t="shared" si="136"/>
        <v/>
      </c>
      <c r="G992" s="8" t="str">
        <f t="shared" si="137"/>
        <v/>
      </c>
      <c r="H992" s="8" t="str">
        <f t="shared" si="138"/>
        <v/>
      </c>
      <c r="I992" s="8" t="str">
        <f t="shared" si="139"/>
        <v/>
      </c>
      <c r="J992" s="8" t="str">
        <f t="shared" si="140"/>
        <v/>
      </c>
      <c r="K992" s="31" t="str">
        <f t="shared" si="141"/>
        <v/>
      </c>
      <c r="N992" s="59" t="str">
        <f t="shared" si="143"/>
        <v/>
      </c>
      <c r="O992" s="59" t="str">
        <f t="shared" si="142"/>
        <v/>
      </c>
    </row>
    <row r="993" spans="3:15" x14ac:dyDescent="0.25">
      <c r="C993" s="47"/>
      <c r="D993" s="48"/>
      <c r="E993" s="7" t="str">
        <f t="shared" si="135"/>
        <v/>
      </c>
      <c r="F993" s="8" t="str">
        <f t="shared" si="136"/>
        <v/>
      </c>
      <c r="G993" s="8" t="str">
        <f t="shared" si="137"/>
        <v/>
      </c>
      <c r="H993" s="8" t="str">
        <f t="shared" si="138"/>
        <v/>
      </c>
      <c r="I993" s="8" t="str">
        <f t="shared" si="139"/>
        <v/>
      </c>
      <c r="J993" s="8" t="str">
        <f t="shared" si="140"/>
        <v/>
      </c>
      <c r="K993" s="31" t="str">
        <f t="shared" si="141"/>
        <v/>
      </c>
      <c r="N993" s="59" t="str">
        <f t="shared" si="143"/>
        <v/>
      </c>
      <c r="O993" s="59" t="str">
        <f t="shared" si="142"/>
        <v/>
      </c>
    </row>
    <row r="994" spans="3:15" x14ac:dyDescent="0.25">
      <c r="C994" s="47"/>
      <c r="D994" s="48"/>
      <c r="E994" s="7" t="str">
        <f t="shared" si="135"/>
        <v/>
      </c>
      <c r="F994" s="8" t="str">
        <f t="shared" si="136"/>
        <v/>
      </c>
      <c r="G994" s="8" t="str">
        <f t="shared" si="137"/>
        <v/>
      </c>
      <c r="H994" s="8" t="str">
        <f t="shared" si="138"/>
        <v/>
      </c>
      <c r="I994" s="8" t="str">
        <f t="shared" si="139"/>
        <v/>
      </c>
      <c r="J994" s="8" t="str">
        <f t="shared" si="140"/>
        <v/>
      </c>
      <c r="K994" s="31" t="str">
        <f t="shared" si="141"/>
        <v/>
      </c>
      <c r="N994" s="59" t="str">
        <f t="shared" si="143"/>
        <v/>
      </c>
      <c r="O994" s="59" t="str">
        <f t="shared" si="142"/>
        <v/>
      </c>
    </row>
    <row r="995" spans="3:15" x14ac:dyDescent="0.25">
      <c r="C995" s="47"/>
      <c r="D995" s="48"/>
      <c r="E995" s="7" t="str">
        <f t="shared" si="135"/>
        <v/>
      </c>
      <c r="F995" s="8" t="str">
        <f t="shared" si="136"/>
        <v/>
      </c>
      <c r="G995" s="8" t="str">
        <f t="shared" si="137"/>
        <v/>
      </c>
      <c r="H995" s="8" t="str">
        <f t="shared" si="138"/>
        <v/>
      </c>
      <c r="I995" s="8" t="str">
        <f t="shared" si="139"/>
        <v/>
      </c>
      <c r="J995" s="8" t="str">
        <f t="shared" si="140"/>
        <v/>
      </c>
      <c r="K995" s="31" t="str">
        <f t="shared" si="141"/>
        <v/>
      </c>
      <c r="N995" s="59" t="str">
        <f t="shared" si="143"/>
        <v/>
      </c>
      <c r="O995" s="59" t="str">
        <f t="shared" si="142"/>
        <v/>
      </c>
    </row>
    <row r="996" spans="3:15" x14ac:dyDescent="0.25">
      <c r="C996" s="47"/>
      <c r="D996" s="48"/>
      <c r="E996" s="7" t="str">
        <f t="shared" si="135"/>
        <v/>
      </c>
      <c r="F996" s="8" t="str">
        <f t="shared" si="136"/>
        <v/>
      </c>
      <c r="G996" s="8" t="str">
        <f t="shared" si="137"/>
        <v/>
      </c>
      <c r="H996" s="8" t="str">
        <f t="shared" si="138"/>
        <v/>
      </c>
      <c r="I996" s="8" t="str">
        <f t="shared" si="139"/>
        <v/>
      </c>
      <c r="J996" s="8" t="str">
        <f t="shared" si="140"/>
        <v/>
      </c>
      <c r="K996" s="31" t="str">
        <f t="shared" si="141"/>
        <v/>
      </c>
      <c r="N996" s="59" t="str">
        <f t="shared" si="143"/>
        <v/>
      </c>
      <c r="O996" s="59" t="str">
        <f t="shared" si="142"/>
        <v/>
      </c>
    </row>
    <row r="997" spans="3:15" x14ac:dyDescent="0.25">
      <c r="E997" s="7" t="str">
        <f t="shared" si="135"/>
        <v/>
      </c>
      <c r="F997" s="8" t="str">
        <f t="shared" si="136"/>
        <v/>
      </c>
      <c r="G997" s="8" t="str">
        <f t="shared" si="137"/>
        <v/>
      </c>
      <c r="H997" s="8" t="str">
        <f t="shared" si="138"/>
        <v/>
      </c>
      <c r="I997" s="8" t="str">
        <f t="shared" si="139"/>
        <v/>
      </c>
      <c r="J997" s="8" t="str">
        <f t="shared" si="140"/>
        <v/>
      </c>
      <c r="K997" s="31" t="str">
        <f t="shared" si="141"/>
        <v/>
      </c>
      <c r="N997" s="59" t="str">
        <f t="shared" si="143"/>
        <v/>
      </c>
      <c r="O997" s="59" t="str">
        <f t="shared" si="142"/>
        <v/>
      </c>
    </row>
    <row r="998" spans="3:15" x14ac:dyDescent="0.25">
      <c r="E998" s="7" t="str">
        <f t="shared" si="135"/>
        <v/>
      </c>
      <c r="F998" s="8" t="str">
        <f t="shared" si="136"/>
        <v/>
      </c>
      <c r="G998" s="8" t="str">
        <f t="shared" si="137"/>
        <v/>
      </c>
      <c r="H998" s="8" t="str">
        <f t="shared" si="138"/>
        <v/>
      </c>
      <c r="I998" s="8" t="str">
        <f t="shared" si="139"/>
        <v/>
      </c>
      <c r="J998" s="8" t="str">
        <f t="shared" si="140"/>
        <v/>
      </c>
      <c r="K998" s="31" t="str">
        <f t="shared" si="141"/>
        <v/>
      </c>
      <c r="N998" s="59" t="str">
        <f t="shared" si="143"/>
        <v/>
      </c>
      <c r="O998" s="59" t="str">
        <f t="shared" si="142"/>
        <v/>
      </c>
    </row>
    <row r="999" spans="3:15" x14ac:dyDescent="0.25">
      <c r="E999" s="7" t="str">
        <f t="shared" si="135"/>
        <v/>
      </c>
      <c r="F999" s="8" t="str">
        <f t="shared" si="136"/>
        <v/>
      </c>
      <c r="G999" s="8" t="str">
        <f t="shared" si="137"/>
        <v/>
      </c>
      <c r="H999" s="8" t="str">
        <f t="shared" si="138"/>
        <v/>
      </c>
      <c r="I999" s="8" t="str">
        <f t="shared" si="139"/>
        <v/>
      </c>
      <c r="J999" s="8" t="str">
        <f t="shared" si="140"/>
        <v/>
      </c>
      <c r="K999" s="31" t="str">
        <f t="shared" si="141"/>
        <v/>
      </c>
      <c r="N999" s="59" t="str">
        <f t="shared" si="143"/>
        <v/>
      </c>
      <c r="O999" s="59" t="str">
        <f t="shared" si="142"/>
        <v/>
      </c>
    </row>
    <row r="1000" spans="3:15" x14ac:dyDescent="0.25">
      <c r="E1000" s="7" t="str">
        <f t="shared" si="135"/>
        <v/>
      </c>
      <c r="F1000" s="8" t="str">
        <f t="shared" si="136"/>
        <v/>
      </c>
      <c r="G1000" s="8" t="str">
        <f t="shared" si="137"/>
        <v/>
      </c>
      <c r="H1000" s="8" t="str">
        <f t="shared" si="138"/>
        <v/>
      </c>
      <c r="I1000" s="8" t="str">
        <f t="shared" si="139"/>
        <v/>
      </c>
      <c r="J1000" s="8" t="str">
        <f t="shared" si="140"/>
        <v/>
      </c>
      <c r="K1000" s="31" t="str">
        <f t="shared" si="141"/>
        <v/>
      </c>
      <c r="N1000" s="59" t="str">
        <f t="shared" si="143"/>
        <v/>
      </c>
      <c r="O1000" s="59" t="str">
        <f t="shared" si="142"/>
        <v/>
      </c>
    </row>
  </sheetData>
  <sheetProtection algorithmName="SHA-512" hashValue="00GfMQjkZsjxxKUBF6+OioVD5FAqc23N8iMJ6sIpTS4+EKZBKOteb+pD7CxTfzI8V2ltgBoPYxwTjthGePUNIg==" saltValue="eb1CxlaPiGHBdG1qivbCEw==" spinCount="100000" sheet="1" objects="1" scenarios="1" selectLockedCells="1"/>
  <mergeCells count="27">
    <mergeCell ref="C16:E16"/>
    <mergeCell ref="C15:E15"/>
    <mergeCell ref="H15:I15"/>
    <mergeCell ref="C14:E14"/>
    <mergeCell ref="C9:E9"/>
    <mergeCell ref="C11:E11"/>
    <mergeCell ref="L7:L9"/>
    <mergeCell ref="H6:K6"/>
    <mergeCell ref="G6:G10"/>
    <mergeCell ref="H14:I14"/>
    <mergeCell ref="C12:D13"/>
    <mergeCell ref="N15:O15"/>
    <mergeCell ref="N8:N9"/>
    <mergeCell ref="C4:K4"/>
    <mergeCell ref="L4:L5"/>
    <mergeCell ref="C6:F6"/>
    <mergeCell ref="H13:I13"/>
    <mergeCell ref="H12:I12"/>
    <mergeCell ref="H11:I11"/>
    <mergeCell ref="H10:I10"/>
    <mergeCell ref="H9:I9"/>
    <mergeCell ref="C10:E10"/>
    <mergeCell ref="C8:E8"/>
    <mergeCell ref="C7:E7"/>
    <mergeCell ref="H8:I8"/>
    <mergeCell ref="H7:I7"/>
    <mergeCell ref="L11:L13"/>
  </mergeCells>
  <conditionalFormatting sqref="C15:F16">
    <cfRule type="expression" dxfId="7" priority="188">
      <formula>IF(OR($F$7="",$F$8="",$J$7=0),FALSE,TRUE)</formula>
    </cfRule>
  </conditionalFormatting>
  <conditionalFormatting sqref="K14">
    <cfRule type="expression" dxfId="6" priority="253">
      <formula>IF(AND($J$14&lt;&gt;"",$J$14&lt;&gt;0,$J$13&lt;&gt;0),TRUE,FALSE)</formula>
    </cfRule>
  </conditionalFormatting>
  <conditionalFormatting sqref="E18:K18">
    <cfRule type="expression" dxfId="5" priority="341">
      <formula>#REF!&lt;&gt;""</formula>
    </cfRule>
  </conditionalFormatting>
  <conditionalFormatting sqref="G16">
    <cfRule type="expression" dxfId="4" priority="37">
      <formula>IF(OR($F$7="",$F$8="",$J$7=0),FALSE,TRUE)</formula>
    </cfRule>
  </conditionalFormatting>
  <conditionalFormatting sqref="C19:K1000">
    <cfRule type="expression" dxfId="3" priority="4">
      <formula>$C18&lt;&gt;""</formula>
    </cfRule>
  </conditionalFormatting>
  <conditionalFormatting sqref="C19:D1000">
    <cfRule type="expression" dxfId="2" priority="3">
      <formula>$C18&lt;&gt;""</formula>
    </cfRule>
  </conditionalFormatting>
  <conditionalFormatting sqref="N19:N1000">
    <cfRule type="expression" dxfId="1" priority="2">
      <formula>$C19&lt;&gt;""</formula>
    </cfRule>
  </conditionalFormatting>
  <conditionalFormatting sqref="O19:O1000">
    <cfRule type="expression" dxfId="0" priority="1">
      <formula>$C19&lt;&gt;""</formula>
    </cfRule>
  </conditionalFormatting>
  <dataValidations count="9">
    <dataValidation type="decimal" allowBlank="1" showInputMessage="1" showErrorMessage="1" errorTitle="ERRO DE PREENCHIMENTO!" error="O dado inserido não corresponde a um percentual válido." sqref="F8" xr:uid="{00000000-0002-0000-0100-000000000000}">
      <formula1>0</formula1>
      <formula2>1</formula2>
    </dataValidation>
    <dataValidation type="decimal" allowBlank="1" showInputMessage="1" showErrorMessage="1" errorTitle="PREENCHIMENTO INCORRETO!" error="o dado inserido não corresponde a um valor válido." sqref="F10" xr:uid="{00000000-0002-0000-0100-000001000000}">
      <formula1>0</formula1>
      <formula2>1000</formula2>
    </dataValidation>
    <dataValidation type="decimal" allowBlank="1" showInputMessage="1" showErrorMessage="1" errorTitle="PREENCHIMENTO INCORRETO!" error="O dado inserido não corresponde a um valor válido. " sqref="J14" xr:uid="{00000000-0002-0000-0100-000004000000}">
      <formula1>0</formula1>
      <formula2>99999999999</formula2>
    </dataValidation>
    <dataValidation type="date" allowBlank="1" showInputMessage="1" showErrorMessage="1" errorTitle="PREENCHIMENTO INCORRETO!" error="O dado inserido não é uma data!" sqref="F7" xr:uid="{00000000-0002-0000-0100-000005000000}">
      <formula1>40179</formula1>
      <formula2>46022</formula2>
    </dataValidation>
    <dataValidation type="date" allowBlank="1" showInputMessage="1" showErrorMessage="1" errorTitle="ERRO DE DIGITAÇÃO!" error="Preencha o campo com uma data válida." sqref="C189:C986" xr:uid="{00000000-0002-0000-0100-000006000000}">
      <formula1>40179</formula1>
      <formula2>46022</formula2>
    </dataValidation>
    <dataValidation type="decimal" allowBlank="1" showInputMessage="1" showErrorMessage="1" errorTitle="PREENCHIMENTO INCORRETO!" error="Digite um valor válido e positivo." sqref="F11" xr:uid="{00000000-0002-0000-0100-000002000000}">
      <formula1>0</formula1>
      <formula2>999999999</formula2>
    </dataValidation>
    <dataValidation type="whole" allowBlank="1" showInputMessage="1" showErrorMessage="1" errorTitle="PREENCHIMENTO INCORRETO!" error="o dado inserido não corresponde a um número inteiro." sqref="F9" xr:uid="{8530A903-C618-4259-B60E-193310386D5D}">
      <formula1>0</formula1>
      <formula2>10</formula2>
    </dataValidation>
    <dataValidation type="decimal" allowBlank="1" showInputMessage="1" showErrorMessage="1" errorTitle="PREENCHIMENTO INCORRETO!" error="O dado digitado não corresponde a um valor válido." sqref="D19:D188" xr:uid="{00000000-0002-0000-0100-000003000000}">
      <formula1>0.01</formula1>
      <formula2>9999999999</formula2>
    </dataValidation>
    <dataValidation type="date" allowBlank="1" showInputMessage="1" showErrorMessage="1" errorTitle="ERRO DE DIGITAÇÃO!" error="O valor digitado não corresponde a uma data válida." sqref="C19:C188" xr:uid="{00000000-0002-0000-0100-000007000000}">
      <formula1>42005</formula1>
      <formula2>46022</formula2>
    </dataValidation>
  </dataValidations>
  <pageMargins left="0.51181102362204722" right="0.51181102362204722" top="0.78740157480314965" bottom="0.78740157480314965" header="0.31496062992125984" footer="0.31496062992125984"/>
  <pageSetup paperSize="9" scale="85" fitToHeight="7" orientation="portrait" r:id="rId1"/>
  <headerFooter>
    <oddFooter>&amp;L&amp;8&amp;Z&amp;F&amp;R&amp;D / &amp;T</oddFooter>
  </headerFooter>
  <drawing r:id="rId2"/>
  <legacyDrawing r:id="rId3"/>
  <controls>
    <mc:AlternateContent xmlns:mc="http://schemas.openxmlformats.org/markup-compatibility/2006">
      <mc:Choice Requires="x14">
        <control shapeId="1044" r:id="rId4" name="ChBoxIOF">
          <controlPr defaultSize="0" autoLine="0" linkedCell="A12" r:id="rId5">
            <anchor moveWithCells="1">
              <from>
                <xdr:col>2</xdr:col>
                <xdr:colOff>76200</xdr:colOff>
                <xdr:row>11</xdr:row>
                <xdr:rowOff>66675</xdr:rowOff>
              </from>
              <to>
                <xdr:col>2</xdr:col>
                <xdr:colOff>781050</xdr:colOff>
                <xdr:row>12</xdr:row>
                <xdr:rowOff>200025</xdr:rowOff>
              </to>
            </anchor>
          </controlPr>
        </control>
      </mc:Choice>
      <mc:Fallback>
        <control shapeId="1044" r:id="rId4" name="ChBoxIOF"/>
      </mc:Fallback>
    </mc:AlternateContent>
    <mc:AlternateContent xmlns:mc="http://schemas.openxmlformats.org/markup-compatibility/2006">
      <mc:Choice Requires="x14">
        <control shapeId="1049" r:id="rId6" name="OptPF">
          <controlPr defaultSize="0" autoLine="0" linkedCell="A13" r:id="rId7">
            <anchor moveWithCells="1">
              <from>
                <xdr:col>3</xdr:col>
                <xdr:colOff>57150</xdr:colOff>
                <xdr:row>11</xdr:row>
                <xdr:rowOff>66675</xdr:rowOff>
              </from>
              <to>
                <xdr:col>3</xdr:col>
                <xdr:colOff>409575</xdr:colOff>
                <xdr:row>12</xdr:row>
                <xdr:rowOff>209550</xdr:rowOff>
              </to>
            </anchor>
          </controlPr>
        </control>
      </mc:Choice>
      <mc:Fallback>
        <control shapeId="1049" r:id="rId6" name="OptPF"/>
      </mc:Fallback>
    </mc:AlternateContent>
    <mc:AlternateContent xmlns:mc="http://schemas.openxmlformats.org/markup-compatibility/2006">
      <mc:Choice Requires="x14">
        <control shapeId="1050" r:id="rId8" name="OptPJ">
          <controlPr defaultSize="0" autoLine="0" r:id="rId9">
            <anchor moveWithCells="1">
              <from>
                <xdr:col>3</xdr:col>
                <xdr:colOff>428625</xdr:colOff>
                <xdr:row>11</xdr:row>
                <xdr:rowOff>66675</xdr:rowOff>
              </from>
              <to>
                <xdr:col>3</xdr:col>
                <xdr:colOff>809625</xdr:colOff>
                <xdr:row>12</xdr:row>
                <xdr:rowOff>209550</xdr:rowOff>
              </to>
            </anchor>
          </controlPr>
        </control>
      </mc:Choice>
      <mc:Fallback>
        <control shapeId="1050" r:id="rId8" name="OptPJ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17</vt:i4>
      </vt:variant>
    </vt:vector>
  </HeadingPairs>
  <TitlesOfParts>
    <vt:vector size="19" baseType="lpstr">
      <vt:lpstr>Tutorial</vt:lpstr>
      <vt:lpstr>CÁLCULO</vt:lpstr>
      <vt:lpstr>CÁLCULO!Area_de_impressao</vt:lpstr>
      <vt:lpstr>ComSemIOF</vt:lpstr>
      <vt:lpstr>CustoEfetivoMes</vt:lpstr>
      <vt:lpstr>CustoEfetivoPeriodo</vt:lpstr>
      <vt:lpstr>DataRecebimento</vt:lpstr>
      <vt:lpstr>Dmais</vt:lpstr>
      <vt:lpstr>InicioTitulos</vt:lpstr>
      <vt:lpstr>IOFAdic</vt:lpstr>
      <vt:lpstr>IOFDiario</vt:lpstr>
      <vt:lpstr>OutrasDesp</vt:lpstr>
      <vt:lpstr>PrazoMedio</vt:lpstr>
      <vt:lpstr>TaxaAdm</vt:lpstr>
      <vt:lpstr>TaxaJuros</vt:lpstr>
      <vt:lpstr>TMA</vt:lpstr>
      <vt:lpstr>TMA_Dia</vt:lpstr>
      <vt:lpstr>ValorAntecipacao</vt:lpstr>
      <vt:lpstr>ValorAntecipado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Regis Marinho</dc:creator>
  <cp:lastModifiedBy>Regis Marinho</cp:lastModifiedBy>
  <cp:lastPrinted>2018-10-12T17:32:38Z</cp:lastPrinted>
  <dcterms:created xsi:type="dcterms:W3CDTF">2018-02-03T08:23:15Z</dcterms:created>
  <dcterms:modified xsi:type="dcterms:W3CDTF">2018-11-04T13:11:55Z</dcterms:modified>
</cp:coreProperties>
</file>