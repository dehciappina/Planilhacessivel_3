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01" codeName="{2AF44A5B-4F9A-30C1-5B58-47010ADB2D0F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regispc\Documents\SITE FINANCEIRO\PLANILHAS PUBLICADAS NO SITE\REVISADAS\Completo\"/>
    </mc:Choice>
  </mc:AlternateContent>
  <xr:revisionPtr revIDLastSave="0" documentId="13_ncr:1_{C60E114B-24C8-4B45-A66D-33643CF7AA4C}" xr6:coauthVersionLast="38" xr6:coauthVersionMax="38" xr10:uidLastSave="{00000000-0000-0000-0000-000000000000}"/>
  <bookViews>
    <workbookView xWindow="0" yWindow="0" windowWidth="20490" windowHeight="7545" activeTab="1" xr2:uid="{00000000-000D-0000-FFFF-FFFF00000000}"/>
  </bookViews>
  <sheets>
    <sheet name="Tutorial" sheetId="9" r:id="rId1"/>
    <sheet name="PAINEL" sheetId="8" r:id="rId2"/>
    <sheet name="CÁLCULO" sheetId="10" r:id="rId3"/>
  </sheets>
  <definedNames>
    <definedName name="AposContemplacao">PAINEL!$A$25</definedName>
    <definedName name="_xlnm.Print_Area" localSheetId="2">CÁLCULO!$C$2:$R$156</definedName>
    <definedName name="_xlnm.Print_Area" localSheetId="1">PAINEL!$C$2:$R$32</definedName>
    <definedName name="_xlnm.Print_Area" localSheetId="0">Tutorial!$B$2:$C$15</definedName>
    <definedName name="AvisoErro">PAINEL!$K$26</definedName>
    <definedName name="Cred_Liquido">PAINEL!$AE$4</definedName>
    <definedName name="DadosCenarios" localSheetId="1">CÁLCULO!$AL$18:$AL$23</definedName>
    <definedName name="Encargos">PAINEL!$AE$3</definedName>
    <definedName name="Graf_SldDevedor">OFFSET(CÁLCULO!$O$6,0,0,QTDEParc+1,1)</definedName>
    <definedName name="Graf_VlrCredito">OFFSET(CÁLCULO!$P$6,0,0,QTDEParc+1,1)</definedName>
    <definedName name="LinhaMinima">PAINEL!$AR$7</definedName>
    <definedName name="MomentoAjContemplação">PAINEL!$A$6</definedName>
    <definedName name="MomentoContemplação">PAINEL!$P$7</definedName>
    <definedName name="MomentoReajuste">PAINEL!$P$6</definedName>
    <definedName name="NroParcAntecipadas">PAINEL!$H$11</definedName>
    <definedName name="NroParcAntecipadasCalc">PAINEL!$A$16</definedName>
    <definedName name="NroParcela">PAINEL!$O$23</definedName>
    <definedName name="Perc_Reajuste">CÁLCULO!$AK$3</definedName>
    <definedName name="PercLance">PAINEL!$P$9</definedName>
    <definedName name="PercLanceEmbutido">PAINEL!$H$13</definedName>
    <definedName name="PercReajuste">PAINEL!$P$4</definedName>
    <definedName name="PercSeguroVida">PAINEL!$H$17</definedName>
    <definedName name="PercSldDev">PAINEL!$A$12</definedName>
    <definedName name="PercTxAdm">PAINEL!$H$9</definedName>
    <definedName name="PercTxAdmAntecipada">PAINEL!$H$10</definedName>
    <definedName name="PercTxFRes">PAINEL!$H$12</definedName>
    <definedName name="PV_AreaCalculo">CÁLCULO!$C$6:$P$332</definedName>
    <definedName name="PV_Perc_Reajuste">CÁLCULO!$AL$6:$AM$39</definedName>
    <definedName name="QTDEParc">PAINEL!$H$8</definedName>
    <definedName name="Reaj_VlrBase">CÁLCULO!$AO$6:$AP$332</definedName>
    <definedName name="rng_VlrMinimoLance">PAINEL!$A$13</definedName>
    <definedName name="RotuloPercLance">PAINEL!$N$9</definedName>
    <definedName name="RotuloValorLance">PAINEL!$N$10</definedName>
    <definedName name="SldDevedor">PAINEL!$P$8</definedName>
    <definedName name="TaxaVPL">PAINEL!$P$15</definedName>
    <definedName name="TMA">PAINEL!$P$15</definedName>
    <definedName name="TMAFinal">CÁLCULO!$AK$2</definedName>
    <definedName name="Ultimalinha">PAINEL!$AR$6</definedName>
    <definedName name="ValorBase">PAINEL!$H$7</definedName>
    <definedName name="ValorCredito">PAINEL!$H$41</definedName>
    <definedName name="ValorLance">PAINEL!$P$10</definedName>
    <definedName name="ValorParcelamento">PAINEL!$H$38</definedName>
    <definedName name="VlrLanceSldoDev">PAINEL!$A$20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7" i="8" l="1"/>
  <c r="A2" i="8"/>
  <c r="AO6" i="10" l="1"/>
  <c r="AP6" i="10"/>
  <c r="G32" i="8" l="1"/>
  <c r="A16" i="8"/>
  <c r="P5" i="8" l="1"/>
  <c r="P16" i="8" s="1"/>
  <c r="D4" i="8" l="1"/>
  <c r="N10" i="8" l="1"/>
  <c r="D13" i="8"/>
  <c r="D7" i="8"/>
  <c r="K27" i="8"/>
  <c r="K12" i="8"/>
  <c r="W6" i="10"/>
  <c r="V6" i="10"/>
  <c r="AK3" i="10" l="1"/>
  <c r="AK4" i="10" s="1"/>
  <c r="D39" i="8" l="1"/>
  <c r="D33" i="8"/>
  <c r="K26" i="8" l="1"/>
  <c r="C7" i="10" l="1"/>
  <c r="AL7" i="10"/>
  <c r="N6" i="10"/>
  <c r="AO7" i="10" l="1"/>
  <c r="E7" i="10"/>
  <c r="H7" i="10"/>
  <c r="W7" i="10"/>
  <c r="T6" i="10"/>
  <c r="U6" i="10"/>
  <c r="C8" i="10"/>
  <c r="AO8" i="10" s="1"/>
  <c r="A6" i="8"/>
  <c r="E8" i="10" l="1"/>
  <c r="X6" i="10"/>
  <c r="W8" i="10"/>
  <c r="C9" i="10"/>
  <c r="J3" i="10"/>
  <c r="AO9" i="10" l="1"/>
  <c r="E9" i="10"/>
  <c r="W9" i="10"/>
  <c r="C10" i="10"/>
  <c r="AO10" i="10" s="1"/>
  <c r="AL8" i="10"/>
  <c r="AL9" i="10" s="1"/>
  <c r="AL10" i="10" s="1"/>
  <c r="AL11" i="10" s="1"/>
  <c r="AL12" i="10" s="1"/>
  <c r="AL13" i="10" s="1"/>
  <c r="AL14" i="10" s="1"/>
  <c r="AL15" i="10" s="1"/>
  <c r="AL16" i="10" s="1"/>
  <c r="AL17" i="10" s="1"/>
  <c r="AL18" i="10" s="1"/>
  <c r="AL19" i="10" s="1"/>
  <c r="AL20" i="10" s="1"/>
  <c r="AL21" i="10" s="1"/>
  <c r="AL22" i="10" s="1"/>
  <c r="AL23" i="10" s="1"/>
  <c r="AL24" i="10" s="1"/>
  <c r="AL25" i="10" s="1"/>
  <c r="AL26" i="10" s="1"/>
  <c r="AL27" i="10" s="1"/>
  <c r="AL28" i="10" s="1"/>
  <c r="AL29" i="10" s="1"/>
  <c r="AL30" i="10" s="1"/>
  <c r="AL31" i="10" s="1"/>
  <c r="AL32" i="10" s="1"/>
  <c r="AL33" i="10" s="1"/>
  <c r="AL34" i="10" s="1"/>
  <c r="AL35" i="10" s="1"/>
  <c r="AL36" i="10" s="1"/>
  <c r="AL37" i="10" s="1"/>
  <c r="AL38" i="10" s="1"/>
  <c r="AL39" i="10" s="1"/>
  <c r="AK8" i="10"/>
  <c r="AK9" i="10" s="1"/>
  <c r="AK10" i="10" s="1"/>
  <c r="AK11" i="10" s="1"/>
  <c r="AK12" i="10" s="1"/>
  <c r="AK13" i="10" s="1"/>
  <c r="AK14" i="10" s="1"/>
  <c r="AK15" i="10" s="1"/>
  <c r="AK16" i="10" s="1"/>
  <c r="AK17" i="10" s="1"/>
  <c r="AK18" i="10" s="1"/>
  <c r="AK19" i="10" s="1"/>
  <c r="AK20" i="10" s="1"/>
  <c r="AK21" i="10" s="1"/>
  <c r="AK22" i="10" s="1"/>
  <c r="AK23" i="10" s="1"/>
  <c r="AK24" i="10" s="1"/>
  <c r="AK25" i="10" s="1"/>
  <c r="AK26" i="10" s="1"/>
  <c r="AK27" i="10" s="1"/>
  <c r="AK28" i="10" s="1"/>
  <c r="AK29" i="10" s="1"/>
  <c r="AK30" i="10" s="1"/>
  <c r="AK31" i="10" s="1"/>
  <c r="AK32" i="10" s="1"/>
  <c r="AK33" i="10" s="1"/>
  <c r="AK34" i="10" s="1"/>
  <c r="AK35" i="10" s="1"/>
  <c r="AK36" i="10" s="1"/>
  <c r="AK37" i="10" s="1"/>
  <c r="AK38" i="10" s="1"/>
  <c r="AK39" i="10" s="1"/>
  <c r="AM39" i="10" s="1"/>
  <c r="AM7" i="10"/>
  <c r="M6" i="10"/>
  <c r="E10" i="10" l="1"/>
  <c r="W10" i="10"/>
  <c r="AM25" i="10"/>
  <c r="AM10" i="10"/>
  <c r="AM8" i="10"/>
  <c r="C11" i="10"/>
  <c r="AM11" i="10"/>
  <c r="AM24" i="10"/>
  <c r="AM27" i="10"/>
  <c r="AM19" i="10"/>
  <c r="AM15" i="10"/>
  <c r="AM23" i="10"/>
  <c r="AM22" i="10"/>
  <c r="AM26" i="10"/>
  <c r="AM16" i="10"/>
  <c r="AM36" i="10"/>
  <c r="AM13" i="10"/>
  <c r="AM31" i="10"/>
  <c r="AM29" i="10"/>
  <c r="AM17" i="10"/>
  <c r="AM35" i="10"/>
  <c r="AM28" i="10"/>
  <c r="AM32" i="10"/>
  <c r="AM38" i="10"/>
  <c r="AM37" i="10"/>
  <c r="AM33" i="10"/>
  <c r="AM12" i="10"/>
  <c r="AM30" i="10"/>
  <c r="AM21" i="10"/>
  <c r="AM9" i="10"/>
  <c r="AM34" i="10"/>
  <c r="AM14" i="10"/>
  <c r="AM20" i="10"/>
  <c r="AM18" i="10"/>
  <c r="M7" i="10"/>
  <c r="AP7" i="10" s="1"/>
  <c r="AO11" i="10" l="1"/>
  <c r="E11" i="10"/>
  <c r="W11" i="10"/>
  <c r="C12" i="10"/>
  <c r="AO12" i="10" s="1"/>
  <c r="F7" i="10"/>
  <c r="M8" i="10"/>
  <c r="AP8" i="10" s="1"/>
  <c r="F8" i="10"/>
  <c r="G37" i="8"/>
  <c r="H37" i="8" s="1"/>
  <c r="E12" i="10" l="1"/>
  <c r="W12" i="10"/>
  <c r="C13" i="10"/>
  <c r="AO13" i="10" s="1"/>
  <c r="M9" i="10"/>
  <c r="AP9" i="10" s="1"/>
  <c r="F9" i="10"/>
  <c r="G35" i="8"/>
  <c r="E13" i="10" l="1"/>
  <c r="W13" i="10"/>
  <c r="C14" i="10"/>
  <c r="AO14" i="10" s="1"/>
  <c r="M10" i="10"/>
  <c r="AP10" i="10" s="1"/>
  <c r="F10" i="10"/>
  <c r="G40" i="8"/>
  <c r="E14" i="10" l="1"/>
  <c r="W14" i="10"/>
  <c r="C15" i="10"/>
  <c r="AO15" i="10" s="1"/>
  <c r="M11" i="10"/>
  <c r="AP11" i="10" s="1"/>
  <c r="F11" i="10"/>
  <c r="H31" i="8"/>
  <c r="E15" i="10" l="1"/>
  <c r="W15" i="10"/>
  <c r="C16" i="10"/>
  <c r="AO16" i="10" s="1"/>
  <c r="M12" i="10"/>
  <c r="AP12" i="10" s="1"/>
  <c r="F12" i="10"/>
  <c r="H40" i="8"/>
  <c r="H39" i="8"/>
  <c r="H33" i="8"/>
  <c r="H35" i="8" s="1"/>
  <c r="G34" i="8"/>
  <c r="H34" i="8" s="1"/>
  <c r="E16" i="10" l="1"/>
  <c r="W16" i="10"/>
  <c r="C17" i="10"/>
  <c r="AO17" i="10" s="1"/>
  <c r="M13" i="10"/>
  <c r="AP13" i="10" s="1"/>
  <c r="F13" i="10"/>
  <c r="H41" i="8"/>
  <c r="H32" i="8"/>
  <c r="E17" i="10" l="1"/>
  <c r="W17" i="10"/>
  <c r="C18" i="10"/>
  <c r="AO18" i="10" s="1"/>
  <c r="J14" i="10"/>
  <c r="P6" i="10"/>
  <c r="P8" i="10"/>
  <c r="P9" i="10"/>
  <c r="P10" i="10"/>
  <c r="P11" i="10"/>
  <c r="P12" i="10"/>
  <c r="P13" i="10"/>
  <c r="P7" i="10"/>
  <c r="M14" i="10"/>
  <c r="F14" i="10"/>
  <c r="H36" i="8"/>
  <c r="H42" i="8"/>
  <c r="A12" i="8" s="1"/>
  <c r="G42" i="8" l="1"/>
  <c r="E18" i="10"/>
  <c r="P14" i="10"/>
  <c r="AP14" i="10"/>
  <c r="W18" i="10"/>
  <c r="C19" i="10"/>
  <c r="AO19" i="10" s="1"/>
  <c r="J15" i="10"/>
  <c r="M15" i="10"/>
  <c r="F15" i="10"/>
  <c r="H43" i="8"/>
  <c r="A8" i="8" l="1"/>
  <c r="A9" i="8" s="1"/>
  <c r="A5" i="8"/>
  <c r="P15" i="10"/>
  <c r="AP15" i="10"/>
  <c r="E19" i="10"/>
  <c r="W19" i="10"/>
  <c r="C20" i="10"/>
  <c r="AO20" i="10" s="1"/>
  <c r="H38" i="8"/>
  <c r="K5" i="10" s="1"/>
  <c r="K6" i="10" s="1"/>
  <c r="O6" i="10"/>
  <c r="M16" i="10"/>
  <c r="F16" i="10"/>
  <c r="E20" i="10" l="1"/>
  <c r="P16" i="10"/>
  <c r="AP16" i="10"/>
  <c r="W20" i="10"/>
  <c r="C21" i="10"/>
  <c r="AO21" i="10" s="1"/>
  <c r="M17" i="10"/>
  <c r="F17" i="10"/>
  <c r="P17" i="10" l="1"/>
  <c r="AP17" i="10"/>
  <c r="E21" i="10"/>
  <c r="V7" i="10"/>
  <c r="W21" i="10"/>
  <c r="C22" i="10"/>
  <c r="AO22" i="10" s="1"/>
  <c r="M18" i="10"/>
  <c r="F18" i="10"/>
  <c r="E22" i="10" l="1"/>
  <c r="P18" i="10"/>
  <c r="AP18" i="10"/>
  <c r="W22" i="10"/>
  <c r="C23" i="10"/>
  <c r="AO23" i="10" s="1"/>
  <c r="M19" i="10"/>
  <c r="AP19" i="10" s="1"/>
  <c r="F19" i="10"/>
  <c r="E23" i="10" l="1"/>
  <c r="P19" i="10"/>
  <c r="W23" i="10"/>
  <c r="C24" i="10"/>
  <c r="AO24" i="10" s="1"/>
  <c r="J20" i="10"/>
  <c r="M20" i="10"/>
  <c r="F20" i="10"/>
  <c r="P20" i="10" l="1"/>
  <c r="AP20" i="10"/>
  <c r="E24" i="10"/>
  <c r="W24" i="10"/>
  <c r="C25" i="10"/>
  <c r="AO25" i="10" s="1"/>
  <c r="J21" i="10"/>
  <c r="M21" i="10"/>
  <c r="F21" i="10"/>
  <c r="P21" i="10" l="1"/>
  <c r="AP21" i="10"/>
  <c r="E25" i="10"/>
  <c r="W25" i="10"/>
  <c r="C26" i="10"/>
  <c r="AO26" i="10" s="1"/>
  <c r="J22" i="10"/>
  <c r="M22" i="10"/>
  <c r="F22" i="10"/>
  <c r="E26" i="10" l="1"/>
  <c r="P22" i="10"/>
  <c r="AP22" i="10"/>
  <c r="W26" i="10"/>
  <c r="C27" i="10"/>
  <c r="AO27" i="10" s="1"/>
  <c r="J23" i="10"/>
  <c r="M23" i="10"/>
  <c r="F23" i="10"/>
  <c r="E27" i="10" l="1"/>
  <c r="P23" i="10"/>
  <c r="AP23" i="10"/>
  <c r="W27" i="10"/>
  <c r="C28" i="10"/>
  <c r="AO28" i="10" s="1"/>
  <c r="J24" i="10"/>
  <c r="M24" i="10"/>
  <c r="F24" i="10"/>
  <c r="P24" i="10" l="1"/>
  <c r="AP24" i="10"/>
  <c r="E28" i="10"/>
  <c r="W28" i="10"/>
  <c r="C29" i="10"/>
  <c r="AO29" i="10" s="1"/>
  <c r="J25" i="10"/>
  <c r="M25" i="10"/>
  <c r="F25" i="10"/>
  <c r="E29" i="10" l="1"/>
  <c r="P25" i="10"/>
  <c r="AP25" i="10"/>
  <c r="W29" i="10"/>
  <c r="C30" i="10"/>
  <c r="AO30" i="10" s="1"/>
  <c r="M26" i="10"/>
  <c r="F26" i="10"/>
  <c r="E30" i="10" l="1"/>
  <c r="P26" i="10"/>
  <c r="AP26" i="10"/>
  <c r="W30" i="10"/>
  <c r="C31" i="10"/>
  <c r="AO31" i="10" s="1"/>
  <c r="M27" i="10"/>
  <c r="F27" i="10"/>
  <c r="E31" i="10" l="1"/>
  <c r="P27" i="10"/>
  <c r="AP27" i="10"/>
  <c r="W31" i="10"/>
  <c r="C32" i="10"/>
  <c r="AO32" i="10" s="1"/>
  <c r="M28" i="10"/>
  <c r="F28" i="10"/>
  <c r="E32" i="10" l="1"/>
  <c r="P28" i="10"/>
  <c r="AP28" i="10"/>
  <c r="W32" i="10"/>
  <c r="C33" i="10"/>
  <c r="AO33" i="10" s="1"/>
  <c r="M29" i="10"/>
  <c r="F29" i="10"/>
  <c r="P29" i="10" l="1"/>
  <c r="AP29" i="10"/>
  <c r="E33" i="10"/>
  <c r="W33" i="10"/>
  <c r="C34" i="10"/>
  <c r="AO34" i="10" s="1"/>
  <c r="M30" i="10"/>
  <c r="F30" i="10"/>
  <c r="P30" i="10" l="1"/>
  <c r="AP30" i="10"/>
  <c r="E34" i="10"/>
  <c r="W34" i="10"/>
  <c r="C35" i="10"/>
  <c r="AO35" i="10" s="1"/>
  <c r="M31" i="10"/>
  <c r="F31" i="10"/>
  <c r="E35" i="10" l="1"/>
  <c r="P31" i="10"/>
  <c r="AP31" i="10"/>
  <c r="W35" i="10"/>
  <c r="C36" i="10"/>
  <c r="AO36" i="10" s="1"/>
  <c r="J32" i="10"/>
  <c r="M32" i="10"/>
  <c r="F32" i="10"/>
  <c r="P32" i="10" l="1"/>
  <c r="AP32" i="10"/>
  <c r="E36" i="10"/>
  <c r="W36" i="10"/>
  <c r="C37" i="10"/>
  <c r="AO37" i="10" s="1"/>
  <c r="J33" i="10"/>
  <c r="M33" i="10"/>
  <c r="F33" i="10"/>
  <c r="P33" i="10" l="1"/>
  <c r="AP33" i="10"/>
  <c r="E37" i="10"/>
  <c r="W37" i="10"/>
  <c r="C38" i="10"/>
  <c r="AO38" i="10" s="1"/>
  <c r="J34" i="10"/>
  <c r="M34" i="10"/>
  <c r="F34" i="10"/>
  <c r="P34" i="10" l="1"/>
  <c r="AP34" i="10"/>
  <c r="E38" i="10"/>
  <c r="W38" i="10"/>
  <c r="C39" i="10"/>
  <c r="AO39" i="10" s="1"/>
  <c r="J35" i="10"/>
  <c r="M35" i="10"/>
  <c r="F35" i="10"/>
  <c r="P35" i="10" l="1"/>
  <c r="AP35" i="10"/>
  <c r="E39" i="10"/>
  <c r="W39" i="10"/>
  <c r="C40" i="10"/>
  <c r="AO40" i="10" s="1"/>
  <c r="J36" i="10"/>
  <c r="M36" i="10"/>
  <c r="F36" i="10"/>
  <c r="P36" i="10" l="1"/>
  <c r="AP36" i="10"/>
  <c r="E40" i="10"/>
  <c r="W40" i="10"/>
  <c r="C41" i="10"/>
  <c r="AO41" i="10" s="1"/>
  <c r="M37" i="10"/>
  <c r="F37" i="10"/>
  <c r="P37" i="10" l="1"/>
  <c r="AP37" i="10"/>
  <c r="E41" i="10"/>
  <c r="W41" i="10"/>
  <c r="C42" i="10"/>
  <c r="AO42" i="10" s="1"/>
  <c r="M38" i="10"/>
  <c r="F38" i="10"/>
  <c r="P38" i="10" l="1"/>
  <c r="AP38" i="10"/>
  <c r="E42" i="10"/>
  <c r="W42" i="10"/>
  <c r="C43" i="10"/>
  <c r="AO43" i="10" s="1"/>
  <c r="M39" i="10"/>
  <c r="F39" i="10"/>
  <c r="P39" i="10" l="1"/>
  <c r="AP39" i="10"/>
  <c r="E43" i="10"/>
  <c r="W43" i="10"/>
  <c r="C44" i="10"/>
  <c r="AO44" i="10" s="1"/>
  <c r="J40" i="10"/>
  <c r="M40" i="10"/>
  <c r="F40" i="10"/>
  <c r="E44" i="10" l="1"/>
  <c r="P40" i="10"/>
  <c r="AP40" i="10"/>
  <c r="W44" i="10"/>
  <c r="C45" i="10"/>
  <c r="AO45" i="10" s="1"/>
  <c r="J41" i="10"/>
  <c r="M41" i="10"/>
  <c r="F41" i="10"/>
  <c r="P41" i="10" l="1"/>
  <c r="AP41" i="10"/>
  <c r="E45" i="10"/>
  <c r="W45" i="10"/>
  <c r="C46" i="10"/>
  <c r="AO46" i="10" s="1"/>
  <c r="J42" i="10"/>
  <c r="F42" i="10"/>
  <c r="M42" i="10"/>
  <c r="E46" i="10" l="1"/>
  <c r="P42" i="10"/>
  <c r="AP42" i="10"/>
  <c r="W46" i="10"/>
  <c r="C47" i="10"/>
  <c r="AO47" i="10" s="1"/>
  <c r="J43" i="10"/>
  <c r="F43" i="10"/>
  <c r="M43" i="10"/>
  <c r="E47" i="10" l="1"/>
  <c r="P43" i="10"/>
  <c r="AP43" i="10"/>
  <c r="W47" i="10"/>
  <c r="C48" i="10"/>
  <c r="AO48" i="10" s="1"/>
  <c r="J44" i="10"/>
  <c r="F44" i="10"/>
  <c r="M44" i="10"/>
  <c r="E48" i="10" l="1"/>
  <c r="P44" i="10"/>
  <c r="AP44" i="10"/>
  <c r="W48" i="10"/>
  <c r="C49" i="10"/>
  <c r="AO49" i="10" s="1"/>
  <c r="J45" i="10"/>
  <c r="M45" i="10"/>
  <c r="F45" i="10"/>
  <c r="P45" i="10" l="1"/>
  <c r="AP45" i="10"/>
  <c r="E49" i="10"/>
  <c r="W49" i="10"/>
  <c r="C50" i="10"/>
  <c r="AO50" i="10" s="1"/>
  <c r="J46" i="10"/>
  <c r="F46" i="10"/>
  <c r="M46" i="10"/>
  <c r="E50" i="10" l="1"/>
  <c r="P46" i="10"/>
  <c r="AP46" i="10"/>
  <c r="W50" i="10"/>
  <c r="C51" i="10"/>
  <c r="AO51" i="10" s="1"/>
  <c r="J47" i="10"/>
  <c r="F47" i="10"/>
  <c r="M47" i="10"/>
  <c r="E51" i="10" l="1"/>
  <c r="P47" i="10"/>
  <c r="AP47" i="10"/>
  <c r="W51" i="10"/>
  <c r="C52" i="10"/>
  <c r="AO52" i="10" s="1"/>
  <c r="J48" i="10"/>
  <c r="F48" i="10"/>
  <c r="M48" i="10"/>
  <c r="E52" i="10" l="1"/>
  <c r="P48" i="10"/>
  <c r="AP48" i="10"/>
  <c r="W52" i="10"/>
  <c r="C53" i="10"/>
  <c r="AO53" i="10" s="1"/>
  <c r="J49" i="10"/>
  <c r="M49" i="10"/>
  <c r="F49" i="10"/>
  <c r="P49" i="10" l="1"/>
  <c r="AP49" i="10"/>
  <c r="E53" i="10"/>
  <c r="W53" i="10"/>
  <c r="C54" i="10"/>
  <c r="AO54" i="10" s="1"/>
  <c r="J50" i="10"/>
  <c r="F50" i="10"/>
  <c r="M50" i="10"/>
  <c r="E54" i="10" l="1"/>
  <c r="P50" i="10"/>
  <c r="AP50" i="10"/>
  <c r="W54" i="10"/>
  <c r="C55" i="10"/>
  <c r="AO55" i="10" s="1"/>
  <c r="J51" i="10"/>
  <c r="F51" i="10"/>
  <c r="M51" i="10"/>
  <c r="E55" i="10" l="1"/>
  <c r="P51" i="10"/>
  <c r="AP51" i="10"/>
  <c r="W55" i="10"/>
  <c r="C56" i="10"/>
  <c r="AO56" i="10" s="1"/>
  <c r="J52" i="10"/>
  <c r="F52" i="10"/>
  <c r="M52" i="10"/>
  <c r="E56" i="10" l="1"/>
  <c r="P52" i="10"/>
  <c r="AP52" i="10"/>
  <c r="W56" i="10"/>
  <c r="C57" i="10"/>
  <c r="AO57" i="10" s="1"/>
  <c r="J53" i="10"/>
  <c r="M53" i="10"/>
  <c r="AP53" i="10" s="1"/>
  <c r="F53" i="10"/>
  <c r="E57" i="10" l="1"/>
  <c r="W57" i="10"/>
  <c r="C58" i="10"/>
  <c r="AO58" i="10" s="1"/>
  <c r="P53" i="10"/>
  <c r="J54" i="10"/>
  <c r="M54" i="10"/>
  <c r="F54" i="10"/>
  <c r="P54" i="10" l="1"/>
  <c r="AP54" i="10"/>
  <c r="E58" i="10"/>
  <c r="W58" i="10"/>
  <c r="C59" i="10"/>
  <c r="AO59" i="10" s="1"/>
  <c r="J55" i="10"/>
  <c r="F55" i="10"/>
  <c r="M55" i="10"/>
  <c r="E59" i="10" l="1"/>
  <c r="P55" i="10"/>
  <c r="AP55" i="10"/>
  <c r="W59" i="10"/>
  <c r="C60" i="10"/>
  <c r="AO60" i="10" s="1"/>
  <c r="F56" i="10"/>
  <c r="M56" i="10"/>
  <c r="P56" i="10" l="1"/>
  <c r="AP56" i="10"/>
  <c r="E60" i="10"/>
  <c r="W60" i="10"/>
  <c r="C61" i="10"/>
  <c r="AO61" i="10" s="1"/>
  <c r="J57" i="10"/>
  <c r="M57" i="10"/>
  <c r="F57" i="10"/>
  <c r="P57" i="10" l="1"/>
  <c r="AP57" i="10"/>
  <c r="E61" i="10"/>
  <c r="W61" i="10"/>
  <c r="C62" i="10"/>
  <c r="AO62" i="10" s="1"/>
  <c r="J58" i="10"/>
  <c r="M58" i="10"/>
  <c r="F58" i="10"/>
  <c r="E62" i="10" l="1"/>
  <c r="P58" i="10"/>
  <c r="AP58" i="10"/>
  <c r="W62" i="10"/>
  <c r="C63" i="10"/>
  <c r="AO63" i="10" s="1"/>
  <c r="J59" i="10"/>
  <c r="F59" i="10"/>
  <c r="M59" i="10"/>
  <c r="E63" i="10" l="1"/>
  <c r="P59" i="10"/>
  <c r="AP59" i="10"/>
  <c r="W63" i="10"/>
  <c r="C64" i="10"/>
  <c r="AO64" i="10" s="1"/>
  <c r="J60" i="10"/>
  <c r="F60" i="10"/>
  <c r="M60" i="10"/>
  <c r="E64" i="10" l="1"/>
  <c r="P60" i="10"/>
  <c r="AP60" i="10"/>
  <c r="W64" i="10"/>
  <c r="C65" i="10"/>
  <c r="AO65" i="10" s="1"/>
  <c r="J61" i="10"/>
  <c r="M61" i="10"/>
  <c r="F61" i="10"/>
  <c r="P61" i="10" l="1"/>
  <c r="AP61" i="10"/>
  <c r="E65" i="10"/>
  <c r="W65" i="10"/>
  <c r="C66" i="10"/>
  <c r="AO66" i="10" s="1"/>
  <c r="J62" i="10"/>
  <c r="M62" i="10"/>
  <c r="F62" i="10"/>
  <c r="P62" i="10" l="1"/>
  <c r="AP62" i="10"/>
  <c r="E66" i="10"/>
  <c r="W66" i="10"/>
  <c r="C67" i="10"/>
  <c r="AO67" i="10" s="1"/>
  <c r="J63" i="10"/>
  <c r="F63" i="10"/>
  <c r="M63" i="10"/>
  <c r="E67" i="10" l="1"/>
  <c r="P63" i="10"/>
  <c r="AP63" i="10"/>
  <c r="W67" i="10"/>
  <c r="C68" i="10"/>
  <c r="AO68" i="10" s="1"/>
  <c r="J64" i="10"/>
  <c r="F64" i="10"/>
  <c r="M64" i="10"/>
  <c r="E68" i="10" l="1"/>
  <c r="P64" i="10"/>
  <c r="AP64" i="10"/>
  <c r="W68" i="10"/>
  <c r="C69" i="10"/>
  <c r="AO69" i="10" s="1"/>
  <c r="J65" i="10"/>
  <c r="F65" i="10"/>
  <c r="M65" i="10"/>
  <c r="E69" i="10" l="1"/>
  <c r="P65" i="10"/>
  <c r="AP65" i="10"/>
  <c r="W69" i="10"/>
  <c r="C70" i="10"/>
  <c r="AO70" i="10" s="1"/>
  <c r="J66" i="10"/>
  <c r="M66" i="10"/>
  <c r="F66" i="10"/>
  <c r="P66" i="10" l="1"/>
  <c r="AP66" i="10"/>
  <c r="E70" i="10"/>
  <c r="W70" i="10"/>
  <c r="C71" i="10"/>
  <c r="AO71" i="10" s="1"/>
  <c r="J67" i="10"/>
  <c r="F67" i="10"/>
  <c r="M67" i="10"/>
  <c r="E71" i="10" l="1"/>
  <c r="P67" i="10"/>
  <c r="AP67" i="10"/>
  <c r="W71" i="10"/>
  <c r="C72" i="10"/>
  <c r="AO72" i="10" s="1"/>
  <c r="J68" i="10"/>
  <c r="F68" i="10"/>
  <c r="M68" i="10"/>
  <c r="E72" i="10" l="1"/>
  <c r="P68" i="10"/>
  <c r="AP68" i="10"/>
  <c r="W72" i="10"/>
  <c r="C73" i="10"/>
  <c r="AO73" i="10" s="1"/>
  <c r="J69" i="10"/>
  <c r="M69" i="10"/>
  <c r="F69" i="10"/>
  <c r="E73" i="10" l="1"/>
  <c r="P69" i="10"/>
  <c r="AP69" i="10"/>
  <c r="W73" i="10"/>
  <c r="C74" i="10"/>
  <c r="AO74" i="10" s="1"/>
  <c r="J70" i="10"/>
  <c r="M70" i="10"/>
  <c r="F70" i="10"/>
  <c r="P70" i="10" l="1"/>
  <c r="AP70" i="10"/>
  <c r="E74" i="10"/>
  <c r="W74" i="10"/>
  <c r="C75" i="10"/>
  <c r="AO75" i="10" s="1"/>
  <c r="J71" i="10"/>
  <c r="M71" i="10"/>
  <c r="F71" i="10"/>
  <c r="P71" i="10" l="1"/>
  <c r="AP71" i="10"/>
  <c r="E75" i="10"/>
  <c r="W75" i="10"/>
  <c r="C76" i="10"/>
  <c r="AO76" i="10" s="1"/>
  <c r="J72" i="10"/>
  <c r="F72" i="10"/>
  <c r="M72" i="10"/>
  <c r="E76" i="10" l="1"/>
  <c r="P72" i="10"/>
  <c r="AP72" i="10"/>
  <c r="W76" i="10"/>
  <c r="C77" i="10"/>
  <c r="AO77" i="10" s="1"/>
  <c r="J73" i="10"/>
  <c r="F73" i="10"/>
  <c r="M73" i="10"/>
  <c r="E77" i="10" l="1"/>
  <c r="P73" i="10"/>
  <c r="AP73" i="10"/>
  <c r="W77" i="10"/>
  <c r="C78" i="10"/>
  <c r="AO78" i="10" s="1"/>
  <c r="J74" i="10"/>
  <c r="F74" i="10"/>
  <c r="M74" i="10"/>
  <c r="E78" i="10" l="1"/>
  <c r="P74" i="10"/>
  <c r="AP74" i="10"/>
  <c r="W78" i="10"/>
  <c r="C79" i="10"/>
  <c r="AO79" i="10" s="1"/>
  <c r="J75" i="10"/>
  <c r="F75" i="10"/>
  <c r="M75" i="10"/>
  <c r="E79" i="10" l="1"/>
  <c r="P75" i="10"/>
  <c r="AP75" i="10"/>
  <c r="W79" i="10"/>
  <c r="C80" i="10"/>
  <c r="AO80" i="10" s="1"/>
  <c r="F76" i="10"/>
  <c r="M76" i="10"/>
  <c r="P76" i="10" l="1"/>
  <c r="AP76" i="10"/>
  <c r="E80" i="10"/>
  <c r="W80" i="10"/>
  <c r="C81" i="10"/>
  <c r="AO81" i="10" s="1"/>
  <c r="J77" i="10"/>
  <c r="M77" i="10"/>
  <c r="F77" i="10"/>
  <c r="P77" i="10" l="1"/>
  <c r="AP77" i="10"/>
  <c r="E81" i="10"/>
  <c r="W81" i="10"/>
  <c r="C82" i="10"/>
  <c r="AO82" i="10" s="1"/>
  <c r="J78" i="10"/>
  <c r="M78" i="10"/>
  <c r="F78" i="10"/>
  <c r="E82" i="10" l="1"/>
  <c r="P78" i="10"/>
  <c r="AP78" i="10"/>
  <c r="W82" i="10"/>
  <c r="C83" i="10"/>
  <c r="AO83" i="10" s="1"/>
  <c r="J79" i="10"/>
  <c r="F79" i="10"/>
  <c r="M79" i="10"/>
  <c r="E83" i="10" l="1"/>
  <c r="P79" i="10"/>
  <c r="AP79" i="10"/>
  <c r="W83" i="10"/>
  <c r="C84" i="10"/>
  <c r="AO84" i="10" s="1"/>
  <c r="J80" i="10"/>
  <c r="F80" i="10"/>
  <c r="M80" i="10"/>
  <c r="E84" i="10" l="1"/>
  <c r="P80" i="10"/>
  <c r="AP80" i="10"/>
  <c r="W84" i="10"/>
  <c r="C85" i="10"/>
  <c r="AO85" i="10" s="1"/>
  <c r="J81" i="10"/>
  <c r="F81" i="10"/>
  <c r="M81" i="10"/>
  <c r="E85" i="10" l="1"/>
  <c r="P81" i="10"/>
  <c r="AP81" i="10"/>
  <c r="W85" i="10"/>
  <c r="C86" i="10"/>
  <c r="AO86" i="10" s="1"/>
  <c r="J82" i="10"/>
  <c r="M82" i="10"/>
  <c r="F82" i="10"/>
  <c r="P82" i="10" l="1"/>
  <c r="AP82" i="10"/>
  <c r="E86" i="10"/>
  <c r="W86" i="10"/>
  <c r="C87" i="10"/>
  <c r="AO87" i="10" s="1"/>
  <c r="J83" i="10"/>
  <c r="F83" i="10"/>
  <c r="M83" i="10"/>
  <c r="E87" i="10" l="1"/>
  <c r="P83" i="10"/>
  <c r="AP83" i="10"/>
  <c r="W87" i="10"/>
  <c r="C88" i="10"/>
  <c r="AO88" i="10" s="1"/>
  <c r="J84" i="10"/>
  <c r="F84" i="10"/>
  <c r="M84" i="10"/>
  <c r="E88" i="10" l="1"/>
  <c r="P84" i="10"/>
  <c r="AP84" i="10"/>
  <c r="W88" i="10"/>
  <c r="C89" i="10"/>
  <c r="AO89" i="10" s="1"/>
  <c r="J85" i="10"/>
  <c r="M85" i="10"/>
  <c r="F85" i="10"/>
  <c r="P85" i="10" l="1"/>
  <c r="AP85" i="10"/>
  <c r="E89" i="10"/>
  <c r="W89" i="10"/>
  <c r="C90" i="10"/>
  <c r="AO90" i="10" s="1"/>
  <c r="J86" i="10"/>
  <c r="M86" i="10"/>
  <c r="F86" i="10"/>
  <c r="E90" i="10" l="1"/>
  <c r="P86" i="10"/>
  <c r="AP86" i="10"/>
  <c r="W90" i="10"/>
  <c r="C91" i="10"/>
  <c r="AO91" i="10" s="1"/>
  <c r="J87" i="10"/>
  <c r="M87" i="10"/>
  <c r="F87" i="10"/>
  <c r="P87" i="10" l="1"/>
  <c r="AP87" i="10"/>
  <c r="E91" i="10"/>
  <c r="W91" i="10"/>
  <c r="C92" i="10"/>
  <c r="AO92" i="10" s="1"/>
  <c r="J88" i="10"/>
  <c r="F88" i="10"/>
  <c r="M88" i="10"/>
  <c r="E92" i="10" l="1"/>
  <c r="P88" i="10"/>
  <c r="AP88" i="10"/>
  <c r="W92" i="10"/>
  <c r="C93" i="10"/>
  <c r="AO93" i="10" s="1"/>
  <c r="J89" i="10"/>
  <c r="F89" i="10"/>
  <c r="M89" i="10"/>
  <c r="E93" i="10" l="1"/>
  <c r="P89" i="10"/>
  <c r="AP89" i="10"/>
  <c r="W93" i="10"/>
  <c r="C94" i="10"/>
  <c r="AO94" i="10" s="1"/>
  <c r="J90" i="10"/>
  <c r="F90" i="10"/>
  <c r="M90" i="10"/>
  <c r="E94" i="10" l="1"/>
  <c r="P90" i="10"/>
  <c r="AP90" i="10"/>
  <c r="W94" i="10"/>
  <c r="C95" i="10"/>
  <c r="AO95" i="10" s="1"/>
  <c r="J91" i="10"/>
  <c r="F91" i="10"/>
  <c r="M91" i="10"/>
  <c r="E95" i="10" l="1"/>
  <c r="P91" i="10"/>
  <c r="AP91" i="10"/>
  <c r="W95" i="10"/>
  <c r="C96" i="10"/>
  <c r="AO96" i="10" s="1"/>
  <c r="J92" i="10"/>
  <c r="F92" i="10"/>
  <c r="M92" i="10"/>
  <c r="E96" i="10" l="1"/>
  <c r="P92" i="10"/>
  <c r="AP92" i="10"/>
  <c r="W96" i="10"/>
  <c r="C97" i="10"/>
  <c r="AO97" i="10" s="1"/>
  <c r="J93" i="10"/>
  <c r="M93" i="10"/>
  <c r="F93" i="10"/>
  <c r="E97" i="10" l="1"/>
  <c r="P93" i="10"/>
  <c r="AP93" i="10"/>
  <c r="W97" i="10"/>
  <c r="C98" i="10"/>
  <c r="AO98" i="10" s="1"/>
  <c r="J94" i="10"/>
  <c r="M94" i="10"/>
  <c r="F94" i="10"/>
  <c r="P94" i="10" l="1"/>
  <c r="AP94" i="10"/>
  <c r="E98" i="10"/>
  <c r="W98" i="10"/>
  <c r="C99" i="10"/>
  <c r="AO99" i="10" s="1"/>
  <c r="J95" i="10"/>
  <c r="M95" i="10"/>
  <c r="F95" i="10"/>
  <c r="P95" i="10" l="1"/>
  <c r="AP95" i="10"/>
  <c r="E99" i="10"/>
  <c r="W99" i="10"/>
  <c r="C100" i="10"/>
  <c r="AO100" i="10" s="1"/>
  <c r="J96" i="10"/>
  <c r="F96" i="10"/>
  <c r="M96" i="10"/>
  <c r="E100" i="10" l="1"/>
  <c r="P96" i="10"/>
  <c r="AP96" i="10"/>
  <c r="W100" i="10"/>
  <c r="C101" i="10"/>
  <c r="AO101" i="10" s="1"/>
  <c r="J97" i="10"/>
  <c r="M97" i="10"/>
  <c r="F97" i="10"/>
  <c r="E101" i="10" l="1"/>
  <c r="P97" i="10"/>
  <c r="AP97" i="10"/>
  <c r="W101" i="10"/>
  <c r="C102" i="10"/>
  <c r="AO102" i="10" s="1"/>
  <c r="J98" i="10"/>
  <c r="F98" i="10"/>
  <c r="M98" i="10"/>
  <c r="E102" i="10" l="1"/>
  <c r="P98" i="10"/>
  <c r="AP98" i="10"/>
  <c r="W102" i="10"/>
  <c r="C103" i="10"/>
  <c r="AO103" i="10" s="1"/>
  <c r="J99" i="10"/>
  <c r="M99" i="10"/>
  <c r="F99" i="10"/>
  <c r="P99" i="10" l="1"/>
  <c r="AP99" i="10"/>
  <c r="E103" i="10"/>
  <c r="W103" i="10"/>
  <c r="C104" i="10"/>
  <c r="AO104" i="10" s="1"/>
  <c r="J100" i="10"/>
  <c r="F100" i="10"/>
  <c r="M100" i="10"/>
  <c r="E104" i="10" l="1"/>
  <c r="P100" i="10"/>
  <c r="AP100" i="10"/>
  <c r="W104" i="10"/>
  <c r="C105" i="10"/>
  <c r="AO105" i="10" s="1"/>
  <c r="J101" i="10"/>
  <c r="M101" i="10"/>
  <c r="F101" i="10"/>
  <c r="P101" i="10" l="1"/>
  <c r="AP101" i="10"/>
  <c r="E105" i="10"/>
  <c r="W105" i="10"/>
  <c r="C106" i="10"/>
  <c r="AO106" i="10" s="1"/>
  <c r="J102" i="10"/>
  <c r="F102" i="10"/>
  <c r="M102" i="10"/>
  <c r="E106" i="10" l="1"/>
  <c r="P102" i="10"/>
  <c r="AP102" i="10"/>
  <c r="W106" i="10"/>
  <c r="C107" i="10"/>
  <c r="AO107" i="10" s="1"/>
  <c r="J103" i="10"/>
  <c r="F103" i="10"/>
  <c r="M103" i="10"/>
  <c r="E107" i="10" l="1"/>
  <c r="P103" i="10"/>
  <c r="AP103" i="10"/>
  <c r="W107" i="10"/>
  <c r="C108" i="10"/>
  <c r="AO108" i="10" s="1"/>
  <c r="J104" i="10"/>
  <c r="F104" i="10"/>
  <c r="M104" i="10"/>
  <c r="E108" i="10" l="1"/>
  <c r="P104" i="10"/>
  <c r="AP104" i="10"/>
  <c r="W108" i="10"/>
  <c r="C109" i="10"/>
  <c r="AO109" i="10" s="1"/>
  <c r="J105" i="10"/>
  <c r="M105" i="10"/>
  <c r="F105" i="10"/>
  <c r="E109" i="10" l="1"/>
  <c r="P105" i="10"/>
  <c r="AP105" i="10"/>
  <c r="W109" i="10"/>
  <c r="C110" i="10"/>
  <c r="AO110" i="10" s="1"/>
  <c r="J106" i="10"/>
  <c r="F106" i="10"/>
  <c r="M106" i="10"/>
  <c r="E110" i="10" l="1"/>
  <c r="P106" i="10"/>
  <c r="AP106" i="10"/>
  <c r="W110" i="10"/>
  <c r="C111" i="10"/>
  <c r="AO111" i="10" s="1"/>
  <c r="J107" i="10"/>
  <c r="F107" i="10"/>
  <c r="M107" i="10"/>
  <c r="E111" i="10" l="1"/>
  <c r="P107" i="10"/>
  <c r="AP107" i="10"/>
  <c r="W111" i="10"/>
  <c r="C112" i="10"/>
  <c r="AO112" i="10" s="1"/>
  <c r="J108" i="10"/>
  <c r="F108" i="10"/>
  <c r="M108" i="10"/>
  <c r="E112" i="10" l="1"/>
  <c r="P108" i="10"/>
  <c r="AP108" i="10"/>
  <c r="W112" i="10"/>
  <c r="C113" i="10"/>
  <c r="AO113" i="10" s="1"/>
  <c r="J109" i="10"/>
  <c r="M109" i="10"/>
  <c r="F109" i="10"/>
  <c r="P109" i="10" l="1"/>
  <c r="AP109" i="10"/>
  <c r="E113" i="10"/>
  <c r="W113" i="10"/>
  <c r="C114" i="10"/>
  <c r="AO114" i="10" s="1"/>
  <c r="J110" i="10"/>
  <c r="M110" i="10"/>
  <c r="F110" i="10"/>
  <c r="P110" i="10" l="1"/>
  <c r="AP110" i="10"/>
  <c r="E114" i="10"/>
  <c r="W114" i="10"/>
  <c r="C115" i="10"/>
  <c r="AO115" i="10" s="1"/>
  <c r="J111" i="10"/>
  <c r="F111" i="10"/>
  <c r="M111" i="10"/>
  <c r="E115" i="10" l="1"/>
  <c r="P111" i="10"/>
  <c r="AP111" i="10"/>
  <c r="W115" i="10"/>
  <c r="C116" i="10"/>
  <c r="AO116" i="10" s="1"/>
  <c r="J112" i="10"/>
  <c r="F112" i="10"/>
  <c r="M112" i="10"/>
  <c r="E116" i="10" l="1"/>
  <c r="P112" i="10"/>
  <c r="AP112" i="10"/>
  <c r="W116" i="10"/>
  <c r="C117" i="10"/>
  <c r="AO117" i="10" s="1"/>
  <c r="J113" i="10"/>
  <c r="M113" i="10"/>
  <c r="F113" i="10"/>
  <c r="E117" i="10" l="1"/>
  <c r="P113" i="10"/>
  <c r="AP113" i="10"/>
  <c r="W117" i="10"/>
  <c r="C118" i="10"/>
  <c r="AO118" i="10" s="1"/>
  <c r="J114" i="10"/>
  <c r="M114" i="10"/>
  <c r="F114" i="10"/>
  <c r="P114" i="10" l="1"/>
  <c r="AP114" i="10"/>
  <c r="E118" i="10"/>
  <c r="W118" i="10"/>
  <c r="C119" i="10"/>
  <c r="AO119" i="10" s="1"/>
  <c r="J115" i="10"/>
  <c r="M115" i="10"/>
  <c r="F115" i="10"/>
  <c r="E119" i="10" l="1"/>
  <c r="P115" i="10"/>
  <c r="AP115" i="10"/>
  <c r="W119" i="10"/>
  <c r="C120" i="10"/>
  <c r="AO120" i="10" s="1"/>
  <c r="J116" i="10"/>
  <c r="F116" i="10"/>
  <c r="M116" i="10"/>
  <c r="E120" i="10" l="1"/>
  <c r="P116" i="10"/>
  <c r="AP116" i="10"/>
  <c r="W120" i="10"/>
  <c r="C121" i="10"/>
  <c r="AO121" i="10" s="1"/>
  <c r="J117" i="10"/>
  <c r="F117" i="10"/>
  <c r="M117" i="10"/>
  <c r="E121" i="10" l="1"/>
  <c r="P117" i="10"/>
  <c r="AP117" i="10"/>
  <c r="W121" i="10"/>
  <c r="C122" i="10"/>
  <c r="AO122" i="10" s="1"/>
  <c r="F118" i="10"/>
  <c r="M118" i="10"/>
  <c r="E122" i="10" l="1"/>
  <c r="P118" i="10"/>
  <c r="AP118" i="10"/>
  <c r="W122" i="10"/>
  <c r="C123" i="10"/>
  <c r="AO123" i="10" s="1"/>
  <c r="J119" i="10"/>
  <c r="F119" i="10"/>
  <c r="M119" i="10"/>
  <c r="E123" i="10" l="1"/>
  <c r="P119" i="10"/>
  <c r="AP119" i="10"/>
  <c r="W123" i="10"/>
  <c r="C124" i="10"/>
  <c r="AO124" i="10" s="1"/>
  <c r="J120" i="10"/>
  <c r="F120" i="10"/>
  <c r="M120" i="10"/>
  <c r="E124" i="10" l="1"/>
  <c r="P120" i="10"/>
  <c r="AP120" i="10"/>
  <c r="W124" i="10"/>
  <c r="C125" i="10"/>
  <c r="AO125" i="10" s="1"/>
  <c r="J121" i="10"/>
  <c r="M121" i="10"/>
  <c r="F121" i="10"/>
  <c r="P121" i="10" l="1"/>
  <c r="AP121" i="10"/>
  <c r="E125" i="10"/>
  <c r="W125" i="10"/>
  <c r="C126" i="10"/>
  <c r="AO126" i="10" s="1"/>
  <c r="J122" i="10"/>
  <c r="M122" i="10"/>
  <c r="F122" i="10"/>
  <c r="P122" i="10" l="1"/>
  <c r="AP122" i="10"/>
  <c r="E126" i="10"/>
  <c r="W126" i="10"/>
  <c r="C127" i="10"/>
  <c r="AO127" i="10" s="1"/>
  <c r="J123" i="10"/>
  <c r="F123" i="10"/>
  <c r="M123" i="10"/>
  <c r="E127" i="10" l="1"/>
  <c r="P123" i="10"/>
  <c r="AP123" i="10"/>
  <c r="W127" i="10"/>
  <c r="C128" i="10"/>
  <c r="AO128" i="10" s="1"/>
  <c r="J124" i="10"/>
  <c r="F124" i="10"/>
  <c r="M124" i="10"/>
  <c r="E128" i="10" l="1"/>
  <c r="P124" i="10"/>
  <c r="AP124" i="10"/>
  <c r="W128" i="10"/>
  <c r="C129" i="10"/>
  <c r="AO129" i="10" s="1"/>
  <c r="J125" i="10"/>
  <c r="F125" i="10"/>
  <c r="M125" i="10"/>
  <c r="E129" i="10" l="1"/>
  <c r="P125" i="10"/>
  <c r="AP125" i="10"/>
  <c r="W129" i="10"/>
  <c r="C130" i="10"/>
  <c r="AO130" i="10" s="1"/>
  <c r="J126" i="10"/>
  <c r="M126" i="10"/>
  <c r="F126" i="10"/>
  <c r="P126" i="10" l="1"/>
  <c r="AP126" i="10"/>
  <c r="E130" i="10"/>
  <c r="W130" i="10"/>
  <c r="C131" i="10"/>
  <c r="AO131" i="10" s="1"/>
  <c r="J127" i="10"/>
  <c r="F127" i="10"/>
  <c r="M127" i="10"/>
  <c r="E131" i="10" l="1"/>
  <c r="P127" i="10"/>
  <c r="AP127" i="10"/>
  <c r="W131" i="10"/>
  <c r="C132" i="10"/>
  <c r="AO132" i="10" s="1"/>
  <c r="J128" i="10"/>
  <c r="F128" i="10"/>
  <c r="M128" i="10"/>
  <c r="E132" i="10" l="1"/>
  <c r="P128" i="10"/>
  <c r="AP128" i="10"/>
  <c r="W132" i="10"/>
  <c r="C133" i="10"/>
  <c r="AO133" i="10" s="1"/>
  <c r="J129" i="10"/>
  <c r="M129" i="10"/>
  <c r="F129" i="10"/>
  <c r="P129" i="10" l="1"/>
  <c r="AP129" i="10"/>
  <c r="E133" i="10"/>
  <c r="W133" i="10"/>
  <c r="C134" i="10"/>
  <c r="AO134" i="10" s="1"/>
  <c r="J130" i="10"/>
  <c r="M130" i="10"/>
  <c r="F130" i="10"/>
  <c r="E134" i="10" l="1"/>
  <c r="P130" i="10"/>
  <c r="AP130" i="10"/>
  <c r="W134" i="10"/>
  <c r="C135" i="10"/>
  <c r="AO135" i="10" s="1"/>
  <c r="J131" i="10"/>
  <c r="M131" i="10"/>
  <c r="F131" i="10"/>
  <c r="E135" i="10" l="1"/>
  <c r="P131" i="10"/>
  <c r="AP131" i="10"/>
  <c r="W135" i="10"/>
  <c r="C136" i="10"/>
  <c r="AO136" i="10" s="1"/>
  <c r="J132" i="10"/>
  <c r="F132" i="10"/>
  <c r="M132" i="10"/>
  <c r="E136" i="10" l="1"/>
  <c r="P132" i="10"/>
  <c r="AP132" i="10"/>
  <c r="W136" i="10"/>
  <c r="C137" i="10"/>
  <c r="AO137" i="10" s="1"/>
  <c r="J133" i="10"/>
  <c r="F133" i="10"/>
  <c r="M133" i="10"/>
  <c r="E137" i="10" l="1"/>
  <c r="P133" i="10"/>
  <c r="AP133" i="10"/>
  <c r="W137" i="10"/>
  <c r="C138" i="10"/>
  <c r="AO138" i="10" s="1"/>
  <c r="J134" i="10"/>
  <c r="F134" i="10"/>
  <c r="M134" i="10"/>
  <c r="E138" i="10" l="1"/>
  <c r="P134" i="10"/>
  <c r="AP134" i="10"/>
  <c r="W138" i="10"/>
  <c r="C139" i="10"/>
  <c r="AO139" i="10" s="1"/>
  <c r="J135" i="10"/>
  <c r="F135" i="10"/>
  <c r="M135" i="10"/>
  <c r="E139" i="10" l="1"/>
  <c r="P135" i="10"/>
  <c r="AP135" i="10"/>
  <c r="W139" i="10"/>
  <c r="C140" i="10"/>
  <c r="AO140" i="10" s="1"/>
  <c r="J136" i="10"/>
  <c r="F136" i="10"/>
  <c r="M136" i="10"/>
  <c r="E140" i="10" l="1"/>
  <c r="P136" i="10"/>
  <c r="AP136" i="10"/>
  <c r="W140" i="10"/>
  <c r="C141" i="10"/>
  <c r="AO141" i="10" s="1"/>
  <c r="J137" i="10"/>
  <c r="M137" i="10"/>
  <c r="F137" i="10"/>
  <c r="P137" i="10" l="1"/>
  <c r="AP137" i="10"/>
  <c r="E141" i="10"/>
  <c r="W141" i="10"/>
  <c r="C142" i="10"/>
  <c r="AO142" i="10" s="1"/>
  <c r="J138" i="10"/>
  <c r="M138" i="10"/>
  <c r="F138" i="10"/>
  <c r="P138" i="10" l="1"/>
  <c r="AP138" i="10"/>
  <c r="E142" i="10"/>
  <c r="W142" i="10"/>
  <c r="C143" i="10"/>
  <c r="AO143" i="10" s="1"/>
  <c r="J139" i="10"/>
  <c r="F139" i="10"/>
  <c r="M139" i="10"/>
  <c r="E143" i="10" l="1"/>
  <c r="P139" i="10"/>
  <c r="AP139" i="10"/>
  <c r="W143" i="10"/>
  <c r="C144" i="10"/>
  <c r="AO144" i="10" s="1"/>
  <c r="J140" i="10"/>
  <c r="F140" i="10"/>
  <c r="M140" i="10"/>
  <c r="E144" i="10" l="1"/>
  <c r="P140" i="10"/>
  <c r="AP140" i="10"/>
  <c r="W144" i="10"/>
  <c r="C145" i="10"/>
  <c r="AO145" i="10" s="1"/>
  <c r="J141" i="10"/>
  <c r="F141" i="10"/>
  <c r="M141" i="10"/>
  <c r="E145" i="10" l="1"/>
  <c r="P141" i="10"/>
  <c r="AP141" i="10"/>
  <c r="W145" i="10"/>
  <c r="C146" i="10"/>
  <c r="AO146" i="10" s="1"/>
  <c r="J142" i="10"/>
  <c r="M142" i="10"/>
  <c r="F142" i="10"/>
  <c r="P142" i="10" l="1"/>
  <c r="AP142" i="10"/>
  <c r="E146" i="10"/>
  <c r="W146" i="10"/>
  <c r="C147" i="10"/>
  <c r="AO147" i="10" s="1"/>
  <c r="J143" i="10"/>
  <c r="F143" i="10"/>
  <c r="M143" i="10"/>
  <c r="E147" i="10" l="1"/>
  <c r="P143" i="10"/>
  <c r="AP143" i="10"/>
  <c r="W147" i="10"/>
  <c r="C148" i="10"/>
  <c r="AO148" i="10" s="1"/>
  <c r="J144" i="10"/>
  <c r="F144" i="10"/>
  <c r="M144" i="10"/>
  <c r="E148" i="10" l="1"/>
  <c r="P144" i="10"/>
  <c r="AP144" i="10"/>
  <c r="W148" i="10"/>
  <c r="C149" i="10"/>
  <c r="AO149" i="10" s="1"/>
  <c r="J145" i="10"/>
  <c r="M145" i="10"/>
  <c r="F145" i="10"/>
  <c r="E149" i="10" l="1"/>
  <c r="P145" i="10"/>
  <c r="AP145" i="10"/>
  <c r="W149" i="10"/>
  <c r="C150" i="10"/>
  <c r="AO150" i="10" s="1"/>
  <c r="J146" i="10"/>
  <c r="M146" i="10"/>
  <c r="F146" i="10"/>
  <c r="P146" i="10" l="1"/>
  <c r="AP146" i="10"/>
  <c r="E150" i="10"/>
  <c r="W150" i="10"/>
  <c r="C151" i="10"/>
  <c r="AO151" i="10" s="1"/>
  <c r="J147" i="10"/>
  <c r="M147" i="10"/>
  <c r="F147" i="10"/>
  <c r="P147" i="10" l="1"/>
  <c r="AP147" i="10"/>
  <c r="E151" i="10"/>
  <c r="W151" i="10"/>
  <c r="C152" i="10"/>
  <c r="AO152" i="10" s="1"/>
  <c r="J148" i="10"/>
  <c r="F148" i="10"/>
  <c r="M148" i="10"/>
  <c r="E152" i="10" l="1"/>
  <c r="P148" i="10"/>
  <c r="AP148" i="10"/>
  <c r="W152" i="10"/>
  <c r="C153" i="10"/>
  <c r="AO153" i="10" s="1"/>
  <c r="J149" i="10"/>
  <c r="F149" i="10"/>
  <c r="M149" i="10"/>
  <c r="E153" i="10" l="1"/>
  <c r="P149" i="10"/>
  <c r="AP149" i="10"/>
  <c r="W153" i="10"/>
  <c r="C154" i="10"/>
  <c r="AO154" i="10" s="1"/>
  <c r="J150" i="10"/>
  <c r="F150" i="10"/>
  <c r="M150" i="10"/>
  <c r="E154" i="10" l="1"/>
  <c r="P150" i="10"/>
  <c r="AP150" i="10"/>
  <c r="W154" i="10"/>
  <c r="C155" i="10"/>
  <c r="AO155" i="10" s="1"/>
  <c r="J151" i="10"/>
  <c r="F151" i="10"/>
  <c r="M151" i="10"/>
  <c r="E155" i="10" l="1"/>
  <c r="P151" i="10"/>
  <c r="AP151" i="10"/>
  <c r="W155" i="10"/>
  <c r="C156" i="10"/>
  <c r="AO156" i="10" s="1"/>
  <c r="J152" i="10"/>
  <c r="F152" i="10"/>
  <c r="M152" i="10"/>
  <c r="E156" i="10" l="1"/>
  <c r="P152" i="10"/>
  <c r="AP152" i="10"/>
  <c r="W156" i="10"/>
  <c r="C157" i="10"/>
  <c r="AO157" i="10" s="1"/>
  <c r="J153" i="10"/>
  <c r="M153" i="10"/>
  <c r="E5" i="10"/>
  <c r="P153" i="10" l="1"/>
  <c r="AP153" i="10"/>
  <c r="H157" i="10"/>
  <c r="AP157" i="10"/>
  <c r="G157" i="10"/>
  <c r="E157" i="10"/>
  <c r="V157" i="10"/>
  <c r="AA157" i="10" s="1"/>
  <c r="W157" i="10"/>
  <c r="AB157" i="10" s="1"/>
  <c r="C158" i="10"/>
  <c r="AO158" i="10" s="1"/>
  <c r="J154" i="10"/>
  <c r="M154" i="10"/>
  <c r="F154" i="10"/>
  <c r="F153" i="10"/>
  <c r="P154" i="10" l="1"/>
  <c r="AP154" i="10"/>
  <c r="H158" i="10"/>
  <c r="AP158" i="10"/>
  <c r="G158" i="10"/>
  <c r="E158" i="10"/>
  <c r="V158" i="10"/>
  <c r="AA158" i="10" s="1"/>
  <c r="W158" i="10"/>
  <c r="AB158" i="10" s="1"/>
  <c r="C159" i="10"/>
  <c r="AO159" i="10" s="1"/>
  <c r="J155" i="10"/>
  <c r="F155" i="10"/>
  <c r="M155" i="10"/>
  <c r="P155" i="10" l="1"/>
  <c r="AP155" i="10"/>
  <c r="H159" i="10"/>
  <c r="AP159" i="10"/>
  <c r="E159" i="10"/>
  <c r="G159" i="10"/>
  <c r="V159" i="10"/>
  <c r="AA159" i="10" s="1"/>
  <c r="W159" i="10"/>
  <c r="AB159" i="10" s="1"/>
  <c r="C160" i="10"/>
  <c r="AO160" i="10" s="1"/>
  <c r="F156" i="10"/>
  <c r="M156" i="10"/>
  <c r="P156" i="10" l="1"/>
  <c r="AP156" i="10"/>
  <c r="H160" i="10"/>
  <c r="AP160" i="10"/>
  <c r="G160" i="10"/>
  <c r="E160" i="10"/>
  <c r="W160" i="10"/>
  <c r="AB160" i="10" s="1"/>
  <c r="V160" i="10"/>
  <c r="AA160" i="10" s="1"/>
  <c r="C161" i="10"/>
  <c r="AO161" i="10" s="1"/>
  <c r="J157" i="10"/>
  <c r="F157" i="10"/>
  <c r="M157" i="10"/>
  <c r="P157" i="10" s="1"/>
  <c r="H161" i="10" l="1"/>
  <c r="AP161" i="10"/>
  <c r="G161" i="10"/>
  <c r="E161" i="10"/>
  <c r="W161" i="10"/>
  <c r="AB161" i="10" s="1"/>
  <c r="V161" i="10"/>
  <c r="AA161" i="10" s="1"/>
  <c r="C162" i="10"/>
  <c r="AO162" i="10" s="1"/>
  <c r="J158" i="10"/>
  <c r="M158" i="10"/>
  <c r="P158" i="10" s="1"/>
  <c r="F158" i="10"/>
  <c r="H162" i="10" l="1"/>
  <c r="AP162" i="10"/>
  <c r="E162" i="10"/>
  <c r="G162" i="10"/>
  <c r="W162" i="10"/>
  <c r="AB162" i="10" s="1"/>
  <c r="V162" i="10"/>
  <c r="AA162" i="10" s="1"/>
  <c r="C163" i="10"/>
  <c r="AO163" i="10" s="1"/>
  <c r="J159" i="10"/>
  <c r="F159" i="10"/>
  <c r="M159" i="10"/>
  <c r="P159" i="10" s="1"/>
  <c r="H163" i="10" l="1"/>
  <c r="AP163" i="10"/>
  <c r="E163" i="10"/>
  <c r="G163" i="10"/>
  <c r="V163" i="10"/>
  <c r="AA163" i="10" s="1"/>
  <c r="W163" i="10"/>
  <c r="AB163" i="10" s="1"/>
  <c r="C164" i="10"/>
  <c r="AO164" i="10" s="1"/>
  <c r="J160" i="10"/>
  <c r="F160" i="10"/>
  <c r="M160" i="10"/>
  <c r="P160" i="10" s="1"/>
  <c r="H164" i="10" l="1"/>
  <c r="AP164" i="10"/>
  <c r="G164" i="10"/>
  <c r="E164" i="10"/>
  <c r="W164" i="10"/>
  <c r="AB164" i="10" s="1"/>
  <c r="V164" i="10"/>
  <c r="AA164" i="10" s="1"/>
  <c r="C165" i="10"/>
  <c r="AO165" i="10" s="1"/>
  <c r="J161" i="10"/>
  <c r="M161" i="10"/>
  <c r="P161" i="10" s="1"/>
  <c r="F161" i="10"/>
  <c r="H165" i="10" l="1"/>
  <c r="AP165" i="10"/>
  <c r="G165" i="10"/>
  <c r="E165" i="10"/>
  <c r="V165" i="10"/>
  <c r="AA165" i="10" s="1"/>
  <c r="W165" i="10"/>
  <c r="AB165" i="10" s="1"/>
  <c r="C166" i="10"/>
  <c r="AO166" i="10" s="1"/>
  <c r="J162" i="10"/>
  <c r="F162" i="10"/>
  <c r="M162" i="10"/>
  <c r="P162" i="10" s="1"/>
  <c r="H166" i="10" l="1"/>
  <c r="AP166" i="10"/>
  <c r="G166" i="10"/>
  <c r="E166" i="10"/>
  <c r="W166" i="10"/>
  <c r="AB166" i="10" s="1"/>
  <c r="V166" i="10"/>
  <c r="AA166" i="10" s="1"/>
  <c r="C167" i="10"/>
  <c r="AO167" i="10" s="1"/>
  <c r="J163" i="10"/>
  <c r="M163" i="10"/>
  <c r="P163" i="10" s="1"/>
  <c r="F163" i="10"/>
  <c r="H167" i="10" l="1"/>
  <c r="AP167" i="10"/>
  <c r="G167" i="10"/>
  <c r="E167" i="10"/>
  <c r="V167" i="10"/>
  <c r="AA167" i="10" s="1"/>
  <c r="W167" i="10"/>
  <c r="AB167" i="10" s="1"/>
  <c r="C168" i="10"/>
  <c r="AO168" i="10" s="1"/>
  <c r="J164" i="10"/>
  <c r="F164" i="10"/>
  <c r="M164" i="10"/>
  <c r="P164" i="10" s="1"/>
  <c r="H168" i="10" l="1"/>
  <c r="AP168" i="10"/>
  <c r="G168" i="10"/>
  <c r="E168" i="10"/>
  <c r="W168" i="10"/>
  <c r="AB168" i="10" s="1"/>
  <c r="V168" i="10"/>
  <c r="AA168" i="10" s="1"/>
  <c r="C169" i="10"/>
  <c r="AO169" i="10" s="1"/>
  <c r="J165" i="10"/>
  <c r="F165" i="10"/>
  <c r="M165" i="10"/>
  <c r="P165" i="10" s="1"/>
  <c r="H169" i="10" l="1"/>
  <c r="AP169" i="10"/>
  <c r="G169" i="10"/>
  <c r="E169" i="10"/>
  <c r="W169" i="10"/>
  <c r="AB169" i="10" s="1"/>
  <c r="V169" i="10"/>
  <c r="AA169" i="10" s="1"/>
  <c r="C170" i="10"/>
  <c r="AO170" i="10" s="1"/>
  <c r="J166" i="10"/>
  <c r="F166" i="10"/>
  <c r="M166" i="10"/>
  <c r="P166" i="10" s="1"/>
  <c r="H170" i="10" l="1"/>
  <c r="AP170" i="10"/>
  <c r="E170" i="10"/>
  <c r="G170" i="10"/>
  <c r="W170" i="10"/>
  <c r="AB170" i="10" s="1"/>
  <c r="V170" i="10"/>
  <c r="AA170" i="10" s="1"/>
  <c r="C171" i="10"/>
  <c r="AO171" i="10" s="1"/>
  <c r="J167" i="10"/>
  <c r="M167" i="10"/>
  <c r="P167" i="10" s="1"/>
  <c r="F167" i="10"/>
  <c r="H171" i="10" l="1"/>
  <c r="AP171" i="10"/>
  <c r="G171" i="10"/>
  <c r="E171" i="10"/>
  <c r="V171" i="10"/>
  <c r="AA171" i="10" s="1"/>
  <c r="W171" i="10"/>
  <c r="AB171" i="10" s="1"/>
  <c r="C172" i="10"/>
  <c r="AO172" i="10" s="1"/>
  <c r="J168" i="10"/>
  <c r="F168" i="10"/>
  <c r="M168" i="10"/>
  <c r="P168" i="10" s="1"/>
  <c r="H172" i="10" l="1"/>
  <c r="AP172" i="10"/>
  <c r="G172" i="10"/>
  <c r="E172" i="10"/>
  <c r="W172" i="10"/>
  <c r="AB172" i="10" s="1"/>
  <c r="V172" i="10"/>
  <c r="AA172" i="10" s="1"/>
  <c r="C173" i="10"/>
  <c r="AO173" i="10" s="1"/>
  <c r="J169" i="10"/>
  <c r="F169" i="10"/>
  <c r="M169" i="10"/>
  <c r="P169" i="10" s="1"/>
  <c r="H173" i="10" l="1"/>
  <c r="AP173" i="10"/>
  <c r="G173" i="10"/>
  <c r="E173" i="10"/>
  <c r="V173" i="10"/>
  <c r="AA173" i="10" s="1"/>
  <c r="W173" i="10"/>
  <c r="AB173" i="10" s="1"/>
  <c r="C174" i="10"/>
  <c r="AO174" i="10" s="1"/>
  <c r="J170" i="10"/>
  <c r="F170" i="10"/>
  <c r="M170" i="10"/>
  <c r="P170" i="10" s="1"/>
  <c r="H174" i="10" l="1"/>
  <c r="AP174" i="10"/>
  <c r="G174" i="10"/>
  <c r="E174" i="10"/>
  <c r="V174" i="10"/>
  <c r="AA174" i="10" s="1"/>
  <c r="W174" i="10"/>
  <c r="AB174" i="10" s="1"/>
  <c r="C175" i="10"/>
  <c r="AO175" i="10" s="1"/>
  <c r="J171" i="10"/>
  <c r="M171" i="10"/>
  <c r="P171" i="10" s="1"/>
  <c r="F171" i="10"/>
  <c r="H175" i="10" l="1"/>
  <c r="AP175" i="10"/>
  <c r="G175" i="10"/>
  <c r="E175" i="10"/>
  <c r="V175" i="10"/>
  <c r="AA175" i="10" s="1"/>
  <c r="W175" i="10"/>
  <c r="AB175" i="10" s="1"/>
  <c r="C176" i="10"/>
  <c r="AO176" i="10" s="1"/>
  <c r="J172" i="10"/>
  <c r="M172" i="10"/>
  <c r="P172" i="10" s="1"/>
  <c r="F172" i="10"/>
  <c r="H176" i="10" l="1"/>
  <c r="AP176" i="10"/>
  <c r="G176" i="10"/>
  <c r="E176" i="10"/>
  <c r="W176" i="10"/>
  <c r="AB176" i="10" s="1"/>
  <c r="V176" i="10"/>
  <c r="AA176" i="10" s="1"/>
  <c r="C177" i="10"/>
  <c r="AO177" i="10" s="1"/>
  <c r="J173" i="10"/>
  <c r="F173" i="10"/>
  <c r="M173" i="10"/>
  <c r="P173" i="10" s="1"/>
  <c r="H177" i="10" l="1"/>
  <c r="AP177" i="10"/>
  <c r="G177" i="10"/>
  <c r="E177" i="10"/>
  <c r="W177" i="10"/>
  <c r="AB177" i="10" s="1"/>
  <c r="V177" i="10"/>
  <c r="AA177" i="10" s="1"/>
  <c r="C178" i="10"/>
  <c r="AO178" i="10" s="1"/>
  <c r="J174" i="10"/>
  <c r="F174" i="10"/>
  <c r="M174" i="10"/>
  <c r="P174" i="10" s="1"/>
  <c r="H178" i="10" l="1"/>
  <c r="AP178" i="10"/>
  <c r="G178" i="10"/>
  <c r="E178" i="10"/>
  <c r="W178" i="10"/>
  <c r="AB178" i="10" s="1"/>
  <c r="V178" i="10"/>
  <c r="AA178" i="10" s="1"/>
  <c r="C179" i="10"/>
  <c r="AO179" i="10" s="1"/>
  <c r="J175" i="10"/>
  <c r="M175" i="10"/>
  <c r="P175" i="10" s="1"/>
  <c r="F175" i="10"/>
  <c r="H179" i="10" l="1"/>
  <c r="AP179" i="10"/>
  <c r="G179" i="10"/>
  <c r="E179" i="10"/>
  <c r="V179" i="10"/>
  <c r="AA179" i="10" s="1"/>
  <c r="W179" i="10"/>
  <c r="AB179" i="10" s="1"/>
  <c r="C180" i="10"/>
  <c r="AO180" i="10" s="1"/>
  <c r="J176" i="10"/>
  <c r="M176" i="10"/>
  <c r="P176" i="10" s="1"/>
  <c r="F176" i="10"/>
  <c r="H180" i="10" l="1"/>
  <c r="AP180" i="10"/>
  <c r="G180" i="10"/>
  <c r="E180" i="10"/>
  <c r="W180" i="10"/>
  <c r="AB180" i="10" s="1"/>
  <c r="V180" i="10"/>
  <c r="AA180" i="10" s="1"/>
  <c r="C181" i="10"/>
  <c r="AO181" i="10" s="1"/>
  <c r="J177" i="10"/>
  <c r="F177" i="10"/>
  <c r="M177" i="10"/>
  <c r="P177" i="10" s="1"/>
  <c r="H181" i="10" l="1"/>
  <c r="AP181" i="10"/>
  <c r="G181" i="10"/>
  <c r="E181" i="10"/>
  <c r="AB181" i="10"/>
  <c r="V181" i="10"/>
  <c r="AA181" i="10" s="1"/>
  <c r="W181" i="10"/>
  <c r="C182" i="10"/>
  <c r="AO182" i="10" s="1"/>
  <c r="J178" i="10"/>
  <c r="F178" i="10"/>
  <c r="M178" i="10"/>
  <c r="P178" i="10" s="1"/>
  <c r="H182" i="10" l="1"/>
  <c r="AP182" i="10"/>
  <c r="G182" i="10"/>
  <c r="E182" i="10"/>
  <c r="W182" i="10"/>
  <c r="AB182" i="10" s="1"/>
  <c r="V182" i="10"/>
  <c r="AA182" i="10" s="1"/>
  <c r="C183" i="10"/>
  <c r="AO183" i="10" s="1"/>
  <c r="J179" i="10"/>
  <c r="M179" i="10"/>
  <c r="P179" i="10" s="1"/>
  <c r="F179" i="10"/>
  <c r="H183" i="10" l="1"/>
  <c r="AP183" i="10"/>
  <c r="G183" i="10"/>
  <c r="E183" i="10"/>
  <c r="V183" i="10"/>
  <c r="AA183" i="10" s="1"/>
  <c r="W183" i="10"/>
  <c r="AB183" i="10" s="1"/>
  <c r="C184" i="10"/>
  <c r="AO184" i="10" s="1"/>
  <c r="J180" i="10"/>
  <c r="M180" i="10"/>
  <c r="P180" i="10" s="1"/>
  <c r="F180" i="10"/>
  <c r="H184" i="10" l="1"/>
  <c r="AP184" i="10"/>
  <c r="G184" i="10"/>
  <c r="E184" i="10"/>
  <c r="W184" i="10"/>
  <c r="AB184" i="10" s="1"/>
  <c r="V184" i="10"/>
  <c r="AA184" i="10" s="1"/>
  <c r="C185" i="10"/>
  <c r="AO185" i="10" s="1"/>
  <c r="J181" i="10"/>
  <c r="M181" i="10"/>
  <c r="P181" i="10" s="1"/>
  <c r="F181" i="10"/>
  <c r="H185" i="10" l="1"/>
  <c r="AP185" i="10"/>
  <c r="G185" i="10"/>
  <c r="E185" i="10"/>
  <c r="W185" i="10"/>
  <c r="AB185" i="10" s="1"/>
  <c r="V185" i="10"/>
  <c r="AA185" i="10" s="1"/>
  <c r="C186" i="10"/>
  <c r="AO186" i="10" s="1"/>
  <c r="J182" i="10"/>
  <c r="F182" i="10"/>
  <c r="M182" i="10"/>
  <c r="P182" i="10" s="1"/>
  <c r="H186" i="10" l="1"/>
  <c r="AP186" i="10"/>
  <c r="E186" i="10"/>
  <c r="G186" i="10"/>
  <c r="W186" i="10"/>
  <c r="AB186" i="10" s="1"/>
  <c r="V186" i="10"/>
  <c r="AA186" i="10" s="1"/>
  <c r="C187" i="10"/>
  <c r="AO187" i="10" s="1"/>
  <c r="J183" i="10"/>
  <c r="F183" i="10"/>
  <c r="M183" i="10"/>
  <c r="P183" i="10" s="1"/>
  <c r="H187" i="10" l="1"/>
  <c r="AP187" i="10"/>
  <c r="G187" i="10"/>
  <c r="E187" i="10"/>
  <c r="V187" i="10"/>
  <c r="AA187" i="10" s="1"/>
  <c r="W187" i="10"/>
  <c r="AB187" i="10" s="1"/>
  <c r="C188" i="10"/>
  <c r="AO188" i="10" s="1"/>
  <c r="J184" i="10"/>
  <c r="M184" i="10"/>
  <c r="P184" i="10" s="1"/>
  <c r="F184" i="10"/>
  <c r="H188" i="10" l="1"/>
  <c r="AP188" i="10"/>
  <c r="G188" i="10"/>
  <c r="E188" i="10"/>
  <c r="W188" i="10"/>
  <c r="AB188" i="10" s="1"/>
  <c r="V188" i="10"/>
  <c r="AA188" i="10" s="1"/>
  <c r="C189" i="10"/>
  <c r="AO189" i="10" s="1"/>
  <c r="J185" i="10"/>
  <c r="F185" i="10"/>
  <c r="M185" i="10"/>
  <c r="P185" i="10" s="1"/>
  <c r="H189" i="10" l="1"/>
  <c r="AP189" i="10"/>
  <c r="G189" i="10"/>
  <c r="E189" i="10"/>
  <c r="V189" i="10"/>
  <c r="AA189" i="10" s="1"/>
  <c r="W189" i="10"/>
  <c r="AB189" i="10" s="1"/>
  <c r="C190" i="10"/>
  <c r="AO190" i="10" s="1"/>
  <c r="J186" i="10"/>
  <c r="F186" i="10"/>
  <c r="M186" i="10"/>
  <c r="P186" i="10" s="1"/>
  <c r="H190" i="10" l="1"/>
  <c r="AP190" i="10"/>
  <c r="G190" i="10"/>
  <c r="E190" i="10"/>
  <c r="W190" i="10"/>
  <c r="AB190" i="10" s="1"/>
  <c r="V190" i="10"/>
  <c r="AA190" i="10" s="1"/>
  <c r="C191" i="10"/>
  <c r="AO191" i="10" s="1"/>
  <c r="J187" i="10"/>
  <c r="M187" i="10"/>
  <c r="P187" i="10" s="1"/>
  <c r="F187" i="10"/>
  <c r="H191" i="10" l="1"/>
  <c r="AP191" i="10"/>
  <c r="G191" i="10"/>
  <c r="E191" i="10"/>
  <c r="V191" i="10"/>
  <c r="AA191" i="10" s="1"/>
  <c r="W191" i="10"/>
  <c r="AB191" i="10" s="1"/>
  <c r="C192" i="10"/>
  <c r="AO192" i="10" s="1"/>
  <c r="J188" i="10"/>
  <c r="M188" i="10"/>
  <c r="P188" i="10" s="1"/>
  <c r="F188" i="10"/>
  <c r="H192" i="10" l="1"/>
  <c r="AP192" i="10"/>
  <c r="G192" i="10"/>
  <c r="E192" i="10"/>
  <c r="V192" i="10"/>
  <c r="AA192" i="10" s="1"/>
  <c r="W192" i="10"/>
  <c r="AB192" i="10" s="1"/>
  <c r="C193" i="10"/>
  <c r="AO193" i="10" s="1"/>
  <c r="J189" i="10"/>
  <c r="M189" i="10"/>
  <c r="P189" i="10" s="1"/>
  <c r="F189" i="10"/>
  <c r="H193" i="10" l="1"/>
  <c r="AP193" i="10"/>
  <c r="G193" i="10"/>
  <c r="E193" i="10"/>
  <c r="W193" i="10"/>
  <c r="AB193" i="10" s="1"/>
  <c r="V193" i="10"/>
  <c r="AA193" i="10" s="1"/>
  <c r="C194" i="10"/>
  <c r="AO194" i="10" s="1"/>
  <c r="J190" i="10"/>
  <c r="F190" i="10"/>
  <c r="M190" i="10"/>
  <c r="P190" i="10" s="1"/>
  <c r="H194" i="10" l="1"/>
  <c r="AP194" i="10"/>
  <c r="E194" i="10"/>
  <c r="G194" i="10"/>
  <c r="W194" i="10"/>
  <c r="AB194" i="10" s="1"/>
  <c r="V194" i="10"/>
  <c r="AA194" i="10" s="1"/>
  <c r="C195" i="10"/>
  <c r="AO195" i="10" s="1"/>
  <c r="J191" i="10"/>
  <c r="F191" i="10"/>
  <c r="M191" i="10"/>
  <c r="P191" i="10" s="1"/>
  <c r="H195" i="10" l="1"/>
  <c r="AP195" i="10"/>
  <c r="G195" i="10"/>
  <c r="E195" i="10"/>
  <c r="V195" i="10"/>
  <c r="AA195" i="10" s="1"/>
  <c r="W195" i="10"/>
  <c r="AB195" i="10" s="1"/>
  <c r="C196" i="10"/>
  <c r="AO196" i="10" s="1"/>
  <c r="J192" i="10"/>
  <c r="F192" i="10"/>
  <c r="M192" i="10"/>
  <c r="P192" i="10" s="1"/>
  <c r="H196" i="10" l="1"/>
  <c r="AP196" i="10"/>
  <c r="G196" i="10"/>
  <c r="E196" i="10"/>
  <c r="W196" i="10"/>
  <c r="AB196" i="10" s="1"/>
  <c r="V196" i="10"/>
  <c r="AA196" i="10" s="1"/>
  <c r="C197" i="10"/>
  <c r="AO197" i="10" s="1"/>
  <c r="J193" i="10"/>
  <c r="F193" i="10"/>
  <c r="M193" i="10"/>
  <c r="P193" i="10" s="1"/>
  <c r="H197" i="10" l="1"/>
  <c r="AP197" i="10"/>
  <c r="G197" i="10"/>
  <c r="E197" i="10"/>
  <c r="V197" i="10"/>
  <c r="AA197" i="10" s="1"/>
  <c r="W197" i="10"/>
  <c r="AB197" i="10" s="1"/>
  <c r="C198" i="10"/>
  <c r="AO198" i="10" s="1"/>
  <c r="J194" i="10"/>
  <c r="F194" i="10"/>
  <c r="M194" i="10"/>
  <c r="P194" i="10" s="1"/>
  <c r="H198" i="10" l="1"/>
  <c r="AP198" i="10"/>
  <c r="G198" i="10"/>
  <c r="E198" i="10"/>
  <c r="W198" i="10"/>
  <c r="AB198" i="10" s="1"/>
  <c r="V198" i="10"/>
  <c r="AA198" i="10" s="1"/>
  <c r="C199" i="10"/>
  <c r="AO199" i="10" s="1"/>
  <c r="J195" i="10"/>
  <c r="M195" i="10"/>
  <c r="P195" i="10" s="1"/>
  <c r="F195" i="10"/>
  <c r="H199" i="10" l="1"/>
  <c r="AP199" i="10"/>
  <c r="E199" i="10"/>
  <c r="G199" i="10"/>
  <c r="V199" i="10"/>
  <c r="AA199" i="10" s="1"/>
  <c r="W199" i="10"/>
  <c r="AB199" i="10" s="1"/>
  <c r="C200" i="10"/>
  <c r="AO200" i="10" s="1"/>
  <c r="J196" i="10"/>
  <c r="M196" i="10"/>
  <c r="P196" i="10" s="1"/>
  <c r="F196" i="10"/>
  <c r="H200" i="10" l="1"/>
  <c r="AP200" i="10"/>
  <c r="G200" i="10"/>
  <c r="E200" i="10"/>
  <c r="V200" i="10"/>
  <c r="AA200" i="10" s="1"/>
  <c r="W200" i="10"/>
  <c r="AB200" i="10" s="1"/>
  <c r="C201" i="10"/>
  <c r="AO201" i="10" s="1"/>
  <c r="J197" i="10"/>
  <c r="M197" i="10"/>
  <c r="P197" i="10" s="1"/>
  <c r="F197" i="10"/>
  <c r="H201" i="10" l="1"/>
  <c r="AP201" i="10"/>
  <c r="G201" i="10"/>
  <c r="E201" i="10"/>
  <c r="W201" i="10"/>
  <c r="AB201" i="10" s="1"/>
  <c r="V201" i="10"/>
  <c r="AA201" i="10" s="1"/>
  <c r="C202" i="10"/>
  <c r="AO202" i="10" s="1"/>
  <c r="J198" i="10"/>
  <c r="F198" i="10"/>
  <c r="M198" i="10"/>
  <c r="P198" i="10" s="1"/>
  <c r="H202" i="10" l="1"/>
  <c r="AP202" i="10"/>
  <c r="G202" i="10"/>
  <c r="E202" i="10"/>
  <c r="W202" i="10"/>
  <c r="AB202" i="10" s="1"/>
  <c r="V202" i="10"/>
  <c r="AA202" i="10" s="1"/>
  <c r="C203" i="10"/>
  <c r="AO203" i="10" s="1"/>
  <c r="J199" i="10"/>
  <c r="F199" i="10"/>
  <c r="M199" i="10"/>
  <c r="P199" i="10" s="1"/>
  <c r="H203" i="10" l="1"/>
  <c r="AP203" i="10"/>
  <c r="E203" i="10"/>
  <c r="G203" i="10"/>
  <c r="V203" i="10"/>
  <c r="AA203" i="10" s="1"/>
  <c r="W203" i="10"/>
  <c r="AB203" i="10" s="1"/>
  <c r="C204" i="10"/>
  <c r="AO204" i="10" s="1"/>
  <c r="J200" i="10"/>
  <c r="M200" i="10"/>
  <c r="P200" i="10" s="1"/>
  <c r="F200" i="10"/>
  <c r="H204" i="10" l="1"/>
  <c r="AP204" i="10"/>
  <c r="G204" i="10"/>
  <c r="E204" i="10"/>
  <c r="W204" i="10"/>
  <c r="AB204" i="10" s="1"/>
  <c r="V204" i="10"/>
  <c r="AA204" i="10" s="1"/>
  <c r="C205" i="10"/>
  <c r="AO205" i="10" s="1"/>
  <c r="J201" i="10"/>
  <c r="F201" i="10"/>
  <c r="M201" i="10"/>
  <c r="P201" i="10" s="1"/>
  <c r="H205" i="10" l="1"/>
  <c r="AP205" i="10"/>
  <c r="G205" i="10"/>
  <c r="E205" i="10"/>
  <c r="V205" i="10"/>
  <c r="AA205" i="10" s="1"/>
  <c r="W205" i="10"/>
  <c r="AB205" i="10" s="1"/>
  <c r="C206" i="10"/>
  <c r="AO206" i="10" s="1"/>
  <c r="J202" i="10"/>
  <c r="M202" i="10"/>
  <c r="P202" i="10" s="1"/>
  <c r="F202" i="10"/>
  <c r="H206" i="10" l="1"/>
  <c r="AP206" i="10"/>
  <c r="G206" i="10"/>
  <c r="E206" i="10"/>
  <c r="W206" i="10"/>
  <c r="AB206" i="10" s="1"/>
  <c r="V206" i="10"/>
  <c r="AA206" i="10" s="1"/>
  <c r="C207" i="10"/>
  <c r="AO207" i="10" s="1"/>
  <c r="J203" i="10"/>
  <c r="F203" i="10"/>
  <c r="M203" i="10"/>
  <c r="P203" i="10" s="1"/>
  <c r="H207" i="10" l="1"/>
  <c r="AP207" i="10"/>
  <c r="G207" i="10"/>
  <c r="E207" i="10"/>
  <c r="V207" i="10"/>
  <c r="AA207" i="10" s="1"/>
  <c r="W207" i="10"/>
  <c r="AB207" i="10" s="1"/>
  <c r="C208" i="10"/>
  <c r="AO208" i="10" s="1"/>
  <c r="J204" i="10"/>
  <c r="M204" i="10"/>
  <c r="P204" i="10" s="1"/>
  <c r="F204" i="10"/>
  <c r="H208" i="10" l="1"/>
  <c r="AP208" i="10"/>
  <c r="G208" i="10"/>
  <c r="E208" i="10"/>
  <c r="W208" i="10"/>
  <c r="AB208" i="10" s="1"/>
  <c r="V208" i="10"/>
  <c r="AA208" i="10" s="1"/>
  <c r="C209" i="10"/>
  <c r="AO209" i="10" s="1"/>
  <c r="J205" i="10"/>
  <c r="F205" i="10"/>
  <c r="M205" i="10"/>
  <c r="P205" i="10" s="1"/>
  <c r="H209" i="10" l="1"/>
  <c r="AP209" i="10"/>
  <c r="G209" i="10"/>
  <c r="E209" i="10"/>
  <c r="W209" i="10"/>
  <c r="AB209" i="10" s="1"/>
  <c r="V209" i="10"/>
  <c r="AA209" i="10" s="1"/>
  <c r="C210" i="10"/>
  <c r="AO210" i="10" s="1"/>
  <c r="J206" i="10"/>
  <c r="M206" i="10"/>
  <c r="P206" i="10" s="1"/>
  <c r="F206" i="10"/>
  <c r="H210" i="10" l="1"/>
  <c r="AP210" i="10"/>
  <c r="E210" i="10"/>
  <c r="G210" i="10"/>
  <c r="W210" i="10"/>
  <c r="AB210" i="10" s="1"/>
  <c r="V210" i="10"/>
  <c r="AA210" i="10" s="1"/>
  <c r="C211" i="10"/>
  <c r="AO211" i="10" s="1"/>
  <c r="J207" i="10"/>
  <c r="M207" i="10"/>
  <c r="P207" i="10" s="1"/>
  <c r="F207" i="10"/>
  <c r="H211" i="10" l="1"/>
  <c r="AP211" i="10"/>
  <c r="E211" i="10"/>
  <c r="G211" i="10"/>
  <c r="V211" i="10"/>
  <c r="AA211" i="10" s="1"/>
  <c r="W211" i="10"/>
  <c r="AB211" i="10" s="1"/>
  <c r="C212" i="10"/>
  <c r="AO212" i="10" s="1"/>
  <c r="J208" i="10"/>
  <c r="F208" i="10"/>
  <c r="M208" i="10"/>
  <c r="P208" i="10" s="1"/>
  <c r="H212" i="10" l="1"/>
  <c r="AP212" i="10"/>
  <c r="G212" i="10"/>
  <c r="E212" i="10"/>
  <c r="W212" i="10"/>
  <c r="AB212" i="10" s="1"/>
  <c r="V212" i="10"/>
  <c r="AA212" i="10" s="1"/>
  <c r="C213" i="10"/>
  <c r="AO213" i="10" s="1"/>
  <c r="J209" i="10"/>
  <c r="F209" i="10"/>
  <c r="M209" i="10"/>
  <c r="P209" i="10" s="1"/>
  <c r="H213" i="10" l="1"/>
  <c r="AP213" i="10"/>
  <c r="G213" i="10"/>
  <c r="E213" i="10"/>
  <c r="V213" i="10"/>
  <c r="AA213" i="10" s="1"/>
  <c r="W213" i="10"/>
  <c r="AB213" i="10" s="1"/>
  <c r="C214" i="10"/>
  <c r="AO214" i="10" s="1"/>
  <c r="J210" i="10"/>
  <c r="M210" i="10"/>
  <c r="P210" i="10" s="1"/>
  <c r="F210" i="10"/>
  <c r="H214" i="10" l="1"/>
  <c r="AP214" i="10"/>
  <c r="G214" i="10"/>
  <c r="E214" i="10"/>
  <c r="V214" i="10"/>
  <c r="AA214" i="10" s="1"/>
  <c r="W214" i="10"/>
  <c r="AB214" i="10" s="1"/>
  <c r="C215" i="10"/>
  <c r="AO215" i="10" s="1"/>
  <c r="J211" i="10"/>
  <c r="M211" i="10"/>
  <c r="P211" i="10" s="1"/>
  <c r="F211" i="10"/>
  <c r="H215" i="10" l="1"/>
  <c r="AP215" i="10"/>
  <c r="E215" i="10"/>
  <c r="G215" i="10"/>
  <c r="W215" i="10"/>
  <c r="AB215" i="10" s="1"/>
  <c r="V215" i="10"/>
  <c r="AA215" i="10" s="1"/>
  <c r="C216" i="10"/>
  <c r="AO216" i="10" s="1"/>
  <c r="J212" i="10"/>
  <c r="F212" i="10"/>
  <c r="M212" i="10"/>
  <c r="P212" i="10" s="1"/>
  <c r="H216" i="10" l="1"/>
  <c r="AP216" i="10"/>
  <c r="G216" i="10"/>
  <c r="E216" i="10"/>
  <c r="V216" i="10"/>
  <c r="AA216" i="10" s="1"/>
  <c r="W216" i="10"/>
  <c r="AB216" i="10" s="1"/>
  <c r="C217" i="10"/>
  <c r="AO217" i="10" s="1"/>
  <c r="J213" i="10"/>
  <c r="F213" i="10"/>
  <c r="M213" i="10"/>
  <c r="P213" i="10" s="1"/>
  <c r="H217" i="10" l="1"/>
  <c r="AP217" i="10"/>
  <c r="G217" i="10"/>
  <c r="E217" i="10"/>
  <c r="W217" i="10"/>
  <c r="AB217" i="10" s="1"/>
  <c r="V217" i="10"/>
  <c r="AA217" i="10" s="1"/>
  <c r="C218" i="10"/>
  <c r="AO218" i="10" s="1"/>
  <c r="J214" i="10"/>
  <c r="M214" i="10"/>
  <c r="P214" i="10" s="1"/>
  <c r="F214" i="10"/>
  <c r="H218" i="10" l="1"/>
  <c r="AP218" i="10"/>
  <c r="E218" i="10"/>
  <c r="G218" i="10"/>
  <c r="W218" i="10"/>
  <c r="AB218" i="10" s="1"/>
  <c r="V218" i="10"/>
  <c r="AA218" i="10" s="1"/>
  <c r="C219" i="10"/>
  <c r="AO219" i="10" s="1"/>
  <c r="J215" i="10"/>
  <c r="M215" i="10"/>
  <c r="P215" i="10" s="1"/>
  <c r="F215" i="10"/>
  <c r="H219" i="10" l="1"/>
  <c r="AP219" i="10"/>
  <c r="G219" i="10"/>
  <c r="E219" i="10"/>
  <c r="W219" i="10"/>
  <c r="AB219" i="10" s="1"/>
  <c r="V219" i="10"/>
  <c r="AA219" i="10" s="1"/>
  <c r="C220" i="10"/>
  <c r="AO220" i="10" s="1"/>
  <c r="J216" i="10"/>
  <c r="M216" i="10"/>
  <c r="P216" i="10" s="1"/>
  <c r="F216" i="10"/>
  <c r="H220" i="10" l="1"/>
  <c r="AP220" i="10"/>
  <c r="G220" i="10"/>
  <c r="E220" i="10"/>
  <c r="W220" i="10"/>
  <c r="AB220" i="10" s="1"/>
  <c r="V220" i="10"/>
  <c r="AA220" i="10" s="1"/>
  <c r="C221" i="10"/>
  <c r="AO221" i="10" s="1"/>
  <c r="J217" i="10"/>
  <c r="F217" i="10"/>
  <c r="M217" i="10"/>
  <c r="P217" i="10" s="1"/>
  <c r="H221" i="10" l="1"/>
  <c r="AP221" i="10"/>
  <c r="G221" i="10"/>
  <c r="E221" i="10"/>
  <c r="V221" i="10"/>
  <c r="AA221" i="10" s="1"/>
  <c r="W221" i="10"/>
  <c r="AB221" i="10" s="1"/>
  <c r="C222" i="10"/>
  <c r="AO222" i="10" s="1"/>
  <c r="J218" i="10"/>
  <c r="F218" i="10"/>
  <c r="M218" i="10"/>
  <c r="P218" i="10" s="1"/>
  <c r="H222" i="10" l="1"/>
  <c r="AP222" i="10"/>
  <c r="G222" i="10"/>
  <c r="E222" i="10"/>
  <c r="V222" i="10"/>
  <c r="AA222" i="10" s="1"/>
  <c r="W222" i="10"/>
  <c r="AB222" i="10" s="1"/>
  <c r="C223" i="10"/>
  <c r="AO223" i="10" s="1"/>
  <c r="J219" i="10"/>
  <c r="M219" i="10"/>
  <c r="P219" i="10" s="1"/>
  <c r="F219" i="10"/>
  <c r="H223" i="10" l="1"/>
  <c r="AP223" i="10"/>
  <c r="G223" i="10"/>
  <c r="E223" i="10"/>
  <c r="W223" i="10"/>
  <c r="AB223" i="10" s="1"/>
  <c r="V223" i="10"/>
  <c r="AA223" i="10" s="1"/>
  <c r="C224" i="10"/>
  <c r="AO224" i="10" s="1"/>
  <c r="J220" i="10"/>
  <c r="F220" i="10"/>
  <c r="M220" i="10"/>
  <c r="P220" i="10" s="1"/>
  <c r="H224" i="10" l="1"/>
  <c r="AP224" i="10"/>
  <c r="G224" i="10"/>
  <c r="E224" i="10"/>
  <c r="W224" i="10"/>
  <c r="AB224" i="10" s="1"/>
  <c r="V224" i="10"/>
  <c r="AA224" i="10" s="1"/>
  <c r="C225" i="10"/>
  <c r="AO225" i="10" s="1"/>
  <c r="J221" i="10"/>
  <c r="F221" i="10"/>
  <c r="M221" i="10"/>
  <c r="P221" i="10" s="1"/>
  <c r="H225" i="10" l="1"/>
  <c r="AP225" i="10"/>
  <c r="G225" i="10"/>
  <c r="E225" i="10"/>
  <c r="W225" i="10"/>
  <c r="AB225" i="10" s="1"/>
  <c r="V225" i="10"/>
  <c r="AA225" i="10" s="1"/>
  <c r="C226" i="10"/>
  <c r="AO226" i="10" s="1"/>
  <c r="J222" i="10"/>
  <c r="M222" i="10"/>
  <c r="P222" i="10" s="1"/>
  <c r="F222" i="10"/>
  <c r="H226" i="10" l="1"/>
  <c r="AP226" i="10"/>
  <c r="G226" i="10"/>
  <c r="E226" i="10"/>
  <c r="W226" i="10"/>
  <c r="AB226" i="10" s="1"/>
  <c r="V226" i="10"/>
  <c r="AA226" i="10" s="1"/>
  <c r="C227" i="10"/>
  <c r="AO227" i="10" s="1"/>
  <c r="J223" i="10"/>
  <c r="M223" i="10"/>
  <c r="P223" i="10" s="1"/>
  <c r="F223" i="10"/>
  <c r="H227" i="10" l="1"/>
  <c r="AP227" i="10"/>
  <c r="E227" i="10"/>
  <c r="G227" i="10"/>
  <c r="W227" i="10"/>
  <c r="AB227" i="10" s="1"/>
  <c r="V227" i="10"/>
  <c r="AA227" i="10" s="1"/>
  <c r="C228" i="10"/>
  <c r="AO228" i="10" s="1"/>
  <c r="J224" i="10"/>
  <c r="M224" i="10"/>
  <c r="P224" i="10" s="1"/>
  <c r="F224" i="10"/>
  <c r="H228" i="10" l="1"/>
  <c r="AP228" i="10"/>
  <c r="G228" i="10"/>
  <c r="E228" i="10"/>
  <c r="W228" i="10"/>
  <c r="AB228" i="10" s="1"/>
  <c r="V228" i="10"/>
  <c r="AA228" i="10" s="1"/>
  <c r="C229" i="10"/>
  <c r="AO229" i="10" s="1"/>
  <c r="J225" i="10"/>
  <c r="M225" i="10"/>
  <c r="P225" i="10" s="1"/>
  <c r="F225" i="10"/>
  <c r="H229" i="10" l="1"/>
  <c r="AP229" i="10"/>
  <c r="G229" i="10"/>
  <c r="E229" i="10"/>
  <c r="W229" i="10"/>
  <c r="AB229" i="10" s="1"/>
  <c r="V229" i="10"/>
  <c r="AA229" i="10" s="1"/>
  <c r="C230" i="10"/>
  <c r="AO230" i="10" s="1"/>
  <c r="J226" i="10"/>
  <c r="F226" i="10"/>
  <c r="M226" i="10"/>
  <c r="P226" i="10" s="1"/>
  <c r="H230" i="10" l="1"/>
  <c r="AP230" i="10"/>
  <c r="G230" i="10"/>
  <c r="E230" i="10"/>
  <c r="W230" i="10"/>
  <c r="AB230" i="10" s="1"/>
  <c r="V230" i="10"/>
  <c r="AA230" i="10" s="1"/>
  <c r="C231" i="10"/>
  <c r="AO231" i="10" s="1"/>
  <c r="J227" i="10"/>
  <c r="F227" i="10"/>
  <c r="M227" i="10"/>
  <c r="P227" i="10" s="1"/>
  <c r="H231" i="10" l="1"/>
  <c r="AP231" i="10"/>
  <c r="G231" i="10"/>
  <c r="E231" i="10"/>
  <c r="W231" i="10"/>
  <c r="AB231" i="10" s="1"/>
  <c r="V231" i="10"/>
  <c r="AA231" i="10" s="1"/>
  <c r="C232" i="10"/>
  <c r="AO232" i="10" s="1"/>
  <c r="J228" i="10"/>
  <c r="F228" i="10"/>
  <c r="M228" i="10"/>
  <c r="P228" i="10" s="1"/>
  <c r="H232" i="10" l="1"/>
  <c r="AP232" i="10"/>
  <c r="G232" i="10"/>
  <c r="E232" i="10"/>
  <c r="W232" i="10"/>
  <c r="AB232" i="10" s="1"/>
  <c r="V232" i="10"/>
  <c r="AA232" i="10" s="1"/>
  <c r="C233" i="10"/>
  <c r="AO233" i="10" s="1"/>
  <c r="J229" i="10"/>
  <c r="F229" i="10"/>
  <c r="M229" i="10"/>
  <c r="P229" i="10" s="1"/>
  <c r="H233" i="10" l="1"/>
  <c r="AP233" i="10"/>
  <c r="G233" i="10"/>
  <c r="E233" i="10"/>
  <c r="W233" i="10"/>
  <c r="AB233" i="10" s="1"/>
  <c r="V233" i="10"/>
  <c r="AA233" i="10" s="1"/>
  <c r="C234" i="10"/>
  <c r="AO234" i="10" s="1"/>
  <c r="J230" i="10"/>
  <c r="M230" i="10"/>
  <c r="P230" i="10" s="1"/>
  <c r="F230" i="10"/>
  <c r="H234" i="10" l="1"/>
  <c r="AP234" i="10"/>
  <c r="E234" i="10"/>
  <c r="G234" i="10"/>
  <c r="W234" i="10"/>
  <c r="AB234" i="10" s="1"/>
  <c r="V234" i="10"/>
  <c r="AA234" i="10" s="1"/>
  <c r="C235" i="10"/>
  <c r="AO235" i="10" s="1"/>
  <c r="J231" i="10"/>
  <c r="M231" i="10"/>
  <c r="P231" i="10" s="1"/>
  <c r="F231" i="10"/>
  <c r="H235" i="10" l="1"/>
  <c r="AP235" i="10"/>
  <c r="G235" i="10"/>
  <c r="E235" i="10"/>
  <c r="W235" i="10"/>
  <c r="AB235" i="10" s="1"/>
  <c r="V235" i="10"/>
  <c r="AA235" i="10" s="1"/>
  <c r="C236" i="10"/>
  <c r="AO236" i="10" s="1"/>
  <c r="J232" i="10"/>
  <c r="M232" i="10"/>
  <c r="P232" i="10" s="1"/>
  <c r="F232" i="10"/>
  <c r="H236" i="10" l="1"/>
  <c r="AP236" i="10"/>
  <c r="G236" i="10"/>
  <c r="E236" i="10"/>
  <c r="W236" i="10"/>
  <c r="AB236" i="10" s="1"/>
  <c r="V236" i="10"/>
  <c r="AA236" i="10" s="1"/>
  <c r="C237" i="10"/>
  <c r="AO237" i="10" s="1"/>
  <c r="J233" i="10"/>
  <c r="F233" i="10"/>
  <c r="M233" i="10"/>
  <c r="P233" i="10" s="1"/>
  <c r="H237" i="10" l="1"/>
  <c r="AP237" i="10"/>
  <c r="G237" i="10"/>
  <c r="E237" i="10"/>
  <c r="V237" i="10"/>
  <c r="AA237" i="10" s="1"/>
  <c r="W237" i="10"/>
  <c r="AB237" i="10" s="1"/>
  <c r="C238" i="10"/>
  <c r="AO238" i="10" s="1"/>
  <c r="J234" i="10"/>
  <c r="F234" i="10"/>
  <c r="M234" i="10"/>
  <c r="P234" i="10" s="1"/>
  <c r="H238" i="10" l="1"/>
  <c r="AP238" i="10"/>
  <c r="G238" i="10"/>
  <c r="E238" i="10"/>
  <c r="V238" i="10"/>
  <c r="AA238" i="10" s="1"/>
  <c r="W238" i="10"/>
  <c r="AB238" i="10" s="1"/>
  <c r="C239" i="10"/>
  <c r="AO239" i="10" s="1"/>
  <c r="J235" i="10"/>
  <c r="M235" i="10"/>
  <c r="P235" i="10" s="1"/>
  <c r="F235" i="10"/>
  <c r="H239" i="10" l="1"/>
  <c r="AP239" i="10"/>
  <c r="E239" i="10"/>
  <c r="G239" i="10"/>
  <c r="W239" i="10"/>
  <c r="AB239" i="10" s="1"/>
  <c r="V239" i="10"/>
  <c r="AA239" i="10" s="1"/>
  <c r="C240" i="10"/>
  <c r="AO240" i="10" s="1"/>
  <c r="J236" i="10"/>
  <c r="F236" i="10"/>
  <c r="M236" i="10"/>
  <c r="P236" i="10" s="1"/>
  <c r="H240" i="10" l="1"/>
  <c r="AP240" i="10"/>
  <c r="G240" i="10"/>
  <c r="E240" i="10"/>
  <c r="W240" i="10"/>
  <c r="AB240" i="10" s="1"/>
  <c r="V240" i="10"/>
  <c r="AA240" i="10" s="1"/>
  <c r="C241" i="10"/>
  <c r="AO241" i="10" s="1"/>
  <c r="J237" i="10"/>
  <c r="F237" i="10"/>
  <c r="M237" i="10"/>
  <c r="P237" i="10" s="1"/>
  <c r="H241" i="10" l="1"/>
  <c r="AP241" i="10"/>
  <c r="G241" i="10"/>
  <c r="E241" i="10"/>
  <c r="W241" i="10"/>
  <c r="AB241" i="10" s="1"/>
  <c r="V241" i="10"/>
  <c r="AA241" i="10" s="1"/>
  <c r="C242" i="10"/>
  <c r="AO242" i="10" s="1"/>
  <c r="J238" i="10"/>
  <c r="F238" i="10"/>
  <c r="M238" i="10"/>
  <c r="P238" i="10" s="1"/>
  <c r="H242" i="10" l="1"/>
  <c r="AP242" i="10"/>
  <c r="E242" i="10"/>
  <c r="G242" i="10"/>
  <c r="W242" i="10"/>
  <c r="AB242" i="10" s="1"/>
  <c r="V242" i="10"/>
  <c r="AA242" i="10" s="1"/>
  <c r="C243" i="10"/>
  <c r="AO243" i="10" s="1"/>
  <c r="J239" i="10"/>
  <c r="M239" i="10"/>
  <c r="P239" i="10" s="1"/>
  <c r="F239" i="10"/>
  <c r="H243" i="10" l="1"/>
  <c r="AP243" i="10"/>
  <c r="G243" i="10"/>
  <c r="E243" i="10"/>
  <c r="W243" i="10"/>
  <c r="AB243" i="10" s="1"/>
  <c r="V243" i="10"/>
  <c r="AA243" i="10" s="1"/>
  <c r="C244" i="10"/>
  <c r="AO244" i="10" s="1"/>
  <c r="J240" i="10"/>
  <c r="F240" i="10"/>
  <c r="M240" i="10"/>
  <c r="P240" i="10" s="1"/>
  <c r="H244" i="10" l="1"/>
  <c r="AP244" i="10"/>
  <c r="G244" i="10"/>
  <c r="E244" i="10"/>
  <c r="W244" i="10"/>
  <c r="AB244" i="10" s="1"/>
  <c r="V244" i="10"/>
  <c r="AA244" i="10" s="1"/>
  <c r="C245" i="10"/>
  <c r="AO245" i="10" s="1"/>
  <c r="J241" i="10"/>
  <c r="F241" i="10"/>
  <c r="M241" i="10"/>
  <c r="P241" i="10" s="1"/>
  <c r="H245" i="10" l="1"/>
  <c r="AP245" i="10"/>
  <c r="G245" i="10"/>
  <c r="E245" i="10"/>
  <c r="W245" i="10"/>
  <c r="AB245" i="10" s="1"/>
  <c r="V245" i="10"/>
  <c r="AA245" i="10" s="1"/>
  <c r="C246" i="10"/>
  <c r="AO246" i="10" s="1"/>
  <c r="J242" i="10"/>
  <c r="M242" i="10"/>
  <c r="P242" i="10" s="1"/>
  <c r="F242" i="10"/>
  <c r="H246" i="10" l="1"/>
  <c r="AP246" i="10"/>
  <c r="G246" i="10"/>
  <c r="E246" i="10"/>
  <c r="W246" i="10"/>
  <c r="AB246" i="10" s="1"/>
  <c r="V246" i="10"/>
  <c r="AA246" i="10" s="1"/>
  <c r="C247" i="10"/>
  <c r="AO247" i="10" s="1"/>
  <c r="J243" i="10"/>
  <c r="M243" i="10"/>
  <c r="P243" i="10" s="1"/>
  <c r="F243" i="10"/>
  <c r="H247" i="10" l="1"/>
  <c r="AP247" i="10"/>
  <c r="G247" i="10"/>
  <c r="E247" i="10"/>
  <c r="W247" i="10"/>
  <c r="AB247" i="10" s="1"/>
  <c r="V247" i="10"/>
  <c r="AA247" i="10" s="1"/>
  <c r="C248" i="10"/>
  <c r="AO248" i="10" s="1"/>
  <c r="J244" i="10"/>
  <c r="F244" i="10"/>
  <c r="M244" i="10"/>
  <c r="P244" i="10" s="1"/>
  <c r="H248" i="10" l="1"/>
  <c r="AP248" i="10"/>
  <c r="G248" i="10"/>
  <c r="E248" i="10"/>
  <c r="W248" i="10"/>
  <c r="AB248" i="10" s="1"/>
  <c r="V248" i="10"/>
  <c r="AA248" i="10" s="1"/>
  <c r="C249" i="10"/>
  <c r="AO249" i="10" s="1"/>
  <c r="J245" i="10"/>
  <c r="F245" i="10"/>
  <c r="M245" i="10"/>
  <c r="P245" i="10" s="1"/>
  <c r="H249" i="10" l="1"/>
  <c r="AP249" i="10"/>
  <c r="G249" i="10"/>
  <c r="E249" i="10"/>
  <c r="W249" i="10"/>
  <c r="AB249" i="10" s="1"/>
  <c r="V249" i="10"/>
  <c r="AA249" i="10" s="1"/>
  <c r="C250" i="10"/>
  <c r="AO250" i="10" s="1"/>
  <c r="J246" i="10"/>
  <c r="M246" i="10"/>
  <c r="P246" i="10" s="1"/>
  <c r="F246" i="10"/>
  <c r="H250" i="10" l="1"/>
  <c r="AP250" i="10"/>
  <c r="E250" i="10"/>
  <c r="G250" i="10"/>
  <c r="W250" i="10"/>
  <c r="AB250" i="10" s="1"/>
  <c r="V250" i="10"/>
  <c r="AA250" i="10" s="1"/>
  <c r="C251" i="10"/>
  <c r="AO251" i="10" s="1"/>
  <c r="J247" i="10"/>
  <c r="M247" i="10"/>
  <c r="P247" i="10" s="1"/>
  <c r="F247" i="10"/>
  <c r="H251" i="10" l="1"/>
  <c r="AP251" i="10"/>
  <c r="E251" i="10"/>
  <c r="G251" i="10"/>
  <c r="W251" i="10"/>
  <c r="AB251" i="10" s="1"/>
  <c r="V251" i="10"/>
  <c r="AA251" i="10" s="1"/>
  <c r="C252" i="10"/>
  <c r="AO252" i="10" s="1"/>
  <c r="J248" i="10"/>
  <c r="F248" i="10"/>
  <c r="M248" i="10"/>
  <c r="P248" i="10" s="1"/>
  <c r="H252" i="10" l="1"/>
  <c r="AP252" i="10"/>
  <c r="G252" i="10"/>
  <c r="E252" i="10"/>
  <c r="W252" i="10"/>
  <c r="AB252" i="10" s="1"/>
  <c r="V252" i="10"/>
  <c r="AA252" i="10" s="1"/>
  <c r="C253" i="10"/>
  <c r="AO253" i="10" s="1"/>
  <c r="J249" i="10"/>
  <c r="F249" i="10"/>
  <c r="M249" i="10"/>
  <c r="P249" i="10" s="1"/>
  <c r="H253" i="10" l="1"/>
  <c r="AP253" i="10"/>
  <c r="G253" i="10"/>
  <c r="E253" i="10"/>
  <c r="W253" i="10"/>
  <c r="AB253" i="10" s="1"/>
  <c r="V253" i="10"/>
  <c r="AA253" i="10" s="1"/>
  <c r="C254" i="10"/>
  <c r="AO254" i="10" s="1"/>
  <c r="J250" i="10"/>
  <c r="M250" i="10"/>
  <c r="P250" i="10" s="1"/>
  <c r="F250" i="10"/>
  <c r="H254" i="10" l="1"/>
  <c r="AP254" i="10"/>
  <c r="G254" i="10"/>
  <c r="E254" i="10"/>
  <c r="W254" i="10"/>
  <c r="AB254" i="10" s="1"/>
  <c r="V254" i="10"/>
  <c r="AA254" i="10" s="1"/>
  <c r="C255" i="10"/>
  <c r="AO255" i="10" s="1"/>
  <c r="J251" i="10"/>
  <c r="M251" i="10"/>
  <c r="P251" i="10" s="1"/>
  <c r="F251" i="10"/>
  <c r="H255" i="10" l="1"/>
  <c r="AP255" i="10"/>
  <c r="E255" i="10"/>
  <c r="G255" i="10"/>
  <c r="W255" i="10"/>
  <c r="AB255" i="10" s="1"/>
  <c r="V255" i="10"/>
  <c r="AA255" i="10" s="1"/>
  <c r="C256" i="10"/>
  <c r="AO256" i="10" s="1"/>
  <c r="J252" i="10"/>
  <c r="M252" i="10"/>
  <c r="P252" i="10" s="1"/>
  <c r="F252" i="10"/>
  <c r="H256" i="10" l="1"/>
  <c r="AP256" i="10"/>
  <c r="G256" i="10"/>
  <c r="E256" i="10"/>
  <c r="AA256" i="10"/>
  <c r="W256" i="10"/>
  <c r="AB256" i="10" s="1"/>
  <c r="V256" i="10"/>
  <c r="C257" i="10"/>
  <c r="AO257" i="10" s="1"/>
  <c r="J253" i="10"/>
  <c r="F253" i="10"/>
  <c r="M253" i="10"/>
  <c r="P253" i="10" s="1"/>
  <c r="H257" i="10" l="1"/>
  <c r="AP257" i="10"/>
  <c r="G257" i="10"/>
  <c r="E257" i="10"/>
  <c r="W257" i="10"/>
  <c r="AB257" i="10" s="1"/>
  <c r="V257" i="10"/>
  <c r="AA257" i="10" s="1"/>
  <c r="C258" i="10"/>
  <c r="AO258" i="10" s="1"/>
  <c r="J254" i="10"/>
  <c r="F254" i="10"/>
  <c r="M254" i="10"/>
  <c r="P254" i="10" s="1"/>
  <c r="H258" i="10" l="1"/>
  <c r="AP258" i="10"/>
  <c r="G258" i="10"/>
  <c r="E258" i="10"/>
  <c r="W258" i="10"/>
  <c r="AB258" i="10" s="1"/>
  <c r="V258" i="10"/>
  <c r="AA258" i="10" s="1"/>
  <c r="C259" i="10"/>
  <c r="AO259" i="10" s="1"/>
  <c r="J255" i="10"/>
  <c r="M255" i="10"/>
  <c r="P255" i="10" s="1"/>
  <c r="F255" i="10"/>
  <c r="H259" i="10" l="1"/>
  <c r="AP259" i="10"/>
  <c r="G259" i="10"/>
  <c r="E259" i="10"/>
  <c r="W259" i="10"/>
  <c r="AB259" i="10" s="1"/>
  <c r="V259" i="10"/>
  <c r="AA259" i="10" s="1"/>
  <c r="C260" i="10"/>
  <c r="AO260" i="10" s="1"/>
  <c r="J256" i="10"/>
  <c r="F256" i="10"/>
  <c r="M256" i="10"/>
  <c r="P256" i="10" s="1"/>
  <c r="H260" i="10" l="1"/>
  <c r="AP260" i="10"/>
  <c r="G260" i="10"/>
  <c r="E260" i="10"/>
  <c r="W260" i="10"/>
  <c r="AB260" i="10" s="1"/>
  <c r="V260" i="10"/>
  <c r="AA260" i="10" s="1"/>
  <c r="C261" i="10"/>
  <c r="AO261" i="10" s="1"/>
  <c r="J257" i="10"/>
  <c r="F257" i="10"/>
  <c r="M257" i="10"/>
  <c r="P257" i="10" s="1"/>
  <c r="H261" i="10" l="1"/>
  <c r="AP261" i="10"/>
  <c r="G261" i="10"/>
  <c r="E261" i="10"/>
  <c r="V261" i="10"/>
  <c r="AA261" i="10" s="1"/>
  <c r="W261" i="10"/>
  <c r="AB261" i="10" s="1"/>
  <c r="C262" i="10"/>
  <c r="AO262" i="10" s="1"/>
  <c r="J258" i="10"/>
  <c r="M258" i="10"/>
  <c r="P258" i="10" s="1"/>
  <c r="F258" i="10"/>
  <c r="H262" i="10" l="1"/>
  <c r="AP262" i="10"/>
  <c r="G262" i="10"/>
  <c r="E262" i="10"/>
  <c r="W262" i="10"/>
  <c r="AB262" i="10" s="1"/>
  <c r="V262" i="10"/>
  <c r="AA262" i="10" s="1"/>
  <c r="C263" i="10"/>
  <c r="AO263" i="10" s="1"/>
  <c r="J259" i="10"/>
  <c r="M259" i="10"/>
  <c r="P259" i="10" s="1"/>
  <c r="F259" i="10"/>
  <c r="H263" i="10" l="1"/>
  <c r="AP263" i="10"/>
  <c r="G263" i="10"/>
  <c r="E263" i="10"/>
  <c r="W263" i="10"/>
  <c r="AB263" i="10" s="1"/>
  <c r="V263" i="10"/>
  <c r="AA263" i="10" s="1"/>
  <c r="C264" i="10"/>
  <c r="AO264" i="10" s="1"/>
  <c r="J260" i="10"/>
  <c r="M260" i="10"/>
  <c r="P260" i="10" s="1"/>
  <c r="F260" i="10"/>
  <c r="H264" i="10" l="1"/>
  <c r="AP264" i="10"/>
  <c r="G264" i="10"/>
  <c r="E264" i="10"/>
  <c r="V264" i="10"/>
  <c r="AA264" i="10" s="1"/>
  <c r="W264" i="10"/>
  <c r="AB264" i="10" s="1"/>
  <c r="C265" i="10"/>
  <c r="AO265" i="10" s="1"/>
  <c r="J261" i="10"/>
  <c r="F261" i="10"/>
  <c r="M261" i="10"/>
  <c r="P261" i="10" s="1"/>
  <c r="H265" i="10" l="1"/>
  <c r="AP265" i="10"/>
  <c r="G265" i="10"/>
  <c r="E265" i="10"/>
  <c r="W265" i="10"/>
  <c r="AB265" i="10" s="1"/>
  <c r="V265" i="10"/>
  <c r="AA265" i="10" s="1"/>
  <c r="C266" i="10"/>
  <c r="AO266" i="10" s="1"/>
  <c r="J262" i="10"/>
  <c r="M262" i="10"/>
  <c r="P262" i="10" s="1"/>
  <c r="F262" i="10"/>
  <c r="H266" i="10" l="1"/>
  <c r="AP266" i="10"/>
  <c r="E266" i="10"/>
  <c r="G266" i="10"/>
  <c r="W266" i="10"/>
  <c r="AB266" i="10" s="1"/>
  <c r="V266" i="10"/>
  <c r="AA266" i="10" s="1"/>
  <c r="C267" i="10"/>
  <c r="AO267" i="10" s="1"/>
  <c r="J263" i="10"/>
  <c r="F263" i="10"/>
  <c r="M263" i="10"/>
  <c r="P263" i="10" s="1"/>
  <c r="H267" i="10" l="1"/>
  <c r="AP267" i="10"/>
  <c r="E267" i="10"/>
  <c r="G267" i="10"/>
  <c r="W267" i="10"/>
  <c r="AB267" i="10" s="1"/>
  <c r="V267" i="10"/>
  <c r="AA267" i="10" s="1"/>
  <c r="C268" i="10"/>
  <c r="AO268" i="10" s="1"/>
  <c r="J264" i="10"/>
  <c r="F264" i="10"/>
  <c r="M264" i="10"/>
  <c r="P264" i="10" s="1"/>
  <c r="H268" i="10" l="1"/>
  <c r="AP268" i="10"/>
  <c r="G268" i="10"/>
  <c r="E268" i="10"/>
  <c r="W268" i="10"/>
  <c r="AB268" i="10" s="1"/>
  <c r="V268" i="10"/>
  <c r="AA268" i="10" s="1"/>
  <c r="C269" i="10"/>
  <c r="AO269" i="10" s="1"/>
  <c r="J265" i="10"/>
  <c r="F265" i="10"/>
  <c r="M265" i="10"/>
  <c r="P265" i="10" s="1"/>
  <c r="H269" i="10" l="1"/>
  <c r="AP269" i="10"/>
  <c r="G269" i="10"/>
  <c r="E269" i="10"/>
  <c r="W269" i="10"/>
  <c r="AB269" i="10" s="1"/>
  <c r="V269" i="10"/>
  <c r="AA269" i="10" s="1"/>
  <c r="C270" i="10"/>
  <c r="AO270" i="10" s="1"/>
  <c r="J266" i="10"/>
  <c r="M266" i="10"/>
  <c r="P266" i="10" s="1"/>
  <c r="F266" i="10"/>
  <c r="H270" i="10" l="1"/>
  <c r="AP270" i="10"/>
  <c r="G270" i="10"/>
  <c r="E270" i="10"/>
  <c r="W270" i="10"/>
  <c r="AB270" i="10" s="1"/>
  <c r="V270" i="10"/>
  <c r="AA270" i="10" s="1"/>
  <c r="C271" i="10"/>
  <c r="AO271" i="10" s="1"/>
  <c r="J267" i="10"/>
  <c r="M267" i="10"/>
  <c r="P267" i="10" s="1"/>
  <c r="F267" i="10"/>
  <c r="H271" i="10" l="1"/>
  <c r="AP271" i="10"/>
  <c r="E271" i="10"/>
  <c r="G271" i="10"/>
  <c r="W271" i="10"/>
  <c r="AB271" i="10" s="1"/>
  <c r="V271" i="10"/>
  <c r="AA271" i="10" s="1"/>
  <c r="C272" i="10"/>
  <c r="AO272" i="10" s="1"/>
  <c r="J268" i="10"/>
  <c r="M268" i="10"/>
  <c r="P268" i="10" s="1"/>
  <c r="F268" i="10"/>
  <c r="H272" i="10" l="1"/>
  <c r="AP272" i="10"/>
  <c r="G272" i="10"/>
  <c r="E272" i="10"/>
  <c r="W272" i="10"/>
  <c r="AB272" i="10" s="1"/>
  <c r="V272" i="10"/>
  <c r="AA272" i="10" s="1"/>
  <c r="C273" i="10"/>
  <c r="AO273" i="10" s="1"/>
  <c r="J269" i="10"/>
  <c r="F269" i="10"/>
  <c r="M269" i="10"/>
  <c r="P269" i="10" s="1"/>
  <c r="H273" i="10" l="1"/>
  <c r="AP273" i="10"/>
  <c r="G273" i="10"/>
  <c r="E273" i="10"/>
  <c r="AA273" i="10"/>
  <c r="W273" i="10"/>
  <c r="AB273" i="10" s="1"/>
  <c r="V273" i="10"/>
  <c r="C274" i="10"/>
  <c r="AO274" i="10" s="1"/>
  <c r="J270" i="10"/>
  <c r="M270" i="10"/>
  <c r="P270" i="10" s="1"/>
  <c r="F270" i="10"/>
  <c r="H274" i="10" l="1"/>
  <c r="AP274" i="10"/>
  <c r="G274" i="10"/>
  <c r="E274" i="10"/>
  <c r="W274" i="10"/>
  <c r="AB274" i="10" s="1"/>
  <c r="V274" i="10"/>
  <c r="AA274" i="10" s="1"/>
  <c r="C275" i="10"/>
  <c r="AO275" i="10" s="1"/>
  <c r="J271" i="10"/>
  <c r="M271" i="10"/>
  <c r="P271" i="10" s="1"/>
  <c r="F271" i="10"/>
  <c r="H275" i="10" l="1"/>
  <c r="AP275" i="10"/>
  <c r="G275" i="10"/>
  <c r="E275" i="10"/>
  <c r="W275" i="10"/>
  <c r="AB275" i="10" s="1"/>
  <c r="V275" i="10"/>
  <c r="AA275" i="10" s="1"/>
  <c r="C276" i="10"/>
  <c r="AO276" i="10" s="1"/>
  <c r="J272" i="10"/>
  <c r="F272" i="10"/>
  <c r="M272" i="10"/>
  <c r="P272" i="10" s="1"/>
  <c r="H276" i="10" l="1"/>
  <c r="AP276" i="10"/>
  <c r="G276" i="10"/>
  <c r="E276" i="10"/>
  <c r="W276" i="10"/>
  <c r="AB276" i="10" s="1"/>
  <c r="V276" i="10"/>
  <c r="AA276" i="10" s="1"/>
  <c r="C277" i="10"/>
  <c r="AO277" i="10" s="1"/>
  <c r="J273" i="10"/>
  <c r="F273" i="10"/>
  <c r="M273" i="10"/>
  <c r="P273" i="10" s="1"/>
  <c r="H277" i="10" l="1"/>
  <c r="AP277" i="10"/>
  <c r="G277" i="10"/>
  <c r="E277" i="10"/>
  <c r="W277" i="10"/>
  <c r="AB277" i="10" s="1"/>
  <c r="V277" i="10"/>
  <c r="AA277" i="10" s="1"/>
  <c r="C278" i="10"/>
  <c r="AO278" i="10" s="1"/>
  <c r="J274" i="10"/>
  <c r="M274" i="10"/>
  <c r="P274" i="10" s="1"/>
  <c r="F274" i="10"/>
  <c r="H278" i="10" l="1"/>
  <c r="AP278" i="10"/>
  <c r="G278" i="10"/>
  <c r="E278" i="10"/>
  <c r="V278" i="10"/>
  <c r="AA278" i="10" s="1"/>
  <c r="W278" i="10"/>
  <c r="AB278" i="10" s="1"/>
  <c r="C279" i="10"/>
  <c r="AO279" i="10" s="1"/>
  <c r="J275" i="10"/>
  <c r="M275" i="10"/>
  <c r="P275" i="10" s="1"/>
  <c r="F275" i="10"/>
  <c r="H279" i="10" l="1"/>
  <c r="AP279" i="10"/>
  <c r="G279" i="10"/>
  <c r="E279" i="10"/>
  <c r="W279" i="10"/>
  <c r="AB279" i="10" s="1"/>
  <c r="V279" i="10"/>
  <c r="AA279" i="10" s="1"/>
  <c r="C280" i="10"/>
  <c r="AO280" i="10" s="1"/>
  <c r="J276" i="10"/>
  <c r="M276" i="10"/>
  <c r="P276" i="10" s="1"/>
  <c r="F276" i="10"/>
  <c r="H280" i="10" l="1"/>
  <c r="AP280" i="10"/>
  <c r="G280" i="10"/>
  <c r="E280" i="10"/>
  <c r="W280" i="10"/>
  <c r="AB280" i="10" s="1"/>
  <c r="V280" i="10"/>
  <c r="AA280" i="10" s="1"/>
  <c r="C281" i="10"/>
  <c r="AO281" i="10" s="1"/>
  <c r="J277" i="10"/>
  <c r="F277" i="10"/>
  <c r="M277" i="10"/>
  <c r="P277" i="10" s="1"/>
  <c r="H281" i="10" l="1"/>
  <c r="AP281" i="10"/>
  <c r="G281" i="10"/>
  <c r="E281" i="10"/>
  <c r="W281" i="10"/>
  <c r="AB281" i="10" s="1"/>
  <c r="V281" i="10"/>
  <c r="AA281" i="10" s="1"/>
  <c r="C282" i="10"/>
  <c r="AO282" i="10" s="1"/>
  <c r="J278" i="10"/>
  <c r="M278" i="10"/>
  <c r="P278" i="10" s="1"/>
  <c r="F278" i="10"/>
  <c r="H282" i="10" l="1"/>
  <c r="AP282" i="10"/>
  <c r="G282" i="10"/>
  <c r="E282" i="10"/>
  <c r="W282" i="10"/>
  <c r="AB282" i="10" s="1"/>
  <c r="V282" i="10"/>
  <c r="AA282" i="10" s="1"/>
  <c r="C283" i="10"/>
  <c r="AO283" i="10" s="1"/>
  <c r="J279" i="10"/>
  <c r="M279" i="10"/>
  <c r="P279" i="10" s="1"/>
  <c r="F279" i="10"/>
  <c r="H283" i="10" l="1"/>
  <c r="AP283" i="10"/>
  <c r="G283" i="10"/>
  <c r="E283" i="10"/>
  <c r="W283" i="10"/>
  <c r="AB283" i="10" s="1"/>
  <c r="V283" i="10"/>
  <c r="AA283" i="10" s="1"/>
  <c r="C284" i="10"/>
  <c r="AO284" i="10" s="1"/>
  <c r="J280" i="10"/>
  <c r="F280" i="10"/>
  <c r="M280" i="10"/>
  <c r="P280" i="10" s="1"/>
  <c r="H284" i="10" l="1"/>
  <c r="AP284" i="10"/>
  <c r="G284" i="10"/>
  <c r="E284" i="10"/>
  <c r="W284" i="10"/>
  <c r="AB284" i="10" s="1"/>
  <c r="V284" i="10"/>
  <c r="AA284" i="10" s="1"/>
  <c r="C285" i="10"/>
  <c r="AO285" i="10" s="1"/>
  <c r="J281" i="10"/>
  <c r="F281" i="10"/>
  <c r="M281" i="10"/>
  <c r="P281" i="10" s="1"/>
  <c r="H285" i="10" l="1"/>
  <c r="AP285" i="10"/>
  <c r="G285" i="10"/>
  <c r="E285" i="10"/>
  <c r="W285" i="10"/>
  <c r="AB285" i="10" s="1"/>
  <c r="V285" i="10"/>
  <c r="AA285" i="10" s="1"/>
  <c r="C286" i="10"/>
  <c r="AO286" i="10" s="1"/>
  <c r="J282" i="10"/>
  <c r="M282" i="10"/>
  <c r="P282" i="10" s="1"/>
  <c r="F282" i="10"/>
  <c r="H286" i="10" l="1"/>
  <c r="AP286" i="10"/>
  <c r="G286" i="10"/>
  <c r="E286" i="10"/>
  <c r="W286" i="10"/>
  <c r="AB286" i="10" s="1"/>
  <c r="V286" i="10"/>
  <c r="AA286" i="10" s="1"/>
  <c r="C287" i="10"/>
  <c r="AO287" i="10" s="1"/>
  <c r="J283" i="10"/>
  <c r="M283" i="10"/>
  <c r="P283" i="10" s="1"/>
  <c r="F283" i="10"/>
  <c r="H287" i="10" l="1"/>
  <c r="AP287" i="10"/>
  <c r="E287" i="10"/>
  <c r="G287" i="10"/>
  <c r="W287" i="10"/>
  <c r="AB287" i="10" s="1"/>
  <c r="V287" i="10"/>
  <c r="AA287" i="10" s="1"/>
  <c r="C288" i="10"/>
  <c r="AO288" i="10" s="1"/>
  <c r="J284" i="10"/>
  <c r="F284" i="10"/>
  <c r="M284" i="10"/>
  <c r="P284" i="10" s="1"/>
  <c r="H288" i="10" l="1"/>
  <c r="AP288" i="10"/>
  <c r="G288" i="10"/>
  <c r="E288" i="10"/>
  <c r="W288" i="10"/>
  <c r="AB288" i="10" s="1"/>
  <c r="V288" i="10"/>
  <c r="AA288" i="10" s="1"/>
  <c r="C289" i="10"/>
  <c r="AO289" i="10" s="1"/>
  <c r="J285" i="10"/>
  <c r="F285" i="10"/>
  <c r="M285" i="10"/>
  <c r="P285" i="10" s="1"/>
  <c r="H289" i="10" l="1"/>
  <c r="AP289" i="10"/>
  <c r="G289" i="10"/>
  <c r="E289" i="10"/>
  <c r="W289" i="10"/>
  <c r="AB289" i="10" s="1"/>
  <c r="V289" i="10"/>
  <c r="AA289" i="10" s="1"/>
  <c r="C290" i="10"/>
  <c r="AO290" i="10" s="1"/>
  <c r="J286" i="10"/>
  <c r="M286" i="10"/>
  <c r="P286" i="10" s="1"/>
  <c r="F286" i="10"/>
  <c r="H290" i="10" l="1"/>
  <c r="AP290" i="10"/>
  <c r="G290" i="10"/>
  <c r="E290" i="10"/>
  <c r="W290" i="10"/>
  <c r="AB290" i="10" s="1"/>
  <c r="V290" i="10"/>
  <c r="AA290" i="10" s="1"/>
  <c r="C291" i="10"/>
  <c r="AO291" i="10" s="1"/>
  <c r="J287" i="10"/>
  <c r="M287" i="10"/>
  <c r="P287" i="10" s="1"/>
  <c r="F287" i="10"/>
  <c r="H291" i="10" l="1"/>
  <c r="AP291" i="10"/>
  <c r="E291" i="10"/>
  <c r="G291" i="10"/>
  <c r="W291" i="10"/>
  <c r="AB291" i="10" s="1"/>
  <c r="V291" i="10"/>
  <c r="AA291" i="10" s="1"/>
  <c r="C292" i="10"/>
  <c r="AO292" i="10" s="1"/>
  <c r="J288" i="10"/>
  <c r="M288" i="10"/>
  <c r="P288" i="10" s="1"/>
  <c r="F288" i="10"/>
  <c r="H292" i="10" l="1"/>
  <c r="AP292" i="10"/>
  <c r="G292" i="10"/>
  <c r="E292" i="10"/>
  <c r="W292" i="10"/>
  <c r="AB292" i="10" s="1"/>
  <c r="V292" i="10"/>
  <c r="AA292" i="10" s="1"/>
  <c r="C293" i="10"/>
  <c r="AO293" i="10" s="1"/>
  <c r="J289" i="10"/>
  <c r="F289" i="10"/>
  <c r="M289" i="10"/>
  <c r="P289" i="10" s="1"/>
  <c r="H293" i="10" l="1"/>
  <c r="AP293" i="10"/>
  <c r="G293" i="10"/>
  <c r="E293" i="10"/>
  <c r="W293" i="10"/>
  <c r="AB293" i="10" s="1"/>
  <c r="V293" i="10"/>
  <c r="AA293" i="10" s="1"/>
  <c r="C294" i="10"/>
  <c r="AO294" i="10" s="1"/>
  <c r="J290" i="10"/>
  <c r="M290" i="10"/>
  <c r="P290" i="10" s="1"/>
  <c r="F290" i="10"/>
  <c r="H294" i="10" l="1"/>
  <c r="AP294" i="10"/>
  <c r="G294" i="10"/>
  <c r="E294" i="10"/>
  <c r="W294" i="10"/>
  <c r="AB294" i="10" s="1"/>
  <c r="V294" i="10"/>
  <c r="AA294" i="10" s="1"/>
  <c r="C295" i="10"/>
  <c r="AO295" i="10" s="1"/>
  <c r="J291" i="10"/>
  <c r="M291" i="10"/>
  <c r="P291" i="10" s="1"/>
  <c r="F291" i="10"/>
  <c r="H295" i="10" l="1"/>
  <c r="AP295" i="10"/>
  <c r="G295" i="10"/>
  <c r="E295" i="10"/>
  <c r="W295" i="10"/>
  <c r="AB295" i="10" s="1"/>
  <c r="V295" i="10"/>
  <c r="AA295" i="10" s="1"/>
  <c r="C296" i="10"/>
  <c r="AO296" i="10" s="1"/>
  <c r="J292" i="10"/>
  <c r="M292" i="10"/>
  <c r="P292" i="10" s="1"/>
  <c r="F292" i="10"/>
  <c r="H296" i="10" l="1"/>
  <c r="AP296" i="10"/>
  <c r="G296" i="10"/>
  <c r="E296" i="10"/>
  <c r="W296" i="10"/>
  <c r="AB296" i="10" s="1"/>
  <c r="V296" i="10"/>
  <c r="AA296" i="10" s="1"/>
  <c r="C297" i="10"/>
  <c r="AO297" i="10" s="1"/>
  <c r="J293" i="10"/>
  <c r="F293" i="10"/>
  <c r="M293" i="10"/>
  <c r="P293" i="10" s="1"/>
  <c r="H297" i="10" l="1"/>
  <c r="AP297" i="10"/>
  <c r="G297" i="10"/>
  <c r="E297" i="10"/>
  <c r="W297" i="10"/>
  <c r="AB297" i="10" s="1"/>
  <c r="V297" i="10"/>
  <c r="AA297" i="10" s="1"/>
  <c r="C298" i="10"/>
  <c r="AO298" i="10" s="1"/>
  <c r="J294" i="10"/>
  <c r="M294" i="10"/>
  <c r="P294" i="10" s="1"/>
  <c r="F294" i="10"/>
  <c r="H298" i="10" l="1"/>
  <c r="AP298" i="10"/>
  <c r="G298" i="10"/>
  <c r="E298" i="10"/>
  <c r="W298" i="10"/>
  <c r="AB298" i="10" s="1"/>
  <c r="V298" i="10"/>
  <c r="AA298" i="10" s="1"/>
  <c r="C299" i="10"/>
  <c r="AO299" i="10" s="1"/>
  <c r="J295" i="10"/>
  <c r="F295" i="10"/>
  <c r="M295" i="10"/>
  <c r="P295" i="10" s="1"/>
  <c r="H299" i="10" l="1"/>
  <c r="AP299" i="10"/>
  <c r="G299" i="10"/>
  <c r="E299" i="10"/>
  <c r="W299" i="10"/>
  <c r="AB299" i="10" s="1"/>
  <c r="V299" i="10"/>
  <c r="AA299" i="10" s="1"/>
  <c r="C300" i="10"/>
  <c r="AO300" i="10" s="1"/>
  <c r="J296" i="10"/>
  <c r="M296" i="10"/>
  <c r="P296" i="10" s="1"/>
  <c r="F296" i="10"/>
  <c r="H300" i="10" l="1"/>
  <c r="AP300" i="10"/>
  <c r="G300" i="10"/>
  <c r="E300" i="10"/>
  <c r="W300" i="10"/>
  <c r="AB300" i="10" s="1"/>
  <c r="V300" i="10"/>
  <c r="AA300" i="10" s="1"/>
  <c r="C301" i="10"/>
  <c r="AO301" i="10" s="1"/>
  <c r="J297" i="10"/>
  <c r="F297" i="10"/>
  <c r="M297" i="10"/>
  <c r="P297" i="10" s="1"/>
  <c r="H301" i="10" l="1"/>
  <c r="AP301" i="10"/>
  <c r="G301" i="10"/>
  <c r="E301" i="10"/>
  <c r="W301" i="10"/>
  <c r="AB301" i="10" s="1"/>
  <c r="V301" i="10"/>
  <c r="AA301" i="10" s="1"/>
  <c r="C302" i="10"/>
  <c r="AO302" i="10" s="1"/>
  <c r="J298" i="10"/>
  <c r="M298" i="10"/>
  <c r="P298" i="10" s="1"/>
  <c r="F298" i="10"/>
  <c r="H302" i="10" l="1"/>
  <c r="AP302" i="10"/>
  <c r="G302" i="10"/>
  <c r="E302" i="10"/>
  <c r="V302" i="10"/>
  <c r="AA302" i="10" s="1"/>
  <c r="W302" i="10"/>
  <c r="AB302" i="10" s="1"/>
  <c r="C303" i="10"/>
  <c r="AO303" i="10" s="1"/>
  <c r="J299" i="10"/>
  <c r="M299" i="10"/>
  <c r="P299" i="10" s="1"/>
  <c r="F299" i="10"/>
  <c r="H303" i="10" l="1"/>
  <c r="AP303" i="10"/>
  <c r="E303" i="10"/>
  <c r="G303" i="10"/>
  <c r="W303" i="10"/>
  <c r="AB303" i="10" s="1"/>
  <c r="V303" i="10"/>
  <c r="AA303" i="10" s="1"/>
  <c r="C304" i="10"/>
  <c r="AO304" i="10" s="1"/>
  <c r="J300" i="10"/>
  <c r="F300" i="10"/>
  <c r="M300" i="10"/>
  <c r="P300" i="10" s="1"/>
  <c r="H304" i="10" l="1"/>
  <c r="AP304" i="10"/>
  <c r="G304" i="10"/>
  <c r="E304" i="10"/>
  <c r="W304" i="10"/>
  <c r="AB304" i="10" s="1"/>
  <c r="V304" i="10"/>
  <c r="AA304" i="10" s="1"/>
  <c r="C305" i="10"/>
  <c r="AO305" i="10" s="1"/>
  <c r="J301" i="10"/>
  <c r="F301" i="10"/>
  <c r="M301" i="10"/>
  <c r="P301" i="10" s="1"/>
  <c r="H305" i="10" l="1"/>
  <c r="AP305" i="10"/>
  <c r="G305" i="10"/>
  <c r="E305" i="10"/>
  <c r="W305" i="10"/>
  <c r="AB305" i="10" s="1"/>
  <c r="V305" i="10"/>
  <c r="AA305" i="10" s="1"/>
  <c r="C306" i="10"/>
  <c r="AO306" i="10" s="1"/>
  <c r="J302" i="10"/>
  <c r="M302" i="10"/>
  <c r="P302" i="10" s="1"/>
  <c r="F302" i="10"/>
  <c r="H306" i="10" l="1"/>
  <c r="AP306" i="10"/>
  <c r="E306" i="10"/>
  <c r="G306" i="10"/>
  <c r="W306" i="10"/>
  <c r="AB306" i="10" s="1"/>
  <c r="V306" i="10"/>
  <c r="AA306" i="10" s="1"/>
  <c r="C307" i="10"/>
  <c r="AO307" i="10" s="1"/>
  <c r="J303" i="10"/>
  <c r="F303" i="10"/>
  <c r="M303" i="10"/>
  <c r="P303" i="10" s="1"/>
  <c r="H307" i="10" l="1"/>
  <c r="AP307" i="10"/>
  <c r="E307" i="10"/>
  <c r="G307" i="10"/>
  <c r="W307" i="10"/>
  <c r="AB307" i="10" s="1"/>
  <c r="V307" i="10"/>
  <c r="AA307" i="10" s="1"/>
  <c r="C308" i="10"/>
  <c r="AO308" i="10" s="1"/>
  <c r="J304" i="10"/>
  <c r="F304" i="10"/>
  <c r="M304" i="10"/>
  <c r="P304" i="10" s="1"/>
  <c r="H308" i="10" l="1"/>
  <c r="AP308" i="10"/>
  <c r="G308" i="10"/>
  <c r="E308" i="10"/>
  <c r="AA308" i="10"/>
  <c r="W308" i="10"/>
  <c r="AB308" i="10" s="1"/>
  <c r="V308" i="10"/>
  <c r="C309" i="10"/>
  <c r="AO309" i="10" s="1"/>
  <c r="J305" i="10"/>
  <c r="F305" i="10"/>
  <c r="M305" i="10"/>
  <c r="P305" i="10" s="1"/>
  <c r="H309" i="10" l="1"/>
  <c r="AP309" i="10"/>
  <c r="G309" i="10"/>
  <c r="E309" i="10"/>
  <c r="AB309" i="10"/>
  <c r="AA309" i="10"/>
  <c r="W309" i="10"/>
  <c r="V309" i="10"/>
  <c r="C310" i="10"/>
  <c r="AO310" i="10" s="1"/>
  <c r="J306" i="10"/>
  <c r="M306" i="10"/>
  <c r="P306" i="10" s="1"/>
  <c r="F306" i="10"/>
  <c r="H310" i="10" l="1"/>
  <c r="AP310" i="10"/>
  <c r="G310" i="10"/>
  <c r="E310" i="10"/>
  <c r="AA310" i="10"/>
  <c r="W310" i="10"/>
  <c r="AB310" i="10" s="1"/>
  <c r="V310" i="10"/>
  <c r="C311" i="10"/>
  <c r="AO311" i="10" s="1"/>
  <c r="J307" i="10"/>
  <c r="F307" i="10"/>
  <c r="M307" i="10"/>
  <c r="P307" i="10" s="1"/>
  <c r="H311" i="10" l="1"/>
  <c r="AP311" i="10"/>
  <c r="G311" i="10"/>
  <c r="E311" i="10"/>
  <c r="AA311" i="10"/>
  <c r="W311" i="10"/>
  <c r="AB311" i="10" s="1"/>
  <c r="V311" i="10"/>
  <c r="C312" i="10"/>
  <c r="AO312" i="10" s="1"/>
  <c r="J308" i="10"/>
  <c r="F308" i="10"/>
  <c r="M308" i="10"/>
  <c r="P308" i="10" s="1"/>
  <c r="H312" i="10" l="1"/>
  <c r="AP312" i="10"/>
  <c r="G312" i="10"/>
  <c r="E312" i="10"/>
  <c r="AA312" i="10"/>
  <c r="W312" i="10"/>
  <c r="AB312" i="10" s="1"/>
  <c r="V312" i="10"/>
  <c r="C313" i="10"/>
  <c r="AO313" i="10" s="1"/>
  <c r="J309" i="10"/>
  <c r="F309" i="10"/>
  <c r="M309" i="10"/>
  <c r="P309" i="10" s="1"/>
  <c r="H313" i="10" l="1"/>
  <c r="AP313" i="10"/>
  <c r="G313" i="10"/>
  <c r="E313" i="10"/>
  <c r="AA313" i="10"/>
  <c r="W313" i="10"/>
  <c r="AB313" i="10" s="1"/>
  <c r="V313" i="10"/>
  <c r="C314" i="10"/>
  <c r="AO314" i="10" s="1"/>
  <c r="J310" i="10"/>
  <c r="M310" i="10"/>
  <c r="P310" i="10" s="1"/>
  <c r="F310" i="10"/>
  <c r="H314" i="10" l="1"/>
  <c r="AP314" i="10"/>
  <c r="E314" i="10"/>
  <c r="G314" i="10"/>
  <c r="AA314" i="10"/>
  <c r="W314" i="10"/>
  <c r="AB314" i="10" s="1"/>
  <c r="V314" i="10"/>
  <c r="C315" i="10"/>
  <c r="AO315" i="10" s="1"/>
  <c r="J311" i="10"/>
  <c r="M311" i="10"/>
  <c r="P311" i="10" s="1"/>
  <c r="F311" i="10"/>
  <c r="H315" i="10" l="1"/>
  <c r="AP315" i="10"/>
  <c r="G315" i="10"/>
  <c r="E315" i="10"/>
  <c r="AA315" i="10"/>
  <c r="W315" i="10"/>
  <c r="AB315" i="10" s="1"/>
  <c r="V315" i="10"/>
  <c r="C316" i="10"/>
  <c r="AO316" i="10" s="1"/>
  <c r="J312" i="10"/>
  <c r="F312" i="10"/>
  <c r="M312" i="10"/>
  <c r="P312" i="10" s="1"/>
  <c r="H316" i="10" l="1"/>
  <c r="AP316" i="10"/>
  <c r="G316" i="10"/>
  <c r="E316" i="10"/>
  <c r="AA316" i="10"/>
  <c r="W316" i="10"/>
  <c r="AB316" i="10" s="1"/>
  <c r="V316" i="10"/>
  <c r="C317" i="10"/>
  <c r="AO317" i="10" s="1"/>
  <c r="J313" i="10"/>
  <c r="F313" i="10"/>
  <c r="M313" i="10"/>
  <c r="P313" i="10" s="1"/>
  <c r="H317" i="10" l="1"/>
  <c r="AP317" i="10"/>
  <c r="G317" i="10"/>
  <c r="E317" i="10"/>
  <c r="AA317" i="10"/>
  <c r="W317" i="10"/>
  <c r="AB317" i="10" s="1"/>
  <c r="V317" i="10"/>
  <c r="C318" i="10"/>
  <c r="AO318" i="10" s="1"/>
  <c r="J314" i="10"/>
  <c r="P314" i="10"/>
  <c r="M314" i="10"/>
  <c r="F314" i="10"/>
  <c r="H318" i="10" l="1"/>
  <c r="AP318" i="10"/>
  <c r="G318" i="10"/>
  <c r="E318" i="10"/>
  <c r="AA318" i="10"/>
  <c r="W318" i="10"/>
  <c r="AB318" i="10" s="1"/>
  <c r="V318" i="10"/>
  <c r="C319" i="10"/>
  <c r="AO319" i="10" s="1"/>
  <c r="J315" i="10"/>
  <c r="M315" i="10"/>
  <c r="P315" i="10" s="1"/>
  <c r="F315" i="10"/>
  <c r="H319" i="10" l="1"/>
  <c r="AP319" i="10"/>
  <c r="E319" i="10"/>
  <c r="G319" i="10"/>
  <c r="AA319" i="10"/>
  <c r="W319" i="10"/>
  <c r="AB319" i="10" s="1"/>
  <c r="V319" i="10"/>
  <c r="C320" i="10"/>
  <c r="AO320" i="10" s="1"/>
  <c r="J316" i="10"/>
  <c r="F316" i="10"/>
  <c r="M316" i="10"/>
  <c r="P316" i="10" s="1"/>
  <c r="H320" i="10" l="1"/>
  <c r="AP320" i="10"/>
  <c r="G320" i="10"/>
  <c r="E320" i="10"/>
  <c r="AA320" i="10"/>
  <c r="V320" i="10"/>
  <c r="W320" i="10"/>
  <c r="AB320" i="10" s="1"/>
  <c r="C321" i="10"/>
  <c r="AO321" i="10" s="1"/>
  <c r="J317" i="10"/>
  <c r="F317" i="10"/>
  <c r="M317" i="10"/>
  <c r="P317" i="10" s="1"/>
  <c r="H321" i="10" l="1"/>
  <c r="AP321" i="10"/>
  <c r="G321" i="10"/>
  <c r="E321" i="10"/>
  <c r="W321" i="10"/>
  <c r="AB321" i="10" s="1"/>
  <c r="V321" i="10"/>
  <c r="AA321" i="10" s="1"/>
  <c r="C322" i="10"/>
  <c r="AO322" i="10" s="1"/>
  <c r="J318" i="10"/>
  <c r="M318" i="10"/>
  <c r="P318" i="10" s="1"/>
  <c r="F318" i="10"/>
  <c r="H322" i="10" l="1"/>
  <c r="AP322" i="10"/>
  <c r="E322" i="10"/>
  <c r="G322" i="10"/>
  <c r="AA322" i="10"/>
  <c r="W322" i="10"/>
  <c r="AB322" i="10" s="1"/>
  <c r="V322" i="10"/>
  <c r="C323" i="10"/>
  <c r="AO323" i="10" s="1"/>
  <c r="J319" i="10"/>
  <c r="M319" i="10"/>
  <c r="P319" i="10" s="1"/>
  <c r="F319" i="10"/>
  <c r="H323" i="10" l="1"/>
  <c r="AP323" i="10"/>
  <c r="E323" i="10"/>
  <c r="G323" i="10"/>
  <c r="AA323" i="10"/>
  <c r="W323" i="10"/>
  <c r="AB323" i="10" s="1"/>
  <c r="V323" i="10"/>
  <c r="C324" i="10"/>
  <c r="AO324" i="10" s="1"/>
  <c r="J320" i="10"/>
  <c r="M320" i="10"/>
  <c r="P320" i="10" s="1"/>
  <c r="F320" i="10"/>
  <c r="H324" i="10" l="1"/>
  <c r="AP324" i="10"/>
  <c r="G324" i="10"/>
  <c r="E324" i="10"/>
  <c r="AA324" i="10"/>
  <c r="W324" i="10"/>
  <c r="AB324" i="10" s="1"/>
  <c r="V324" i="10"/>
  <c r="C325" i="10"/>
  <c r="AO325" i="10" s="1"/>
  <c r="J321" i="10"/>
  <c r="F321" i="10"/>
  <c r="M321" i="10"/>
  <c r="P321" i="10" s="1"/>
  <c r="H325" i="10" l="1"/>
  <c r="AP325" i="10"/>
  <c r="G325" i="10"/>
  <c r="E325" i="10"/>
  <c r="AA325" i="10"/>
  <c r="W325" i="10"/>
  <c r="AB325" i="10" s="1"/>
  <c r="V325" i="10"/>
  <c r="C326" i="10"/>
  <c r="AO326" i="10" s="1"/>
  <c r="J322" i="10"/>
  <c r="M322" i="10"/>
  <c r="P322" i="10" s="1"/>
  <c r="F322" i="10"/>
  <c r="H326" i="10" l="1"/>
  <c r="AP326" i="10"/>
  <c r="G326" i="10"/>
  <c r="E326" i="10"/>
  <c r="AA326" i="10"/>
  <c r="W326" i="10"/>
  <c r="AB326" i="10" s="1"/>
  <c r="V326" i="10"/>
  <c r="C327" i="10"/>
  <c r="AO327" i="10" s="1"/>
  <c r="J323" i="10"/>
  <c r="M323" i="10"/>
  <c r="P323" i="10" s="1"/>
  <c r="F323" i="10"/>
  <c r="H327" i="10" l="1"/>
  <c r="AP327" i="10"/>
  <c r="G327" i="10"/>
  <c r="E327" i="10"/>
  <c r="AA327" i="10"/>
  <c r="W327" i="10"/>
  <c r="AB327" i="10" s="1"/>
  <c r="V327" i="10"/>
  <c r="C328" i="10"/>
  <c r="AO328" i="10" s="1"/>
  <c r="J324" i="10"/>
  <c r="M324" i="10"/>
  <c r="P324" i="10" s="1"/>
  <c r="F324" i="10"/>
  <c r="H328" i="10" l="1"/>
  <c r="AP328" i="10"/>
  <c r="G328" i="10"/>
  <c r="E328" i="10"/>
  <c r="V328" i="10"/>
  <c r="AA328" i="10" s="1"/>
  <c r="W328" i="10"/>
  <c r="AB328" i="10" s="1"/>
  <c r="C329" i="10"/>
  <c r="AO329" i="10" s="1"/>
  <c r="J325" i="10"/>
  <c r="F325" i="10"/>
  <c r="M325" i="10"/>
  <c r="P325" i="10" s="1"/>
  <c r="H329" i="10" l="1"/>
  <c r="AP329" i="10"/>
  <c r="G329" i="10"/>
  <c r="E329" i="10"/>
  <c r="AA329" i="10"/>
  <c r="W329" i="10"/>
  <c r="AB329" i="10" s="1"/>
  <c r="V329" i="10"/>
  <c r="C330" i="10"/>
  <c r="AO330" i="10" s="1"/>
  <c r="J326" i="10"/>
  <c r="M326" i="10"/>
  <c r="P326" i="10" s="1"/>
  <c r="F326" i="10"/>
  <c r="H330" i="10" l="1"/>
  <c r="AP330" i="10"/>
  <c r="G330" i="10"/>
  <c r="E330" i="10"/>
  <c r="AA330" i="10"/>
  <c r="W330" i="10"/>
  <c r="AB330" i="10" s="1"/>
  <c r="V330" i="10"/>
  <c r="C331" i="10"/>
  <c r="AO331" i="10" s="1"/>
  <c r="J327" i="10"/>
  <c r="F327" i="10"/>
  <c r="M327" i="10"/>
  <c r="P327" i="10" s="1"/>
  <c r="H331" i="10" l="1"/>
  <c r="AP331" i="10"/>
  <c r="G331" i="10"/>
  <c r="E331" i="10"/>
  <c r="W331" i="10"/>
  <c r="AB331" i="10" s="1"/>
  <c r="V331" i="10"/>
  <c r="AA331" i="10" s="1"/>
  <c r="C332" i="10"/>
  <c r="AO332" i="10" s="1"/>
  <c r="J328" i="10"/>
  <c r="M328" i="10"/>
  <c r="P328" i="10" s="1"/>
  <c r="F328" i="10"/>
  <c r="H332" i="10" l="1"/>
  <c r="AP332" i="10"/>
  <c r="A17" i="8" s="1"/>
  <c r="A20" i="8" s="1"/>
  <c r="G332" i="10"/>
  <c r="E332" i="10"/>
  <c r="AB332" i="10"/>
  <c r="AA332" i="10"/>
  <c r="W332" i="10"/>
  <c r="W5" i="10" s="1"/>
  <c r="V332" i="10"/>
  <c r="J329" i="10"/>
  <c r="M329" i="10"/>
  <c r="P329" i="10" s="1"/>
  <c r="F329" i="10"/>
  <c r="J330" i="10" l="1"/>
  <c r="P330" i="10"/>
  <c r="F330" i="10"/>
  <c r="M330" i="10"/>
  <c r="J331" i="10" l="1"/>
  <c r="P331" i="10"/>
  <c r="F331" i="10"/>
  <c r="M331" i="10"/>
  <c r="J332" i="10" l="1"/>
  <c r="P332" i="10"/>
  <c r="F332" i="10"/>
  <c r="F5" i="10" s="1"/>
  <c r="M332" i="10"/>
  <c r="AR6" i="8"/>
  <c r="J38" i="10" l="1"/>
  <c r="J39" i="10"/>
  <c r="J37" i="10" l="1"/>
  <c r="J156" i="10" l="1"/>
  <c r="J13" i="10" l="1"/>
  <c r="J9" i="10" l="1"/>
  <c r="J12" i="10" l="1"/>
  <c r="J28" i="10" l="1"/>
  <c r="J27" i="10"/>
  <c r="J8" i="10" l="1"/>
  <c r="J118" i="10" l="1"/>
  <c r="J26" i="10" l="1"/>
  <c r="J76" i="10" l="1"/>
  <c r="I157" i="10" l="1"/>
  <c r="N157" i="10" l="1"/>
  <c r="O157" i="10"/>
  <c r="K157" i="10"/>
  <c r="T157" i="10" l="1"/>
  <c r="R157" i="10"/>
  <c r="U157" i="10"/>
  <c r="Y157" i="10" l="1"/>
  <c r="X157" i="10"/>
  <c r="Z157" i="10"/>
  <c r="I158" i="10"/>
  <c r="AC157" i="10" l="1"/>
  <c r="N158" i="10"/>
  <c r="O158" i="10"/>
  <c r="K158" i="10"/>
  <c r="T158" i="10" l="1"/>
  <c r="R158" i="10"/>
  <c r="U158" i="10"/>
  <c r="Z158" i="10" l="1"/>
  <c r="I159" i="10"/>
  <c r="X158" i="10"/>
  <c r="Y158" i="10"/>
  <c r="AC158" i="10" l="1"/>
  <c r="N159" i="10"/>
  <c r="O159" i="10"/>
  <c r="K159" i="10"/>
  <c r="T159" i="10" l="1"/>
  <c r="R159" i="10"/>
  <c r="U159" i="10"/>
  <c r="I160" i="10" l="1"/>
  <c r="Z159" i="10"/>
  <c r="X159" i="10"/>
  <c r="Y159" i="10"/>
  <c r="AC159" i="10" l="1"/>
  <c r="N160" i="10"/>
  <c r="O160" i="10"/>
  <c r="K160" i="10"/>
  <c r="T160" i="10" l="1"/>
  <c r="R160" i="10"/>
  <c r="U160" i="10"/>
  <c r="Z160" i="10" l="1"/>
  <c r="I161" i="10"/>
  <c r="X160" i="10"/>
  <c r="Y160" i="10"/>
  <c r="AC160" i="10" l="1"/>
  <c r="N161" i="10"/>
  <c r="O161" i="10"/>
  <c r="K161" i="10"/>
  <c r="I162" i="10" l="1"/>
  <c r="K162" i="10" s="1"/>
  <c r="T161" i="10"/>
  <c r="R161" i="10"/>
  <c r="U161" i="10"/>
  <c r="X161" i="10" l="1"/>
  <c r="Y161" i="10"/>
  <c r="Z161" i="10"/>
  <c r="I163" i="10"/>
  <c r="K163" i="10" s="1"/>
  <c r="N162" i="10"/>
  <c r="O162" i="10"/>
  <c r="AC161" i="10" l="1"/>
  <c r="I164" i="10"/>
  <c r="K164" i="10" s="1"/>
  <c r="O163" i="10"/>
  <c r="N163" i="10"/>
  <c r="T162" i="10"/>
  <c r="R162" i="10"/>
  <c r="U162" i="10"/>
  <c r="Z162" i="10" s="1"/>
  <c r="I165" i="10" l="1"/>
  <c r="K165" i="10"/>
  <c r="R163" i="10"/>
  <c r="U163" i="10"/>
  <c r="Z163" i="10" s="1"/>
  <c r="T163" i="10"/>
  <c r="X162" i="10"/>
  <c r="Y162" i="10"/>
  <c r="AC162" i="10" s="1"/>
  <c r="O164" i="10"/>
  <c r="N164" i="10"/>
  <c r="X163" i="10" l="1"/>
  <c r="Y163" i="10"/>
  <c r="AC163" i="10" s="1"/>
  <c r="R164" i="10"/>
  <c r="T164" i="10"/>
  <c r="U164" i="10"/>
  <c r="Z164" i="10" s="1"/>
  <c r="I166" i="10"/>
  <c r="K166" i="10" s="1"/>
  <c r="O165" i="10"/>
  <c r="N165" i="10"/>
  <c r="I167" i="10" l="1"/>
  <c r="K167" i="10" s="1"/>
  <c r="Y164" i="10"/>
  <c r="AC164" i="10" s="1"/>
  <c r="X164" i="10"/>
  <c r="N166" i="10"/>
  <c r="O166" i="10"/>
  <c r="T165" i="10"/>
  <c r="R165" i="10"/>
  <c r="U165" i="10"/>
  <c r="Z165" i="10" s="1"/>
  <c r="I168" i="10" l="1"/>
  <c r="K168" i="10" s="1"/>
  <c r="X165" i="10"/>
  <c r="Y165" i="10"/>
  <c r="AC165" i="10" s="1"/>
  <c r="T166" i="10"/>
  <c r="U166" i="10"/>
  <c r="Z166" i="10" s="1"/>
  <c r="R166" i="10"/>
  <c r="O167" i="10"/>
  <c r="N167" i="10"/>
  <c r="I169" i="10" l="1"/>
  <c r="K169" i="10" s="1"/>
  <c r="Y166" i="10"/>
  <c r="AC166" i="10" s="1"/>
  <c r="X166" i="10"/>
  <c r="U167" i="10"/>
  <c r="Z167" i="10" s="1"/>
  <c r="T167" i="10"/>
  <c r="R167" i="10"/>
  <c r="N168" i="10"/>
  <c r="O168" i="10"/>
  <c r="Y167" i="10" l="1"/>
  <c r="AC167" i="10" s="1"/>
  <c r="X167" i="10"/>
  <c r="I170" i="10"/>
  <c r="T168" i="10"/>
  <c r="R168" i="10"/>
  <c r="U168" i="10"/>
  <c r="Z168" i="10" s="1"/>
  <c r="N169" i="10"/>
  <c r="O169" i="10"/>
  <c r="X168" i="10" l="1"/>
  <c r="Y168" i="10"/>
  <c r="AC168" i="10" s="1"/>
  <c r="N170" i="10"/>
  <c r="O170" i="10"/>
  <c r="K170" i="10"/>
  <c r="T169" i="10"/>
  <c r="R169" i="10"/>
  <c r="U169" i="10"/>
  <c r="Z169" i="10" s="1"/>
  <c r="I171" i="10" l="1"/>
  <c r="X169" i="10"/>
  <c r="Y169" i="10"/>
  <c r="AC169" i="10" s="1"/>
  <c r="T170" i="10"/>
  <c r="R170" i="10"/>
  <c r="U170" i="10"/>
  <c r="Z170" i="10" s="1"/>
  <c r="N171" i="10" l="1"/>
  <c r="O171" i="10"/>
  <c r="X170" i="10"/>
  <c r="Y170" i="10"/>
  <c r="AC170" i="10" s="1"/>
  <c r="K171" i="10"/>
  <c r="I172" i="10" l="1"/>
  <c r="K172" i="10" s="1"/>
  <c r="T171" i="10"/>
  <c r="R171" i="10"/>
  <c r="U171" i="10"/>
  <c r="Z171" i="10" s="1"/>
  <c r="I173" i="10" l="1"/>
  <c r="K173" i="10" s="1"/>
  <c r="X171" i="10"/>
  <c r="Y171" i="10"/>
  <c r="AC171" i="10" s="1"/>
  <c r="O172" i="10"/>
  <c r="N172" i="10"/>
  <c r="I174" i="10" l="1"/>
  <c r="K174" i="10" s="1"/>
  <c r="T172" i="10"/>
  <c r="U172" i="10"/>
  <c r="Z172" i="10" s="1"/>
  <c r="R172" i="10"/>
  <c r="N173" i="10"/>
  <c r="O173" i="10"/>
  <c r="I175" i="10" l="1"/>
  <c r="K175" i="10" s="1"/>
  <c r="T173" i="10"/>
  <c r="R173" i="10"/>
  <c r="U173" i="10"/>
  <c r="Z173" i="10" s="1"/>
  <c r="X172" i="10"/>
  <c r="Y172" i="10"/>
  <c r="AC172" i="10" s="1"/>
  <c r="N174" i="10"/>
  <c r="O174" i="10"/>
  <c r="T174" i="10" l="1"/>
  <c r="U174" i="10"/>
  <c r="Z174" i="10" s="1"/>
  <c r="R174" i="10"/>
  <c r="X173" i="10"/>
  <c r="Y173" i="10"/>
  <c r="AC173" i="10" s="1"/>
  <c r="I176" i="10"/>
  <c r="K176" i="10" s="1"/>
  <c r="O175" i="10"/>
  <c r="N175" i="10"/>
  <c r="I177" i="10" l="1"/>
  <c r="K177" i="10" s="1"/>
  <c r="Y174" i="10"/>
  <c r="AC174" i="10" s="1"/>
  <c r="X174" i="10"/>
  <c r="N176" i="10"/>
  <c r="O176" i="10"/>
  <c r="T175" i="10"/>
  <c r="R175" i="10"/>
  <c r="U175" i="10"/>
  <c r="Z175" i="10" s="1"/>
  <c r="I178" i="10" l="1"/>
  <c r="X175" i="10"/>
  <c r="Y175" i="10"/>
  <c r="AC175" i="10" s="1"/>
  <c r="T176" i="10"/>
  <c r="R176" i="10"/>
  <c r="U176" i="10"/>
  <c r="Z176" i="10" s="1"/>
  <c r="O177" i="10"/>
  <c r="N177" i="10"/>
  <c r="N178" i="10" l="1"/>
  <c r="O178" i="10"/>
  <c r="X176" i="10"/>
  <c r="Y176" i="10"/>
  <c r="AC176" i="10" s="1"/>
  <c r="T177" i="10"/>
  <c r="R177" i="10"/>
  <c r="U177" i="10"/>
  <c r="Z177" i="10" s="1"/>
  <c r="K178" i="10"/>
  <c r="X177" i="10" l="1"/>
  <c r="Y177" i="10"/>
  <c r="AC177" i="10" s="1"/>
  <c r="I179" i="10"/>
  <c r="K179" i="10" s="1"/>
  <c r="T178" i="10"/>
  <c r="U178" i="10"/>
  <c r="Z178" i="10" s="1"/>
  <c r="R178" i="10"/>
  <c r="I180" i="10" l="1"/>
  <c r="K180" i="10" s="1"/>
  <c r="X178" i="10"/>
  <c r="Y178" i="10"/>
  <c r="AC178" i="10" s="1"/>
  <c r="N179" i="10"/>
  <c r="O179" i="10"/>
  <c r="I181" i="10" l="1"/>
  <c r="K181" i="10" s="1"/>
  <c r="T179" i="10"/>
  <c r="R179" i="10"/>
  <c r="U179" i="10"/>
  <c r="Z179" i="10" s="1"/>
  <c r="N180" i="10"/>
  <c r="O180" i="10"/>
  <c r="I182" i="10" l="1"/>
  <c r="K182" i="10" s="1"/>
  <c r="T180" i="10"/>
  <c r="R180" i="10"/>
  <c r="U180" i="10"/>
  <c r="Z180" i="10" s="1"/>
  <c r="X179" i="10"/>
  <c r="Y179" i="10"/>
  <c r="AC179" i="10" s="1"/>
  <c r="N181" i="10"/>
  <c r="O181" i="10"/>
  <c r="T181" i="10" l="1"/>
  <c r="U181" i="10"/>
  <c r="Z181" i="10" s="1"/>
  <c r="R181" i="10"/>
  <c r="X180" i="10"/>
  <c r="Y180" i="10"/>
  <c r="AC180" i="10" s="1"/>
  <c r="I183" i="10"/>
  <c r="K183" i="10" s="1"/>
  <c r="N182" i="10"/>
  <c r="O182" i="10"/>
  <c r="I184" i="10" l="1"/>
  <c r="K184" i="10"/>
  <c r="T182" i="10"/>
  <c r="U182" i="10"/>
  <c r="Z182" i="10" s="1"/>
  <c r="R182" i="10"/>
  <c r="X181" i="10"/>
  <c r="Y181" i="10"/>
  <c r="AC181" i="10" s="1"/>
  <c r="O183" i="10"/>
  <c r="N183" i="10"/>
  <c r="X182" i="10" l="1"/>
  <c r="Y182" i="10"/>
  <c r="AC182" i="10" s="1"/>
  <c r="I185" i="10"/>
  <c r="K185" i="10" s="1"/>
  <c r="T183" i="10"/>
  <c r="R183" i="10"/>
  <c r="U183" i="10"/>
  <c r="Z183" i="10" s="1"/>
  <c r="N184" i="10"/>
  <c r="O184" i="10"/>
  <c r="I186" i="10" l="1"/>
  <c r="K186" i="10"/>
  <c r="X183" i="10"/>
  <c r="Y183" i="10"/>
  <c r="AC183" i="10" s="1"/>
  <c r="N185" i="10"/>
  <c r="O185" i="10"/>
  <c r="T184" i="10"/>
  <c r="R184" i="10"/>
  <c r="U184" i="10"/>
  <c r="Z184" i="10" s="1"/>
  <c r="I187" i="10" l="1"/>
  <c r="K187" i="10" s="1"/>
  <c r="Y184" i="10"/>
  <c r="AC184" i="10" s="1"/>
  <c r="X184" i="10"/>
  <c r="T185" i="10"/>
  <c r="R185" i="10"/>
  <c r="U185" i="10"/>
  <c r="Z185" i="10" s="1"/>
  <c r="N186" i="10"/>
  <c r="O186" i="10"/>
  <c r="I188" i="10" l="1"/>
  <c r="K188" i="10" s="1"/>
  <c r="X185" i="10"/>
  <c r="Y185" i="10"/>
  <c r="AC185" i="10" s="1"/>
  <c r="T186" i="10"/>
  <c r="U186" i="10"/>
  <c r="Z186" i="10" s="1"/>
  <c r="R186" i="10"/>
  <c r="O187" i="10"/>
  <c r="N187" i="10"/>
  <c r="I189" i="10" l="1"/>
  <c r="K189" i="10" s="1"/>
  <c r="Y186" i="10"/>
  <c r="AC186" i="10" s="1"/>
  <c r="X186" i="10"/>
  <c r="T187" i="10"/>
  <c r="U187" i="10"/>
  <c r="Z187" i="10" s="1"/>
  <c r="R187" i="10"/>
  <c r="O188" i="10"/>
  <c r="N188" i="10"/>
  <c r="I190" i="10" l="1"/>
  <c r="K190" i="10"/>
  <c r="X187" i="10"/>
  <c r="Y187" i="10"/>
  <c r="AC187" i="10" s="1"/>
  <c r="T188" i="10"/>
  <c r="U188" i="10"/>
  <c r="Z188" i="10" s="1"/>
  <c r="R188" i="10"/>
  <c r="O189" i="10"/>
  <c r="N189" i="10"/>
  <c r="X188" i="10" l="1"/>
  <c r="Y188" i="10"/>
  <c r="AC188" i="10" s="1"/>
  <c r="T189" i="10"/>
  <c r="U189" i="10"/>
  <c r="Z189" i="10" s="1"/>
  <c r="R189" i="10"/>
  <c r="I191" i="10"/>
  <c r="N190" i="10"/>
  <c r="O190" i="10"/>
  <c r="O191" i="10" l="1"/>
  <c r="N191" i="10"/>
  <c r="Y189" i="10"/>
  <c r="AC189" i="10" s="1"/>
  <c r="X189" i="10"/>
  <c r="K191" i="10"/>
  <c r="T190" i="10"/>
  <c r="U190" i="10"/>
  <c r="Z190" i="10" s="1"/>
  <c r="R190" i="10"/>
  <c r="Y190" i="10" l="1"/>
  <c r="AC190" i="10" s="1"/>
  <c r="X190" i="10"/>
  <c r="I192" i="10"/>
  <c r="T191" i="10"/>
  <c r="R191" i="10"/>
  <c r="U191" i="10"/>
  <c r="Z191" i="10" s="1"/>
  <c r="O192" i="10" l="1"/>
  <c r="N192" i="10"/>
  <c r="Y191" i="10"/>
  <c r="AC191" i="10" s="1"/>
  <c r="X191" i="10"/>
  <c r="K192" i="10"/>
  <c r="I193" i="10" l="1"/>
  <c r="T192" i="10"/>
  <c r="R192" i="10"/>
  <c r="U192" i="10"/>
  <c r="Z192" i="10" s="1"/>
  <c r="N193" i="10" l="1"/>
  <c r="O193" i="10"/>
  <c r="X192" i="10"/>
  <c r="Y192" i="10"/>
  <c r="AC192" i="10" s="1"/>
  <c r="K193" i="10"/>
  <c r="I194" i="10" l="1"/>
  <c r="K194" i="10" s="1"/>
  <c r="T193" i="10"/>
  <c r="U193" i="10"/>
  <c r="Z193" i="10" s="1"/>
  <c r="R193" i="10"/>
  <c r="I195" i="10" l="1"/>
  <c r="K195" i="10" s="1"/>
  <c r="X193" i="10"/>
  <c r="Y193" i="10"/>
  <c r="AC193" i="10" s="1"/>
  <c r="N194" i="10"/>
  <c r="O194" i="10"/>
  <c r="I196" i="10" l="1"/>
  <c r="K196" i="10" s="1"/>
  <c r="T194" i="10"/>
  <c r="U194" i="10"/>
  <c r="Z194" i="10" s="1"/>
  <c r="R194" i="10"/>
  <c r="N195" i="10"/>
  <c r="O195" i="10"/>
  <c r="I197" i="10" l="1"/>
  <c r="K197" i="10" s="1"/>
  <c r="T195" i="10"/>
  <c r="R195" i="10"/>
  <c r="U195" i="10"/>
  <c r="Z195" i="10" s="1"/>
  <c r="X194" i="10"/>
  <c r="Y194" i="10"/>
  <c r="AC194" i="10" s="1"/>
  <c r="O196" i="10"/>
  <c r="N196" i="10"/>
  <c r="I198" i="10" l="1"/>
  <c r="K198" i="10" s="1"/>
  <c r="X195" i="10"/>
  <c r="Y195" i="10"/>
  <c r="AC195" i="10" s="1"/>
  <c r="T196" i="10"/>
  <c r="U196" i="10"/>
  <c r="Z196" i="10" s="1"/>
  <c r="R196" i="10"/>
  <c r="N197" i="10"/>
  <c r="O197" i="10"/>
  <c r="X196" i="10" l="1"/>
  <c r="Y196" i="10"/>
  <c r="AC196" i="10" s="1"/>
  <c r="I199" i="10"/>
  <c r="T197" i="10"/>
  <c r="U197" i="10"/>
  <c r="Z197" i="10" s="1"/>
  <c r="R197" i="10"/>
  <c r="N198" i="10"/>
  <c r="O198" i="10"/>
  <c r="N199" i="10" l="1"/>
  <c r="O199" i="10"/>
  <c r="Y197" i="10"/>
  <c r="AC197" i="10" s="1"/>
  <c r="X197" i="10"/>
  <c r="K199" i="10"/>
  <c r="T198" i="10"/>
  <c r="R198" i="10"/>
  <c r="U198" i="10"/>
  <c r="Z198" i="10" s="1"/>
  <c r="I200" i="10" l="1"/>
  <c r="K200" i="10" s="1"/>
  <c r="X198" i="10"/>
  <c r="Y198" i="10"/>
  <c r="AC198" i="10" s="1"/>
  <c r="T199" i="10"/>
  <c r="R199" i="10"/>
  <c r="U199" i="10"/>
  <c r="Z199" i="10" s="1"/>
  <c r="I201" i="10" l="1"/>
  <c r="K201" i="10" s="1"/>
  <c r="Y199" i="10"/>
  <c r="AC199" i="10" s="1"/>
  <c r="X199" i="10"/>
  <c r="N200" i="10"/>
  <c r="O200" i="10"/>
  <c r="I202" i="10" l="1"/>
  <c r="K202" i="10" s="1"/>
  <c r="T200" i="10"/>
  <c r="R200" i="10"/>
  <c r="U200" i="10"/>
  <c r="Z200" i="10" s="1"/>
  <c r="N201" i="10"/>
  <c r="O201" i="10"/>
  <c r="I203" i="10" l="1"/>
  <c r="K203" i="10" s="1"/>
  <c r="T201" i="10"/>
  <c r="U201" i="10"/>
  <c r="Z201" i="10" s="1"/>
  <c r="R201" i="10"/>
  <c r="X200" i="10"/>
  <c r="Y200" i="10"/>
  <c r="AC200" i="10" s="1"/>
  <c r="O202" i="10"/>
  <c r="N202" i="10"/>
  <c r="I204" i="10" l="1"/>
  <c r="K204" i="10" s="1"/>
  <c r="X201" i="10"/>
  <c r="Y201" i="10"/>
  <c r="AC201" i="10" s="1"/>
  <c r="T202" i="10"/>
  <c r="R202" i="10"/>
  <c r="U202" i="10"/>
  <c r="Z202" i="10" s="1"/>
  <c r="N203" i="10"/>
  <c r="O203" i="10"/>
  <c r="I205" i="10" l="1"/>
  <c r="K205" i="10" s="1"/>
  <c r="X202" i="10"/>
  <c r="Y202" i="10"/>
  <c r="AC202" i="10" s="1"/>
  <c r="T203" i="10"/>
  <c r="R203" i="10"/>
  <c r="U203" i="10"/>
  <c r="Z203" i="10" s="1"/>
  <c r="N204" i="10"/>
  <c r="O204" i="10"/>
  <c r="I206" i="10" l="1"/>
  <c r="K206" i="10" s="1"/>
  <c r="X203" i="10"/>
  <c r="Y203" i="10"/>
  <c r="AC203" i="10" s="1"/>
  <c r="T204" i="10"/>
  <c r="U204" i="10"/>
  <c r="Z204" i="10" s="1"/>
  <c r="R204" i="10"/>
  <c r="N205" i="10"/>
  <c r="O205" i="10"/>
  <c r="I207" i="10" l="1"/>
  <c r="X204" i="10"/>
  <c r="Y204" i="10"/>
  <c r="AC204" i="10" s="1"/>
  <c r="T205" i="10"/>
  <c r="U205" i="10"/>
  <c r="Z205" i="10" s="1"/>
  <c r="R205" i="10"/>
  <c r="O206" i="10"/>
  <c r="N206" i="10"/>
  <c r="Y205" i="10" l="1"/>
  <c r="AC205" i="10" s="1"/>
  <c r="X205" i="10"/>
  <c r="T206" i="10"/>
  <c r="R206" i="10"/>
  <c r="U206" i="10"/>
  <c r="Z206" i="10" s="1"/>
  <c r="N207" i="10"/>
  <c r="O207" i="10"/>
  <c r="K207" i="10"/>
  <c r="T207" i="10" l="1"/>
  <c r="R207" i="10"/>
  <c r="U207" i="10"/>
  <c r="Z207" i="10" s="1"/>
  <c r="X206" i="10"/>
  <c r="Y206" i="10"/>
  <c r="AC206" i="10" s="1"/>
  <c r="I208" i="10"/>
  <c r="N208" i="10" l="1"/>
  <c r="O208" i="10"/>
  <c r="K208" i="10"/>
  <c r="X207" i="10"/>
  <c r="Y207" i="10"/>
  <c r="AC207" i="10" s="1"/>
  <c r="I209" i="10" l="1"/>
  <c r="T208" i="10"/>
  <c r="R208" i="10"/>
  <c r="U208" i="10"/>
  <c r="Z208" i="10" s="1"/>
  <c r="X208" i="10" l="1"/>
  <c r="Y208" i="10"/>
  <c r="AC208" i="10" s="1"/>
  <c r="O209" i="10"/>
  <c r="N209" i="10"/>
  <c r="K209" i="10"/>
  <c r="I210" i="10" l="1"/>
  <c r="T209" i="10"/>
  <c r="R209" i="10"/>
  <c r="U209" i="10"/>
  <c r="Z209" i="10" s="1"/>
  <c r="X209" i="10" l="1"/>
  <c r="Y209" i="10"/>
  <c r="AC209" i="10" s="1"/>
  <c r="N210" i="10"/>
  <c r="O210" i="10"/>
  <c r="K210" i="10"/>
  <c r="I211" i="10" l="1"/>
  <c r="T210" i="10"/>
  <c r="U210" i="10"/>
  <c r="Z210" i="10" s="1"/>
  <c r="R210" i="10"/>
  <c r="Y210" i="10" l="1"/>
  <c r="AC210" i="10" s="1"/>
  <c r="X210" i="10"/>
  <c r="O211" i="10"/>
  <c r="N211" i="10"/>
  <c r="K211" i="10"/>
  <c r="I212" i="10" l="1"/>
  <c r="T211" i="10"/>
  <c r="R211" i="10"/>
  <c r="U211" i="10"/>
  <c r="Z211" i="10" s="1"/>
  <c r="N212" i="10" l="1"/>
  <c r="O212" i="10"/>
  <c r="X211" i="10"/>
  <c r="Y211" i="10"/>
  <c r="AC211" i="10" s="1"/>
  <c r="K212" i="10"/>
  <c r="I213" i="10" l="1"/>
  <c r="T212" i="10"/>
  <c r="U212" i="10"/>
  <c r="Z212" i="10" s="1"/>
  <c r="R212" i="10"/>
  <c r="X212" i="10" l="1"/>
  <c r="Y212" i="10"/>
  <c r="AC212" i="10" s="1"/>
  <c r="O213" i="10"/>
  <c r="N213" i="10"/>
  <c r="K213" i="10"/>
  <c r="I214" i="10" l="1"/>
  <c r="T213" i="10"/>
  <c r="R213" i="10"/>
  <c r="U213" i="10"/>
  <c r="Z213" i="10" s="1"/>
  <c r="X213" i="10" l="1"/>
  <c r="Y213" i="10"/>
  <c r="AC213" i="10" s="1"/>
  <c r="O214" i="10"/>
  <c r="N214" i="10"/>
  <c r="K214" i="10"/>
  <c r="I215" i="10" l="1"/>
  <c r="T214" i="10"/>
  <c r="R214" i="10"/>
  <c r="U214" i="10"/>
  <c r="Z214" i="10" s="1"/>
  <c r="X214" i="10" l="1"/>
  <c r="Y214" i="10"/>
  <c r="AC214" i="10" s="1"/>
  <c r="N215" i="10"/>
  <c r="O215" i="10"/>
  <c r="K215" i="10"/>
  <c r="I216" i="10" l="1"/>
  <c r="K216" i="10" s="1"/>
  <c r="T215" i="10"/>
  <c r="U215" i="10"/>
  <c r="Z215" i="10" s="1"/>
  <c r="R215" i="10"/>
  <c r="I217" i="10" l="1"/>
  <c r="X215" i="10"/>
  <c r="Y215" i="10"/>
  <c r="AC215" i="10" s="1"/>
  <c r="N216" i="10"/>
  <c r="O216" i="10"/>
  <c r="T216" i="10" l="1"/>
  <c r="R216" i="10"/>
  <c r="U216" i="10"/>
  <c r="Z216" i="10" s="1"/>
  <c r="N217" i="10"/>
  <c r="O217" i="10"/>
  <c r="K217" i="10"/>
  <c r="I218" i="10" l="1"/>
  <c r="T217" i="10"/>
  <c r="R217" i="10"/>
  <c r="U217" i="10"/>
  <c r="Z217" i="10" s="1"/>
  <c r="X216" i="10"/>
  <c r="Y216" i="10"/>
  <c r="AC216" i="10" s="1"/>
  <c r="Y217" i="10" l="1"/>
  <c r="AC217" i="10" s="1"/>
  <c r="X217" i="10"/>
  <c r="N218" i="10"/>
  <c r="O218" i="10"/>
  <c r="K218" i="10"/>
  <c r="I219" i="10" l="1"/>
  <c r="K219" i="10" s="1"/>
  <c r="T218" i="10"/>
  <c r="U218" i="10"/>
  <c r="Z218" i="10" s="1"/>
  <c r="R218" i="10"/>
  <c r="I220" i="10" l="1"/>
  <c r="K220" i="10" s="1"/>
  <c r="X218" i="10"/>
  <c r="Y218" i="10"/>
  <c r="AC218" i="10" s="1"/>
  <c r="N219" i="10"/>
  <c r="O219" i="10"/>
  <c r="T219" i="10" l="1"/>
  <c r="R219" i="10"/>
  <c r="U219" i="10"/>
  <c r="Z219" i="10" s="1"/>
  <c r="I221" i="10"/>
  <c r="K221" i="10" s="1"/>
  <c r="O220" i="10"/>
  <c r="N220" i="10"/>
  <c r="I222" i="10" l="1"/>
  <c r="T220" i="10"/>
  <c r="U220" i="10"/>
  <c r="Z220" i="10" s="1"/>
  <c r="R220" i="10"/>
  <c r="N221" i="10"/>
  <c r="O221" i="10"/>
  <c r="Y219" i="10"/>
  <c r="AC219" i="10" s="1"/>
  <c r="X219" i="10"/>
  <c r="X220" i="10" l="1"/>
  <c r="Y220" i="10"/>
  <c r="AC220" i="10" s="1"/>
  <c r="T221" i="10"/>
  <c r="R221" i="10"/>
  <c r="U221" i="10"/>
  <c r="Z221" i="10" s="1"/>
  <c r="O222" i="10"/>
  <c r="N222" i="10"/>
  <c r="K222" i="10"/>
  <c r="T222" i="10" l="1"/>
  <c r="U222" i="10"/>
  <c r="Z222" i="10" s="1"/>
  <c r="R222" i="10"/>
  <c r="X221" i="10"/>
  <c r="Y221" i="10"/>
  <c r="AC221" i="10" s="1"/>
  <c r="I223" i="10"/>
  <c r="K223" i="10" s="1"/>
  <c r="I224" i="10" l="1"/>
  <c r="K224" i="10" s="1"/>
  <c r="N223" i="10"/>
  <c r="O223" i="10"/>
  <c r="Y222" i="10"/>
  <c r="AC222" i="10" s="1"/>
  <c r="X222" i="10"/>
  <c r="I225" i="10" l="1"/>
  <c r="K225" i="10" s="1"/>
  <c r="T223" i="10"/>
  <c r="U223" i="10"/>
  <c r="Z223" i="10" s="1"/>
  <c r="R223" i="10"/>
  <c r="O224" i="10"/>
  <c r="N224" i="10"/>
  <c r="I226" i="10" l="1"/>
  <c r="T224" i="10"/>
  <c r="U224" i="10"/>
  <c r="Z224" i="10" s="1"/>
  <c r="R224" i="10"/>
  <c r="X223" i="10"/>
  <c r="Y223" i="10"/>
  <c r="AC223" i="10" s="1"/>
  <c r="N225" i="10"/>
  <c r="O225" i="10"/>
  <c r="X224" i="10" l="1"/>
  <c r="Y224" i="10"/>
  <c r="AC224" i="10" s="1"/>
  <c r="N226" i="10"/>
  <c r="O226" i="10"/>
  <c r="T225" i="10"/>
  <c r="R225" i="10"/>
  <c r="U225" i="10"/>
  <c r="Z225" i="10" s="1"/>
  <c r="K226" i="10"/>
  <c r="X225" i="10" l="1"/>
  <c r="Y225" i="10"/>
  <c r="AC225" i="10" s="1"/>
  <c r="T226" i="10"/>
  <c r="U226" i="10"/>
  <c r="Z226" i="10" s="1"/>
  <c r="R226" i="10"/>
  <c r="I227" i="10"/>
  <c r="X226" i="10" l="1"/>
  <c r="Y226" i="10"/>
  <c r="AC226" i="10" s="1"/>
  <c r="O227" i="10"/>
  <c r="N227" i="10"/>
  <c r="K227" i="10"/>
  <c r="T227" i="10" l="1"/>
  <c r="R227" i="10"/>
  <c r="U227" i="10"/>
  <c r="Z227" i="10" s="1"/>
  <c r="I228" i="10"/>
  <c r="K228" i="10" s="1"/>
  <c r="I229" i="10" l="1"/>
  <c r="O228" i="10"/>
  <c r="N228" i="10"/>
  <c r="X227" i="10"/>
  <c r="Y227" i="10"/>
  <c r="AC227" i="10" s="1"/>
  <c r="T228" i="10" l="1"/>
  <c r="U228" i="10"/>
  <c r="Z228" i="10" s="1"/>
  <c r="R228" i="10"/>
  <c r="O229" i="10"/>
  <c r="N229" i="10"/>
  <c r="K229" i="10"/>
  <c r="T229" i="10" l="1"/>
  <c r="R229" i="10"/>
  <c r="U229" i="10"/>
  <c r="Z229" i="10" s="1"/>
  <c r="I230" i="10"/>
  <c r="X228" i="10"/>
  <c r="Y228" i="10"/>
  <c r="AC228" i="10" s="1"/>
  <c r="O230" i="10" l="1"/>
  <c r="N230" i="10"/>
  <c r="K230" i="10"/>
  <c r="X229" i="10"/>
  <c r="Y229" i="10"/>
  <c r="AC229" i="10" s="1"/>
  <c r="I231" i="10" l="1"/>
  <c r="T230" i="10"/>
  <c r="U230" i="10"/>
  <c r="Z230" i="10" s="1"/>
  <c r="R230" i="10"/>
  <c r="X230" i="10" l="1"/>
  <c r="Y230" i="10"/>
  <c r="AC230" i="10" s="1"/>
  <c r="O231" i="10"/>
  <c r="N231" i="10"/>
  <c r="K231" i="10"/>
  <c r="I232" i="10" l="1"/>
  <c r="T231" i="10"/>
  <c r="R231" i="10"/>
  <c r="U231" i="10"/>
  <c r="Z231" i="10" s="1"/>
  <c r="X231" i="10" l="1"/>
  <c r="Y231" i="10"/>
  <c r="AC231" i="10" s="1"/>
  <c r="N232" i="10"/>
  <c r="O232" i="10"/>
  <c r="K232" i="10"/>
  <c r="T232" i="10" l="1"/>
  <c r="R232" i="10"/>
  <c r="U232" i="10"/>
  <c r="Z232" i="10" s="1"/>
  <c r="I233" i="10"/>
  <c r="N233" i="10" l="1"/>
  <c r="O233" i="10"/>
  <c r="K233" i="10"/>
  <c r="X232" i="10"/>
  <c r="Y232" i="10"/>
  <c r="AC232" i="10" s="1"/>
  <c r="I234" i="10" l="1"/>
  <c r="K234" i="10" s="1"/>
  <c r="T233" i="10"/>
  <c r="R233" i="10"/>
  <c r="U233" i="10"/>
  <c r="Z233" i="10" s="1"/>
  <c r="I235" i="10" l="1"/>
  <c r="K235" i="10" s="1"/>
  <c r="X233" i="10"/>
  <c r="Y233" i="10"/>
  <c r="AC233" i="10" s="1"/>
  <c r="N234" i="10"/>
  <c r="O234" i="10"/>
  <c r="I236" i="10" l="1"/>
  <c r="T234" i="10"/>
  <c r="U234" i="10"/>
  <c r="Z234" i="10" s="1"/>
  <c r="R234" i="10"/>
  <c r="N235" i="10"/>
  <c r="O235" i="10"/>
  <c r="T235" i="10" l="1"/>
  <c r="R235" i="10"/>
  <c r="U235" i="10"/>
  <c r="Z235" i="10" s="1"/>
  <c r="Y234" i="10"/>
  <c r="AC234" i="10" s="1"/>
  <c r="X234" i="10"/>
  <c r="N236" i="10"/>
  <c r="O236" i="10"/>
  <c r="K236" i="10"/>
  <c r="T236" i="10" l="1"/>
  <c r="U236" i="10"/>
  <c r="Z236" i="10" s="1"/>
  <c r="R236" i="10"/>
  <c r="I237" i="10"/>
  <c r="Y235" i="10"/>
  <c r="AC235" i="10" s="1"/>
  <c r="X235" i="10"/>
  <c r="O237" i="10" l="1"/>
  <c r="N237" i="10"/>
  <c r="K237" i="10"/>
  <c r="X236" i="10"/>
  <c r="Y236" i="10"/>
  <c r="AC236" i="10" s="1"/>
  <c r="I238" i="10" l="1"/>
  <c r="K238" i="10" s="1"/>
  <c r="T237" i="10"/>
  <c r="R237" i="10"/>
  <c r="U237" i="10"/>
  <c r="Z237" i="10" s="1"/>
  <c r="I239" i="10" l="1"/>
  <c r="K239" i="10" s="1"/>
  <c r="X237" i="10"/>
  <c r="Y237" i="10"/>
  <c r="AC237" i="10" s="1"/>
  <c r="O238" i="10"/>
  <c r="N238" i="10"/>
  <c r="T238" i="10" l="1"/>
  <c r="R238" i="10"/>
  <c r="U238" i="10"/>
  <c r="Z238" i="10" s="1"/>
  <c r="I240" i="10"/>
  <c r="K240" i="10" s="1"/>
  <c r="N239" i="10"/>
  <c r="O239" i="10"/>
  <c r="I241" i="10" l="1"/>
  <c r="T239" i="10"/>
  <c r="R239" i="10"/>
  <c r="U239" i="10"/>
  <c r="Z239" i="10" s="1"/>
  <c r="N240" i="10"/>
  <c r="O240" i="10"/>
  <c r="Y238" i="10"/>
  <c r="AC238" i="10" s="1"/>
  <c r="X238" i="10"/>
  <c r="X239" i="10" l="1"/>
  <c r="Y239" i="10"/>
  <c r="AC239" i="10" s="1"/>
  <c r="N241" i="10"/>
  <c r="O241" i="10"/>
  <c r="T240" i="10"/>
  <c r="R240" i="10"/>
  <c r="U240" i="10"/>
  <c r="Z240" i="10" s="1"/>
  <c r="K241" i="10"/>
  <c r="X240" i="10" l="1"/>
  <c r="Y240" i="10"/>
  <c r="AC240" i="10" s="1"/>
  <c r="T241" i="10"/>
  <c r="R241" i="10"/>
  <c r="U241" i="10"/>
  <c r="Z241" i="10" s="1"/>
  <c r="I242" i="10"/>
  <c r="K242" i="10" s="1"/>
  <c r="I243" i="10" l="1"/>
  <c r="K243" i="10" s="1"/>
  <c r="Y241" i="10"/>
  <c r="AC241" i="10" s="1"/>
  <c r="X241" i="10"/>
  <c r="O242" i="10"/>
  <c r="N242" i="10"/>
  <c r="T242" i="10" l="1"/>
  <c r="R242" i="10"/>
  <c r="U242" i="10"/>
  <c r="Z242" i="10" s="1"/>
  <c r="I244" i="10"/>
  <c r="N243" i="10"/>
  <c r="O243" i="10"/>
  <c r="O244" i="10" l="1"/>
  <c r="N244" i="10"/>
  <c r="T243" i="10"/>
  <c r="R243" i="10"/>
  <c r="U243" i="10"/>
  <c r="Z243" i="10" s="1"/>
  <c r="K244" i="10"/>
  <c r="X242" i="10"/>
  <c r="Y242" i="10"/>
  <c r="AC242" i="10" s="1"/>
  <c r="I245" i="10" l="1"/>
  <c r="K245" i="10" s="1"/>
  <c r="X243" i="10"/>
  <c r="Y243" i="10"/>
  <c r="AC243" i="10" s="1"/>
  <c r="T244" i="10"/>
  <c r="R244" i="10"/>
  <c r="U244" i="10"/>
  <c r="Z244" i="10" s="1"/>
  <c r="I246" i="10" l="1"/>
  <c r="K246" i="10" s="1"/>
  <c r="X244" i="10"/>
  <c r="Y244" i="10"/>
  <c r="AC244" i="10" s="1"/>
  <c r="N245" i="10"/>
  <c r="O245" i="10"/>
  <c r="T245" i="10" l="1"/>
  <c r="U245" i="10"/>
  <c r="Z245" i="10" s="1"/>
  <c r="R245" i="10"/>
  <c r="I247" i="10"/>
  <c r="N246" i="10"/>
  <c r="O246" i="10"/>
  <c r="N247" i="10" l="1"/>
  <c r="O247" i="10"/>
  <c r="T246" i="10"/>
  <c r="R246" i="10"/>
  <c r="U246" i="10"/>
  <c r="Z246" i="10" s="1"/>
  <c r="K247" i="10"/>
  <c r="X245" i="10"/>
  <c r="Y245" i="10"/>
  <c r="AC245" i="10" s="1"/>
  <c r="I248" i="10" l="1"/>
  <c r="K248" i="10" s="1"/>
  <c r="X246" i="10"/>
  <c r="Y246" i="10"/>
  <c r="AC246" i="10" s="1"/>
  <c r="T247" i="10"/>
  <c r="R247" i="10"/>
  <c r="U247" i="10"/>
  <c r="Z247" i="10" s="1"/>
  <c r="I249" i="10" l="1"/>
  <c r="X247" i="10"/>
  <c r="Y247" i="10"/>
  <c r="AC247" i="10" s="1"/>
  <c r="N248" i="10"/>
  <c r="O248" i="10"/>
  <c r="T248" i="10" l="1"/>
  <c r="R248" i="10"/>
  <c r="U248" i="10"/>
  <c r="Z248" i="10" s="1"/>
  <c r="N249" i="10"/>
  <c r="O249" i="10"/>
  <c r="K249" i="10"/>
  <c r="I250" i="10" l="1"/>
  <c r="T249" i="10"/>
  <c r="R249" i="10"/>
  <c r="U249" i="10"/>
  <c r="Z249" i="10" s="1"/>
  <c r="X248" i="10"/>
  <c r="Y248" i="10"/>
  <c r="AC248" i="10" s="1"/>
  <c r="X249" i="10" l="1"/>
  <c r="Y249" i="10"/>
  <c r="AC249" i="10" s="1"/>
  <c r="O250" i="10"/>
  <c r="N250" i="10"/>
  <c r="K250" i="10"/>
  <c r="T250" i="10" l="1"/>
  <c r="R250" i="10"/>
  <c r="U250" i="10"/>
  <c r="Z250" i="10" s="1"/>
  <c r="I251" i="10"/>
  <c r="N251" i="10" l="1"/>
  <c r="O251" i="10"/>
  <c r="K251" i="10"/>
  <c r="X250" i="10"/>
  <c r="Y250" i="10"/>
  <c r="AC250" i="10" s="1"/>
  <c r="I252" i="10" l="1"/>
  <c r="K252" i="10" s="1"/>
  <c r="T251" i="10"/>
  <c r="R251" i="10"/>
  <c r="U251" i="10"/>
  <c r="Z251" i="10" s="1"/>
  <c r="I253" i="10" l="1"/>
  <c r="K253" i="10" s="1"/>
  <c r="X251" i="10"/>
  <c r="Y251" i="10"/>
  <c r="AC251" i="10" s="1"/>
  <c r="N252" i="10"/>
  <c r="O252" i="10"/>
  <c r="I254" i="10" l="1"/>
  <c r="T252" i="10"/>
  <c r="R252" i="10"/>
  <c r="U252" i="10"/>
  <c r="Z252" i="10" s="1"/>
  <c r="O253" i="10"/>
  <c r="N253" i="10"/>
  <c r="X252" i="10" l="1"/>
  <c r="Y252" i="10"/>
  <c r="AC252" i="10" s="1"/>
  <c r="T253" i="10"/>
  <c r="U253" i="10"/>
  <c r="Z253" i="10" s="1"/>
  <c r="R253" i="10"/>
  <c r="N254" i="10"/>
  <c r="O254" i="10"/>
  <c r="K254" i="10"/>
  <c r="Y253" i="10" l="1"/>
  <c r="AC253" i="10" s="1"/>
  <c r="X253" i="10"/>
  <c r="T254" i="10"/>
  <c r="U254" i="10"/>
  <c r="Z254" i="10" s="1"/>
  <c r="R254" i="10"/>
  <c r="I255" i="10"/>
  <c r="K255" i="10" s="1"/>
  <c r="I256" i="10" l="1"/>
  <c r="N255" i="10"/>
  <c r="O255" i="10"/>
  <c r="X254" i="10"/>
  <c r="Y254" i="10"/>
  <c r="AC254" i="10" s="1"/>
  <c r="T255" i="10" l="1"/>
  <c r="U255" i="10"/>
  <c r="Z255" i="10" s="1"/>
  <c r="R255" i="10"/>
  <c r="N256" i="10"/>
  <c r="O256" i="10"/>
  <c r="K256" i="10"/>
  <c r="I257" i="10" l="1"/>
  <c r="T256" i="10"/>
  <c r="U256" i="10"/>
  <c r="Z256" i="10" s="1"/>
  <c r="R256" i="10"/>
  <c r="X255" i="10"/>
  <c r="Y255" i="10"/>
  <c r="AC255" i="10" s="1"/>
  <c r="N257" i="10" l="1"/>
  <c r="O257" i="10"/>
  <c r="X256" i="10"/>
  <c r="Y256" i="10"/>
  <c r="AC256" i="10" s="1"/>
  <c r="K257" i="10"/>
  <c r="I258" i="10" l="1"/>
  <c r="T257" i="10"/>
  <c r="U257" i="10"/>
  <c r="Z257" i="10" s="1"/>
  <c r="R257" i="10"/>
  <c r="X257" i="10" l="1"/>
  <c r="Y257" i="10"/>
  <c r="AC257" i="10" s="1"/>
  <c r="N258" i="10"/>
  <c r="O258" i="10"/>
  <c r="K258" i="10"/>
  <c r="I259" i="10" l="1"/>
  <c r="T258" i="10"/>
  <c r="R258" i="10"/>
  <c r="U258" i="10"/>
  <c r="Z258" i="10" s="1"/>
  <c r="X258" i="10" l="1"/>
  <c r="Y258" i="10"/>
  <c r="AC258" i="10" s="1"/>
  <c r="N259" i="10"/>
  <c r="O259" i="10"/>
  <c r="K259" i="10"/>
  <c r="I260" i="10" l="1"/>
  <c r="K260" i="10" s="1"/>
  <c r="T259" i="10"/>
  <c r="U259" i="10"/>
  <c r="Z259" i="10" s="1"/>
  <c r="R259" i="10"/>
  <c r="I261" i="10" l="1"/>
  <c r="X259" i="10"/>
  <c r="Y259" i="10"/>
  <c r="AC259" i="10" s="1"/>
  <c r="N260" i="10"/>
  <c r="O260" i="10"/>
  <c r="T260" i="10" l="1"/>
  <c r="R260" i="10"/>
  <c r="U260" i="10"/>
  <c r="Z260" i="10" s="1"/>
  <c r="N261" i="10"/>
  <c r="O261" i="10"/>
  <c r="K261" i="10"/>
  <c r="T261" i="10" l="1"/>
  <c r="U261" i="10"/>
  <c r="Z261" i="10" s="1"/>
  <c r="R261" i="10"/>
  <c r="I262" i="10"/>
  <c r="X260" i="10"/>
  <c r="Y260" i="10"/>
  <c r="AC260" i="10" s="1"/>
  <c r="O262" i="10" l="1"/>
  <c r="N262" i="10"/>
  <c r="K262" i="10"/>
  <c r="Y261" i="10"/>
  <c r="AC261" i="10" s="1"/>
  <c r="X261" i="10"/>
  <c r="I263" i="10" l="1"/>
  <c r="T262" i="10"/>
  <c r="R262" i="10"/>
  <c r="U262" i="10"/>
  <c r="Z262" i="10" s="1"/>
  <c r="N263" i="10" l="1"/>
  <c r="O263" i="10"/>
  <c r="X262" i="10"/>
  <c r="Y262" i="10"/>
  <c r="AC262" i="10" s="1"/>
  <c r="K263" i="10"/>
  <c r="I264" i="10" l="1"/>
  <c r="T263" i="10"/>
  <c r="R263" i="10"/>
  <c r="U263" i="10"/>
  <c r="Z263" i="10" s="1"/>
  <c r="X263" i="10" l="1"/>
  <c r="Y263" i="10"/>
  <c r="AC263" i="10" s="1"/>
  <c r="N264" i="10"/>
  <c r="O264" i="10"/>
  <c r="K264" i="10"/>
  <c r="T264" i="10" l="1"/>
  <c r="R264" i="10"/>
  <c r="U264" i="10"/>
  <c r="Z264" i="10" s="1"/>
  <c r="I265" i="10"/>
  <c r="K265" i="10" s="1"/>
  <c r="I266" i="10" l="1"/>
  <c r="N265" i="10"/>
  <c r="O265" i="10"/>
  <c r="X264" i="10"/>
  <c r="Y264" i="10"/>
  <c r="AC264" i="10" s="1"/>
  <c r="T265" i="10" l="1"/>
  <c r="U265" i="10"/>
  <c r="Z265" i="10" s="1"/>
  <c r="R265" i="10"/>
  <c r="O266" i="10"/>
  <c r="N266" i="10"/>
  <c r="K266" i="10"/>
  <c r="I267" i="10" l="1"/>
  <c r="T266" i="10"/>
  <c r="U266" i="10"/>
  <c r="Z266" i="10" s="1"/>
  <c r="R266" i="10"/>
  <c r="X265" i="10"/>
  <c r="Y265" i="10"/>
  <c r="AC265" i="10" s="1"/>
  <c r="X266" i="10" l="1"/>
  <c r="Y266" i="10"/>
  <c r="AC266" i="10" s="1"/>
  <c r="O267" i="10"/>
  <c r="N267" i="10"/>
  <c r="K267" i="10"/>
  <c r="I268" i="10" l="1"/>
  <c r="T267" i="10"/>
  <c r="R267" i="10"/>
  <c r="U267" i="10"/>
  <c r="Z267" i="10" s="1"/>
  <c r="X267" i="10" l="1"/>
  <c r="Y267" i="10"/>
  <c r="AC267" i="10" s="1"/>
  <c r="N268" i="10"/>
  <c r="O268" i="10"/>
  <c r="K268" i="10"/>
  <c r="I269" i="10" l="1"/>
  <c r="K269" i="10" s="1"/>
  <c r="T268" i="10"/>
  <c r="R268" i="10"/>
  <c r="U268" i="10"/>
  <c r="Z268" i="10" s="1"/>
  <c r="I270" i="10" l="1"/>
  <c r="K270" i="10" s="1"/>
  <c r="X268" i="10"/>
  <c r="Y268" i="10"/>
  <c r="AC268" i="10" s="1"/>
  <c r="O269" i="10"/>
  <c r="N269" i="10"/>
  <c r="I271" i="10" l="1"/>
  <c r="T269" i="10"/>
  <c r="U269" i="10"/>
  <c r="Z269" i="10" s="1"/>
  <c r="R269" i="10"/>
  <c r="N270" i="10"/>
  <c r="O270" i="10"/>
  <c r="T270" i="10" l="1"/>
  <c r="R270" i="10"/>
  <c r="U270" i="10"/>
  <c r="Z270" i="10" s="1"/>
  <c r="Y269" i="10"/>
  <c r="AC269" i="10" s="1"/>
  <c r="X269" i="10"/>
  <c r="O271" i="10"/>
  <c r="N271" i="10"/>
  <c r="K271" i="10"/>
  <c r="T271" i="10" l="1"/>
  <c r="R271" i="10"/>
  <c r="U271" i="10"/>
  <c r="Z271" i="10" s="1"/>
  <c r="I272" i="10"/>
  <c r="X270" i="10"/>
  <c r="Y270" i="10"/>
  <c r="AC270" i="10" s="1"/>
  <c r="N272" i="10" l="1"/>
  <c r="O272" i="10"/>
  <c r="K272" i="10"/>
  <c r="X271" i="10"/>
  <c r="Y271" i="10"/>
  <c r="AC271" i="10" s="1"/>
  <c r="I273" i="10" l="1"/>
  <c r="K273" i="10" s="1"/>
  <c r="T272" i="10"/>
  <c r="U272" i="10"/>
  <c r="Z272" i="10" s="1"/>
  <c r="R272" i="10"/>
  <c r="I274" i="10" l="1"/>
  <c r="X272" i="10"/>
  <c r="Y272" i="10"/>
  <c r="AC272" i="10" s="1"/>
  <c r="N273" i="10"/>
  <c r="O273" i="10"/>
  <c r="T273" i="10" l="1"/>
  <c r="R273" i="10"/>
  <c r="U273" i="10"/>
  <c r="Z273" i="10" s="1"/>
  <c r="N274" i="10"/>
  <c r="O274" i="10"/>
  <c r="K274" i="10"/>
  <c r="I275" i="10" l="1"/>
  <c r="T274" i="10"/>
  <c r="U274" i="10"/>
  <c r="Z274" i="10" s="1"/>
  <c r="R274" i="10"/>
  <c r="X273" i="10"/>
  <c r="Y273" i="10"/>
  <c r="AC273" i="10" s="1"/>
  <c r="X274" i="10" l="1"/>
  <c r="Y274" i="10"/>
  <c r="AC274" i="10" s="1"/>
  <c r="N275" i="10"/>
  <c r="O275" i="10"/>
  <c r="K275" i="10"/>
  <c r="I276" i="10" l="1"/>
  <c r="T275" i="10"/>
  <c r="R275" i="10"/>
  <c r="U275" i="10"/>
  <c r="Z275" i="10" s="1"/>
  <c r="X275" i="10" l="1"/>
  <c r="Y275" i="10"/>
  <c r="AC275" i="10" s="1"/>
  <c r="N276" i="10"/>
  <c r="O276" i="10"/>
  <c r="K276" i="10"/>
  <c r="I277" i="10" l="1"/>
  <c r="K277" i="10" s="1"/>
  <c r="T276" i="10"/>
  <c r="R276" i="10"/>
  <c r="U276" i="10"/>
  <c r="Z276" i="10" s="1"/>
  <c r="I278" i="10" l="1"/>
  <c r="X276" i="10"/>
  <c r="Y276" i="10"/>
  <c r="AC276" i="10" s="1"/>
  <c r="N277" i="10"/>
  <c r="O277" i="10"/>
  <c r="T277" i="10" l="1"/>
  <c r="R277" i="10"/>
  <c r="U277" i="10"/>
  <c r="Z277" i="10" s="1"/>
  <c r="N278" i="10"/>
  <c r="O278" i="10"/>
  <c r="K278" i="10"/>
  <c r="I279" i="10" l="1"/>
  <c r="T278" i="10"/>
  <c r="R278" i="10"/>
  <c r="U278" i="10"/>
  <c r="Z278" i="10" s="1"/>
  <c r="X277" i="10"/>
  <c r="Y277" i="10"/>
  <c r="AC277" i="10" s="1"/>
  <c r="X278" i="10" l="1"/>
  <c r="Y278" i="10"/>
  <c r="AC278" i="10" s="1"/>
  <c r="N279" i="10"/>
  <c r="O279" i="10"/>
  <c r="K279" i="10"/>
  <c r="I280" i="10" l="1"/>
  <c r="K280" i="10" s="1"/>
  <c r="T279" i="10"/>
  <c r="R279" i="10"/>
  <c r="U279" i="10"/>
  <c r="Z279" i="10" s="1"/>
  <c r="I281" i="10" l="1"/>
  <c r="K281" i="10" s="1"/>
  <c r="X279" i="10"/>
  <c r="Y279" i="10"/>
  <c r="AC279" i="10" s="1"/>
  <c r="N280" i="10"/>
  <c r="O280" i="10"/>
  <c r="I282" i="10" l="1"/>
  <c r="K282" i="10" s="1"/>
  <c r="T280" i="10"/>
  <c r="U280" i="10"/>
  <c r="Z280" i="10" s="1"/>
  <c r="R280" i="10"/>
  <c r="N281" i="10"/>
  <c r="O281" i="10"/>
  <c r="I283" i="10" l="1"/>
  <c r="T281" i="10"/>
  <c r="R281" i="10"/>
  <c r="U281" i="10"/>
  <c r="Z281" i="10" s="1"/>
  <c r="X280" i="10"/>
  <c r="Y280" i="10"/>
  <c r="AC280" i="10" s="1"/>
  <c r="O282" i="10"/>
  <c r="N282" i="10"/>
  <c r="N283" i="10" l="1"/>
  <c r="O283" i="10"/>
  <c r="X281" i="10"/>
  <c r="Y281" i="10"/>
  <c r="AC281" i="10" s="1"/>
  <c r="T282" i="10"/>
  <c r="U282" i="10"/>
  <c r="Z282" i="10" s="1"/>
  <c r="R282" i="10"/>
  <c r="K283" i="10"/>
  <c r="X282" i="10" l="1"/>
  <c r="Y282" i="10"/>
  <c r="AC282" i="10" s="1"/>
  <c r="I284" i="10"/>
  <c r="T283" i="10"/>
  <c r="R283" i="10"/>
  <c r="U283" i="10"/>
  <c r="Z283" i="10" s="1"/>
  <c r="X283" i="10" l="1"/>
  <c r="Y283" i="10"/>
  <c r="AC283" i="10" s="1"/>
  <c r="N284" i="10"/>
  <c r="O284" i="10"/>
  <c r="K284" i="10"/>
  <c r="I285" i="10" l="1"/>
  <c r="T284" i="10"/>
  <c r="U284" i="10"/>
  <c r="Z284" i="10" s="1"/>
  <c r="R284" i="10"/>
  <c r="X284" i="10" l="1"/>
  <c r="Y284" i="10"/>
  <c r="AC284" i="10" s="1"/>
  <c r="N285" i="10"/>
  <c r="O285" i="10"/>
  <c r="K285" i="10"/>
  <c r="I286" i="10" l="1"/>
  <c r="T285" i="10"/>
  <c r="U285" i="10"/>
  <c r="Z285" i="10" s="1"/>
  <c r="R285" i="10"/>
  <c r="X285" i="10" l="1"/>
  <c r="Y285" i="10"/>
  <c r="AC285" i="10" s="1"/>
  <c r="O286" i="10"/>
  <c r="N286" i="10"/>
  <c r="K286" i="10"/>
  <c r="I287" i="10" l="1"/>
  <c r="T286" i="10"/>
  <c r="U286" i="10"/>
  <c r="Z286" i="10" s="1"/>
  <c r="R286" i="10"/>
  <c r="X286" i="10" l="1"/>
  <c r="Y286" i="10"/>
  <c r="AC286" i="10" s="1"/>
  <c r="O287" i="10"/>
  <c r="N287" i="10"/>
  <c r="K287" i="10"/>
  <c r="I288" i="10" l="1"/>
  <c r="T287" i="10"/>
  <c r="U287" i="10"/>
  <c r="Z287" i="10" s="1"/>
  <c r="R287" i="10"/>
  <c r="X287" i="10" l="1"/>
  <c r="Y287" i="10"/>
  <c r="AC287" i="10" s="1"/>
  <c r="N288" i="10"/>
  <c r="O288" i="10"/>
  <c r="K288" i="10"/>
  <c r="I289" i="10" l="1"/>
  <c r="T288" i="10"/>
  <c r="U288" i="10"/>
  <c r="Z288" i="10" s="1"/>
  <c r="R288" i="10"/>
  <c r="X288" i="10" l="1"/>
  <c r="Y288" i="10"/>
  <c r="AC288" i="10" s="1"/>
  <c r="N289" i="10"/>
  <c r="O289" i="10"/>
  <c r="K289" i="10"/>
  <c r="I290" i="10" l="1"/>
  <c r="T289" i="10"/>
  <c r="R289" i="10"/>
  <c r="U289" i="10"/>
  <c r="Z289" i="10" s="1"/>
  <c r="X289" i="10" l="1"/>
  <c r="Y289" i="10"/>
  <c r="AC289" i="10" s="1"/>
  <c r="N290" i="10"/>
  <c r="O290" i="10"/>
  <c r="K290" i="10"/>
  <c r="I291" i="10" l="1"/>
  <c r="T290" i="10"/>
  <c r="U290" i="10"/>
  <c r="Z290" i="10" s="1"/>
  <c r="R290" i="10"/>
  <c r="X290" i="10" l="1"/>
  <c r="Y290" i="10"/>
  <c r="AC290" i="10" s="1"/>
  <c r="O291" i="10"/>
  <c r="N291" i="10"/>
  <c r="K291" i="10"/>
  <c r="I292" i="10" l="1"/>
  <c r="K292" i="10" s="1"/>
  <c r="T291" i="10"/>
  <c r="U291" i="10"/>
  <c r="Z291" i="10" s="1"/>
  <c r="R291" i="10"/>
  <c r="I293" i="10" l="1"/>
  <c r="Y291" i="10"/>
  <c r="AC291" i="10" s="1"/>
  <c r="X291" i="10"/>
  <c r="O292" i="10"/>
  <c r="N292" i="10"/>
  <c r="T292" i="10" l="1"/>
  <c r="R292" i="10"/>
  <c r="U292" i="10"/>
  <c r="Z292" i="10" s="1"/>
  <c r="O293" i="10"/>
  <c r="N293" i="10"/>
  <c r="K293" i="10"/>
  <c r="I294" i="10" l="1"/>
  <c r="T293" i="10"/>
  <c r="R293" i="10"/>
  <c r="U293" i="10"/>
  <c r="Z293" i="10" s="1"/>
  <c r="X292" i="10"/>
  <c r="Y292" i="10"/>
  <c r="AC292" i="10" s="1"/>
  <c r="X293" i="10" l="1"/>
  <c r="Y293" i="10"/>
  <c r="AC293" i="10" s="1"/>
  <c r="N294" i="10"/>
  <c r="O294" i="10"/>
  <c r="K294" i="10"/>
  <c r="I295" i="10" l="1"/>
  <c r="T294" i="10"/>
  <c r="U294" i="10"/>
  <c r="Z294" i="10" s="1"/>
  <c r="R294" i="10"/>
  <c r="X294" i="10" l="1"/>
  <c r="Y294" i="10"/>
  <c r="AC294" i="10" s="1"/>
  <c r="N295" i="10"/>
  <c r="O295" i="10"/>
  <c r="K295" i="10"/>
  <c r="I296" i="10" l="1"/>
  <c r="T295" i="10"/>
  <c r="U295" i="10"/>
  <c r="Z295" i="10" s="1"/>
  <c r="R295" i="10"/>
  <c r="Y295" i="10" l="1"/>
  <c r="AC295" i="10" s="1"/>
  <c r="X295" i="10"/>
  <c r="N296" i="10"/>
  <c r="O296" i="10"/>
  <c r="K296" i="10"/>
  <c r="T296" i="10" l="1"/>
  <c r="U296" i="10"/>
  <c r="Z296" i="10" s="1"/>
  <c r="R296" i="10"/>
  <c r="I297" i="10"/>
  <c r="K297" i="10" s="1"/>
  <c r="I298" i="10" l="1"/>
  <c r="K298" i="10" s="1"/>
  <c r="N297" i="10"/>
  <c r="O297" i="10"/>
  <c r="X296" i="10"/>
  <c r="Y296" i="10"/>
  <c r="AC296" i="10" s="1"/>
  <c r="I299" i="10" l="1"/>
  <c r="T297" i="10"/>
  <c r="R297" i="10"/>
  <c r="U297" i="10"/>
  <c r="Z297" i="10" s="1"/>
  <c r="O298" i="10"/>
  <c r="N298" i="10"/>
  <c r="T298" i="10" l="1"/>
  <c r="R298" i="10"/>
  <c r="U298" i="10"/>
  <c r="Z298" i="10" s="1"/>
  <c r="X297" i="10"/>
  <c r="Y297" i="10"/>
  <c r="AC297" i="10" s="1"/>
  <c r="N299" i="10"/>
  <c r="O299" i="10"/>
  <c r="K299" i="10"/>
  <c r="T299" i="10" l="1"/>
  <c r="U299" i="10"/>
  <c r="Z299" i="10" s="1"/>
  <c r="R299" i="10"/>
  <c r="I300" i="10"/>
  <c r="X298" i="10"/>
  <c r="Y298" i="10"/>
  <c r="AC298" i="10" s="1"/>
  <c r="N300" i="10" l="1"/>
  <c r="O300" i="10"/>
  <c r="K300" i="10"/>
  <c r="Y299" i="10"/>
  <c r="AC299" i="10" s="1"/>
  <c r="X299" i="10"/>
  <c r="I301" i="10" l="1"/>
  <c r="T300" i="10"/>
  <c r="U300" i="10"/>
  <c r="Z300" i="10" s="1"/>
  <c r="R300" i="10"/>
  <c r="X300" i="10" l="1"/>
  <c r="Y300" i="10"/>
  <c r="AC300" i="10" s="1"/>
  <c r="N301" i="10"/>
  <c r="O301" i="10"/>
  <c r="K301" i="10"/>
  <c r="I302" i="10" l="1"/>
  <c r="T301" i="10"/>
  <c r="R301" i="10"/>
  <c r="U301" i="10"/>
  <c r="Z301" i="10" s="1"/>
  <c r="Y301" i="10" l="1"/>
  <c r="AC301" i="10" s="1"/>
  <c r="X301" i="10"/>
  <c r="O302" i="10"/>
  <c r="N302" i="10"/>
  <c r="K302" i="10"/>
  <c r="I303" i="10" l="1"/>
  <c r="T302" i="10"/>
  <c r="R302" i="10"/>
  <c r="U302" i="10"/>
  <c r="Z302" i="10" s="1"/>
  <c r="X302" i="10" l="1"/>
  <c r="Y302" i="10"/>
  <c r="AC302" i="10" s="1"/>
  <c r="N303" i="10"/>
  <c r="O303" i="10"/>
  <c r="K303" i="10"/>
  <c r="I304" i="10" l="1"/>
  <c r="K304" i="10" s="1"/>
  <c r="T303" i="10"/>
  <c r="U303" i="10"/>
  <c r="Z303" i="10" s="1"/>
  <c r="R303" i="10"/>
  <c r="I305" i="10" l="1"/>
  <c r="X303" i="10"/>
  <c r="Y303" i="10"/>
  <c r="AC303" i="10" s="1"/>
  <c r="O304" i="10"/>
  <c r="N304" i="10"/>
  <c r="T304" i="10" l="1"/>
  <c r="U304" i="10"/>
  <c r="Z304" i="10" s="1"/>
  <c r="R304" i="10"/>
  <c r="O305" i="10"/>
  <c r="N305" i="10"/>
  <c r="K305" i="10"/>
  <c r="T305" i="10" l="1"/>
  <c r="R305" i="10"/>
  <c r="U305" i="10"/>
  <c r="Z305" i="10" s="1"/>
  <c r="I306" i="10"/>
  <c r="Y304" i="10"/>
  <c r="AC304" i="10" s="1"/>
  <c r="X304" i="10"/>
  <c r="N306" i="10" l="1"/>
  <c r="O306" i="10"/>
  <c r="K306" i="10"/>
  <c r="X305" i="10"/>
  <c r="Y305" i="10"/>
  <c r="AC305" i="10" s="1"/>
  <c r="I307" i="10" l="1"/>
  <c r="T306" i="10"/>
  <c r="U306" i="10"/>
  <c r="Z306" i="10" s="1"/>
  <c r="R306" i="10"/>
  <c r="X306" i="10" l="1"/>
  <c r="Y306" i="10"/>
  <c r="AC306" i="10" s="1"/>
  <c r="N307" i="10"/>
  <c r="O307" i="10"/>
  <c r="K307" i="10"/>
  <c r="I308" i="10" l="1"/>
  <c r="T307" i="10"/>
  <c r="R307" i="10"/>
  <c r="U307" i="10"/>
  <c r="Z307" i="10" s="1"/>
  <c r="X307" i="10" l="1"/>
  <c r="Y307" i="10"/>
  <c r="AC307" i="10" s="1"/>
  <c r="O308" i="10"/>
  <c r="N308" i="10"/>
  <c r="K308" i="10"/>
  <c r="I309" i="10" l="1"/>
  <c r="T308" i="10"/>
  <c r="U308" i="10"/>
  <c r="Z308" i="10" s="1"/>
  <c r="R308" i="10"/>
  <c r="N309" i="10" l="1"/>
  <c r="O309" i="10"/>
  <c r="X308" i="10"/>
  <c r="Y308" i="10"/>
  <c r="AC308" i="10" s="1"/>
  <c r="K309" i="10"/>
  <c r="I310" i="10" l="1"/>
  <c r="T309" i="10"/>
  <c r="R309" i="10"/>
  <c r="U309" i="10"/>
  <c r="Z309" i="10" s="1"/>
  <c r="X309" i="10" l="1"/>
  <c r="Y309" i="10"/>
  <c r="AC309" i="10" s="1"/>
  <c r="N310" i="10"/>
  <c r="O310" i="10"/>
  <c r="K310" i="10"/>
  <c r="I311" i="10" l="1"/>
  <c r="T310" i="10"/>
  <c r="U310" i="10"/>
  <c r="Z310" i="10" s="1"/>
  <c r="R310" i="10"/>
  <c r="X310" i="10" l="1"/>
  <c r="Y310" i="10"/>
  <c r="AC310" i="10" s="1"/>
  <c r="O311" i="10"/>
  <c r="N311" i="10"/>
  <c r="K311" i="10"/>
  <c r="T311" i="10" l="1"/>
  <c r="R311" i="10"/>
  <c r="U311" i="10"/>
  <c r="Z311" i="10" s="1"/>
  <c r="I312" i="10"/>
  <c r="K312" i="10" s="1"/>
  <c r="I313" i="10" l="1"/>
  <c r="N312" i="10"/>
  <c r="O312" i="10"/>
  <c r="X311" i="10"/>
  <c r="Y311" i="10"/>
  <c r="AC311" i="10" s="1"/>
  <c r="T312" i="10" l="1"/>
  <c r="U312" i="10"/>
  <c r="Z312" i="10" s="1"/>
  <c r="R312" i="10"/>
  <c r="N313" i="10"/>
  <c r="O313" i="10"/>
  <c r="K313" i="10"/>
  <c r="I314" i="10" l="1"/>
  <c r="K314" i="10" s="1"/>
  <c r="T313" i="10"/>
  <c r="R313" i="10"/>
  <c r="U313" i="10"/>
  <c r="Z313" i="10" s="1"/>
  <c r="Y312" i="10"/>
  <c r="AC312" i="10" s="1"/>
  <c r="X312" i="10"/>
  <c r="I315" i="10" l="1"/>
  <c r="X313" i="10"/>
  <c r="Y313" i="10"/>
  <c r="AC313" i="10" s="1"/>
  <c r="N314" i="10"/>
  <c r="O314" i="10"/>
  <c r="T314" i="10" l="1"/>
  <c r="U314" i="10"/>
  <c r="Z314" i="10" s="1"/>
  <c r="R314" i="10"/>
  <c r="O315" i="10"/>
  <c r="N315" i="10"/>
  <c r="K315" i="10"/>
  <c r="T315" i="10" l="1"/>
  <c r="R315" i="10"/>
  <c r="U315" i="10"/>
  <c r="Z315" i="10" s="1"/>
  <c r="I316" i="10"/>
  <c r="X314" i="10"/>
  <c r="Y314" i="10"/>
  <c r="AC314" i="10" s="1"/>
  <c r="N316" i="10" l="1"/>
  <c r="O316" i="10"/>
  <c r="K316" i="10"/>
  <c r="X315" i="10"/>
  <c r="Y315" i="10"/>
  <c r="AC315" i="10" s="1"/>
  <c r="I317" i="10" l="1"/>
  <c r="T316" i="10"/>
  <c r="R316" i="10"/>
  <c r="U316" i="10"/>
  <c r="Z316" i="10" s="1"/>
  <c r="X316" i="10" l="1"/>
  <c r="Y316" i="10"/>
  <c r="AC316" i="10" s="1"/>
  <c r="N317" i="10"/>
  <c r="O317" i="10"/>
  <c r="K317" i="10"/>
  <c r="I318" i="10" l="1"/>
  <c r="T317" i="10"/>
  <c r="U317" i="10"/>
  <c r="Z317" i="10" s="1"/>
  <c r="R317" i="10"/>
  <c r="N318" i="10" l="1"/>
  <c r="O318" i="10"/>
  <c r="Y317" i="10"/>
  <c r="AC317" i="10" s="1"/>
  <c r="X317" i="10"/>
  <c r="K318" i="10"/>
  <c r="I319" i="10" l="1"/>
  <c r="K319" i="10"/>
  <c r="T318" i="10"/>
  <c r="R318" i="10"/>
  <c r="U318" i="10"/>
  <c r="Z318" i="10" s="1"/>
  <c r="I320" i="10" l="1"/>
  <c r="X318" i="10"/>
  <c r="Y318" i="10"/>
  <c r="AC318" i="10" s="1"/>
  <c r="N319" i="10"/>
  <c r="O319" i="10"/>
  <c r="T319" i="10" l="1"/>
  <c r="R319" i="10"/>
  <c r="U319" i="10"/>
  <c r="Z319" i="10" s="1"/>
  <c r="N320" i="10"/>
  <c r="O320" i="10"/>
  <c r="K320" i="10"/>
  <c r="I321" i="10" l="1"/>
  <c r="T320" i="10"/>
  <c r="R320" i="10"/>
  <c r="U320" i="10"/>
  <c r="Z320" i="10" s="1"/>
  <c r="X319" i="10"/>
  <c r="Y319" i="10"/>
  <c r="AC319" i="10" s="1"/>
  <c r="Y320" i="10" l="1"/>
  <c r="AC320" i="10" s="1"/>
  <c r="X320" i="10"/>
  <c r="N321" i="10"/>
  <c r="O321" i="10"/>
  <c r="K321" i="10"/>
  <c r="I322" i="10" l="1"/>
  <c r="K322" i="10" s="1"/>
  <c r="T321" i="10"/>
  <c r="R321" i="10"/>
  <c r="U321" i="10"/>
  <c r="Z321" i="10" s="1"/>
  <c r="I323" i="10" l="1"/>
  <c r="X321" i="10"/>
  <c r="Y321" i="10"/>
  <c r="AC321" i="10" s="1"/>
  <c r="N322" i="10"/>
  <c r="O322" i="10"/>
  <c r="T322" i="10" l="1"/>
  <c r="U322" i="10"/>
  <c r="Z322" i="10" s="1"/>
  <c r="R322" i="10"/>
  <c r="O323" i="10"/>
  <c r="N323" i="10"/>
  <c r="K323" i="10"/>
  <c r="T323" i="10" l="1"/>
  <c r="R323" i="10"/>
  <c r="U323" i="10"/>
  <c r="Z323" i="10" s="1"/>
  <c r="I324" i="10"/>
  <c r="X322" i="10"/>
  <c r="Y322" i="10"/>
  <c r="AC322" i="10" s="1"/>
  <c r="N324" i="10" l="1"/>
  <c r="O324" i="10"/>
  <c r="K324" i="10"/>
  <c r="X323" i="10"/>
  <c r="Y323" i="10"/>
  <c r="AC323" i="10" s="1"/>
  <c r="I325" i="10" l="1"/>
  <c r="T324" i="10"/>
  <c r="U324" i="10"/>
  <c r="Z324" i="10" s="1"/>
  <c r="R324" i="10"/>
  <c r="N325" i="10" l="1"/>
  <c r="O325" i="10"/>
  <c r="X324" i="10"/>
  <c r="Y324" i="10"/>
  <c r="AC324" i="10" s="1"/>
  <c r="K325" i="10"/>
  <c r="I326" i="10" l="1"/>
  <c r="K326" i="10"/>
  <c r="T325" i="10"/>
  <c r="U325" i="10"/>
  <c r="Z325" i="10" s="1"/>
  <c r="R325" i="10"/>
  <c r="Y325" i="10" l="1"/>
  <c r="AC325" i="10" s="1"/>
  <c r="X325" i="10"/>
  <c r="I327" i="10"/>
  <c r="K327" i="10" s="1"/>
  <c r="N326" i="10"/>
  <c r="O326" i="10"/>
  <c r="I328" i="10" l="1"/>
  <c r="K328" i="10"/>
  <c r="T326" i="10"/>
  <c r="U326" i="10"/>
  <c r="Z326" i="10" s="1"/>
  <c r="R326" i="10"/>
  <c r="N327" i="10"/>
  <c r="O327" i="10"/>
  <c r="X326" i="10" l="1"/>
  <c r="Y326" i="10"/>
  <c r="AC326" i="10" s="1"/>
  <c r="T327" i="10"/>
  <c r="R327" i="10"/>
  <c r="U327" i="10"/>
  <c r="Z327" i="10" s="1"/>
  <c r="I329" i="10"/>
  <c r="K329" i="10" s="1"/>
  <c r="N328" i="10"/>
  <c r="O328" i="10"/>
  <c r="I330" i="10" l="1"/>
  <c r="T328" i="10"/>
  <c r="U328" i="10"/>
  <c r="Z328" i="10" s="1"/>
  <c r="R328" i="10"/>
  <c r="N329" i="10"/>
  <c r="O329" i="10"/>
  <c r="X327" i="10"/>
  <c r="Y327" i="10"/>
  <c r="AC327" i="10" s="1"/>
  <c r="T329" i="10" l="1"/>
  <c r="R329" i="10"/>
  <c r="U329" i="10"/>
  <c r="Z329" i="10" s="1"/>
  <c r="X328" i="10"/>
  <c r="Y328" i="10"/>
  <c r="AC328" i="10" s="1"/>
  <c r="N330" i="10"/>
  <c r="O330" i="10"/>
  <c r="K330" i="10"/>
  <c r="T330" i="10" l="1"/>
  <c r="U330" i="10"/>
  <c r="Z330" i="10" s="1"/>
  <c r="R330" i="10"/>
  <c r="I331" i="10"/>
  <c r="K331" i="10" s="1"/>
  <c r="X329" i="10"/>
  <c r="Y329" i="10"/>
  <c r="AC329" i="10" s="1"/>
  <c r="N331" i="10" l="1"/>
  <c r="O331" i="10"/>
  <c r="X330" i="10"/>
  <c r="Y330" i="10"/>
  <c r="AC330" i="10" s="1"/>
  <c r="T331" i="10" l="1"/>
  <c r="R331" i="10"/>
  <c r="U331" i="10"/>
  <c r="Z331" i="10" s="1"/>
  <c r="I332" i="10"/>
  <c r="N332" i="10" l="1"/>
  <c r="O332" i="10"/>
  <c r="K332" i="10"/>
  <c r="X331" i="10"/>
  <c r="Y331" i="10"/>
  <c r="AC331" i="10" s="1"/>
  <c r="T332" i="10" l="1"/>
  <c r="R332" i="10"/>
  <c r="U332" i="10"/>
  <c r="Z332" i="10" l="1"/>
  <c r="X332" i="10"/>
  <c r="Y332" i="10"/>
  <c r="AC332" i="10" l="1"/>
  <c r="AK2" i="10" l="1"/>
  <c r="AB91" i="10" s="1"/>
  <c r="AB95" i="10" l="1"/>
  <c r="AB30" i="10"/>
  <c r="AB6" i="10"/>
  <c r="Y6" i="10"/>
  <c r="AB82" i="10"/>
  <c r="Z6" i="10"/>
  <c r="AB26" i="10"/>
  <c r="AB11" i="10"/>
  <c r="AB105" i="10"/>
  <c r="AB41" i="10"/>
  <c r="AB155" i="10"/>
  <c r="AB120" i="10"/>
  <c r="AB8" i="10"/>
  <c r="AB35" i="10"/>
  <c r="AB99" i="10"/>
  <c r="AB44" i="10"/>
  <c r="AB108" i="10"/>
  <c r="AB69" i="10"/>
  <c r="AB133" i="10"/>
  <c r="AB38" i="10"/>
  <c r="AB102" i="10"/>
  <c r="AB16" i="10"/>
  <c r="AB49" i="10"/>
  <c r="AB113" i="10"/>
  <c r="AB39" i="10"/>
  <c r="AB104" i="10"/>
  <c r="AB17" i="10"/>
  <c r="AB111" i="10"/>
  <c r="AB154" i="10"/>
  <c r="AB114" i="10"/>
  <c r="AB74" i="10"/>
  <c r="AB43" i="10"/>
  <c r="AB107" i="10"/>
  <c r="AB52" i="10"/>
  <c r="AB116" i="10"/>
  <c r="AB14" i="10"/>
  <c r="AB77" i="10"/>
  <c r="AB141" i="10"/>
  <c r="AB46" i="10"/>
  <c r="AB110" i="10"/>
  <c r="AB23" i="10"/>
  <c r="AB57" i="10"/>
  <c r="AB121" i="10"/>
  <c r="AB58" i="10"/>
  <c r="AB127" i="10"/>
  <c r="AB42" i="10"/>
  <c r="AB130" i="10"/>
  <c r="AB136" i="10"/>
  <c r="AB96" i="10"/>
  <c r="AB51" i="10"/>
  <c r="AB115" i="10"/>
  <c r="AB60" i="10"/>
  <c r="AB124" i="10"/>
  <c r="AB21" i="10"/>
  <c r="AB85" i="10"/>
  <c r="AB149" i="10"/>
  <c r="AB54" i="10"/>
  <c r="AB118" i="10"/>
  <c r="AB31" i="10"/>
  <c r="AB65" i="10"/>
  <c r="AB129" i="10"/>
  <c r="AB80" i="10"/>
  <c r="AB146" i="10"/>
  <c r="AB64" i="10"/>
  <c r="AB152" i="10"/>
  <c r="AB24" i="10"/>
  <c r="AB56" i="10"/>
  <c r="AB119" i="10"/>
  <c r="AB59" i="10"/>
  <c r="AB123" i="10"/>
  <c r="AB68" i="10"/>
  <c r="AB132" i="10"/>
  <c r="AB29" i="10"/>
  <c r="AB93" i="10"/>
  <c r="AB62" i="10"/>
  <c r="AB126" i="10"/>
  <c r="AB10" i="10"/>
  <c r="AB73" i="10"/>
  <c r="AB137" i="10"/>
  <c r="AB103" i="10"/>
  <c r="AB87" i="10"/>
  <c r="AB48" i="10"/>
  <c r="AB98" i="10"/>
  <c r="AB138" i="10"/>
  <c r="AB34" i="10"/>
  <c r="AB67" i="10"/>
  <c r="AB131" i="10"/>
  <c r="AB13" i="10"/>
  <c r="AB76" i="10"/>
  <c r="AB140" i="10"/>
  <c r="AB37" i="10"/>
  <c r="AB101" i="10"/>
  <c r="AB7" i="10"/>
  <c r="AB70" i="10"/>
  <c r="AB134" i="10"/>
  <c r="AB18" i="10"/>
  <c r="AB81" i="10"/>
  <c r="AB145" i="10"/>
  <c r="AB12" i="10"/>
  <c r="AB75" i="10"/>
  <c r="AB139" i="10"/>
  <c r="AA7" i="10"/>
  <c r="AB84" i="10"/>
  <c r="AB148" i="10"/>
  <c r="AB45" i="10"/>
  <c r="AB109" i="10"/>
  <c r="AB15" i="10"/>
  <c r="AB78" i="10"/>
  <c r="AB142" i="10"/>
  <c r="AB25" i="10"/>
  <c r="AB89" i="10"/>
  <c r="AB153" i="10"/>
  <c r="AB144" i="10"/>
  <c r="AB40" i="10"/>
  <c r="AB128" i="10"/>
  <c r="AB47" i="10"/>
  <c r="AB90" i="10"/>
  <c r="AB50" i="10"/>
  <c r="AB143" i="10"/>
  <c r="AB20" i="10"/>
  <c r="AB83" i="10"/>
  <c r="AB147" i="10"/>
  <c r="AB28" i="10"/>
  <c r="AB92" i="10"/>
  <c r="AB156" i="10"/>
  <c r="AB53" i="10"/>
  <c r="AB117" i="10"/>
  <c r="AB22" i="10"/>
  <c r="AB86" i="10"/>
  <c r="AB150" i="10"/>
  <c r="AB33" i="10"/>
  <c r="AB97" i="10"/>
  <c r="AB63" i="10"/>
  <c r="AB151" i="10"/>
  <c r="AB66" i="10"/>
  <c r="AB112" i="10"/>
  <c r="AB72" i="10"/>
  <c r="AB32" i="10"/>
  <c r="AA6" i="10"/>
  <c r="AB135" i="10"/>
  <c r="AB100" i="10"/>
  <c r="AB27" i="10"/>
  <c r="AB71" i="10"/>
  <c r="AB106" i="10"/>
  <c r="AB122" i="10"/>
  <c r="AB36" i="10"/>
  <c r="AB55" i="10"/>
  <c r="AB88" i="10"/>
  <c r="AB9" i="10"/>
  <c r="AB125" i="10"/>
  <c r="R6" i="10"/>
  <c r="AB79" i="10"/>
  <c r="AB19" i="10"/>
  <c r="AB94" i="10"/>
  <c r="AB61" i="10"/>
  <c r="AB5" i="10" l="1"/>
  <c r="AE6" i="8" s="1"/>
  <c r="AE4" i="8"/>
  <c r="P21" i="8"/>
  <c r="AC6" i="10"/>
  <c r="J31" i="10" l="1"/>
  <c r="J56" i="10" l="1"/>
  <c r="J11" i="10" l="1"/>
  <c r="J10" i="10"/>
  <c r="G7" i="10" l="1"/>
  <c r="I7" i="10" s="1"/>
  <c r="J19" i="10" l="1"/>
  <c r="J29" i="10" l="1"/>
  <c r="J30" i="10" l="1"/>
  <c r="J18" i="10" l="1"/>
  <c r="H8" i="10" l="1"/>
  <c r="V8" i="10" s="1"/>
  <c r="AA8" i="10" s="1"/>
  <c r="H9" i="10" l="1"/>
  <c r="V9" i="10" s="1"/>
  <c r="AA9" i="10" s="1"/>
  <c r="H10" i="10" l="1"/>
  <c r="V10" i="10" s="1"/>
  <c r="AA10" i="10" s="1"/>
  <c r="H11" i="10" l="1"/>
  <c r="V11" i="10" s="1"/>
  <c r="AA11" i="10" s="1"/>
  <c r="H12" i="10" l="1"/>
  <c r="V12" i="10" s="1"/>
  <c r="AA12" i="10" s="1"/>
  <c r="H13" i="10" l="1"/>
  <c r="V13" i="10" s="1"/>
  <c r="AA13" i="10" s="1"/>
  <c r="H14" i="10" l="1"/>
  <c r="V14" i="10" s="1"/>
  <c r="AA14" i="10" s="1"/>
  <c r="H15" i="10" l="1"/>
  <c r="V15" i="10" s="1"/>
  <c r="AA15" i="10" s="1"/>
  <c r="H16" i="10" l="1"/>
  <c r="V16" i="10" s="1"/>
  <c r="AA16" i="10" s="1"/>
  <c r="J7" i="10" l="1"/>
  <c r="K7" i="10" s="1"/>
  <c r="G8" i="10" s="1"/>
  <c r="I8" i="10" s="1"/>
  <c r="O8" i="10" s="1"/>
  <c r="O7" i="10" l="1"/>
  <c r="N7" i="10"/>
  <c r="U7" i="10" s="1"/>
  <c r="T7" i="10"/>
  <c r="N8" i="10"/>
  <c r="K8" i="10"/>
  <c r="P23" i="8" l="1"/>
  <c r="R7" i="10"/>
  <c r="T8" i="10"/>
  <c r="U8" i="10"/>
  <c r="Z8" i="10" s="1"/>
  <c r="R8" i="10"/>
  <c r="Z7" i="10"/>
  <c r="G9" i="10"/>
  <c r="Y7" i="10"/>
  <c r="X7" i="10"/>
  <c r="I9" i="10" l="1"/>
  <c r="AC7" i="10"/>
  <c r="Y8" i="10"/>
  <c r="AC8" i="10" s="1"/>
  <c r="X8" i="10"/>
  <c r="N9" i="10" l="1"/>
  <c r="O9" i="10"/>
  <c r="K9" i="10"/>
  <c r="G10" i="10" l="1"/>
  <c r="T9" i="10"/>
  <c r="U9" i="10"/>
  <c r="R9" i="10"/>
  <c r="Z9" i="10" l="1"/>
  <c r="Y9" i="10"/>
  <c r="X9" i="10"/>
  <c r="I10" i="10"/>
  <c r="AC9" i="10" l="1"/>
  <c r="N10" i="10"/>
  <c r="O10" i="10"/>
  <c r="K10" i="10"/>
  <c r="G11" i="10" l="1"/>
  <c r="T10" i="10"/>
  <c r="U10" i="10"/>
  <c r="R10" i="10"/>
  <c r="Y10" i="10" l="1"/>
  <c r="X10" i="10"/>
  <c r="Z10" i="10"/>
  <c r="I11" i="10"/>
  <c r="N11" i="10" l="1"/>
  <c r="O11" i="10"/>
  <c r="K11" i="10"/>
  <c r="AC10" i="10"/>
  <c r="T11" i="10" l="1"/>
  <c r="U11" i="10"/>
  <c r="R11" i="10"/>
  <c r="G12" i="10"/>
  <c r="I12" i="10" l="1"/>
  <c r="Z11" i="10"/>
  <c r="Y11" i="10"/>
  <c r="X11" i="10"/>
  <c r="AC11" i="10" l="1"/>
  <c r="N12" i="10"/>
  <c r="O12" i="10"/>
  <c r="K12" i="10"/>
  <c r="G13" i="10" l="1"/>
  <c r="T12" i="10"/>
  <c r="U12" i="10"/>
  <c r="R12" i="10"/>
  <c r="Z12" i="10" l="1"/>
  <c r="Y12" i="10"/>
  <c r="X12" i="10"/>
  <c r="I13" i="10"/>
  <c r="AC12" i="10" l="1"/>
  <c r="N13" i="10"/>
  <c r="O13" i="10"/>
  <c r="K13" i="10"/>
  <c r="U13" i="10" l="1"/>
  <c r="Z13" i="10" s="1"/>
  <c r="T13" i="10"/>
  <c r="R13" i="10"/>
  <c r="G14" i="10"/>
  <c r="I14" i="10" s="1"/>
  <c r="K14" i="10" s="1"/>
  <c r="G15" i="10" l="1"/>
  <c r="I15" i="10" s="1"/>
  <c r="K15" i="10" s="1"/>
  <c r="N14" i="10"/>
  <c r="O14" i="10"/>
  <c r="Y13" i="10"/>
  <c r="AC13" i="10" s="1"/>
  <c r="X13" i="10"/>
  <c r="G16" i="10" l="1"/>
  <c r="I16" i="10" s="1"/>
  <c r="U14" i="10"/>
  <c r="Z14" i="10" s="1"/>
  <c r="T14" i="10"/>
  <c r="R14" i="10"/>
  <c r="O15" i="10"/>
  <c r="N15" i="10"/>
  <c r="T15" i="10" l="1"/>
  <c r="U15" i="10"/>
  <c r="Z15" i="10" s="1"/>
  <c r="R15" i="10"/>
  <c r="Y14" i="10"/>
  <c r="AC14" i="10" s="1"/>
  <c r="X14" i="10"/>
  <c r="P8" i="8" l="1"/>
  <c r="P10" i="8" s="1"/>
  <c r="A10" i="8"/>
  <c r="A11" i="8" s="1"/>
  <c r="A13" i="8" s="1"/>
  <c r="Y15" i="10"/>
  <c r="AC15" i="10" s="1"/>
  <c r="X15" i="10"/>
  <c r="J16" i="10" l="1"/>
  <c r="N16" i="10" s="1"/>
  <c r="O16" i="10"/>
  <c r="A15" i="8"/>
  <c r="A14" i="8"/>
  <c r="A23" i="8"/>
  <c r="A21" i="8"/>
  <c r="A3" i="8"/>
  <c r="K16" i="10" l="1"/>
  <c r="H17" i="10"/>
  <c r="V17" i="10" s="1"/>
  <c r="AA17" i="10" s="1"/>
  <c r="G17" i="10"/>
  <c r="T16" i="10"/>
  <c r="R16" i="10"/>
  <c r="U16" i="10"/>
  <c r="Z16" i="10" s="1"/>
  <c r="A22" i="8"/>
  <c r="J17" i="10"/>
  <c r="L11" i="8"/>
  <c r="Y16" i="10" l="1"/>
  <c r="AC16" i="10" s="1"/>
  <c r="X16" i="10"/>
  <c r="I17" i="10"/>
  <c r="P11" i="8"/>
  <c r="O11" i="8" s="1"/>
  <c r="J5" i="10"/>
  <c r="K17" i="10"/>
  <c r="N17" i="10"/>
  <c r="O17" i="10"/>
  <c r="U17" i="10" l="1"/>
  <c r="Z17" i="10" s="1"/>
  <c r="T17" i="10"/>
  <c r="R17" i="10"/>
  <c r="H18" i="10"/>
  <c r="G18" i="10"/>
  <c r="I18" i="10" l="1"/>
  <c r="K18" i="10"/>
  <c r="G19" i="10"/>
  <c r="H19" i="10"/>
  <c r="V19" i="10" s="1"/>
  <c r="AA19" i="10" s="1"/>
  <c r="N18" i="10"/>
  <c r="O18" i="10"/>
  <c r="V18" i="10"/>
  <c r="Y17" i="10"/>
  <c r="AC17" i="10" s="1"/>
  <c r="X17" i="10"/>
  <c r="AA18" i="10" l="1"/>
  <c r="T18" i="10"/>
  <c r="U18" i="10"/>
  <c r="Z18" i="10" s="1"/>
  <c r="R18" i="10"/>
  <c r="I19" i="10"/>
  <c r="K19" i="10" s="1"/>
  <c r="H20" i="10" l="1"/>
  <c r="G20" i="10"/>
  <c r="Y18" i="10"/>
  <c r="AC18" i="10" s="1"/>
  <c r="X18" i="10"/>
  <c r="N19" i="10"/>
  <c r="O19" i="10"/>
  <c r="I20" i="10" l="1"/>
  <c r="K20" i="10" s="1"/>
  <c r="U19" i="10"/>
  <c r="Z19" i="10" s="1"/>
  <c r="R19" i="10"/>
  <c r="T19" i="10"/>
  <c r="N20" i="10"/>
  <c r="O20" i="10"/>
  <c r="V20" i="10"/>
  <c r="G21" i="10" l="1"/>
  <c r="H21" i="10"/>
  <c r="V21" i="10" s="1"/>
  <c r="AA21" i="10" s="1"/>
  <c r="Y19" i="10"/>
  <c r="AC19" i="10" s="1"/>
  <c r="X19" i="10"/>
  <c r="T20" i="10"/>
  <c r="U20" i="10"/>
  <c r="Z20" i="10" s="1"/>
  <c r="R20" i="10"/>
  <c r="AA20" i="10"/>
  <c r="I21" i="10" l="1"/>
  <c r="K21" i="10" s="1"/>
  <c r="H22" i="10"/>
  <c r="G22" i="10"/>
  <c r="Y20" i="10"/>
  <c r="AC20" i="10" s="1"/>
  <c r="X20" i="10"/>
  <c r="N21" i="10"/>
  <c r="O21" i="10"/>
  <c r="I22" i="10" l="1"/>
  <c r="K22" i="10" s="1"/>
  <c r="U21" i="10"/>
  <c r="Z21" i="10" s="1"/>
  <c r="T21" i="10"/>
  <c r="R21" i="10"/>
  <c r="N22" i="10"/>
  <c r="O22" i="10"/>
  <c r="V22" i="10"/>
  <c r="H23" i="10" l="1"/>
  <c r="V23" i="10" s="1"/>
  <c r="AA23" i="10" s="1"/>
  <c r="G23" i="10"/>
  <c r="I23" i="10" s="1"/>
  <c r="K23" i="10" s="1"/>
  <c r="Y21" i="10"/>
  <c r="AC21" i="10" s="1"/>
  <c r="X21" i="10"/>
  <c r="T22" i="10"/>
  <c r="U22" i="10"/>
  <c r="Z22" i="10" s="1"/>
  <c r="R22" i="10"/>
  <c r="AA22" i="10"/>
  <c r="Y22" i="10" l="1"/>
  <c r="AC22" i="10" s="1"/>
  <c r="X22" i="10"/>
  <c r="H24" i="10"/>
  <c r="V24" i="10" s="1"/>
  <c r="G24" i="10"/>
  <c r="N23" i="10"/>
  <c r="O23" i="10"/>
  <c r="U23" i="10" l="1"/>
  <c r="Z23" i="10" s="1"/>
  <c r="T23" i="10"/>
  <c r="R23" i="10"/>
  <c r="AA24" i="10"/>
  <c r="I24" i="10"/>
  <c r="K24" i="10" s="1"/>
  <c r="G25" i="10" l="1"/>
  <c r="H25" i="10"/>
  <c r="V25" i="10" s="1"/>
  <c r="Y23" i="10"/>
  <c r="AC23" i="10" s="1"/>
  <c r="X23" i="10"/>
  <c r="N24" i="10"/>
  <c r="O24" i="10"/>
  <c r="T24" i="10" l="1"/>
  <c r="U24" i="10"/>
  <c r="Z24" i="10" s="1"/>
  <c r="R24" i="10"/>
  <c r="AA25" i="10"/>
  <c r="I25" i="10"/>
  <c r="K25" i="10" s="1"/>
  <c r="H26" i="10" l="1"/>
  <c r="V26" i="10" s="1"/>
  <c r="AA26" i="10" s="1"/>
  <c r="G26" i="10"/>
  <c r="N25" i="10"/>
  <c r="O25" i="10"/>
  <c r="Y24" i="10"/>
  <c r="AC24" i="10" s="1"/>
  <c r="X24" i="10"/>
  <c r="I26" i="10" l="1"/>
  <c r="N26" i="10" s="1"/>
  <c r="O26" i="10"/>
  <c r="U25" i="10"/>
  <c r="Z25" i="10" s="1"/>
  <c r="T25" i="10"/>
  <c r="R25" i="10"/>
  <c r="K26" i="10"/>
  <c r="G27" i="10" l="1"/>
  <c r="H27" i="10"/>
  <c r="V27" i="10" s="1"/>
  <c r="AA27" i="10" s="1"/>
  <c r="Y25" i="10"/>
  <c r="AC25" i="10" s="1"/>
  <c r="X25" i="10"/>
  <c r="T26" i="10"/>
  <c r="U26" i="10"/>
  <c r="Z26" i="10" s="1"/>
  <c r="R26" i="10"/>
  <c r="Y26" i="10" l="1"/>
  <c r="AC26" i="10" s="1"/>
  <c r="X26" i="10"/>
  <c r="I27" i="10"/>
  <c r="K27" i="10" s="1"/>
  <c r="H28" i="10" l="1"/>
  <c r="V28" i="10" s="1"/>
  <c r="AA28" i="10" s="1"/>
  <c r="G28" i="10"/>
  <c r="N27" i="10"/>
  <c r="O27" i="10"/>
  <c r="I28" i="10" l="1"/>
  <c r="U27" i="10"/>
  <c r="Z27" i="10" s="1"/>
  <c r="R27" i="10"/>
  <c r="T27" i="10"/>
  <c r="N28" i="10"/>
  <c r="O28" i="10"/>
  <c r="K28" i="10"/>
  <c r="Y27" i="10" l="1"/>
  <c r="AC27" i="10" s="1"/>
  <c r="X27" i="10"/>
  <c r="G29" i="10"/>
  <c r="H29" i="10"/>
  <c r="V29" i="10" s="1"/>
  <c r="AA29" i="10" s="1"/>
  <c r="T28" i="10"/>
  <c r="U28" i="10"/>
  <c r="Z28" i="10" s="1"/>
  <c r="R28" i="10"/>
  <c r="I29" i="10" l="1"/>
  <c r="Y28" i="10"/>
  <c r="AC28" i="10" s="1"/>
  <c r="X28" i="10"/>
  <c r="N29" i="10" l="1"/>
  <c r="O29" i="10"/>
  <c r="K29" i="10"/>
  <c r="H30" i="10" l="1"/>
  <c r="V30" i="10" s="1"/>
  <c r="AA30" i="10" s="1"/>
  <c r="G30" i="10"/>
  <c r="U29" i="10"/>
  <c r="Z29" i="10" s="1"/>
  <c r="T29" i="10"/>
  <c r="R29" i="10"/>
  <c r="I30" i="10" l="1"/>
  <c r="Y29" i="10"/>
  <c r="AC29" i="10" s="1"/>
  <c r="X29" i="10"/>
  <c r="N30" i="10"/>
  <c r="O30" i="10"/>
  <c r="K30" i="10"/>
  <c r="G31" i="10" l="1"/>
  <c r="H31" i="10"/>
  <c r="V31" i="10" s="1"/>
  <c r="AA31" i="10" s="1"/>
  <c r="T30" i="10"/>
  <c r="U30" i="10"/>
  <c r="Z30" i="10" s="1"/>
  <c r="R30" i="10"/>
  <c r="Y30" i="10" l="1"/>
  <c r="AC30" i="10" s="1"/>
  <c r="X30" i="10"/>
  <c r="I31" i="10"/>
  <c r="K31" i="10" s="1"/>
  <c r="H32" i="10" l="1"/>
  <c r="V32" i="10" s="1"/>
  <c r="AA32" i="10" s="1"/>
  <c r="G32" i="10"/>
  <c r="N31" i="10"/>
  <c r="O31" i="10"/>
  <c r="I32" i="10" l="1"/>
  <c r="U31" i="10"/>
  <c r="Z31" i="10" s="1"/>
  <c r="T31" i="10"/>
  <c r="R31" i="10"/>
  <c r="N32" i="10"/>
  <c r="O32" i="10"/>
  <c r="K32" i="10"/>
  <c r="T32" i="10" l="1"/>
  <c r="U32" i="10"/>
  <c r="Z32" i="10" s="1"/>
  <c r="R32" i="10"/>
  <c r="G33" i="10"/>
  <c r="H33" i="10"/>
  <c r="V33" i="10" s="1"/>
  <c r="AA33" i="10" s="1"/>
  <c r="Y31" i="10"/>
  <c r="AC31" i="10" s="1"/>
  <c r="X31" i="10"/>
  <c r="I33" i="10" l="1"/>
  <c r="N33" i="10"/>
  <c r="O33" i="10"/>
  <c r="K33" i="10"/>
  <c r="Y32" i="10"/>
  <c r="AC32" i="10" s="1"/>
  <c r="X32" i="10"/>
  <c r="H34" i="10" l="1"/>
  <c r="V34" i="10" s="1"/>
  <c r="AA34" i="10" s="1"/>
  <c r="G34" i="10"/>
  <c r="U33" i="10"/>
  <c r="Z33" i="10" s="1"/>
  <c r="T33" i="10"/>
  <c r="R33" i="10"/>
  <c r="I34" i="10" l="1"/>
  <c r="Y33" i="10"/>
  <c r="AC33" i="10" s="1"/>
  <c r="X33" i="10"/>
  <c r="N34" i="10"/>
  <c r="O34" i="10"/>
  <c r="K34" i="10"/>
  <c r="G35" i="10" l="1"/>
  <c r="H35" i="10"/>
  <c r="V35" i="10" s="1"/>
  <c r="AA35" i="10" s="1"/>
  <c r="T34" i="10"/>
  <c r="U34" i="10"/>
  <c r="Z34" i="10" s="1"/>
  <c r="R34" i="10"/>
  <c r="Y34" i="10" l="1"/>
  <c r="AC34" i="10" s="1"/>
  <c r="X34" i="10"/>
  <c r="I35" i="10"/>
  <c r="N35" i="10" l="1"/>
  <c r="O35" i="10"/>
  <c r="K35" i="10"/>
  <c r="H36" i="10" l="1"/>
  <c r="V36" i="10" s="1"/>
  <c r="AA36" i="10" s="1"/>
  <c r="G36" i="10"/>
  <c r="U35" i="10"/>
  <c r="Z35" i="10" s="1"/>
  <c r="T35" i="10"/>
  <c r="R35" i="10"/>
  <c r="I36" i="10" l="1"/>
  <c r="Y35" i="10"/>
  <c r="AC35" i="10" s="1"/>
  <c r="X35" i="10"/>
  <c r="N36" i="10"/>
  <c r="O36" i="10"/>
  <c r="K36" i="10"/>
  <c r="G37" i="10" l="1"/>
  <c r="H37" i="10"/>
  <c r="V37" i="10" s="1"/>
  <c r="AA37" i="10" s="1"/>
  <c r="T36" i="10"/>
  <c r="U36" i="10"/>
  <c r="Z36" i="10" s="1"/>
  <c r="R36" i="10"/>
  <c r="Y36" i="10" l="1"/>
  <c r="AC36" i="10" s="1"/>
  <c r="X36" i="10"/>
  <c r="I37" i="10"/>
  <c r="K37" i="10" s="1"/>
  <c r="H38" i="10" l="1"/>
  <c r="V38" i="10" s="1"/>
  <c r="AA38" i="10" s="1"/>
  <c r="G38" i="10"/>
  <c r="N37" i="10"/>
  <c r="O37" i="10"/>
  <c r="I38" i="10" l="1"/>
  <c r="U37" i="10"/>
  <c r="Z37" i="10" s="1"/>
  <c r="T37" i="10"/>
  <c r="R37" i="10"/>
  <c r="N38" i="10"/>
  <c r="O38" i="10"/>
  <c r="K38" i="10"/>
  <c r="T38" i="10" l="1"/>
  <c r="U38" i="10"/>
  <c r="Z38" i="10" s="1"/>
  <c r="R38" i="10"/>
  <c r="G39" i="10"/>
  <c r="H39" i="10"/>
  <c r="V39" i="10" s="1"/>
  <c r="AA39" i="10" s="1"/>
  <c r="Y37" i="10"/>
  <c r="AC37" i="10" s="1"/>
  <c r="X37" i="10"/>
  <c r="I39" i="10" l="1"/>
  <c r="K39" i="10" s="1"/>
  <c r="N39" i="10"/>
  <c r="O39" i="10"/>
  <c r="Y38" i="10"/>
  <c r="AC38" i="10" s="1"/>
  <c r="X38" i="10"/>
  <c r="U39" i="10" l="1"/>
  <c r="Z39" i="10" s="1"/>
  <c r="T39" i="10"/>
  <c r="R39" i="10"/>
  <c r="H40" i="10"/>
  <c r="V40" i="10" s="1"/>
  <c r="AA40" i="10" s="1"/>
  <c r="G40" i="10"/>
  <c r="Y39" i="10" l="1"/>
  <c r="AC39" i="10" s="1"/>
  <c r="X39" i="10"/>
  <c r="I40" i="10"/>
  <c r="N40" i="10" l="1"/>
  <c r="O40" i="10"/>
  <c r="K40" i="10"/>
  <c r="G41" i="10" l="1"/>
  <c r="H41" i="10"/>
  <c r="V41" i="10" s="1"/>
  <c r="AA41" i="10" s="1"/>
  <c r="T40" i="10"/>
  <c r="U40" i="10"/>
  <c r="Z40" i="10" s="1"/>
  <c r="R40" i="10"/>
  <c r="Y40" i="10" l="1"/>
  <c r="AC40" i="10" s="1"/>
  <c r="X40" i="10"/>
  <c r="I41" i="10"/>
  <c r="N41" i="10" l="1"/>
  <c r="O41" i="10"/>
  <c r="K41" i="10"/>
  <c r="H42" i="10" l="1"/>
  <c r="V42" i="10" s="1"/>
  <c r="AA42" i="10" s="1"/>
  <c r="G42" i="10"/>
  <c r="U41" i="10"/>
  <c r="Z41" i="10" s="1"/>
  <c r="T41" i="10"/>
  <c r="R41" i="10"/>
  <c r="I42" i="10" l="1"/>
  <c r="Y41" i="10"/>
  <c r="AC41" i="10" s="1"/>
  <c r="X41" i="10"/>
  <c r="N42" i="10"/>
  <c r="O42" i="10"/>
  <c r="K42" i="10"/>
  <c r="G43" i="10" l="1"/>
  <c r="H43" i="10"/>
  <c r="V43" i="10" s="1"/>
  <c r="AA43" i="10" s="1"/>
  <c r="T42" i="10"/>
  <c r="U42" i="10"/>
  <c r="Z42" i="10" s="1"/>
  <c r="R42" i="10"/>
  <c r="Y42" i="10" l="1"/>
  <c r="AC42" i="10" s="1"/>
  <c r="X42" i="10"/>
  <c r="I43" i="10"/>
  <c r="K43" i="10" s="1"/>
  <c r="G44" i="10" l="1"/>
  <c r="H44" i="10"/>
  <c r="V44" i="10" s="1"/>
  <c r="AA44" i="10" s="1"/>
  <c r="N43" i="10"/>
  <c r="O43" i="10"/>
  <c r="U43" i="10" l="1"/>
  <c r="Z43" i="10" s="1"/>
  <c r="T43" i="10"/>
  <c r="R43" i="10"/>
  <c r="I44" i="10"/>
  <c r="K44" i="10" s="1"/>
  <c r="G45" i="10" l="1"/>
  <c r="H45" i="10"/>
  <c r="V45" i="10" s="1"/>
  <c r="AA45" i="10" s="1"/>
  <c r="N44" i="10"/>
  <c r="O44" i="10"/>
  <c r="X43" i="10"/>
  <c r="Y43" i="10"/>
  <c r="AC43" i="10" s="1"/>
  <c r="T44" i="10" l="1"/>
  <c r="U44" i="10"/>
  <c r="Z44" i="10" s="1"/>
  <c r="R44" i="10"/>
  <c r="I45" i="10"/>
  <c r="K45" i="10" s="1"/>
  <c r="G46" i="10" l="1"/>
  <c r="H46" i="10"/>
  <c r="V46" i="10" s="1"/>
  <c r="AA46" i="10" s="1"/>
  <c r="N45" i="10"/>
  <c r="O45" i="10"/>
  <c r="Y44" i="10"/>
  <c r="AC44" i="10" s="1"/>
  <c r="X44" i="10"/>
  <c r="U45" i="10" l="1"/>
  <c r="Z45" i="10" s="1"/>
  <c r="T45" i="10"/>
  <c r="R45" i="10"/>
  <c r="I46" i="10"/>
  <c r="K46" i="10" s="1"/>
  <c r="G47" i="10" l="1"/>
  <c r="H47" i="10"/>
  <c r="V47" i="10" s="1"/>
  <c r="AA47" i="10" s="1"/>
  <c r="N46" i="10"/>
  <c r="O46" i="10"/>
  <c r="Y45" i="10"/>
  <c r="AC45" i="10" s="1"/>
  <c r="X45" i="10"/>
  <c r="T46" i="10" l="1"/>
  <c r="U46" i="10"/>
  <c r="Z46" i="10" s="1"/>
  <c r="R46" i="10"/>
  <c r="I47" i="10"/>
  <c r="K47" i="10" s="1"/>
  <c r="G48" i="10" l="1"/>
  <c r="H48" i="10"/>
  <c r="V48" i="10" s="1"/>
  <c r="AA48" i="10" s="1"/>
  <c r="N47" i="10"/>
  <c r="O47" i="10"/>
  <c r="Y46" i="10"/>
  <c r="AC46" i="10" s="1"/>
  <c r="X46" i="10"/>
  <c r="U47" i="10" l="1"/>
  <c r="Z47" i="10" s="1"/>
  <c r="T47" i="10"/>
  <c r="R47" i="10"/>
  <c r="I48" i="10"/>
  <c r="K48" i="10" s="1"/>
  <c r="G49" i="10" l="1"/>
  <c r="H49" i="10"/>
  <c r="V49" i="10" s="1"/>
  <c r="AA49" i="10" s="1"/>
  <c r="N48" i="10"/>
  <c r="O48" i="10"/>
  <c r="Y47" i="10"/>
  <c r="AC47" i="10" s="1"/>
  <c r="X47" i="10"/>
  <c r="T48" i="10" l="1"/>
  <c r="U48" i="10"/>
  <c r="Z48" i="10" s="1"/>
  <c r="R48" i="10"/>
  <c r="I49" i="10"/>
  <c r="K49" i="10" s="1"/>
  <c r="N49" i="10" l="1"/>
  <c r="O49" i="10"/>
  <c r="G50" i="10"/>
  <c r="H50" i="10"/>
  <c r="V50" i="10" s="1"/>
  <c r="AA50" i="10" s="1"/>
  <c r="Y48" i="10"/>
  <c r="AC48" i="10" s="1"/>
  <c r="X48" i="10"/>
  <c r="I50" i="10" l="1"/>
  <c r="K50" i="10"/>
  <c r="U49" i="10"/>
  <c r="Z49" i="10" s="1"/>
  <c r="T49" i="10"/>
  <c r="R49" i="10"/>
  <c r="Y49" i="10" l="1"/>
  <c r="AC49" i="10" s="1"/>
  <c r="X49" i="10"/>
  <c r="G51" i="10"/>
  <c r="H51" i="10"/>
  <c r="V51" i="10" s="1"/>
  <c r="AA51" i="10" s="1"/>
  <c r="N50" i="10"/>
  <c r="O50" i="10"/>
  <c r="T50" i="10" l="1"/>
  <c r="U50" i="10"/>
  <c r="Z50" i="10" s="1"/>
  <c r="R50" i="10"/>
  <c r="I51" i="10"/>
  <c r="N51" i="10" l="1"/>
  <c r="O51" i="10"/>
  <c r="K51" i="10"/>
  <c r="Y50" i="10"/>
  <c r="AC50" i="10" s="1"/>
  <c r="X50" i="10"/>
  <c r="U51" i="10" l="1"/>
  <c r="Z51" i="10" s="1"/>
  <c r="T51" i="10"/>
  <c r="R51" i="10"/>
  <c r="G52" i="10"/>
  <c r="H52" i="10"/>
  <c r="V52" i="10" s="1"/>
  <c r="AA52" i="10" s="1"/>
  <c r="I52" i="10" l="1"/>
  <c r="N52" i="10" s="1"/>
  <c r="O52" i="10"/>
  <c r="K52" i="10"/>
  <c r="X51" i="10"/>
  <c r="Y51" i="10"/>
  <c r="AC51" i="10" s="1"/>
  <c r="G53" i="10" l="1"/>
  <c r="H53" i="10"/>
  <c r="V53" i="10" s="1"/>
  <c r="AA53" i="10" s="1"/>
  <c r="U52" i="10"/>
  <c r="Z52" i="10" s="1"/>
  <c r="T52" i="10"/>
  <c r="R52" i="10"/>
  <c r="Y52" i="10" l="1"/>
  <c r="AC52" i="10" s="1"/>
  <c r="X52" i="10"/>
  <c r="I53" i="10"/>
  <c r="K53" i="10" s="1"/>
  <c r="G54" i="10" l="1"/>
  <c r="H54" i="10"/>
  <c r="V54" i="10" s="1"/>
  <c r="AA54" i="10" s="1"/>
  <c r="N53" i="10"/>
  <c r="O53" i="10"/>
  <c r="U53" i="10" l="1"/>
  <c r="Z53" i="10" s="1"/>
  <c r="R53" i="10"/>
  <c r="T53" i="10"/>
  <c r="I54" i="10"/>
  <c r="K54" i="10" s="1"/>
  <c r="G55" i="10" l="1"/>
  <c r="H55" i="10"/>
  <c r="V55" i="10" s="1"/>
  <c r="AA55" i="10" s="1"/>
  <c r="N54" i="10"/>
  <c r="O54" i="10"/>
  <c r="Y53" i="10"/>
  <c r="AC53" i="10" s="1"/>
  <c r="X53" i="10"/>
  <c r="U54" i="10" l="1"/>
  <c r="Z54" i="10" s="1"/>
  <c r="T54" i="10"/>
  <c r="R54" i="10"/>
  <c r="I55" i="10"/>
  <c r="K55" i="10" s="1"/>
  <c r="N55" i="10" l="1"/>
  <c r="O55" i="10"/>
  <c r="H56" i="10"/>
  <c r="V56" i="10" s="1"/>
  <c r="AA56" i="10" s="1"/>
  <c r="G56" i="10"/>
  <c r="Y54" i="10"/>
  <c r="AC54" i="10" s="1"/>
  <c r="X54" i="10"/>
  <c r="I56" i="10" l="1"/>
  <c r="K56" i="10" s="1"/>
  <c r="T55" i="10"/>
  <c r="U55" i="10"/>
  <c r="Z55" i="10" s="1"/>
  <c r="R55" i="10"/>
  <c r="Y55" i="10" l="1"/>
  <c r="AC55" i="10" s="1"/>
  <c r="X55" i="10"/>
  <c r="G57" i="10"/>
  <c r="H57" i="10"/>
  <c r="V57" i="10" s="1"/>
  <c r="AA57" i="10" s="1"/>
  <c r="N56" i="10"/>
  <c r="O56" i="10"/>
  <c r="U56" i="10" l="1"/>
  <c r="Z56" i="10" s="1"/>
  <c r="T56" i="10"/>
  <c r="R56" i="10"/>
  <c r="I57" i="10"/>
  <c r="K57" i="10" s="1"/>
  <c r="G58" i="10" l="1"/>
  <c r="H58" i="10"/>
  <c r="V58" i="10" s="1"/>
  <c r="AA58" i="10" s="1"/>
  <c r="N57" i="10"/>
  <c r="O57" i="10"/>
  <c r="Y56" i="10"/>
  <c r="AC56" i="10" s="1"/>
  <c r="X56" i="10"/>
  <c r="I58" i="10" l="1"/>
  <c r="N58" i="10" s="1"/>
  <c r="T57" i="10"/>
  <c r="U57" i="10"/>
  <c r="Z57" i="10" s="1"/>
  <c r="R57" i="10"/>
  <c r="O58" i="10" l="1"/>
  <c r="K58" i="10"/>
  <c r="U58" i="10"/>
  <c r="Z58" i="10" s="1"/>
  <c r="T58" i="10"/>
  <c r="R58" i="10"/>
  <c r="G59" i="10"/>
  <c r="H59" i="10"/>
  <c r="V59" i="10" s="1"/>
  <c r="AA59" i="10" s="1"/>
  <c r="Y57" i="10"/>
  <c r="AC57" i="10" s="1"/>
  <c r="X57" i="10"/>
  <c r="I59" i="10" l="1"/>
  <c r="Y58" i="10"/>
  <c r="AC58" i="10" s="1"/>
  <c r="X58" i="10"/>
  <c r="N59" i="10" l="1"/>
  <c r="O59" i="10"/>
  <c r="K59" i="10"/>
  <c r="G60" i="10" l="1"/>
  <c r="H60" i="10"/>
  <c r="V60" i="10" s="1"/>
  <c r="AA60" i="10" s="1"/>
  <c r="T59" i="10"/>
  <c r="R59" i="10"/>
  <c r="U59" i="10"/>
  <c r="Z59" i="10" s="1"/>
  <c r="Y59" i="10" l="1"/>
  <c r="AC59" i="10" s="1"/>
  <c r="X59" i="10"/>
  <c r="I60" i="10"/>
  <c r="N60" i="10" l="1"/>
  <c r="O60" i="10"/>
  <c r="K60" i="10"/>
  <c r="G61" i="10" l="1"/>
  <c r="H61" i="10"/>
  <c r="V61" i="10" s="1"/>
  <c r="AA61" i="10" s="1"/>
  <c r="U60" i="10"/>
  <c r="Z60" i="10" s="1"/>
  <c r="T60" i="10"/>
  <c r="R60" i="10"/>
  <c r="Y60" i="10" l="1"/>
  <c r="AC60" i="10" s="1"/>
  <c r="X60" i="10"/>
  <c r="I61" i="10"/>
  <c r="K61" i="10" s="1"/>
  <c r="G62" i="10" l="1"/>
  <c r="H62" i="10"/>
  <c r="V62" i="10" s="1"/>
  <c r="AA62" i="10" s="1"/>
  <c r="N61" i="10"/>
  <c r="O61" i="10"/>
  <c r="U61" i="10" l="1"/>
  <c r="Z61" i="10" s="1"/>
  <c r="R61" i="10"/>
  <c r="T61" i="10"/>
  <c r="I62" i="10"/>
  <c r="K62" i="10" s="1"/>
  <c r="G63" i="10" l="1"/>
  <c r="H63" i="10"/>
  <c r="V63" i="10" s="1"/>
  <c r="AA63" i="10" s="1"/>
  <c r="N62" i="10"/>
  <c r="O62" i="10"/>
  <c r="Y61" i="10"/>
  <c r="AC61" i="10" s="1"/>
  <c r="X61" i="10"/>
  <c r="U62" i="10" l="1"/>
  <c r="Z62" i="10" s="1"/>
  <c r="T62" i="10"/>
  <c r="R62" i="10"/>
  <c r="I63" i="10"/>
  <c r="N63" i="10" l="1"/>
  <c r="O63" i="10"/>
  <c r="K63" i="10"/>
  <c r="Y62" i="10"/>
  <c r="AC62" i="10" s="1"/>
  <c r="X62" i="10"/>
  <c r="G64" i="10" l="1"/>
  <c r="H64" i="10"/>
  <c r="V64" i="10" s="1"/>
  <c r="AA64" i="10" s="1"/>
  <c r="T63" i="10"/>
  <c r="U63" i="10"/>
  <c r="Z63" i="10" s="1"/>
  <c r="R63" i="10"/>
  <c r="Y63" i="10" l="1"/>
  <c r="AC63" i="10" s="1"/>
  <c r="X63" i="10"/>
  <c r="I64" i="10"/>
  <c r="K64" i="10" s="1"/>
  <c r="G65" i="10" l="1"/>
  <c r="H65" i="10"/>
  <c r="V65" i="10" s="1"/>
  <c r="AA65" i="10" s="1"/>
  <c r="N64" i="10"/>
  <c r="O64" i="10"/>
  <c r="T64" i="10" l="1"/>
  <c r="U64" i="10"/>
  <c r="Z64" i="10" s="1"/>
  <c r="R64" i="10"/>
  <c r="I65" i="10"/>
  <c r="N65" i="10" l="1"/>
  <c r="O65" i="10"/>
  <c r="Y64" i="10"/>
  <c r="AC64" i="10" s="1"/>
  <c r="X64" i="10"/>
  <c r="K65" i="10"/>
  <c r="G66" i="10" l="1"/>
  <c r="H66" i="10"/>
  <c r="V66" i="10" s="1"/>
  <c r="AA66" i="10" s="1"/>
  <c r="U65" i="10"/>
  <c r="Z65" i="10" s="1"/>
  <c r="T65" i="10"/>
  <c r="R65" i="10"/>
  <c r="Y65" i="10" l="1"/>
  <c r="AC65" i="10" s="1"/>
  <c r="X65" i="10"/>
  <c r="I66" i="10"/>
  <c r="K66" i="10" s="1"/>
  <c r="N66" i="10" l="1"/>
  <c r="O66" i="10"/>
  <c r="G67" i="10"/>
  <c r="H67" i="10"/>
  <c r="V67" i="10" s="1"/>
  <c r="AA67" i="10" s="1"/>
  <c r="I67" i="10" l="1"/>
  <c r="K67" i="10"/>
  <c r="N67" i="10"/>
  <c r="O67" i="10"/>
  <c r="T66" i="10"/>
  <c r="U66" i="10"/>
  <c r="Z66" i="10" s="1"/>
  <c r="R66" i="10"/>
  <c r="Y66" i="10" l="1"/>
  <c r="AC66" i="10" s="1"/>
  <c r="X66" i="10"/>
  <c r="T67" i="10"/>
  <c r="R67" i="10"/>
  <c r="U67" i="10"/>
  <c r="Z67" i="10" s="1"/>
  <c r="G68" i="10"/>
  <c r="H68" i="10"/>
  <c r="V68" i="10" s="1"/>
  <c r="AA68" i="10" s="1"/>
  <c r="I68" i="10" l="1"/>
  <c r="Y67" i="10"/>
  <c r="AC67" i="10" s="1"/>
  <c r="X67" i="10"/>
  <c r="N68" i="10" l="1"/>
  <c r="O68" i="10"/>
  <c r="K68" i="10"/>
  <c r="G69" i="10" l="1"/>
  <c r="H69" i="10"/>
  <c r="V69" i="10" s="1"/>
  <c r="AA69" i="10" s="1"/>
  <c r="T68" i="10"/>
  <c r="U68" i="10"/>
  <c r="Z68" i="10" s="1"/>
  <c r="R68" i="10"/>
  <c r="Y68" i="10" l="1"/>
  <c r="AC68" i="10" s="1"/>
  <c r="X68" i="10"/>
  <c r="I69" i="10"/>
  <c r="K69" i="10" s="1"/>
  <c r="G70" i="10" l="1"/>
  <c r="H70" i="10"/>
  <c r="V70" i="10" s="1"/>
  <c r="AA70" i="10" s="1"/>
  <c r="N69" i="10"/>
  <c r="O69" i="10"/>
  <c r="T69" i="10" l="1"/>
  <c r="U69" i="10"/>
  <c r="Z69" i="10" s="1"/>
  <c r="R69" i="10"/>
  <c r="I70" i="10"/>
  <c r="K70" i="10" s="1"/>
  <c r="G71" i="10" l="1"/>
  <c r="H71" i="10"/>
  <c r="V71" i="10" s="1"/>
  <c r="AA71" i="10" s="1"/>
  <c r="N70" i="10"/>
  <c r="O70" i="10"/>
  <c r="Y69" i="10"/>
  <c r="AC69" i="10" s="1"/>
  <c r="X69" i="10"/>
  <c r="T70" i="10" l="1"/>
  <c r="U70" i="10"/>
  <c r="Z70" i="10" s="1"/>
  <c r="R70" i="10"/>
  <c r="I71" i="10"/>
  <c r="N71" i="10" l="1"/>
  <c r="O71" i="10"/>
  <c r="K71" i="10"/>
  <c r="Y70" i="10"/>
  <c r="AC70" i="10" s="1"/>
  <c r="X70" i="10"/>
  <c r="G72" i="10" l="1"/>
  <c r="H72" i="10"/>
  <c r="V72" i="10" s="1"/>
  <c r="AA72" i="10" s="1"/>
  <c r="T71" i="10"/>
  <c r="U71" i="10"/>
  <c r="Z71" i="10" s="1"/>
  <c r="R71" i="10"/>
  <c r="Y71" i="10" l="1"/>
  <c r="AC71" i="10" s="1"/>
  <c r="X71" i="10"/>
  <c r="I72" i="10"/>
  <c r="K72" i="10" s="1"/>
  <c r="G73" i="10" l="1"/>
  <c r="H73" i="10"/>
  <c r="V73" i="10" s="1"/>
  <c r="AA73" i="10" s="1"/>
  <c r="N72" i="10"/>
  <c r="O72" i="10"/>
  <c r="T72" i="10" l="1"/>
  <c r="U72" i="10"/>
  <c r="Z72" i="10" s="1"/>
  <c r="R72" i="10"/>
  <c r="I73" i="10"/>
  <c r="N73" i="10" l="1"/>
  <c r="O73" i="10"/>
  <c r="Y72" i="10"/>
  <c r="AC72" i="10" s="1"/>
  <c r="X72" i="10"/>
  <c r="K73" i="10"/>
  <c r="H74" i="10" l="1"/>
  <c r="V74" i="10" s="1"/>
  <c r="AA74" i="10" s="1"/>
  <c r="G74" i="10"/>
  <c r="T73" i="10"/>
  <c r="U73" i="10"/>
  <c r="Z73" i="10" s="1"/>
  <c r="R73" i="10"/>
  <c r="Y73" i="10" l="1"/>
  <c r="AC73" i="10" s="1"/>
  <c r="X73" i="10"/>
  <c r="I74" i="10"/>
  <c r="K74" i="10" s="1"/>
  <c r="G75" i="10" l="1"/>
  <c r="H75" i="10"/>
  <c r="V75" i="10" s="1"/>
  <c r="AA75" i="10" s="1"/>
  <c r="N74" i="10"/>
  <c r="O74" i="10"/>
  <c r="T74" i="10" l="1"/>
  <c r="U74" i="10"/>
  <c r="Z74" i="10" s="1"/>
  <c r="R74" i="10"/>
  <c r="I75" i="10"/>
  <c r="K75" i="10" s="1"/>
  <c r="H76" i="10" l="1"/>
  <c r="V76" i="10" s="1"/>
  <c r="AA76" i="10" s="1"/>
  <c r="G76" i="10"/>
  <c r="N75" i="10"/>
  <c r="O75" i="10"/>
  <c r="Y74" i="10"/>
  <c r="AC74" i="10" s="1"/>
  <c r="X74" i="10"/>
  <c r="T75" i="10" l="1"/>
  <c r="U75" i="10"/>
  <c r="Z75" i="10" s="1"/>
  <c r="R75" i="10"/>
  <c r="I76" i="10"/>
  <c r="K76" i="10" s="1"/>
  <c r="G77" i="10" l="1"/>
  <c r="H77" i="10"/>
  <c r="V77" i="10" s="1"/>
  <c r="AA77" i="10" s="1"/>
  <c r="N76" i="10"/>
  <c r="O76" i="10"/>
  <c r="Y75" i="10"/>
  <c r="AC75" i="10" s="1"/>
  <c r="X75" i="10"/>
  <c r="T76" i="10" l="1"/>
  <c r="U76" i="10"/>
  <c r="Z76" i="10" s="1"/>
  <c r="R76" i="10"/>
  <c r="I77" i="10"/>
  <c r="N77" i="10" l="1"/>
  <c r="O77" i="10"/>
  <c r="K77" i="10"/>
  <c r="Y76" i="10"/>
  <c r="AC76" i="10" s="1"/>
  <c r="X76" i="10"/>
  <c r="H78" i="10" l="1"/>
  <c r="V78" i="10" s="1"/>
  <c r="AA78" i="10" s="1"/>
  <c r="G78" i="10"/>
  <c r="T77" i="10"/>
  <c r="R77" i="10"/>
  <c r="U77" i="10"/>
  <c r="Z77" i="10" s="1"/>
  <c r="Y77" i="10" l="1"/>
  <c r="AC77" i="10" s="1"/>
  <c r="X77" i="10"/>
  <c r="I78" i="10"/>
  <c r="K78" i="10" s="1"/>
  <c r="N78" i="10" l="1"/>
  <c r="O78" i="10"/>
  <c r="G79" i="10"/>
  <c r="H79" i="10"/>
  <c r="V79" i="10" s="1"/>
  <c r="AA79" i="10" s="1"/>
  <c r="I79" i="10" l="1"/>
  <c r="T78" i="10"/>
  <c r="U78" i="10"/>
  <c r="Z78" i="10" s="1"/>
  <c r="R78" i="10"/>
  <c r="N79" i="10" l="1"/>
  <c r="O79" i="10"/>
  <c r="Y78" i="10"/>
  <c r="AC78" i="10" s="1"/>
  <c r="X78" i="10"/>
  <c r="K79" i="10"/>
  <c r="G80" i="10" l="1"/>
  <c r="H80" i="10"/>
  <c r="V80" i="10" s="1"/>
  <c r="AA80" i="10" s="1"/>
  <c r="U79" i="10"/>
  <c r="Z79" i="10" s="1"/>
  <c r="T79" i="10"/>
  <c r="R79" i="10"/>
  <c r="Y79" i="10" l="1"/>
  <c r="AC79" i="10" s="1"/>
  <c r="X79" i="10"/>
  <c r="I80" i="10"/>
  <c r="K80" i="10" s="1"/>
  <c r="G81" i="10" l="1"/>
  <c r="H81" i="10"/>
  <c r="V81" i="10" s="1"/>
  <c r="AA81" i="10" s="1"/>
  <c r="N80" i="10"/>
  <c r="O80" i="10"/>
  <c r="T80" i="10" l="1"/>
  <c r="U80" i="10"/>
  <c r="Z80" i="10" s="1"/>
  <c r="R80" i="10"/>
  <c r="I81" i="10"/>
  <c r="N81" i="10" l="1"/>
  <c r="O81" i="10"/>
  <c r="K81" i="10"/>
  <c r="Y80" i="10"/>
  <c r="AC80" i="10" s="1"/>
  <c r="X80" i="10"/>
  <c r="H82" i="10" l="1"/>
  <c r="V82" i="10" s="1"/>
  <c r="AA82" i="10" s="1"/>
  <c r="G82" i="10"/>
  <c r="R81" i="10"/>
  <c r="T81" i="10"/>
  <c r="U81" i="10"/>
  <c r="Z81" i="10" s="1"/>
  <c r="Y81" i="10" l="1"/>
  <c r="AC81" i="10" s="1"/>
  <c r="X81" i="10"/>
  <c r="I82" i="10"/>
  <c r="K82" i="10" s="1"/>
  <c r="G83" i="10" l="1"/>
  <c r="H83" i="10"/>
  <c r="V83" i="10" s="1"/>
  <c r="AA83" i="10" s="1"/>
  <c r="N82" i="10"/>
  <c r="O82" i="10"/>
  <c r="T82" i="10" l="1"/>
  <c r="U82" i="10"/>
  <c r="Z82" i="10" s="1"/>
  <c r="R82" i="10"/>
  <c r="I83" i="10"/>
  <c r="K83" i="10" s="1"/>
  <c r="G84" i="10" l="1"/>
  <c r="H84" i="10"/>
  <c r="V84" i="10" s="1"/>
  <c r="AA84" i="10" s="1"/>
  <c r="N83" i="10"/>
  <c r="O83" i="10"/>
  <c r="X82" i="10"/>
  <c r="Y82" i="10"/>
  <c r="AC82" i="10" s="1"/>
  <c r="T83" i="10" l="1"/>
  <c r="U83" i="10"/>
  <c r="Z83" i="10" s="1"/>
  <c r="R83" i="10"/>
  <c r="I84" i="10"/>
  <c r="N84" i="10" l="1"/>
  <c r="O84" i="10"/>
  <c r="Y83" i="10"/>
  <c r="AC83" i="10" s="1"/>
  <c r="X83" i="10"/>
  <c r="K84" i="10"/>
  <c r="G85" i="10" l="1"/>
  <c r="H85" i="10"/>
  <c r="V85" i="10" s="1"/>
  <c r="AA85" i="10" s="1"/>
  <c r="U84" i="10"/>
  <c r="Z84" i="10" s="1"/>
  <c r="T84" i="10"/>
  <c r="R84" i="10"/>
  <c r="I85" i="10" l="1"/>
  <c r="Y84" i="10"/>
  <c r="AC84" i="10" s="1"/>
  <c r="X84" i="10"/>
  <c r="N85" i="10"/>
  <c r="O85" i="10"/>
  <c r="K85" i="10"/>
  <c r="U85" i="10" l="1"/>
  <c r="Z85" i="10" s="1"/>
  <c r="R85" i="10"/>
  <c r="T85" i="10"/>
  <c r="G86" i="10"/>
  <c r="H86" i="10"/>
  <c r="V86" i="10" s="1"/>
  <c r="AA86" i="10" s="1"/>
  <c r="I86" i="10" l="1"/>
  <c r="K86" i="10"/>
  <c r="Y85" i="10"/>
  <c r="AC85" i="10" s="1"/>
  <c r="X85" i="10"/>
  <c r="G87" i="10" l="1"/>
  <c r="H87" i="10"/>
  <c r="V87" i="10" s="1"/>
  <c r="AA87" i="10" s="1"/>
  <c r="N86" i="10"/>
  <c r="O86" i="10"/>
  <c r="I87" i="10" l="1"/>
  <c r="U86" i="10"/>
  <c r="Z86" i="10" s="1"/>
  <c r="R86" i="10"/>
  <c r="T86" i="10"/>
  <c r="K87" i="10"/>
  <c r="G88" i="10" l="1"/>
  <c r="H88" i="10"/>
  <c r="V88" i="10" s="1"/>
  <c r="AA88" i="10" s="1"/>
  <c r="Y86" i="10"/>
  <c r="AC86" i="10" s="1"/>
  <c r="X86" i="10"/>
  <c r="N87" i="10"/>
  <c r="O87" i="10"/>
  <c r="I88" i="10" l="1"/>
  <c r="U87" i="10"/>
  <c r="Z87" i="10" s="1"/>
  <c r="T87" i="10"/>
  <c r="R87" i="10"/>
  <c r="N88" i="10"/>
  <c r="O88" i="10"/>
  <c r="K88" i="10"/>
  <c r="G89" i="10" l="1"/>
  <c r="H89" i="10"/>
  <c r="V89" i="10" s="1"/>
  <c r="AA89" i="10" s="1"/>
  <c r="U88" i="10"/>
  <c r="Z88" i="10" s="1"/>
  <c r="T88" i="10"/>
  <c r="R88" i="10"/>
  <c r="X87" i="10"/>
  <c r="Y87" i="10"/>
  <c r="AC87" i="10" s="1"/>
  <c r="Y88" i="10" l="1"/>
  <c r="AC88" i="10" s="1"/>
  <c r="X88" i="10"/>
  <c r="I89" i="10"/>
  <c r="K89" i="10" s="1"/>
  <c r="N89" i="10" l="1"/>
  <c r="O89" i="10"/>
  <c r="G90" i="10"/>
  <c r="H90" i="10"/>
  <c r="V90" i="10" s="1"/>
  <c r="AA90" i="10" s="1"/>
  <c r="I90" i="10" l="1"/>
  <c r="K90" i="10" s="1"/>
  <c r="R89" i="10"/>
  <c r="T89" i="10"/>
  <c r="U89" i="10"/>
  <c r="Z89" i="10" s="1"/>
  <c r="Y89" i="10" l="1"/>
  <c r="AC89" i="10" s="1"/>
  <c r="X89" i="10"/>
  <c r="G91" i="10"/>
  <c r="H91" i="10"/>
  <c r="V91" i="10" s="1"/>
  <c r="AA91" i="10" s="1"/>
  <c r="N90" i="10"/>
  <c r="O90" i="10"/>
  <c r="U90" i="10" l="1"/>
  <c r="Z90" i="10" s="1"/>
  <c r="R90" i="10"/>
  <c r="T90" i="10"/>
  <c r="I91" i="10"/>
  <c r="K91" i="10" s="1"/>
  <c r="G92" i="10" l="1"/>
  <c r="H92" i="10"/>
  <c r="V92" i="10" s="1"/>
  <c r="AA92" i="10" s="1"/>
  <c r="N91" i="10"/>
  <c r="O91" i="10"/>
  <c r="X90" i="10"/>
  <c r="Y90" i="10"/>
  <c r="AC90" i="10" s="1"/>
  <c r="I92" i="10" l="1"/>
  <c r="N92" i="10" s="1"/>
  <c r="T91" i="10"/>
  <c r="U91" i="10"/>
  <c r="Z91" i="10" s="1"/>
  <c r="R91" i="10"/>
  <c r="K92" i="10"/>
  <c r="O92" i="10" l="1"/>
  <c r="G93" i="10"/>
  <c r="H93" i="10"/>
  <c r="V93" i="10" s="1"/>
  <c r="AA93" i="10" s="1"/>
  <c r="X91" i="10"/>
  <c r="Y91" i="10"/>
  <c r="AC91" i="10" s="1"/>
  <c r="U92" i="10"/>
  <c r="Z92" i="10" s="1"/>
  <c r="T92" i="10"/>
  <c r="R92" i="10"/>
  <c r="Y92" i="10" l="1"/>
  <c r="AC92" i="10" s="1"/>
  <c r="X92" i="10"/>
  <c r="I93" i="10"/>
  <c r="K93" i="10" s="1"/>
  <c r="N93" i="10" l="1"/>
  <c r="O93" i="10"/>
  <c r="G94" i="10"/>
  <c r="H94" i="10"/>
  <c r="V94" i="10" s="1"/>
  <c r="AA94" i="10" s="1"/>
  <c r="I94" i="10" l="1"/>
  <c r="K94" i="10" s="1"/>
  <c r="T93" i="10"/>
  <c r="U93" i="10"/>
  <c r="Z93" i="10" s="1"/>
  <c r="R93" i="10"/>
  <c r="Y93" i="10" l="1"/>
  <c r="AC93" i="10" s="1"/>
  <c r="X93" i="10"/>
  <c r="G95" i="10"/>
  <c r="H95" i="10"/>
  <c r="V95" i="10" s="1"/>
  <c r="AA95" i="10" s="1"/>
  <c r="N94" i="10"/>
  <c r="O94" i="10"/>
  <c r="U94" i="10" l="1"/>
  <c r="Z94" i="10" s="1"/>
  <c r="T94" i="10"/>
  <c r="R94" i="10"/>
  <c r="I95" i="10"/>
  <c r="K95" i="10" s="1"/>
  <c r="G96" i="10" l="1"/>
  <c r="H96" i="10"/>
  <c r="V96" i="10" s="1"/>
  <c r="AA96" i="10" s="1"/>
  <c r="N95" i="10"/>
  <c r="O95" i="10"/>
  <c r="Y94" i="10"/>
  <c r="AC94" i="10" s="1"/>
  <c r="X94" i="10"/>
  <c r="T95" i="10" l="1"/>
  <c r="U95" i="10"/>
  <c r="Z95" i="10" s="1"/>
  <c r="R95" i="10"/>
  <c r="I96" i="10"/>
  <c r="K96" i="10" s="1"/>
  <c r="N96" i="10" l="1"/>
  <c r="O96" i="10"/>
  <c r="G97" i="10"/>
  <c r="H97" i="10"/>
  <c r="V97" i="10" s="1"/>
  <c r="AA97" i="10" s="1"/>
  <c r="Y95" i="10"/>
  <c r="AC95" i="10" s="1"/>
  <c r="X95" i="10"/>
  <c r="I97" i="10" l="1"/>
  <c r="K97" i="10"/>
  <c r="U96" i="10"/>
  <c r="Z96" i="10" s="1"/>
  <c r="T96" i="10"/>
  <c r="R96" i="10"/>
  <c r="Y96" i="10" l="1"/>
  <c r="AC96" i="10" s="1"/>
  <c r="X96" i="10"/>
  <c r="G98" i="10"/>
  <c r="H98" i="10"/>
  <c r="V98" i="10" s="1"/>
  <c r="AA98" i="10" s="1"/>
  <c r="N97" i="10"/>
  <c r="O97" i="10"/>
  <c r="R97" i="10" l="1"/>
  <c r="T97" i="10"/>
  <c r="U97" i="10"/>
  <c r="Z97" i="10" s="1"/>
  <c r="I98" i="10"/>
  <c r="K98" i="10" s="1"/>
  <c r="H99" i="10" l="1"/>
  <c r="V99" i="10" s="1"/>
  <c r="AA99" i="10" s="1"/>
  <c r="G99" i="10"/>
  <c r="Y97" i="10"/>
  <c r="AC97" i="10" s="1"/>
  <c r="X97" i="10"/>
  <c r="N98" i="10"/>
  <c r="O98" i="10"/>
  <c r="I99" i="10" l="1"/>
  <c r="U98" i="10"/>
  <c r="Z98" i="10" s="1"/>
  <c r="R98" i="10"/>
  <c r="T98" i="10"/>
  <c r="O99" i="10"/>
  <c r="N99" i="10"/>
  <c r="K99" i="10"/>
  <c r="T99" i="10" l="1"/>
  <c r="U99" i="10"/>
  <c r="Z99" i="10" s="1"/>
  <c r="R99" i="10"/>
  <c r="G100" i="10"/>
  <c r="H100" i="10"/>
  <c r="V100" i="10" s="1"/>
  <c r="AA100" i="10" s="1"/>
  <c r="Y98" i="10"/>
  <c r="AC98" i="10" s="1"/>
  <c r="X98" i="10"/>
  <c r="I100" i="10" l="1"/>
  <c r="X99" i="10"/>
  <c r="Y99" i="10"/>
  <c r="AC99" i="10" s="1"/>
  <c r="N100" i="10" l="1"/>
  <c r="O100" i="10"/>
  <c r="K100" i="10"/>
  <c r="H101" i="10" l="1"/>
  <c r="V101" i="10" s="1"/>
  <c r="AA101" i="10" s="1"/>
  <c r="G101" i="10"/>
  <c r="U100" i="10"/>
  <c r="Z100" i="10" s="1"/>
  <c r="R100" i="10"/>
  <c r="T100" i="10"/>
  <c r="I101" i="10" l="1"/>
  <c r="O101" i="10" s="1"/>
  <c r="Y100" i="10"/>
  <c r="AC100" i="10" s="1"/>
  <c r="X100" i="10"/>
  <c r="N101" i="10"/>
  <c r="K101" i="10" l="1"/>
  <c r="T101" i="10"/>
  <c r="U101" i="10"/>
  <c r="Z101" i="10" s="1"/>
  <c r="R101" i="10"/>
  <c r="G102" i="10"/>
  <c r="H102" i="10"/>
  <c r="V102" i="10" s="1"/>
  <c r="AA102" i="10" s="1"/>
  <c r="I102" i="10" l="1"/>
  <c r="K102" i="10" s="1"/>
  <c r="Y101" i="10"/>
  <c r="AC101" i="10" s="1"/>
  <c r="X101" i="10"/>
  <c r="H103" i="10" l="1"/>
  <c r="V103" i="10" s="1"/>
  <c r="AA103" i="10" s="1"/>
  <c r="G103" i="10"/>
  <c r="N102" i="10"/>
  <c r="O102" i="10"/>
  <c r="I103" i="10" l="1"/>
  <c r="N103" i="10"/>
  <c r="O103" i="10"/>
  <c r="U102" i="10"/>
  <c r="Z102" i="10" s="1"/>
  <c r="R102" i="10"/>
  <c r="T102" i="10"/>
  <c r="K103" i="10"/>
  <c r="G104" i="10" l="1"/>
  <c r="H104" i="10"/>
  <c r="V104" i="10" s="1"/>
  <c r="AA104" i="10" s="1"/>
  <c r="Y102" i="10"/>
  <c r="AC102" i="10" s="1"/>
  <c r="X102" i="10"/>
  <c r="T103" i="10"/>
  <c r="U103" i="10"/>
  <c r="Z103" i="10" s="1"/>
  <c r="R103" i="10"/>
  <c r="Y103" i="10" l="1"/>
  <c r="AC103" i="10" s="1"/>
  <c r="X103" i="10"/>
  <c r="I104" i="10"/>
  <c r="K104" i="10" s="1"/>
  <c r="H105" i="10" l="1"/>
  <c r="V105" i="10" s="1"/>
  <c r="AA105" i="10" s="1"/>
  <c r="G105" i="10"/>
  <c r="N104" i="10"/>
  <c r="O104" i="10"/>
  <c r="I105" i="10" l="1"/>
  <c r="U104" i="10"/>
  <c r="Z104" i="10" s="1"/>
  <c r="T104" i="10"/>
  <c r="R104" i="10"/>
  <c r="N105" i="10"/>
  <c r="O105" i="10"/>
  <c r="K105" i="10"/>
  <c r="G106" i="10" l="1"/>
  <c r="H106" i="10"/>
  <c r="V106" i="10" s="1"/>
  <c r="AA106" i="10" s="1"/>
  <c r="R105" i="10"/>
  <c r="T105" i="10"/>
  <c r="U105" i="10"/>
  <c r="Z105" i="10" s="1"/>
  <c r="Y104" i="10"/>
  <c r="AC104" i="10" s="1"/>
  <c r="X104" i="10"/>
  <c r="Y105" i="10" l="1"/>
  <c r="AC105" i="10" s="1"/>
  <c r="X105" i="10"/>
  <c r="I106" i="10"/>
  <c r="K106" i="10" s="1"/>
  <c r="H107" i="10" l="1"/>
  <c r="V107" i="10" s="1"/>
  <c r="AA107" i="10" s="1"/>
  <c r="G107" i="10"/>
  <c r="N106" i="10"/>
  <c r="O106" i="10"/>
  <c r="I107" i="10" l="1"/>
  <c r="O107" i="10" s="1"/>
  <c r="U106" i="10"/>
  <c r="Z106" i="10" s="1"/>
  <c r="R106" i="10"/>
  <c r="T106" i="10"/>
  <c r="K107" i="10" l="1"/>
  <c r="N107" i="10"/>
  <c r="R107" i="10" s="1"/>
  <c r="G108" i="10"/>
  <c r="H108" i="10"/>
  <c r="V108" i="10" s="1"/>
  <c r="AA108" i="10" s="1"/>
  <c r="Y106" i="10"/>
  <c r="AC106" i="10" s="1"/>
  <c r="X106" i="10"/>
  <c r="T107" i="10"/>
  <c r="U107" i="10"/>
  <c r="Z107" i="10" s="1"/>
  <c r="Y107" i="10" l="1"/>
  <c r="AC107" i="10" s="1"/>
  <c r="X107" i="10"/>
  <c r="I108" i="10"/>
  <c r="N108" i="10" l="1"/>
  <c r="O108" i="10"/>
  <c r="K108" i="10"/>
  <c r="U108" i="10" l="1"/>
  <c r="Z108" i="10" s="1"/>
  <c r="T108" i="10"/>
  <c r="R108" i="10"/>
  <c r="H109" i="10"/>
  <c r="V109" i="10" s="1"/>
  <c r="AA109" i="10" s="1"/>
  <c r="G109" i="10"/>
  <c r="Y108" i="10" l="1"/>
  <c r="AC108" i="10" s="1"/>
  <c r="X108" i="10"/>
  <c r="I109" i="10"/>
  <c r="N109" i="10" l="1"/>
  <c r="O109" i="10"/>
  <c r="K109" i="10"/>
  <c r="G110" i="10" l="1"/>
  <c r="H110" i="10"/>
  <c r="V110" i="10" s="1"/>
  <c r="AA110" i="10" s="1"/>
  <c r="T109" i="10"/>
  <c r="U109" i="10"/>
  <c r="Z109" i="10" s="1"/>
  <c r="R109" i="10"/>
  <c r="X109" i="10" l="1"/>
  <c r="Y109" i="10"/>
  <c r="AC109" i="10" s="1"/>
  <c r="I110" i="10"/>
  <c r="N110" i="10" l="1"/>
  <c r="O110" i="10"/>
  <c r="K110" i="10"/>
  <c r="H111" i="10" l="1"/>
  <c r="V111" i="10" s="1"/>
  <c r="AA111" i="10" s="1"/>
  <c r="G111" i="10"/>
  <c r="U110" i="10"/>
  <c r="Z110" i="10" s="1"/>
  <c r="R110" i="10"/>
  <c r="T110" i="10"/>
  <c r="I111" i="10" l="1"/>
  <c r="Y110" i="10"/>
  <c r="AC110" i="10" s="1"/>
  <c r="X110" i="10"/>
  <c r="N111" i="10"/>
  <c r="O111" i="10"/>
  <c r="K111" i="10"/>
  <c r="T111" i="10" l="1"/>
  <c r="U111" i="10"/>
  <c r="Z111" i="10" s="1"/>
  <c r="R111" i="10"/>
  <c r="G112" i="10"/>
  <c r="H112" i="10"/>
  <c r="V112" i="10" s="1"/>
  <c r="AA112" i="10" s="1"/>
  <c r="I112" i="10" l="1"/>
  <c r="K112" i="10" s="1"/>
  <c r="X111" i="10"/>
  <c r="Y111" i="10"/>
  <c r="AC111" i="10" s="1"/>
  <c r="H113" i="10" l="1"/>
  <c r="G113" i="10"/>
  <c r="N112" i="10"/>
  <c r="O112" i="10"/>
  <c r="U112" i="10" l="1"/>
  <c r="Z112" i="10" s="1"/>
  <c r="T112" i="10"/>
  <c r="R112" i="10"/>
  <c r="I113" i="10"/>
  <c r="V113" i="10"/>
  <c r="N113" i="10" l="1"/>
  <c r="O113" i="10"/>
  <c r="Y112" i="10"/>
  <c r="AC112" i="10" s="1"/>
  <c r="X112" i="10"/>
  <c r="AA113" i="10"/>
  <c r="K113" i="10"/>
  <c r="H114" i="10" s="1"/>
  <c r="V114" i="10" l="1"/>
  <c r="G114" i="10"/>
  <c r="R113" i="10"/>
  <c r="T113" i="10"/>
  <c r="U113" i="10"/>
  <c r="AA114" i="10" l="1"/>
  <c r="I114" i="10"/>
  <c r="Z113" i="10"/>
  <c r="X113" i="10"/>
  <c r="Y113" i="10"/>
  <c r="N114" i="10" l="1"/>
  <c r="O114" i="10"/>
  <c r="K114" i="10"/>
  <c r="H115" i="10" s="1"/>
  <c r="AC113" i="10"/>
  <c r="V115" i="10" l="1"/>
  <c r="G115" i="10"/>
  <c r="T114" i="10"/>
  <c r="R114" i="10"/>
  <c r="U114" i="10"/>
  <c r="AA115" i="10" l="1"/>
  <c r="Z114" i="10"/>
  <c r="Y114" i="10"/>
  <c r="X114" i="10"/>
  <c r="I115" i="10"/>
  <c r="AC114" i="10" l="1"/>
  <c r="O115" i="10"/>
  <c r="N115" i="10"/>
  <c r="K115" i="10"/>
  <c r="H116" i="10" s="1"/>
  <c r="V116" i="10" l="1"/>
  <c r="G116" i="10"/>
  <c r="R115" i="10"/>
  <c r="U115" i="10"/>
  <c r="T115" i="10"/>
  <c r="AA116" i="10" l="1"/>
  <c r="X115" i="10"/>
  <c r="Y115" i="10"/>
  <c r="Z115" i="10"/>
  <c r="I116" i="10"/>
  <c r="AC115" i="10" l="1"/>
  <c r="O116" i="10"/>
  <c r="N116" i="10"/>
  <c r="K116" i="10"/>
  <c r="H117" i="10" s="1"/>
  <c r="V117" i="10" l="1"/>
  <c r="G117" i="10"/>
  <c r="R116" i="10"/>
  <c r="U116" i="10"/>
  <c r="T116" i="10"/>
  <c r="AA117" i="10" l="1"/>
  <c r="Z116" i="10"/>
  <c r="Y116" i="10"/>
  <c r="X116" i="10"/>
  <c r="I117" i="10"/>
  <c r="AC116" i="10" l="1"/>
  <c r="O117" i="10"/>
  <c r="N117" i="10"/>
  <c r="K117" i="10"/>
  <c r="G118" i="10" l="1"/>
  <c r="H118" i="10"/>
  <c r="R117" i="10"/>
  <c r="T117" i="10"/>
  <c r="U117" i="10"/>
  <c r="I118" i="10" l="1"/>
  <c r="V118" i="10"/>
  <c r="Z117" i="10"/>
  <c r="Y117" i="10"/>
  <c r="X117" i="10"/>
  <c r="K118" i="10"/>
  <c r="H119" i="10" s="1"/>
  <c r="V119" i="10" s="1"/>
  <c r="AA119" i="10" s="1"/>
  <c r="N118" i="10"/>
  <c r="O118" i="10"/>
  <c r="AA118" i="10" l="1"/>
  <c r="U118" i="10"/>
  <c r="T118" i="10"/>
  <c r="R118" i="10"/>
  <c r="G119" i="10"/>
  <c r="I119" i="10" s="1"/>
  <c r="K119" i="10" s="1"/>
  <c r="H120" i="10" s="1"/>
  <c r="V120" i="10" s="1"/>
  <c r="AA120" i="10" s="1"/>
  <c r="AC117" i="10"/>
  <c r="X118" i="10" l="1"/>
  <c r="Y118" i="10"/>
  <c r="G120" i="10"/>
  <c r="I120" i="10" s="1"/>
  <c r="K120" i="10" s="1"/>
  <c r="H121" i="10" s="1"/>
  <c r="V121" i="10" s="1"/>
  <c r="AA121" i="10" s="1"/>
  <c r="O119" i="10"/>
  <c r="N119" i="10"/>
  <c r="Z118" i="10"/>
  <c r="G121" i="10" l="1"/>
  <c r="I121" i="10" s="1"/>
  <c r="K121" i="10" s="1"/>
  <c r="H122" i="10" s="1"/>
  <c r="V122" i="10" s="1"/>
  <c r="AA122" i="10" s="1"/>
  <c r="T119" i="10"/>
  <c r="U119" i="10"/>
  <c r="Z119" i="10" s="1"/>
  <c r="R119" i="10"/>
  <c r="O120" i="10"/>
  <c r="N120" i="10"/>
  <c r="AC118" i="10"/>
  <c r="G122" i="10" l="1"/>
  <c r="I122" i="10" s="1"/>
  <c r="K122" i="10" s="1"/>
  <c r="H123" i="10" s="1"/>
  <c r="V123" i="10" s="1"/>
  <c r="AA123" i="10" s="1"/>
  <c r="R120" i="10"/>
  <c r="U120" i="10"/>
  <c r="Z120" i="10" s="1"/>
  <c r="T120" i="10"/>
  <c r="Y119" i="10"/>
  <c r="AC119" i="10" s="1"/>
  <c r="X119" i="10"/>
  <c r="O121" i="10"/>
  <c r="N121" i="10"/>
  <c r="G123" i="10" l="1"/>
  <c r="I123" i="10" s="1"/>
  <c r="K123" i="10" s="1"/>
  <c r="H124" i="10" s="1"/>
  <c r="V124" i="10" s="1"/>
  <c r="AA124" i="10" s="1"/>
  <c r="X120" i="10"/>
  <c r="Y120" i="10"/>
  <c r="AC120" i="10" s="1"/>
  <c r="R121" i="10"/>
  <c r="T121" i="10"/>
  <c r="U121" i="10"/>
  <c r="Z121" i="10" s="1"/>
  <c r="O122" i="10"/>
  <c r="N122" i="10"/>
  <c r="Y121" i="10" l="1"/>
  <c r="AC121" i="10" s="1"/>
  <c r="X121" i="10"/>
  <c r="G124" i="10"/>
  <c r="I124" i="10" s="1"/>
  <c r="K124" i="10" s="1"/>
  <c r="T122" i="10"/>
  <c r="R122" i="10"/>
  <c r="U122" i="10"/>
  <c r="Z122" i="10" s="1"/>
  <c r="O123" i="10"/>
  <c r="N123" i="10"/>
  <c r="G125" i="10" l="1"/>
  <c r="H125" i="10"/>
  <c r="V125" i="10" s="1"/>
  <c r="AA125" i="10" s="1"/>
  <c r="X122" i="10"/>
  <c r="Y122" i="10"/>
  <c r="AC122" i="10" s="1"/>
  <c r="U123" i="10"/>
  <c r="Z123" i="10" s="1"/>
  <c r="R123" i="10"/>
  <c r="T123" i="10"/>
  <c r="N124" i="10"/>
  <c r="O124" i="10"/>
  <c r="I125" i="10" l="1"/>
  <c r="X123" i="10"/>
  <c r="Y123" i="10"/>
  <c r="AC123" i="10" s="1"/>
  <c r="T124" i="10"/>
  <c r="R124" i="10"/>
  <c r="U124" i="10"/>
  <c r="Z124" i="10" s="1"/>
  <c r="O125" i="10" l="1"/>
  <c r="N125" i="10"/>
  <c r="K125" i="10"/>
  <c r="Y124" i="10"/>
  <c r="AC124" i="10" s="1"/>
  <c r="X124" i="10"/>
  <c r="H126" i="10" l="1"/>
  <c r="V126" i="10" s="1"/>
  <c r="AA126" i="10" s="1"/>
  <c r="G126" i="10"/>
  <c r="T125" i="10"/>
  <c r="R125" i="10"/>
  <c r="U125" i="10"/>
  <c r="Z125" i="10" s="1"/>
  <c r="X125" i="10" l="1"/>
  <c r="Y125" i="10"/>
  <c r="AC125" i="10" s="1"/>
  <c r="I126" i="10"/>
  <c r="K126" i="10" l="1"/>
  <c r="N126" i="10"/>
  <c r="O126" i="10"/>
  <c r="U126" i="10" l="1"/>
  <c r="Z126" i="10" s="1"/>
  <c r="R126" i="10"/>
  <c r="T126" i="10"/>
  <c r="H127" i="10"/>
  <c r="V127" i="10" s="1"/>
  <c r="AA127" i="10" s="1"/>
  <c r="G127" i="10"/>
  <c r="I127" i="10" l="1"/>
  <c r="Y126" i="10"/>
  <c r="AC126" i="10" s="1"/>
  <c r="X126" i="10"/>
  <c r="K127" i="10" l="1"/>
  <c r="O127" i="10"/>
  <c r="N127" i="10"/>
  <c r="T127" i="10" l="1"/>
  <c r="R127" i="10"/>
  <c r="U127" i="10"/>
  <c r="Z127" i="10" s="1"/>
  <c r="H128" i="10"/>
  <c r="V128" i="10" s="1"/>
  <c r="AA128" i="10" s="1"/>
  <c r="G128" i="10"/>
  <c r="I128" i="10" l="1"/>
  <c r="Y127" i="10"/>
  <c r="AC127" i="10" s="1"/>
  <c r="X127" i="10"/>
  <c r="K128" i="10" l="1"/>
  <c r="N128" i="10"/>
  <c r="O128" i="10"/>
  <c r="T128" i="10" l="1"/>
  <c r="U128" i="10"/>
  <c r="Z128" i="10" s="1"/>
  <c r="R128" i="10"/>
  <c r="H129" i="10"/>
  <c r="V129" i="10" s="1"/>
  <c r="AA129" i="10" s="1"/>
  <c r="G129" i="10"/>
  <c r="I129" i="10" l="1"/>
  <c r="Y128" i="10"/>
  <c r="AC128" i="10" s="1"/>
  <c r="X128" i="10"/>
  <c r="K129" i="10" l="1"/>
  <c r="O129" i="10"/>
  <c r="N129" i="10"/>
  <c r="T129" i="10" l="1"/>
  <c r="U129" i="10"/>
  <c r="Z129" i="10" s="1"/>
  <c r="R129" i="10"/>
  <c r="H130" i="10"/>
  <c r="V130" i="10" s="1"/>
  <c r="AA130" i="10" s="1"/>
  <c r="G130" i="10"/>
  <c r="I130" i="10" l="1"/>
  <c r="Y129" i="10"/>
  <c r="AC129" i="10" s="1"/>
  <c r="X129" i="10"/>
  <c r="K130" i="10" l="1"/>
  <c r="N130" i="10"/>
  <c r="O130" i="10"/>
  <c r="T130" i="10" l="1"/>
  <c r="U130" i="10"/>
  <c r="Z130" i="10" s="1"/>
  <c r="R130" i="10"/>
  <c r="H131" i="10"/>
  <c r="V131" i="10" s="1"/>
  <c r="AA131" i="10" s="1"/>
  <c r="G131" i="10"/>
  <c r="I131" i="10" l="1"/>
  <c r="X130" i="10"/>
  <c r="Y130" i="10"/>
  <c r="AC130" i="10" s="1"/>
  <c r="K131" i="10" l="1"/>
  <c r="O131" i="10"/>
  <c r="N131" i="10"/>
  <c r="R131" i="10" l="1"/>
  <c r="T131" i="10"/>
  <c r="U131" i="10"/>
  <c r="Z131" i="10" s="1"/>
  <c r="H132" i="10"/>
  <c r="V132" i="10" s="1"/>
  <c r="AA132" i="10" s="1"/>
  <c r="G132" i="10"/>
  <c r="I132" i="10" l="1"/>
  <c r="Y131" i="10"/>
  <c r="AC131" i="10" s="1"/>
  <c r="X131" i="10"/>
  <c r="K132" i="10"/>
  <c r="N132" i="10"/>
  <c r="O132" i="10"/>
  <c r="R132" i="10" l="1"/>
  <c r="U132" i="10"/>
  <c r="Z132" i="10" s="1"/>
  <c r="T132" i="10"/>
  <c r="H133" i="10"/>
  <c r="V133" i="10" s="1"/>
  <c r="AA133" i="10" s="1"/>
  <c r="G133" i="10"/>
  <c r="I133" i="10" l="1"/>
  <c r="X132" i="10"/>
  <c r="Y132" i="10"/>
  <c r="AC132" i="10" s="1"/>
  <c r="K133" i="10" l="1"/>
  <c r="O133" i="10"/>
  <c r="N133" i="10"/>
  <c r="R133" i="10" l="1"/>
  <c r="T133" i="10"/>
  <c r="U133" i="10"/>
  <c r="Z133" i="10" s="1"/>
  <c r="H134" i="10"/>
  <c r="V134" i="10" s="1"/>
  <c r="AA134" i="10" s="1"/>
  <c r="G134" i="10"/>
  <c r="I134" i="10" l="1"/>
  <c r="K134" i="10"/>
  <c r="N134" i="10"/>
  <c r="O134" i="10"/>
  <c r="Y133" i="10"/>
  <c r="AC133" i="10" s="1"/>
  <c r="X133" i="10"/>
  <c r="R134" i="10" l="1"/>
  <c r="U134" i="10"/>
  <c r="Z134" i="10" s="1"/>
  <c r="T134" i="10"/>
  <c r="H135" i="10"/>
  <c r="V135" i="10" s="1"/>
  <c r="AA135" i="10" s="1"/>
  <c r="G135" i="10"/>
  <c r="I135" i="10" l="1"/>
  <c r="Y134" i="10"/>
  <c r="AC134" i="10" s="1"/>
  <c r="X134" i="10"/>
  <c r="K135" i="10" l="1"/>
  <c r="O135" i="10"/>
  <c r="N135" i="10"/>
  <c r="T135" i="10" l="1"/>
  <c r="R135" i="10"/>
  <c r="U135" i="10"/>
  <c r="Z135" i="10" s="1"/>
  <c r="H136" i="10"/>
  <c r="V136" i="10" s="1"/>
  <c r="AA136" i="10" s="1"/>
  <c r="G136" i="10"/>
  <c r="I136" i="10" l="1"/>
  <c r="K136" i="10"/>
  <c r="N136" i="10"/>
  <c r="O136" i="10"/>
  <c r="Y135" i="10"/>
  <c r="AC135" i="10" s="1"/>
  <c r="X135" i="10"/>
  <c r="R136" i="10" l="1"/>
  <c r="U136" i="10"/>
  <c r="Z136" i="10" s="1"/>
  <c r="T136" i="10"/>
  <c r="H137" i="10"/>
  <c r="V137" i="10" s="1"/>
  <c r="AA137" i="10" s="1"/>
  <c r="G137" i="10"/>
  <c r="I137" i="10" l="1"/>
  <c r="K137" i="10"/>
  <c r="N137" i="10"/>
  <c r="O137" i="10"/>
  <c r="X136" i="10"/>
  <c r="Y136" i="10"/>
  <c r="AC136" i="10" s="1"/>
  <c r="T137" i="10" l="1"/>
  <c r="U137" i="10"/>
  <c r="Z137" i="10" s="1"/>
  <c r="R137" i="10"/>
  <c r="H138" i="10"/>
  <c r="V138" i="10" s="1"/>
  <c r="AA138" i="10" s="1"/>
  <c r="G138" i="10"/>
  <c r="I138" i="10" l="1"/>
  <c r="Y137" i="10"/>
  <c r="AC137" i="10" s="1"/>
  <c r="X137" i="10"/>
  <c r="K138" i="10" l="1"/>
  <c r="N138" i="10"/>
  <c r="O138" i="10"/>
  <c r="U138" i="10" l="1"/>
  <c r="R138" i="10"/>
  <c r="T138" i="10"/>
  <c r="H139" i="10"/>
  <c r="V139" i="10" s="1"/>
  <c r="AA139" i="10" s="1"/>
  <c r="G139" i="10"/>
  <c r="X138" i="10" l="1"/>
  <c r="Y138" i="10"/>
  <c r="I139" i="10"/>
  <c r="Z138" i="10"/>
  <c r="K139" i="10" l="1"/>
  <c r="O139" i="10"/>
  <c r="N139" i="10"/>
  <c r="AC138" i="10"/>
  <c r="T139" i="10" l="1"/>
  <c r="U139" i="10"/>
  <c r="R139" i="10"/>
  <c r="G140" i="10"/>
  <c r="H140" i="10"/>
  <c r="V140" i="10" s="1"/>
  <c r="AA140" i="10" s="1"/>
  <c r="I140" i="10" l="1"/>
  <c r="K140" i="10"/>
  <c r="Z139" i="10"/>
  <c r="X139" i="10"/>
  <c r="Y139" i="10"/>
  <c r="G141" i="10" l="1"/>
  <c r="H141" i="10"/>
  <c r="V141" i="10" s="1"/>
  <c r="AA141" i="10" s="1"/>
  <c r="AC139" i="10"/>
  <c r="O140" i="10"/>
  <c r="N140" i="10"/>
  <c r="U140" i="10" l="1"/>
  <c r="R140" i="10"/>
  <c r="T140" i="10"/>
  <c r="I141" i="10"/>
  <c r="K141" i="10" s="1"/>
  <c r="H142" i="10" l="1"/>
  <c r="V142" i="10" s="1"/>
  <c r="AA142" i="10" s="1"/>
  <c r="G142" i="10"/>
  <c r="N141" i="10"/>
  <c r="O141" i="10"/>
  <c r="X140" i="10"/>
  <c r="Y140" i="10"/>
  <c r="Z140" i="10"/>
  <c r="AC140" i="10" l="1"/>
  <c r="R141" i="10"/>
  <c r="T141" i="10"/>
  <c r="U141" i="10"/>
  <c r="I142" i="10"/>
  <c r="O142" i="10" l="1"/>
  <c r="N142" i="10"/>
  <c r="K142" i="10"/>
  <c r="Z141" i="10"/>
  <c r="X141" i="10"/>
  <c r="Y141" i="10"/>
  <c r="AC141" i="10" l="1"/>
  <c r="H143" i="10"/>
  <c r="V143" i="10" s="1"/>
  <c r="AA143" i="10" s="1"/>
  <c r="G143" i="10"/>
  <c r="R142" i="10"/>
  <c r="U142" i="10"/>
  <c r="T142" i="10"/>
  <c r="Z142" i="10" l="1"/>
  <c r="I143" i="10"/>
  <c r="Y142" i="10"/>
  <c r="X142" i="10"/>
  <c r="AC142" i="10" l="1"/>
  <c r="K143" i="10"/>
  <c r="N143" i="10"/>
  <c r="O143" i="10"/>
  <c r="H144" i="10" l="1"/>
  <c r="V144" i="10" s="1"/>
  <c r="AA144" i="10" s="1"/>
  <c r="G144" i="10"/>
  <c r="R143" i="10"/>
  <c r="U143" i="10"/>
  <c r="Z143" i="10" s="1"/>
  <c r="T143" i="10"/>
  <c r="I144" i="10" l="1"/>
  <c r="Y143" i="10"/>
  <c r="AC143" i="10" s="1"/>
  <c r="X143" i="10"/>
  <c r="K144" i="10"/>
  <c r="O144" i="10"/>
  <c r="N144" i="10"/>
  <c r="H145" i="10" l="1"/>
  <c r="V145" i="10" s="1"/>
  <c r="AA145" i="10" s="1"/>
  <c r="G145" i="10"/>
  <c r="T144" i="10"/>
  <c r="R144" i="10"/>
  <c r="U144" i="10"/>
  <c r="Z144" i="10" s="1"/>
  <c r="Y144" i="10" l="1"/>
  <c r="AC144" i="10" s="1"/>
  <c r="X144" i="10"/>
  <c r="I145" i="10"/>
  <c r="K145" i="10" l="1"/>
  <c r="N145" i="10"/>
  <c r="O145" i="10"/>
  <c r="T145" i="10" l="1"/>
  <c r="R145" i="10"/>
  <c r="U145" i="10"/>
  <c r="Z145" i="10" s="1"/>
  <c r="H146" i="10"/>
  <c r="V146" i="10" s="1"/>
  <c r="AA146" i="10" s="1"/>
  <c r="G146" i="10"/>
  <c r="I146" i="10" l="1"/>
  <c r="Y145" i="10"/>
  <c r="AC145" i="10" s="1"/>
  <c r="X145" i="10"/>
  <c r="K146" i="10" l="1"/>
  <c r="N146" i="10"/>
  <c r="O146" i="10"/>
  <c r="R146" i="10" l="1"/>
  <c r="U146" i="10"/>
  <c r="Z146" i="10" s="1"/>
  <c r="T146" i="10"/>
  <c r="H147" i="10"/>
  <c r="V147" i="10" s="1"/>
  <c r="AA147" i="10" s="1"/>
  <c r="G147" i="10"/>
  <c r="X146" i="10" l="1"/>
  <c r="Y146" i="10"/>
  <c r="AC146" i="10" s="1"/>
  <c r="I147" i="10"/>
  <c r="K147" i="10" l="1"/>
  <c r="N147" i="10"/>
  <c r="O147" i="10"/>
  <c r="U147" i="10" l="1"/>
  <c r="Z147" i="10" s="1"/>
  <c r="R147" i="10"/>
  <c r="T147" i="10"/>
  <c r="H148" i="10"/>
  <c r="V148" i="10" s="1"/>
  <c r="AA148" i="10" s="1"/>
  <c r="G148" i="10"/>
  <c r="I148" i="10" l="1"/>
  <c r="Y147" i="10"/>
  <c r="AC147" i="10" s="1"/>
  <c r="X147" i="10"/>
  <c r="K148" i="10" l="1"/>
  <c r="O148" i="10"/>
  <c r="N148" i="10"/>
  <c r="U148" i="10" l="1"/>
  <c r="Z148" i="10" s="1"/>
  <c r="T148" i="10"/>
  <c r="R148" i="10"/>
  <c r="H149" i="10"/>
  <c r="V149" i="10" s="1"/>
  <c r="AA149" i="10" s="1"/>
  <c r="G149" i="10"/>
  <c r="Y148" i="10" l="1"/>
  <c r="AC148" i="10" s="1"/>
  <c r="X148" i="10"/>
  <c r="I149" i="10"/>
  <c r="K149" i="10" l="1"/>
  <c r="O149" i="10"/>
  <c r="N149" i="10"/>
  <c r="U149" i="10" l="1"/>
  <c r="Z149" i="10" s="1"/>
  <c r="T149" i="10"/>
  <c r="R149" i="10"/>
  <c r="H150" i="10"/>
  <c r="V150" i="10" s="1"/>
  <c r="AA150" i="10" s="1"/>
  <c r="G150" i="10"/>
  <c r="X149" i="10" l="1"/>
  <c r="Y149" i="10"/>
  <c r="AC149" i="10" s="1"/>
  <c r="I150" i="10"/>
  <c r="K150" i="10" l="1"/>
  <c r="O150" i="10"/>
  <c r="N150" i="10"/>
  <c r="R150" i="10" l="1"/>
  <c r="U150" i="10"/>
  <c r="Z150" i="10" s="1"/>
  <c r="T150" i="10"/>
  <c r="H151" i="10"/>
  <c r="V151" i="10" s="1"/>
  <c r="AA151" i="10" s="1"/>
  <c r="G151" i="10"/>
  <c r="X150" i="10" l="1"/>
  <c r="Y150" i="10"/>
  <c r="AC150" i="10" s="1"/>
  <c r="I151" i="10"/>
  <c r="K151" i="10" l="1"/>
  <c r="O151" i="10"/>
  <c r="N151" i="10"/>
  <c r="R151" i="10" l="1"/>
  <c r="U151" i="10"/>
  <c r="Z151" i="10" s="1"/>
  <c r="T151" i="10"/>
  <c r="G152" i="10"/>
  <c r="H152" i="10"/>
  <c r="V152" i="10" s="1"/>
  <c r="AA152" i="10" s="1"/>
  <c r="I152" i="10" l="1"/>
  <c r="Y151" i="10"/>
  <c r="AC151" i="10" s="1"/>
  <c r="X151" i="10"/>
  <c r="K152" i="10"/>
  <c r="H153" i="10" l="1"/>
  <c r="V153" i="10" s="1"/>
  <c r="AA153" i="10" s="1"/>
  <c r="G153" i="10"/>
  <c r="O152" i="10"/>
  <c r="N152" i="10"/>
  <c r="T152" i="10" l="1"/>
  <c r="R152" i="10"/>
  <c r="U152" i="10"/>
  <c r="Z152" i="10" s="1"/>
  <c r="I153" i="10"/>
  <c r="K153" i="10" l="1"/>
  <c r="O153" i="10"/>
  <c r="N153" i="10"/>
  <c r="X152" i="10"/>
  <c r="Y152" i="10"/>
  <c r="AC152" i="10" s="1"/>
  <c r="T153" i="10" l="1"/>
  <c r="R153" i="10"/>
  <c r="U153" i="10"/>
  <c r="Z153" i="10" s="1"/>
  <c r="H154" i="10"/>
  <c r="V154" i="10" s="1"/>
  <c r="AA154" i="10" s="1"/>
  <c r="G154" i="10"/>
  <c r="I154" i="10" l="1"/>
  <c r="K154" i="10"/>
  <c r="Y153" i="10"/>
  <c r="AC153" i="10" s="1"/>
  <c r="X153" i="10"/>
  <c r="G155" i="10" l="1"/>
  <c r="H155" i="10"/>
  <c r="V155" i="10" s="1"/>
  <c r="AA155" i="10" s="1"/>
  <c r="N154" i="10"/>
  <c r="O154" i="10"/>
  <c r="T154" i="10" l="1"/>
  <c r="U154" i="10"/>
  <c r="Z154" i="10" s="1"/>
  <c r="R154" i="10"/>
  <c r="I155" i="10"/>
  <c r="K155" i="10" s="1"/>
  <c r="H156" i="10" l="1"/>
  <c r="G156" i="10"/>
  <c r="N155" i="10"/>
  <c r="O155" i="10"/>
  <c r="X154" i="10"/>
  <c r="Y154" i="10"/>
  <c r="AC154" i="10" s="1"/>
  <c r="T155" i="10" l="1"/>
  <c r="U155" i="10"/>
  <c r="Z155" i="10" s="1"/>
  <c r="R155" i="10"/>
  <c r="I156" i="10"/>
  <c r="G5" i="10"/>
  <c r="V156" i="10"/>
  <c r="H5" i="10"/>
  <c r="AA156" i="10" l="1"/>
  <c r="AA5" i="10" s="1"/>
  <c r="AE9" i="8" s="1"/>
  <c r="V5" i="10"/>
  <c r="O156" i="10"/>
  <c r="N156" i="10"/>
  <c r="I5" i="10"/>
  <c r="Y155" i="10"/>
  <c r="AC155" i="10" s="1"/>
  <c r="X155" i="10"/>
  <c r="K156" i="10"/>
  <c r="R156" i="10" l="1"/>
  <c r="U156" i="10"/>
  <c r="T156" i="10"/>
  <c r="N5" i="10"/>
  <c r="X156" i="10" l="1"/>
  <c r="X5" i="10" s="1"/>
  <c r="Y156" i="10"/>
  <c r="T5" i="10"/>
  <c r="Z156" i="10"/>
  <c r="Z5" i="10" s="1"/>
  <c r="AE8" i="8" s="1"/>
  <c r="U5" i="10"/>
  <c r="P17" i="8"/>
  <c r="R5" i="10"/>
  <c r="P18" i="8" s="1"/>
  <c r="P19" i="8" l="1"/>
  <c r="L18" i="8"/>
  <c r="Y5" i="10"/>
  <c r="AE7" i="8" s="1"/>
  <c r="AC156" i="10"/>
  <c r="AC5" i="10" s="1"/>
  <c r="AE3" i="8" s="1"/>
  <c r="AF3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T2" authorId="0" shapeId="0" xr:uid="{2D7D30FF-14D3-4EDD-A99E-638D19FD8909}">
      <text>
        <r>
          <rPr>
            <sz val="11"/>
            <color indexed="81"/>
            <rFont val="Calibri"/>
            <family val="2"/>
            <scheme val="minor"/>
          </rPr>
          <t>Este gráfico trás o valor presente da carta de crédito e dos pagamentos, com base na TMA mensal. Na sua ausência, o cálculo considera como taxa a equivalência mensal do índice de reajuste anual.
Para efeito desta análise, o pagamento do fundo de reserva está sendo considerado um custo da operação.</t>
        </r>
      </text>
    </comment>
    <comment ref="P4" authorId="0" shapeId="0" xr:uid="{BD1FF1F8-084D-4963-9579-B89F98D01298}">
      <text>
        <r>
          <rPr>
            <sz val="11"/>
            <color indexed="81"/>
            <rFont val="Calibri"/>
            <family val="2"/>
            <scheme val="minor"/>
          </rPr>
          <t>O reajuste recai anualmente sobre sobre o valor do bem e sobre as prestações e, consequentemente, sobre o saldo devedor.</t>
        </r>
      </text>
    </comment>
    <comment ref="P6" authorId="0" shapeId="0" xr:uid="{3D1C439A-C0D9-4F84-B191-538CD5859FAD}">
      <text>
        <r>
          <rPr>
            <sz val="11"/>
            <color indexed="81"/>
            <rFont val="Calibri"/>
            <family val="2"/>
            <scheme val="minor"/>
          </rPr>
          <t>Informar o momento em que o reajuste anual deve iniciar. Deixando vazio ou em branco será considerado o 12º mês para o início do reajuste anual.
Imagine que você esteja entrando em um grupo em andamento e que o reajuste para esse grupo ocorra daqui há três meses; então você deve colocar o nº 3 neste campo. A partir desse momento, a cada doze meses o saldo devedor e o valor do crédito sofrerão reajuste anualmente.</t>
        </r>
      </text>
    </comment>
    <comment ref="P7" authorId="0" shapeId="0" xr:uid="{198173AC-6FEF-4FC9-9344-4DD122306554}">
      <text>
        <r>
          <rPr>
            <sz val="11"/>
            <color indexed="81"/>
            <rFont val="Calibri"/>
            <family val="2"/>
            <scheme val="minor"/>
          </rPr>
          <t>Indicar o momento da contemplação, independentemente de ter sido por sorteio ou por lance.
Deixando vazio ou com valor zero será entendido que não houve contemplação e que o crédito foi obtido no encerramento do Grupo.</t>
        </r>
      </text>
    </comment>
    <comment ref="P8" authorId="0" shapeId="0" xr:uid="{905204AC-E421-4762-88D7-90A29F5ADBB0}">
      <text>
        <r>
          <rPr>
            <sz val="11"/>
            <color indexed="81"/>
            <rFont val="Calibri"/>
            <family val="2"/>
            <scheme val="minor"/>
          </rPr>
          <t>Saldo devedor no momento da contemplação, atualizado anualmente pelo índice de reajuste anual.</t>
        </r>
      </text>
    </comment>
    <comment ref="N9" authorId="0" shapeId="0" xr:uid="{4AF63BFA-FD02-4EFC-BE62-4B5FDF2179E6}">
      <text>
        <r>
          <rPr>
            <sz val="11"/>
            <color indexed="81"/>
            <rFont val="Calibri"/>
            <family val="2"/>
            <scheme val="minor"/>
          </rPr>
          <t>Percentual de lance em relação ao saldo devedor.</t>
        </r>
      </text>
    </comment>
    <comment ref="P9" authorId="0" shapeId="0" xr:uid="{40AE4D64-0A90-448D-9A33-95010A5285F8}">
      <text>
        <r>
          <rPr>
            <sz val="11"/>
            <color indexed="81"/>
            <rFont val="Calibri"/>
            <family val="2"/>
            <scheme val="minor"/>
          </rPr>
          <t>Este campo, se mantido vazio ou preenchido com zero, ficará entendido que a contemplação ocorreu por sorteio.</t>
        </r>
      </text>
    </comment>
    <comment ref="H10" authorId="0" shapeId="0" xr:uid="{CD07F1C2-AE19-4283-9053-A31262121EA0}">
      <text>
        <r>
          <rPr>
            <sz val="11"/>
            <color indexed="81"/>
            <rFont val="Calibri"/>
            <family val="2"/>
            <scheme val="minor"/>
          </rPr>
          <t>Indicar a parte da taxa de administração, em %, que está sendo cobrada antecipadamente.
Exemplo:
20% = Taxa de administração total
 1% = Parte da taxa de administração que está sendo antecipada
19% = Saldo da taxa de administração, a ser rateado nos meses restantes do plano de consórcio.</t>
        </r>
      </text>
    </comment>
    <comment ref="P10" authorId="0" shapeId="0" xr:uid="{9D96D6AE-5558-4B1D-B2F9-E1F771B06F04}">
      <text>
        <r>
          <rPr>
            <sz val="11"/>
            <color indexed="81"/>
            <rFont val="Calibri"/>
            <family val="2"/>
            <scheme val="minor"/>
          </rPr>
          <t>Resultado do % de lance sobre o valor do saldo devedor no momento da contemplação.</t>
        </r>
      </text>
    </comment>
    <comment ref="H11" authorId="0" shapeId="0" xr:uid="{A441CAB9-1D52-4C9E-8519-4B463E48E44D}">
      <text>
        <r>
          <rPr>
            <sz val="11"/>
            <color indexed="81"/>
            <rFont val="Calibri"/>
            <family val="2"/>
            <scheme val="minor"/>
          </rPr>
          <t>Indicar em quantas vezes a taxa de administração antecipada está sendo parcelada dentro do plano de consórcio.
Se este campo for mantido vazio ou com zero estará entendido que a taxa de administração antecipada está sendo paga em uma única parcela.</t>
        </r>
      </text>
    </comment>
    <comment ref="D13" authorId="0" shapeId="0" xr:uid="{00000000-0006-0000-0100-000004000000}">
      <text>
        <r>
          <rPr>
            <sz val="11"/>
            <color indexed="81"/>
            <rFont val="Calibri"/>
            <family val="2"/>
            <scheme val="minor"/>
          </rPr>
          <t>Utilizado quando a opção contratada for por lance mínimo pré definido.</t>
        </r>
      </text>
    </comment>
    <comment ref="L15" authorId="0" shapeId="0" xr:uid="{CE56251F-7B10-4D53-A0CB-C83ABFFA48B6}">
      <text>
        <r>
          <rPr>
            <sz val="11"/>
            <color indexed="81"/>
            <rFont val="Calibri"/>
            <family val="2"/>
            <scheme val="minor"/>
          </rPr>
          <t>TVP = Taxa para Valor Presente
Taxa utilizada para trazer a valor presente a carta de crédito e os pagamentos projetados.
Esta taxa não pode ser confundida com a "TMA - Taxa Mínima de Atratividade", uma vez que esta última é adotada em casos de investimentos, o que não é o caso do consórcio, que é apenas uma forma de pagamento e que, portanto, acarreta custos e não rendimentos.</t>
        </r>
      </text>
    </comment>
    <comment ref="N15" authorId="0" shapeId="0" xr:uid="{4E6A2554-7C5F-4141-89AA-3DD774A43711}">
      <text>
        <r>
          <rPr>
            <sz val="11"/>
            <color indexed="81"/>
            <rFont val="Calibri"/>
            <family val="2"/>
            <scheme val="minor"/>
          </rPr>
          <t>Ao clicar no botão azul a TVP adotará automaticamente a equivalência mensal do índice anual de reajuste, sem prejuízo de digitar uma nova taxa quando julgar conveniente.</t>
        </r>
      </text>
    </comment>
    <comment ref="P15" authorId="0" shapeId="0" xr:uid="{68CC8902-073D-4A09-A094-387A9455DF2A}">
      <text>
        <r>
          <rPr>
            <sz val="11"/>
            <color indexed="81"/>
            <rFont val="Calibri"/>
            <family val="2"/>
            <scheme val="minor"/>
          </rPr>
          <t>TVP = Taxa para valor Presente
Taxa de desconto do fluxo financeiro ajustado.
Se este campo for deixado vazio ou com valor zero, a carta de crédito e os pagamentos serão trazidos a valor presente pela equivalência mensal do índice de reajuste anual.</t>
        </r>
      </text>
    </comment>
    <comment ref="L17" authorId="0" shapeId="0" xr:uid="{2C3E0618-96E4-42EE-A3C7-1770B4A8E10F}">
      <text>
        <r>
          <rPr>
            <sz val="11"/>
            <color indexed="81"/>
            <rFont val="Calibri"/>
            <family val="2"/>
            <scheme val="minor"/>
          </rPr>
          <t>VPL = Valor Presente Líquido
Representa a diferença entre o crédito e os pagamentos realizados, trazidos a valor presente pela TVP (equivalente à TMA).
Caso o valor seja positivo, significa que o efeito da TVP no tempo distorceu o resultado, transformando custo em ganho financeiro efetivo.</t>
        </r>
      </text>
    </comment>
    <comment ref="P17" authorId="0" shapeId="0" xr:uid="{506DD582-4772-401B-97FD-AA671E92CC71}">
      <text>
        <r>
          <rPr>
            <sz val="11"/>
            <color indexed="81"/>
            <rFont val="Calibri"/>
            <family val="2"/>
            <scheme val="minor"/>
          </rPr>
          <t>Caso o valor seja positivo, significa que o efeito do tempo e o peso da TVP provocaram uma distorção no resultado, transformando custo em ganho financeiro efetivo.</t>
        </r>
      </text>
    </comment>
    <comment ref="L18" authorId="0" shapeId="0" xr:uid="{11160B98-50CD-48BA-B5C7-6B54C087FD18}">
      <text>
        <r>
          <rPr>
            <u/>
            <sz val="11"/>
            <color indexed="81"/>
            <rFont val="Calibri"/>
            <family val="2"/>
            <scheme val="minor"/>
          </rPr>
          <t>ATENÇÃO:</t>
        </r>
        <r>
          <rPr>
            <sz val="11"/>
            <color indexed="81"/>
            <rFont val="Calibri"/>
            <family val="2"/>
            <scheme val="minor"/>
          </rPr>
          <t xml:space="preserve">
O reajuste anual das parcelas e do valor do bem faz com que a taxa do custo efetivo deixe de manter uniformidade em sua evolução. Por exemplo, a taxa do custo efetivo no 13º mês é inferior ao do 12º mês, Isso ocorre devido ao acréscimo do valor do crédito a cada doze meses e, nesse exemplo, com efeito no 13º mês.
Em outras palavras, ao indicar a contemplação no 13º mês você estará simulando o recebimento da carta de crédito já com o efeito do reajuste acumulado nos doze meses anteriores.
A TVP (equivalente à TMA) também pode provocar distorção no resultado, convertendo custo em ganho, dependendo do peso da TVP e do prazo informado para a operação.</t>
        </r>
      </text>
    </comment>
    <comment ref="P18" authorId="0" shapeId="0" xr:uid="{CC64BE1E-601D-459A-9479-E018FA14E9E5}">
      <text>
        <r>
          <rPr>
            <sz val="11"/>
            <color indexed="81"/>
            <rFont val="Calibri"/>
            <family val="2"/>
            <scheme val="minor"/>
          </rPr>
          <t>Taxa efetiva do custo da operação, calculada sobre o valor da carta de crédito e sobre o fluxo dos pagamentos, trazidos a valor presente pela TVP.</t>
        </r>
      </text>
    </comment>
    <comment ref="L21" authorId="0" shapeId="0" xr:uid="{DE52B3E8-4F4C-4EE6-8BAC-35BCC85BAFA3}">
      <text>
        <r>
          <rPr>
            <sz val="11"/>
            <color indexed="81"/>
            <rFont val="Calibri"/>
            <family val="2"/>
            <scheme val="minor"/>
          </rPr>
          <t>Valor da carta de crédito trazido ao valor presente pela TVP, considerando o momento indicado para a contemplação. Caso o campo da TVP esteja com valor zero ou vazio será considerado como TVP a equivalência mensal do índice de reajsute anual informado.</t>
        </r>
      </text>
    </comment>
    <comment ref="P21" authorId="0" shapeId="0" xr:uid="{40D934E5-6C80-4783-AFAC-7269C9A37E31}">
      <text>
        <r>
          <rPr>
            <b/>
            <u/>
            <sz val="11"/>
            <color indexed="81"/>
            <rFont val="Calibri"/>
            <family val="2"/>
            <scheme val="minor"/>
          </rPr>
          <t>Valor Presente da Carta de Crédito</t>
        </r>
        <r>
          <rPr>
            <sz val="11"/>
            <color indexed="81"/>
            <rFont val="Calibri"/>
            <family val="2"/>
            <scheme val="minor"/>
          </rPr>
          <t xml:space="preserve"> = valor da carta de crédito trazido ao valor presente pela TVP.
Note que, quando o momento escolhido para a contemplação é inferior ao momento do reajuste anual, o valor presente do crédito fica proporcionalmente menor que o do crédito original. Isso é um efeito da sazonalidade do reajuste anual e é percebido quando o TVP informado está igual à equivalência mensal do índice de reajuste anual.</t>
        </r>
      </text>
    </comment>
    <comment ref="P23" authorId="0" shapeId="0" xr:uid="{71EC9A91-E66D-4A3B-887F-B9BCC4089664}">
      <text>
        <r>
          <rPr>
            <sz val="11"/>
            <color indexed="81"/>
            <rFont val="Calibri"/>
            <family val="2"/>
            <scheme val="minor"/>
          </rPr>
          <t>Valor da parcela no momento indicado, já com efeito do reajuste anual e de eventual lance.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K5" authorId="0" shapeId="0" xr:uid="{EA08B4F8-F57F-4306-AF2A-F396C58684ED}">
      <text>
        <r>
          <rPr>
            <sz val="9"/>
            <color indexed="81"/>
            <rFont val="Segoe UI"/>
            <family val="2"/>
          </rPr>
          <t>Saldo devedor correspondente ao total parcelado. A taxa de administração antecipada não compõe este total, por ser paga de forma independente.</t>
        </r>
      </text>
    </comment>
    <comment ref="R6" authorId="0" shapeId="0" xr:uid="{C2BFF04B-D127-428A-A3D9-E16E5DD43C29}">
      <text>
        <r>
          <rPr>
            <sz val="9"/>
            <color indexed="81"/>
            <rFont val="Segoe UI"/>
            <family val="2"/>
          </rPr>
          <t>Valor do crédito no momento da contemplação, trazido a valor presente pela equivalência ao mês da taxa escolhida para o reajuste, deduziddo dos custos indiretos imediatos.</t>
        </r>
      </text>
    </comment>
  </commentList>
</comments>
</file>

<file path=xl/sharedStrings.xml><?xml version="1.0" encoding="utf-8"?>
<sst xmlns="http://schemas.openxmlformats.org/spreadsheetml/2006/main" count="121" uniqueCount="95">
  <si>
    <t>TX. ANTEC.</t>
  </si>
  <si>
    <t>VLR. TX. ADM. ANTEC.</t>
  </si>
  <si>
    <t>VALOR DO CRÉDITO:</t>
  </si>
  <si>
    <t>TAXA DE ADMINISTRAÇÃO ANTECIPADA:</t>
  </si>
  <si>
    <t>TAXA DE ADMINISTRAÇÃO RESTANTE:</t>
  </si>
  <si>
    <t>TAXA DO FUNDO DE RESERVA:</t>
  </si>
  <si>
    <t>LANCE PRÉ CONTRATADO:</t>
  </si>
  <si>
    <t>VALOR PARA PARCELAMENTO:</t>
  </si>
  <si>
    <t>TAXA DE ADM. + FUNDO RESERVA:</t>
  </si>
  <si>
    <t>T U T O R I A L</t>
  </si>
  <si>
    <t>GERAL</t>
  </si>
  <si>
    <t>.</t>
  </si>
  <si>
    <t>CÁLCULO</t>
  </si>
  <si>
    <t>PRESTAÇÃO</t>
  </si>
  <si>
    <t>QUANTIDADE DE PARCELAS:</t>
  </si>
  <si>
    <t>CUSTO TOTAL DA OPERAÇÃO:</t>
  </si>
  <si>
    <t>TAXA DE ADMINISTRAÇÃO, EM %:</t>
  </si>
  <si>
    <t>TAXA DE ADMINISTRAÇÃO ANTECIPADA, EM %:</t>
  </si>
  <si>
    <t>TAXA DO FUNDO DE RESERVA, EM %:</t>
  </si>
  <si>
    <t>Pousando o mouse sobre alguns campos da aba "CÁLCULO" você obterá informações sobre os mesmos.</t>
  </si>
  <si>
    <t>REAJUSTE</t>
  </si>
  <si>
    <t>%</t>
  </si>
  <si>
    <t>SALDO DEVEDOR</t>
  </si>
  <si>
    <t>PLANO COM LANCE MÍNIMO EMBUTIDO</t>
  </si>
  <si>
    <t>CUSTOS INDIRETOS DA OPERAÇÃO</t>
  </si>
  <si>
    <t>Seguro de Vida</t>
  </si>
  <si>
    <t>Escritura e Registro do Imóvel</t>
  </si>
  <si>
    <t>R$</t>
  </si>
  <si>
    <t>SEGURO DE VIDA</t>
  </si>
  <si>
    <t>PARCELA</t>
  </si>
  <si>
    <t>Desp. c/Avaliação do Bem Pretendido</t>
  </si>
  <si>
    <t>VALOR DA PARCELA =&gt;</t>
  </si>
  <si>
    <t>DESCRIÇÃO</t>
  </si>
  <si>
    <t>TIPO</t>
  </si>
  <si>
    <t>VALOR</t>
  </si>
  <si>
    <t>FLUXO FINANCEIRO COM REAJUSTE ANUAL</t>
  </si>
  <si>
    <t>VLR. CARTA DE CRÉDITO</t>
  </si>
  <si>
    <t>TIR:</t>
  </si>
  <si>
    <t>MENSAL =&gt;</t>
  </si>
  <si>
    <t>ANUAL =&gt;</t>
  </si>
  <si>
    <t>Pagamento de Ágio</t>
  </si>
  <si>
    <t>Há dois tipos de cálculos previstos nesta planilha: 1) PLANO NORMAL e 2) PLANO COM LANCE MÍNIMO EMBUTIDO;</t>
  </si>
  <si>
    <t>PAINEL</t>
  </si>
  <si>
    <t>Na primeira opção (PLANO NORMAL), o consorciado fica livre para ofertar ou não qualquer percentual de lance e abater o valor desse lance do saldo devedor, passando assim a pagar uma prestação menor desde então;</t>
  </si>
  <si>
    <t>É nessa aba que você poderá observar a alteração do valor do saldo devedor e da parcela, em razão de eventual oferta de lance, assim como o valor do crédito em cada um dos meses do plano;</t>
  </si>
  <si>
    <t>Importante observar que o valor relativo ao fundo de reserva está sendo considerado 100% como custo nesta nossa análise; no entanto, ele pode ser devolvido ao consorciado, total ou parcialmente, no encerramento do Grupo.</t>
  </si>
  <si>
    <t>DESEMBOLSO</t>
  </si>
  <si>
    <t>%
REAJ.</t>
  </si>
  <si>
    <t>COMPOSIÇÃO DAS PARCELAS (SEM EFEITO DOS REAJUSTES ANUAIS)</t>
  </si>
  <si>
    <t>SALDO DEVEDOR PARC.</t>
  </si>
  <si>
    <t>Nº PARCELAS DA TAXA DE ADMINISTRAÇÃO ANTECIPADA:</t>
  </si>
  <si>
    <t>VALOR-BASE DA OPERAÇÃO:</t>
  </si>
  <si>
    <t>PLANO NORMAL DE CONSÓRCIO</t>
  </si>
  <si>
    <t>MOMENTO:</t>
  </si>
  <si>
    <t>SALDO DEVEDOR:</t>
  </si>
  <si>
    <t>RESULTADO DA ANÁLISE</t>
  </si>
  <si>
    <t>DADOS DA CONTEMPLAÇÃO:</t>
  </si>
  <si>
    <t>EQUIVALENTE ANUAL:</t>
  </si>
  <si>
    <t>ÍNDICE ANUAL:</t>
  </si>
  <si>
    <t>EQUIVALENTE MENSAL:</t>
  </si>
  <si>
    <t>Taxa Adm.</t>
  </si>
  <si>
    <t>Fundo Reserva</t>
  </si>
  <si>
    <t>Custos Indiretos</t>
  </si>
  <si>
    <t>Seguro</t>
  </si>
  <si>
    <t>TAXA ADM.</t>
  </si>
  <si>
    <t>FUNDO RESERVA</t>
  </si>
  <si>
    <t>SEGURO</t>
  </si>
  <si>
    <t>CUSTOS IND.</t>
  </si>
  <si>
    <t>TOTAL</t>
  </si>
  <si>
    <t>CUSTOS DA OPERAÇÃO COM REAJUSTE ANUAL</t>
  </si>
  <si>
    <t>VALOR PRESENTE DOS CUSTOS DA OPERAÇÃO</t>
  </si>
  <si>
    <t>Crédito</t>
  </si>
  <si>
    <t>VALOR PRESENTE DA CARTA DE CRÉDITO =&gt;</t>
  </si>
  <si>
    <t>DADOS OBJETIVOS DA OPERAÇÃO</t>
  </si>
  <si>
    <t>Custos</t>
  </si>
  <si>
    <t>MOMENTO</t>
  </si>
  <si>
    <t>MOMENTO DO 1º REAJUSTE:</t>
  </si>
  <si>
    <t>REAJUSTE DO BEM
E DAS PARCELAS:</t>
  </si>
  <si>
    <t>TAXA PARA VALOR PRESENTE (TVP):</t>
  </si>
  <si>
    <t>TVP MENSAL:</t>
  </si>
  <si>
    <t>PREMISSAS CONDICIONANTES</t>
  </si>
  <si>
    <t>FLUXO DE CAIXA
DESCONTADO</t>
  </si>
  <si>
    <t>DADOS DA OPERAÇÃO DE CONSÓRCIO</t>
  </si>
  <si>
    <t>Os campos de preenchimento estão marcados em azul degradê;</t>
  </si>
  <si>
    <t>Na segunda opção (PLANO COM LANCE MÍNIMO EMBUTIDO), o contrato firmado com o consorciado já fixa um lance mínimo, podendo ser alterado pelo usuário. Nesse modelo, o percentual de lance previamente definido já é deduzido da carta de crédito desde o princípio, ou seja, o valor da primeira e demais prestações é menor devido ao desconto do lance desde a origem;</t>
  </si>
  <si>
    <t>VPL DO FLUXO DE CAIXA =&gt;</t>
  </si>
  <si>
    <t>o 'VALOR PRESENTE DA CARTA DE CRÉDITO' corresponde ao valor do crédito no momento da contemplação, trazido a valor presente pela TVP mensal;</t>
  </si>
  <si>
    <t>Para o cálculo do valor presente será utilizada a taxa que for informada no campo 'TVP MENSAL';</t>
  </si>
  <si>
    <t>Caso a opção escolhida seja a do PLANO COM LANCE MÍNIMO EMBUTIDO e o campo '% DE LANCE' esteja preenchido com percentual maior que o do lance mínimo (LANCE PRÉ CONTRATADO (EMBUTIDO)), a diferença será lançada como Lance Adicional;</t>
  </si>
  <si>
    <t>Ao informar o momento da contemplação e deixando vazio o campo '% DE LANCE', você estará indicando que foi contemplado por sorteio e não por lance. Por outro lado, ao preenchê-lo com um percentual, estará indicando que a contemplação foi por lance e não por sorteio;</t>
  </si>
  <si>
    <t>Para o cálculo do 'CUSTO EFETIVO DA OPERAÇÃO' utilizamos a Função TIR do Excel. E para que não ocorra erro no resultado, alocamos o valor do crédito ao momento zero do fluxo financeiro, trazendo-o ao valor presente pela TVP Mensal, subtraído dos custos indiretos;</t>
  </si>
  <si>
    <t>No campo 'VALOR DA PARCELA' você digita o número de uma das parcelas e saberá o seu valor atualizado até aquele momento;</t>
  </si>
  <si>
    <t>Na aba 'CÁLCULO' você verá o fluxo financeiro da operação sem o efeito do reajuste anual e o mesmo fluxo com os valores reajustados. Também verá esse fluxo trazido a valor presente pela TVP mensal, bem como a forma de cálculo da TIR e a lógica aplicada em todas as etapas do processo;</t>
  </si>
  <si>
    <t>Os gráficos não estão protegidos, permitindo ajustes na exibição de seus dados e na formatação.</t>
  </si>
  <si>
    <t>% DE LANCE: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</si>
</sst>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R$&quot;* #,##0.00_-;\-&quot;R$&quot;* #,##0.00_-;_-&quot;R$&quot;* &quot;-&quot;??_-;_-@_-"/>
    <numFmt numFmtId="43" formatCode="_-* #,##0.00_-;\-* #,##0.00_-;_-* &quot;-&quot;??_-;_-@_-"/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0&quot; meses&quot;"/>
    <numFmt numFmtId="167" formatCode="0&quot;º mês&quot;"/>
    <numFmt numFmtId="168" formatCode="0.0%"/>
    <numFmt numFmtId="169" formatCode="0.0000%"/>
    <numFmt numFmtId="170" formatCode="_(* #,##0.000_);_(* \(#,##0.000\);_(* &quot;-&quot;??_);_(@_)"/>
    <numFmt numFmtId="171" formatCode="_-[$R$-416]\ * #,##0.00_-;\-[$R$-416]\ * #,##0.00_-;_-[$R$-416]\ * &quot;-&quot;??_-;_-@_-"/>
    <numFmt numFmtId="172" formatCode="&quot;Nº &quot;General"/>
    <numFmt numFmtId="173" formatCode="[$R$-416]\ #,##0.00;[Red]\-[$R$-416]\ #,##0.00"/>
    <numFmt numFmtId="174" formatCode="0.000%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u val="doubleAccounting"/>
      <sz val="16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indexed="81"/>
      <name val="Calibri"/>
      <family val="2"/>
      <scheme val="minor"/>
    </font>
    <font>
      <u/>
      <sz val="11"/>
      <color indexed="81"/>
      <name val="Calibri"/>
      <family val="2"/>
      <scheme val="minor"/>
    </font>
    <font>
      <sz val="8"/>
      <color rgb="FF000000"/>
      <name val="Segoe UI"/>
      <family val="2"/>
    </font>
    <font>
      <b/>
      <sz val="20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u/>
      <sz val="11"/>
      <color indexed="8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color theme="3" tint="-0.499984740745262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b/>
      <sz val="12"/>
      <color theme="3" tint="-0.499984740745262"/>
      <name val="Calibri"/>
      <family val="2"/>
      <scheme val="minor"/>
    </font>
    <font>
      <sz val="12"/>
      <color theme="3" tint="-0.499984740745262"/>
      <name val="Calibri"/>
      <family val="2"/>
      <scheme val="minor"/>
    </font>
    <font>
      <b/>
      <sz val="7"/>
      <color theme="3" tint="-0.499984740745262"/>
      <name val="Calibri"/>
      <family val="2"/>
      <scheme val="minor"/>
    </font>
    <font>
      <b/>
      <sz val="16"/>
      <color theme="3" tint="-0.499984740745262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gradientFill degree="90">
        <stop position="0">
          <color theme="4" tint="0.40000610370189521"/>
        </stop>
        <stop position="0.5">
          <color theme="0"/>
        </stop>
        <stop position="1">
          <color theme="4" tint="0.40000610370189521"/>
        </stop>
      </gradientFill>
    </fill>
    <fill>
      <gradientFill degree="270">
        <stop position="0">
          <color theme="0"/>
        </stop>
        <stop position="1">
          <color theme="4" tint="0.40000610370189521"/>
        </stop>
      </gradientFill>
    </fill>
    <fill>
      <patternFill patternType="solid">
        <fgColor theme="4" tint="0.59999389629810485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5" tint="0.40000610370189521"/>
        </stop>
      </gradient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180">
        <stop position="0">
          <color theme="0"/>
        </stop>
        <stop position="1">
          <color theme="4" tint="0.40000610370189521"/>
        </stop>
      </gradient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auto="1"/>
      </patternFill>
    </fill>
    <fill>
      <gradientFill degree="90">
        <stop position="0">
          <color theme="4" tint="0.39997558519241921"/>
        </stop>
        <stop position="0.5">
          <color theme="0"/>
        </stop>
        <stop position="1">
          <color theme="4" tint="0.39997558519241921"/>
        </stop>
      </gradientFill>
    </fill>
  </fills>
  <borders count="8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24994659260841701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24994659260841701"/>
      </right>
      <top/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24994659260841701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theme="4" tint="-0.24994659260841701"/>
      </left>
      <right/>
      <top style="medium">
        <color theme="4" tint="-0.24994659260841701"/>
      </top>
      <bottom/>
      <diagonal/>
    </border>
    <border>
      <left/>
      <right/>
      <top style="medium">
        <color theme="4" tint="-0.24994659260841701"/>
      </top>
      <bottom/>
      <diagonal/>
    </border>
    <border>
      <left/>
      <right style="medium">
        <color theme="4" tint="-0.24994659260841701"/>
      </right>
      <top style="medium">
        <color theme="4" tint="-0.24994659260841701"/>
      </top>
      <bottom/>
      <diagonal/>
    </border>
    <border>
      <left style="medium">
        <color theme="4" tint="-0.24994659260841701"/>
      </left>
      <right/>
      <top/>
      <bottom/>
      <diagonal/>
    </border>
    <border>
      <left/>
      <right style="medium">
        <color theme="4" tint="-0.24994659260841701"/>
      </right>
      <top/>
      <bottom/>
      <diagonal/>
    </border>
    <border>
      <left style="medium">
        <color theme="4" tint="-0.24994659260841701"/>
      </left>
      <right/>
      <top/>
      <bottom style="medium">
        <color theme="4" tint="-0.24994659260841701"/>
      </bottom>
      <diagonal/>
    </border>
    <border>
      <left/>
      <right/>
      <top/>
      <bottom style="medium">
        <color theme="4" tint="-0.24994659260841701"/>
      </bottom>
      <diagonal/>
    </border>
    <border>
      <left/>
      <right style="medium">
        <color theme="4" tint="-0.24994659260841701"/>
      </right>
      <top/>
      <bottom style="medium">
        <color theme="4" tint="-0.24994659260841701"/>
      </bottom>
      <diagonal/>
    </border>
    <border>
      <left style="medium">
        <color theme="3" tint="-0.24994659260841701"/>
      </left>
      <right style="thin">
        <color theme="3" tint="-0.24994659260841701"/>
      </right>
      <top style="medium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medium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medium">
        <color theme="3" tint="-0.24994659260841701"/>
      </right>
      <top style="medium">
        <color theme="3" tint="-0.24994659260841701"/>
      </top>
      <bottom style="thin">
        <color theme="3" tint="-0.24994659260841701"/>
      </bottom>
      <diagonal/>
    </border>
    <border>
      <left style="medium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medium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medium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thin">
        <color theme="3" tint="-0.24994659260841701"/>
      </left>
      <right style="medium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/>
      <top/>
      <bottom style="thick">
        <color indexed="64"/>
      </bottom>
      <diagonal/>
    </border>
    <border>
      <left style="thick">
        <color theme="0"/>
      </left>
      <right style="thin">
        <color indexed="64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medium">
        <color theme="3" tint="-0.499984740745262"/>
      </top>
      <bottom style="thick">
        <color theme="0"/>
      </bottom>
      <diagonal/>
    </border>
    <border>
      <left style="medium">
        <color theme="3" tint="-0.499984740745262"/>
      </left>
      <right style="thin">
        <color theme="3" tint="-0.499984740745262"/>
      </right>
      <top style="medium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 style="thin">
        <color theme="3" tint="-0.499984740745262"/>
      </right>
      <top style="medium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 style="medium">
        <color theme="3" tint="-0.499984740745262"/>
      </right>
      <top style="medium">
        <color theme="3" tint="-0.499984740745262"/>
      </top>
      <bottom style="thin">
        <color theme="3" tint="-0.499984740745262"/>
      </bottom>
      <diagonal/>
    </border>
    <border>
      <left style="medium">
        <color theme="3" tint="-0.499984740745262"/>
      </left>
      <right style="thin">
        <color theme="3" tint="-0.499984740745262"/>
      </right>
      <top style="thin">
        <color theme="3" tint="-0.499984740745262"/>
      </top>
      <bottom style="medium">
        <color theme="3" tint="-0.499984740745262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 style="medium">
        <color theme="3" tint="-0.499984740745262"/>
      </bottom>
      <diagonal/>
    </border>
    <border>
      <left style="thin">
        <color theme="3" tint="-0.499984740745262"/>
      </left>
      <right style="medium">
        <color theme="3" tint="-0.499984740745262"/>
      </right>
      <top style="thin">
        <color theme="3" tint="-0.499984740745262"/>
      </top>
      <bottom style="medium">
        <color theme="3" tint="-0.499984740745262"/>
      </bottom>
      <diagonal/>
    </border>
    <border>
      <left style="medium">
        <color theme="3" tint="-0.499984740745262"/>
      </left>
      <right style="thin">
        <color theme="3" tint="-0.499984740745262"/>
      </right>
      <top style="thin">
        <color theme="3" tint="-0.499984740745262"/>
      </top>
      <bottom/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/>
      <diagonal/>
    </border>
    <border>
      <left style="thin">
        <color theme="3" tint="-0.499984740745262"/>
      </left>
      <right style="medium">
        <color theme="3" tint="-0.499984740745262"/>
      </right>
      <top style="thin">
        <color theme="3" tint="-0.499984740745262"/>
      </top>
      <bottom/>
      <diagonal/>
    </border>
    <border>
      <left style="medium">
        <color theme="3" tint="-0.499984740745262"/>
      </left>
      <right style="thin">
        <color theme="3" tint="-0.499984740745262"/>
      </right>
      <top/>
      <bottom style="thin">
        <color theme="3" tint="-0.499984740745262"/>
      </bottom>
      <diagonal/>
    </border>
    <border>
      <left style="thin">
        <color theme="3" tint="-0.499984740745262"/>
      </left>
      <right style="thin">
        <color theme="3" tint="-0.499984740745262"/>
      </right>
      <top/>
      <bottom style="thin">
        <color theme="3" tint="-0.499984740745262"/>
      </bottom>
      <diagonal/>
    </border>
    <border>
      <left style="thin">
        <color theme="3" tint="-0.499984740745262"/>
      </left>
      <right style="medium">
        <color theme="3" tint="-0.499984740745262"/>
      </right>
      <top/>
      <bottom style="thin">
        <color theme="3" tint="-0.499984740745262"/>
      </bottom>
      <diagonal/>
    </border>
    <border>
      <left style="medium">
        <color theme="3" tint="-0.499984740745262"/>
      </left>
      <right style="thin">
        <color theme="3" tint="-0.499984740745262"/>
      </right>
      <top style="medium">
        <color theme="3" tint="-0.499984740745262"/>
      </top>
      <bottom style="medium">
        <color theme="3" tint="-0.499984740745262"/>
      </bottom>
      <diagonal/>
    </border>
    <border>
      <left style="thin">
        <color theme="3" tint="-0.499984740745262"/>
      </left>
      <right style="thin">
        <color theme="3" tint="-0.499984740745262"/>
      </right>
      <top style="medium">
        <color theme="3" tint="-0.499984740745262"/>
      </top>
      <bottom style="medium">
        <color theme="3" tint="-0.499984740745262"/>
      </bottom>
      <diagonal/>
    </border>
    <border>
      <left style="thin">
        <color theme="3" tint="-0.499984740745262"/>
      </left>
      <right style="medium">
        <color theme="3" tint="-0.499984740745262"/>
      </right>
      <top style="medium">
        <color theme="3" tint="-0.499984740745262"/>
      </top>
      <bottom style="medium">
        <color theme="3" tint="-0.499984740745262"/>
      </bottom>
      <diagonal/>
    </border>
    <border>
      <left/>
      <right/>
      <top style="medium">
        <color theme="3" tint="-0.24994659260841701"/>
      </top>
      <bottom style="medium">
        <color theme="4" tint="-0.499984740745262"/>
      </bottom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312">
    <xf numFmtId="0" fontId="0" fillId="0" borderId="0" xfId="0"/>
    <xf numFmtId="0" fontId="0" fillId="0" borderId="0" xfId="0" applyAlignment="1" applyProtection="1">
      <alignment vertical="center"/>
    </xf>
    <xf numFmtId="0" fontId="0" fillId="0" borderId="9" xfId="0" applyBorder="1" applyAlignment="1" applyProtection="1">
      <alignment horizontal="right" vertical="center"/>
    </xf>
    <xf numFmtId="0" fontId="0" fillId="0" borderId="9" xfId="0" applyBorder="1" applyAlignment="1" applyProtection="1">
      <alignment horizontal="left" vertical="center" wrapText="1"/>
    </xf>
    <xf numFmtId="0" fontId="0" fillId="0" borderId="10" xfId="0" applyBorder="1" applyAlignment="1" applyProtection="1">
      <alignment horizontal="left" vertical="center" wrapText="1"/>
    </xf>
    <xf numFmtId="0" fontId="0" fillId="0" borderId="0" xfId="0" applyAlignment="1" applyProtection="1">
      <alignment horizontal="right" vertical="center"/>
    </xf>
    <xf numFmtId="0" fontId="0" fillId="0" borderId="0" xfId="0" applyAlignment="1" applyProtection="1">
      <alignment vertical="center" wrapText="1"/>
    </xf>
    <xf numFmtId="165" fontId="1" fillId="0" borderId="0" xfId="1" applyFont="1" applyAlignment="1" applyProtection="1">
      <alignment vertical="center"/>
    </xf>
    <xf numFmtId="0" fontId="0" fillId="0" borderId="10" xfId="0" applyBorder="1" applyAlignment="1" applyProtection="1">
      <alignment horizontal="right" vertical="top"/>
    </xf>
    <xf numFmtId="0" fontId="0" fillId="0" borderId="9" xfId="0" applyBorder="1" applyAlignment="1" applyProtection="1">
      <alignment horizontal="right" vertical="top"/>
    </xf>
    <xf numFmtId="0" fontId="1" fillId="0" borderId="6" xfId="1" applyNumberFormat="1" applyFont="1" applyBorder="1" applyAlignment="1" applyProtection="1">
      <alignment horizontal="center" vertical="center" wrapText="1"/>
    </xf>
    <xf numFmtId="165" fontId="1" fillId="0" borderId="6" xfId="1" applyFont="1" applyBorder="1" applyAlignment="1" applyProtection="1">
      <alignment horizontal="center" vertical="center" wrapText="1"/>
    </xf>
    <xf numFmtId="0" fontId="1" fillId="0" borderId="0" xfId="1" applyNumberFormat="1" applyFont="1" applyBorder="1" applyAlignment="1" applyProtection="1">
      <alignment horizontal="center" vertical="center" wrapText="1"/>
    </xf>
    <xf numFmtId="165" fontId="1" fillId="0" borderId="0" xfId="1" applyFont="1" applyBorder="1" applyAlignment="1" applyProtection="1">
      <alignment horizontal="center" vertical="center" wrapText="1"/>
    </xf>
    <xf numFmtId="165" fontId="1" fillId="0" borderId="0" xfId="1" applyFont="1" applyBorder="1" applyAlignment="1" applyProtection="1">
      <alignment vertical="center" wrapText="1"/>
    </xf>
    <xf numFmtId="0" fontId="0" fillId="0" borderId="9" xfId="0" applyBorder="1" applyAlignment="1" applyProtection="1">
      <alignment horizontal="left" vertical="top" wrapText="1"/>
    </xf>
    <xf numFmtId="0" fontId="0" fillId="0" borderId="10" xfId="0" applyBorder="1" applyAlignment="1" applyProtection="1">
      <alignment horizontal="left" vertical="top" wrapText="1"/>
    </xf>
    <xf numFmtId="0" fontId="5" fillId="0" borderId="0" xfId="1" applyNumberFormat="1" applyFont="1" applyAlignment="1" applyProtection="1">
      <alignment horizontal="center" vertical="center"/>
    </xf>
    <xf numFmtId="9" fontId="1" fillId="0" borderId="0" xfId="2" applyFont="1" applyAlignment="1" applyProtection="1">
      <alignment vertical="center"/>
    </xf>
    <xf numFmtId="0" fontId="1" fillId="0" borderId="0" xfId="1" applyNumberFormat="1" applyFont="1" applyAlignment="1" applyProtection="1">
      <alignment horizontal="center" vertical="center" wrapText="1"/>
    </xf>
    <xf numFmtId="165" fontId="1" fillId="0" borderId="0" xfId="1" applyFont="1" applyAlignment="1" applyProtection="1">
      <alignment vertical="center" wrapText="1"/>
    </xf>
    <xf numFmtId="0" fontId="0" fillId="0" borderId="0" xfId="1" applyNumberFormat="1" applyFont="1" applyAlignment="1" applyProtection="1">
      <alignment horizontal="center" vertical="center"/>
    </xf>
    <xf numFmtId="165" fontId="5" fillId="0" borderId="0" xfId="1" applyFont="1" applyAlignment="1" applyProtection="1">
      <alignment vertical="center"/>
    </xf>
    <xf numFmtId="10" fontId="3" fillId="0" borderId="0" xfId="2" applyNumberFormat="1" applyFont="1" applyBorder="1" applyAlignment="1" applyProtection="1">
      <alignment horizontal="center" vertical="center" wrapText="1"/>
    </xf>
    <xf numFmtId="0" fontId="0" fillId="0" borderId="2" xfId="1" applyNumberFormat="1" applyFont="1" applyBorder="1" applyAlignment="1" applyProtection="1">
      <alignment horizontal="center" vertical="center"/>
    </xf>
    <xf numFmtId="0" fontId="1" fillId="0" borderId="2" xfId="1" applyNumberFormat="1" applyFont="1" applyBorder="1" applyAlignment="1" applyProtection="1">
      <alignment horizontal="center" vertical="center"/>
    </xf>
    <xf numFmtId="10" fontId="1" fillId="0" borderId="2" xfId="2" applyNumberFormat="1" applyFont="1" applyBorder="1" applyAlignment="1" applyProtection="1">
      <alignment vertical="center"/>
    </xf>
    <xf numFmtId="43" fontId="0" fillId="0" borderId="0" xfId="1" applyNumberFormat="1" applyFont="1" applyAlignment="1" applyProtection="1">
      <alignment horizontal="center" vertical="center"/>
    </xf>
    <xf numFmtId="165" fontId="0" fillId="0" borderId="0" xfId="1" applyFont="1" applyAlignment="1" applyProtection="1">
      <alignment horizontal="center" vertical="center"/>
    </xf>
    <xf numFmtId="170" fontId="1" fillId="0" borderId="0" xfId="1" applyNumberFormat="1" applyFont="1" applyAlignment="1" applyProtection="1">
      <alignment vertical="center"/>
    </xf>
    <xf numFmtId="165" fontId="10" fillId="0" borderId="0" xfId="1" applyFont="1" applyAlignment="1" applyProtection="1">
      <alignment vertical="center"/>
    </xf>
    <xf numFmtId="165" fontId="11" fillId="0" borderId="0" xfId="1" applyFont="1" applyAlignment="1" applyProtection="1">
      <alignment vertical="center" wrapText="1"/>
    </xf>
    <xf numFmtId="165" fontId="11" fillId="0" borderId="0" xfId="1" applyFont="1" applyBorder="1" applyAlignment="1" applyProtection="1">
      <alignment vertical="center" wrapText="1"/>
    </xf>
    <xf numFmtId="168" fontId="2" fillId="5" borderId="3" xfId="2" applyNumberFormat="1" applyFont="1" applyFill="1" applyBorder="1" applyAlignment="1" applyProtection="1">
      <alignment horizontal="center" vertical="center" wrapText="1"/>
    </xf>
    <xf numFmtId="165" fontId="2" fillId="5" borderId="2" xfId="1" applyFont="1" applyFill="1" applyBorder="1" applyAlignment="1" applyProtection="1">
      <alignment horizontal="center" vertical="center" wrapText="1"/>
    </xf>
    <xf numFmtId="165" fontId="2" fillId="5" borderId="2" xfId="1" applyFont="1" applyFill="1" applyBorder="1" applyAlignment="1" applyProtection="1">
      <alignment vertical="center" wrapText="1"/>
    </xf>
    <xf numFmtId="165" fontId="2" fillId="5" borderId="3" xfId="1" applyFont="1" applyFill="1" applyBorder="1" applyAlignment="1" applyProtection="1">
      <alignment horizontal="center" vertical="center" wrapText="1"/>
    </xf>
    <xf numFmtId="0" fontId="11" fillId="0" borderId="0" xfId="1" applyNumberFormat="1" applyFont="1" applyAlignment="1" applyProtection="1">
      <alignment horizontal="right" vertical="center"/>
    </xf>
    <xf numFmtId="165" fontId="11" fillId="0" borderId="0" xfId="1" applyFont="1" applyAlignment="1" applyProtection="1">
      <alignment horizontal="right" vertical="center"/>
    </xf>
    <xf numFmtId="165" fontId="2" fillId="5" borderId="11" xfId="1" applyFont="1" applyFill="1" applyBorder="1" applyAlignment="1" applyProtection="1">
      <alignment horizontal="center" vertical="center" wrapText="1"/>
    </xf>
    <xf numFmtId="165" fontId="1" fillId="0" borderId="0" xfId="1" applyFont="1" applyFill="1" applyBorder="1" applyAlignment="1" applyProtection="1">
      <alignment vertical="center"/>
    </xf>
    <xf numFmtId="165" fontId="9" fillId="0" borderId="0" xfId="1" applyFont="1" applyFill="1" applyBorder="1" applyAlignment="1" applyProtection="1">
      <alignment vertical="center"/>
    </xf>
    <xf numFmtId="165" fontId="2" fillId="0" borderId="13" xfId="1" applyFont="1" applyFill="1" applyBorder="1" applyAlignment="1" applyProtection="1">
      <alignment horizontal="center" vertical="center" wrapText="1"/>
    </xf>
    <xf numFmtId="169" fontId="2" fillId="5" borderId="4" xfId="2" applyNumberFormat="1" applyFont="1" applyFill="1" applyBorder="1" applyAlignment="1" applyProtection="1">
      <alignment horizontal="center" vertical="center" wrapText="1"/>
    </xf>
    <xf numFmtId="165" fontId="0" fillId="0" borderId="0" xfId="1" applyFont="1" applyBorder="1" applyAlignment="1" applyProtection="1">
      <alignment horizontal="center" vertical="center"/>
    </xf>
    <xf numFmtId="165" fontId="11" fillId="0" borderId="0" xfId="1" applyFont="1" applyBorder="1" applyAlignment="1" applyProtection="1">
      <alignment vertical="center"/>
    </xf>
    <xf numFmtId="165" fontId="11" fillId="0" borderId="0" xfId="1" applyFont="1" applyAlignment="1" applyProtection="1">
      <alignment horizontal="right" vertical="center"/>
      <protection locked="0"/>
    </xf>
    <xf numFmtId="0" fontId="11" fillId="0" borderId="0" xfId="0" applyFont="1" applyAlignment="1" applyProtection="1">
      <alignment vertical="center"/>
    </xf>
    <xf numFmtId="44" fontId="0" fillId="0" borderId="0" xfId="0" applyNumberFormat="1" applyAlignment="1" applyProtection="1">
      <alignment vertical="center"/>
    </xf>
    <xf numFmtId="0" fontId="0" fillId="0" borderId="0" xfId="0" applyProtection="1"/>
    <xf numFmtId="10" fontId="1" fillId="0" borderId="0" xfId="2" applyNumberFormat="1" applyFont="1" applyAlignment="1" applyProtection="1">
      <alignment vertical="center"/>
    </xf>
    <xf numFmtId="10" fontId="0" fillId="0" borderId="0" xfId="2" applyNumberFormat="1" applyFont="1" applyAlignment="1" applyProtection="1">
      <alignment horizontal="center" vertical="center"/>
    </xf>
    <xf numFmtId="165" fontId="2" fillId="5" borderId="2" xfId="1" applyFont="1" applyFill="1" applyBorder="1" applyAlignment="1" applyProtection="1">
      <alignment horizontal="center" vertical="center" wrapText="1"/>
    </xf>
    <xf numFmtId="165" fontId="2" fillId="5" borderId="4" xfId="1" applyFont="1" applyFill="1" applyBorder="1" applyAlignment="1" applyProtection="1">
      <alignment vertical="center" wrapText="1"/>
    </xf>
    <xf numFmtId="0" fontId="2" fillId="0" borderId="0" xfId="1" applyNumberFormat="1" applyFont="1" applyAlignment="1" applyProtection="1">
      <alignment horizontal="center" vertical="center"/>
    </xf>
    <xf numFmtId="165" fontId="2" fillId="0" borderId="0" xfId="1" applyFont="1" applyAlignment="1" applyProtection="1">
      <alignment vertical="center"/>
    </xf>
    <xf numFmtId="165" fontId="5" fillId="0" borderId="0" xfId="1" applyFont="1" applyAlignment="1" applyProtection="1">
      <alignment horizontal="right" vertical="center"/>
    </xf>
    <xf numFmtId="165" fontId="11" fillId="0" borderId="0" xfId="1" applyFont="1" applyAlignment="1" applyProtection="1">
      <alignment vertical="center"/>
    </xf>
    <xf numFmtId="0" fontId="5" fillId="0" borderId="0" xfId="0" applyFont="1" applyAlignment="1" applyProtection="1">
      <alignment vertical="center"/>
    </xf>
    <xf numFmtId="165" fontId="9" fillId="0" borderId="0" xfId="1" applyFont="1" applyAlignment="1" applyProtection="1">
      <alignment vertical="center"/>
    </xf>
    <xf numFmtId="165" fontId="2" fillId="0" borderId="0" xfId="1" applyFont="1" applyFill="1" applyBorder="1" applyAlignment="1" applyProtection="1">
      <alignment vertical="center"/>
    </xf>
    <xf numFmtId="0" fontId="2" fillId="0" borderId="2" xfId="1" applyNumberFormat="1" applyFont="1" applyBorder="1" applyAlignment="1" applyProtection="1">
      <alignment horizontal="center" vertical="center"/>
    </xf>
    <xf numFmtId="10" fontId="2" fillId="0" borderId="2" xfId="2" applyNumberFormat="1" applyFont="1" applyBorder="1" applyAlignment="1" applyProtection="1">
      <alignment vertical="center"/>
    </xf>
    <xf numFmtId="0" fontId="2" fillId="0" borderId="0" xfId="0" applyFont="1" applyProtection="1"/>
    <xf numFmtId="0" fontId="2" fillId="8" borderId="2" xfId="1" applyNumberFormat="1" applyFont="1" applyFill="1" applyBorder="1" applyAlignment="1" applyProtection="1">
      <alignment horizontal="center" vertical="center" wrapText="1"/>
    </xf>
    <xf numFmtId="9" fontId="18" fillId="8" borderId="2" xfId="2" applyFont="1" applyFill="1" applyBorder="1" applyAlignment="1" applyProtection="1">
      <alignment horizontal="center" vertical="center" wrapText="1"/>
    </xf>
    <xf numFmtId="165" fontId="2" fillId="8" borderId="2" xfId="1" applyFont="1" applyFill="1" applyBorder="1" applyAlignment="1" applyProtection="1">
      <alignment horizontal="center" vertical="center" wrapText="1"/>
    </xf>
    <xf numFmtId="165" fontId="2" fillId="8" borderId="3" xfId="1" applyFont="1" applyFill="1" applyBorder="1" applyAlignment="1" applyProtection="1">
      <alignment horizontal="center" vertical="center" wrapText="1"/>
    </xf>
    <xf numFmtId="165" fontId="12" fillId="8" borderId="3" xfId="1" applyFont="1" applyFill="1" applyBorder="1" applyAlignment="1" applyProtection="1">
      <alignment vertical="center" wrapText="1"/>
    </xf>
    <xf numFmtId="165" fontId="2" fillId="8" borderId="2" xfId="1" applyFont="1" applyFill="1" applyBorder="1" applyAlignment="1" applyProtection="1">
      <alignment vertical="center" wrapText="1"/>
    </xf>
    <xf numFmtId="10" fontId="2" fillId="8" borderId="0" xfId="2" applyNumberFormat="1" applyFont="1" applyFill="1" applyAlignment="1" applyProtection="1">
      <alignment horizontal="center" vertical="center"/>
    </xf>
    <xf numFmtId="43" fontId="2" fillId="8" borderId="0" xfId="1" applyNumberFormat="1" applyFont="1" applyFill="1" applyAlignment="1" applyProtection="1">
      <alignment horizontal="center" vertical="center"/>
    </xf>
    <xf numFmtId="165" fontId="2" fillId="8" borderId="0" xfId="1" applyFont="1" applyFill="1" applyAlignment="1" applyProtection="1">
      <alignment vertical="center"/>
    </xf>
    <xf numFmtId="165" fontId="2" fillId="8" borderId="0" xfId="1" applyFont="1" applyFill="1" applyAlignment="1" applyProtection="1">
      <alignment horizontal="center" vertical="center"/>
    </xf>
    <xf numFmtId="0" fontId="10" fillId="0" borderId="0" xfId="0" applyFont="1" applyAlignment="1" applyProtection="1">
      <alignment vertical="center"/>
    </xf>
    <xf numFmtId="168" fontId="19" fillId="0" borderId="8" xfId="2" applyNumberFormat="1" applyFont="1" applyFill="1" applyBorder="1" applyAlignment="1" applyProtection="1">
      <alignment horizontal="center" vertical="center"/>
    </xf>
    <xf numFmtId="9" fontId="19" fillId="0" borderId="8" xfId="2" applyFont="1" applyBorder="1" applyAlignment="1" applyProtection="1">
      <alignment horizontal="center" vertical="center"/>
    </xf>
    <xf numFmtId="168" fontId="19" fillId="0" borderId="8" xfId="2" applyNumberFormat="1" applyFont="1" applyBorder="1" applyAlignment="1" applyProtection="1">
      <alignment horizontal="center" vertical="center"/>
    </xf>
    <xf numFmtId="168" fontId="19" fillId="0" borderId="21" xfId="2" applyNumberFormat="1" applyFont="1" applyBorder="1" applyAlignment="1" applyProtection="1">
      <alignment horizontal="center" vertical="center"/>
    </xf>
    <xf numFmtId="44" fontId="19" fillId="0" borderId="22" xfId="3" applyNumberFormat="1" applyFont="1" applyFill="1" applyBorder="1" applyAlignment="1" applyProtection="1">
      <alignment vertical="center"/>
    </xf>
    <xf numFmtId="168" fontId="19" fillId="0" borderId="26" xfId="2" applyNumberFormat="1" applyFont="1" applyFill="1" applyBorder="1" applyAlignment="1" applyProtection="1">
      <alignment horizontal="center" vertical="center"/>
    </xf>
    <xf numFmtId="44" fontId="19" fillId="0" borderId="27" xfId="3" applyNumberFormat="1" applyFont="1" applyBorder="1" applyAlignment="1" applyProtection="1">
      <alignment vertical="center"/>
    </xf>
    <xf numFmtId="44" fontId="19" fillId="0" borderId="29" xfId="3" applyNumberFormat="1" applyFont="1" applyBorder="1" applyAlignment="1" applyProtection="1">
      <alignment vertical="center"/>
    </xf>
    <xf numFmtId="44" fontId="19" fillId="0" borderId="30" xfId="1" applyNumberFormat="1" applyFont="1" applyBorder="1" applyAlignment="1" applyProtection="1">
      <alignment vertical="center"/>
    </xf>
    <xf numFmtId="9" fontId="19" fillId="0" borderId="26" xfId="2" applyFont="1" applyBorder="1" applyAlignment="1" applyProtection="1">
      <alignment vertical="center"/>
    </xf>
    <xf numFmtId="44" fontId="20" fillId="0" borderId="27" xfId="1" applyNumberFormat="1" applyFont="1" applyBorder="1" applyAlignment="1" applyProtection="1">
      <alignment vertical="center"/>
    </xf>
    <xf numFmtId="168" fontId="19" fillId="0" borderId="21" xfId="2" applyNumberFormat="1" applyFont="1" applyFill="1" applyBorder="1" applyAlignment="1" applyProtection="1">
      <alignment horizontal="center" vertical="center"/>
    </xf>
    <xf numFmtId="44" fontId="19" fillId="0" borderId="22" xfId="1" applyNumberFormat="1" applyFont="1" applyBorder="1" applyAlignment="1" applyProtection="1">
      <alignment vertical="center"/>
    </xf>
    <xf numFmtId="168" fontId="19" fillId="0" borderId="21" xfId="1" applyNumberFormat="1" applyFont="1" applyBorder="1" applyAlignment="1" applyProtection="1">
      <alignment horizontal="center" vertical="center"/>
    </xf>
    <xf numFmtId="44" fontId="20" fillId="0" borderId="29" xfId="1" applyNumberFormat="1" applyFont="1" applyBorder="1" applyAlignment="1" applyProtection="1">
      <alignment vertical="center"/>
    </xf>
    <xf numFmtId="168" fontId="19" fillId="0" borderId="26" xfId="2" applyNumberFormat="1" applyFont="1" applyBorder="1" applyAlignment="1" applyProtection="1">
      <alignment horizontal="center" vertical="center"/>
    </xf>
    <xf numFmtId="165" fontId="2" fillId="8" borderId="2" xfId="1" applyFont="1" applyFill="1" applyBorder="1" applyAlignment="1" applyProtection="1">
      <alignment vertical="center"/>
    </xf>
    <xf numFmtId="165" fontId="10" fillId="0" borderId="0" xfId="1" applyFont="1" applyAlignment="1" applyProtection="1">
      <alignment horizontal="right" vertical="center"/>
    </xf>
    <xf numFmtId="165" fontId="0" fillId="0" borderId="0" xfId="1" quotePrefix="1" applyFont="1" applyAlignment="1" applyProtection="1">
      <alignment vertical="center"/>
    </xf>
    <xf numFmtId="165" fontId="2" fillId="0" borderId="0" xfId="1" applyFont="1" applyAlignment="1" applyProtection="1">
      <alignment horizontal="center" vertical="center"/>
    </xf>
    <xf numFmtId="165" fontId="9" fillId="0" borderId="11" xfId="1" applyFont="1" applyFill="1" applyBorder="1" applyAlignment="1" applyProtection="1">
      <alignment horizontal="center" vertical="center" wrapText="1"/>
    </xf>
    <xf numFmtId="165" fontId="2" fillId="0" borderId="11" xfId="1" applyFont="1" applyFill="1" applyBorder="1" applyAlignment="1" applyProtection="1">
      <alignment horizontal="center" vertical="center" wrapText="1"/>
    </xf>
    <xf numFmtId="165" fontId="0" fillId="0" borderId="0" xfId="1" applyFont="1" applyFill="1" applyBorder="1" applyAlignment="1" applyProtection="1">
      <alignment horizontal="center" vertical="center"/>
    </xf>
    <xf numFmtId="165" fontId="2" fillId="0" borderId="0" xfId="1" applyFont="1" applyFill="1" applyBorder="1" applyAlignment="1" applyProtection="1">
      <alignment horizontal="center" vertical="center"/>
    </xf>
    <xf numFmtId="169" fontId="2" fillId="0" borderId="11" xfId="2" applyNumberFormat="1" applyFont="1" applyFill="1" applyBorder="1" applyAlignment="1" applyProtection="1">
      <alignment horizontal="center" vertical="center" wrapText="1"/>
    </xf>
    <xf numFmtId="0" fontId="5" fillId="0" borderId="51" xfId="1" applyNumberFormat="1" applyFont="1" applyBorder="1" applyAlignment="1" applyProtection="1">
      <alignment horizontal="center" vertical="center"/>
    </xf>
    <xf numFmtId="0" fontId="0" fillId="0" borderId="52" xfId="0" applyBorder="1" applyAlignment="1" applyProtection="1">
      <alignment vertical="center"/>
    </xf>
    <xf numFmtId="165" fontId="5" fillId="0" borderId="51" xfId="1" applyFont="1" applyBorder="1" applyAlignment="1" applyProtection="1">
      <alignment vertical="center"/>
    </xf>
    <xf numFmtId="165" fontId="5" fillId="0" borderId="51" xfId="1" applyFont="1" applyBorder="1" applyAlignment="1" applyProtection="1">
      <alignment vertical="center" wrapText="1"/>
    </xf>
    <xf numFmtId="165" fontId="11" fillId="0" borderId="53" xfId="1" applyFont="1" applyBorder="1" applyAlignment="1" applyProtection="1">
      <alignment vertical="center"/>
    </xf>
    <xf numFmtId="165" fontId="11" fillId="0" borderId="54" xfId="1" applyFont="1" applyBorder="1" applyAlignment="1" applyProtection="1">
      <alignment vertical="center"/>
    </xf>
    <xf numFmtId="9" fontId="1" fillId="0" borderId="54" xfId="2" applyFont="1" applyBorder="1" applyAlignment="1" applyProtection="1">
      <alignment vertical="center"/>
    </xf>
    <xf numFmtId="165" fontId="1" fillId="0" borderId="54" xfId="1" applyFont="1" applyBorder="1" applyAlignment="1" applyProtection="1">
      <alignment vertical="center"/>
    </xf>
    <xf numFmtId="0" fontId="0" fillId="0" borderId="55" xfId="0" applyBorder="1" applyAlignment="1" applyProtection="1">
      <alignment vertical="center"/>
    </xf>
    <xf numFmtId="164" fontId="27" fillId="3" borderId="65" xfId="3" applyFont="1" applyFill="1" applyBorder="1" applyAlignment="1" applyProtection="1">
      <alignment horizontal="center" vertical="center"/>
      <protection locked="0"/>
    </xf>
    <xf numFmtId="166" fontId="27" fillId="3" borderId="65" xfId="2" applyNumberFormat="1" applyFont="1" applyFill="1" applyBorder="1" applyAlignment="1" applyProtection="1">
      <alignment horizontal="center" vertical="center"/>
      <protection locked="0"/>
    </xf>
    <xf numFmtId="10" fontId="27" fillId="3" borderId="65" xfId="2" applyNumberFormat="1" applyFont="1" applyFill="1" applyBorder="1" applyAlignment="1" applyProtection="1">
      <alignment horizontal="center" vertical="center"/>
      <protection locked="0"/>
    </xf>
    <xf numFmtId="0" fontId="27" fillId="3" borderId="65" xfId="2" applyNumberFormat="1" applyFont="1" applyFill="1" applyBorder="1" applyAlignment="1" applyProtection="1">
      <alignment horizontal="center" vertical="center"/>
      <protection locked="0"/>
    </xf>
    <xf numFmtId="10" fontId="27" fillId="0" borderId="65" xfId="2" applyNumberFormat="1" applyFont="1" applyFill="1" applyBorder="1" applyAlignment="1" applyProtection="1">
      <alignment horizontal="center" vertical="center"/>
      <protection locked="0"/>
    </xf>
    <xf numFmtId="165" fontId="25" fillId="5" borderId="65" xfId="1" applyFont="1" applyFill="1" applyBorder="1" applyAlignment="1" applyProtection="1">
      <alignment horizontal="center" vertical="center"/>
    </xf>
    <xf numFmtId="165" fontId="26" fillId="0" borderId="65" xfId="1" applyFont="1" applyBorder="1" applyAlignment="1" applyProtection="1">
      <alignment horizontal="center" vertical="center"/>
    </xf>
    <xf numFmtId="169" fontId="26" fillId="3" borderId="65" xfId="2" applyNumberFormat="1" applyFont="1" applyFill="1" applyBorder="1" applyAlignment="1" applyProtection="1">
      <alignment horizontal="center" vertical="center"/>
      <protection locked="0"/>
    </xf>
    <xf numFmtId="165" fontId="26" fillId="3" borderId="65" xfId="1" applyFont="1" applyFill="1" applyBorder="1" applyAlignment="1" applyProtection="1">
      <alignment vertical="center"/>
      <protection locked="0"/>
    </xf>
    <xf numFmtId="0" fontId="1" fillId="0" borderId="0" xfId="1" applyNumberFormat="1" applyFont="1" applyBorder="1" applyAlignment="1" applyProtection="1">
      <alignment vertical="center"/>
      <protection locked="0"/>
    </xf>
    <xf numFmtId="0" fontId="1" fillId="0" borderId="0" xfId="1" applyNumberFormat="1" applyFont="1" applyBorder="1" applyAlignment="1" applyProtection="1">
      <alignment horizontal="right"/>
    </xf>
    <xf numFmtId="0" fontId="1" fillId="0" borderId="0" xfId="1" applyNumberFormat="1" applyFont="1" applyFill="1" applyBorder="1" applyAlignment="1" applyProtection="1">
      <alignment horizontal="center" vertical="center" wrapText="1"/>
    </xf>
    <xf numFmtId="0" fontId="2" fillId="0" borderId="11" xfId="1" applyNumberFormat="1" applyFont="1" applyFill="1" applyBorder="1" applyAlignment="1" applyProtection="1">
      <alignment horizontal="center" vertical="center" wrapText="1"/>
    </xf>
    <xf numFmtId="0" fontId="2" fillId="0" borderId="38" xfId="1" applyNumberFormat="1" applyFont="1" applyFill="1" applyBorder="1" applyAlignment="1" applyProtection="1">
      <alignment horizontal="center" vertical="center" wrapText="1"/>
    </xf>
    <xf numFmtId="0" fontId="1" fillId="0" borderId="38" xfId="1" applyNumberFormat="1" applyFont="1" applyFill="1" applyBorder="1" applyAlignment="1" applyProtection="1">
      <alignment horizontal="center" vertical="center" wrapText="1"/>
    </xf>
    <xf numFmtId="165" fontId="0" fillId="0" borderId="0" xfId="1" applyFont="1" applyAlignment="1" applyProtection="1">
      <alignment vertical="center"/>
    </xf>
    <xf numFmtId="165" fontId="25" fillId="8" borderId="75" xfId="1" applyFont="1" applyFill="1" applyBorder="1" applyAlignment="1" applyProtection="1">
      <alignment horizontal="right" vertical="center"/>
    </xf>
    <xf numFmtId="165" fontId="25" fillId="8" borderId="81" xfId="1" applyFont="1" applyFill="1" applyBorder="1" applyAlignment="1" applyProtection="1">
      <alignment horizontal="right" vertical="center"/>
    </xf>
    <xf numFmtId="172" fontId="27" fillId="11" borderId="68" xfId="2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 applyProtection="1">
      <alignment vertical="center"/>
    </xf>
    <xf numFmtId="165" fontId="5" fillId="0" borderId="0" xfId="1" applyFont="1" applyFill="1" applyAlignment="1" applyProtection="1">
      <alignment vertical="center"/>
    </xf>
    <xf numFmtId="165" fontId="32" fillId="0" borderId="0" xfId="1" applyFont="1" applyFill="1" applyAlignment="1" applyProtection="1">
      <alignment vertical="center"/>
    </xf>
    <xf numFmtId="165" fontId="5" fillId="0" borderId="0" xfId="1" applyFont="1" applyFill="1" applyAlignment="1" applyProtection="1">
      <alignment horizontal="right" vertical="center"/>
    </xf>
    <xf numFmtId="10" fontId="5" fillId="0" borderId="0" xfId="2" applyNumberFormat="1" applyFont="1" applyFill="1" applyAlignment="1" applyProtection="1">
      <alignment vertical="center"/>
    </xf>
    <xf numFmtId="0" fontId="32" fillId="0" borderId="0" xfId="1" applyNumberFormat="1" applyFont="1" applyFill="1" applyAlignment="1" applyProtection="1">
      <alignment horizontal="center" vertical="center"/>
    </xf>
    <xf numFmtId="0" fontId="5" fillId="0" borderId="0" xfId="0" applyFont="1" applyFill="1" applyAlignment="1" applyProtection="1">
      <alignment horizontal="right" vertical="center"/>
    </xf>
    <xf numFmtId="44" fontId="5" fillId="0" borderId="0" xfId="0" applyNumberFormat="1" applyFont="1" applyFill="1" applyAlignment="1" applyProtection="1">
      <alignment vertical="center"/>
    </xf>
    <xf numFmtId="44" fontId="9" fillId="0" borderId="0" xfId="0" applyNumberFormat="1" applyFont="1" applyFill="1" applyAlignment="1" applyProtection="1">
      <alignment vertical="center"/>
    </xf>
    <xf numFmtId="165" fontId="11" fillId="0" borderId="0" xfId="1" applyFont="1" applyFill="1" applyAlignment="1" applyProtection="1">
      <alignment horizontal="right" vertical="center"/>
    </xf>
    <xf numFmtId="165" fontId="11" fillId="0" borderId="0" xfId="1" applyFont="1" applyFill="1" applyAlignment="1" applyProtection="1">
      <alignment vertical="center"/>
    </xf>
    <xf numFmtId="165" fontId="1" fillId="0" borderId="0" xfId="1" applyFont="1" applyFill="1" applyAlignment="1" applyProtection="1">
      <alignment vertical="center"/>
    </xf>
    <xf numFmtId="9" fontId="1" fillId="0" borderId="0" xfId="2" applyFont="1" applyFill="1" applyAlignment="1" applyProtection="1">
      <alignment vertical="center"/>
    </xf>
    <xf numFmtId="0" fontId="0" fillId="0" borderId="0" xfId="0" applyFill="1" applyAlignment="1" applyProtection="1">
      <alignment vertical="center"/>
    </xf>
    <xf numFmtId="9" fontId="0" fillId="0" borderId="0" xfId="2" applyFont="1" applyFill="1" applyAlignment="1" applyProtection="1">
      <alignment horizontal="right" vertical="center"/>
    </xf>
    <xf numFmtId="169" fontId="2" fillId="0" borderId="0" xfId="2" applyNumberFormat="1" applyFont="1" applyAlignment="1" applyProtection="1">
      <alignment horizontal="center" vertical="center"/>
    </xf>
    <xf numFmtId="165" fontId="1" fillId="0" borderId="0" xfId="1" applyFont="1" applyProtection="1"/>
    <xf numFmtId="0" fontId="0" fillId="0" borderId="0" xfId="0" applyFont="1" applyProtection="1"/>
    <xf numFmtId="169" fontId="1" fillId="0" borderId="0" xfId="2" applyNumberFormat="1" applyFont="1" applyFill="1" applyBorder="1" applyAlignment="1" applyProtection="1">
      <alignment horizontal="center" vertical="center"/>
    </xf>
    <xf numFmtId="168" fontId="0" fillId="0" borderId="0" xfId="1" applyNumberFormat="1" applyFont="1" applyFill="1" applyBorder="1" applyAlignment="1" applyProtection="1">
      <alignment horizontal="center" vertical="center"/>
    </xf>
    <xf numFmtId="169" fontId="0" fillId="0" borderId="0" xfId="1" applyNumberFormat="1" applyFont="1" applyFill="1" applyBorder="1" applyAlignment="1" applyProtection="1">
      <alignment horizontal="center" vertical="center"/>
    </xf>
    <xf numFmtId="0" fontId="2" fillId="0" borderId="0" xfId="1" applyNumberFormat="1" applyFont="1" applyFill="1" applyBorder="1" applyAlignment="1" applyProtection="1">
      <alignment horizontal="center" vertical="center"/>
    </xf>
    <xf numFmtId="10" fontId="2" fillId="0" borderId="0" xfId="2" applyNumberFormat="1" applyFont="1" applyFill="1" applyBorder="1" applyAlignment="1" applyProtection="1">
      <alignment vertical="center"/>
    </xf>
    <xf numFmtId="10" fontId="1" fillId="0" borderId="0" xfId="2" applyNumberFormat="1" applyFont="1" applyFill="1" applyBorder="1" applyAlignment="1" applyProtection="1">
      <alignment vertical="center"/>
    </xf>
    <xf numFmtId="0" fontId="11" fillId="0" borderId="0" xfId="1" applyNumberFormat="1" applyFont="1" applyAlignment="1" applyProtection="1">
      <alignment horizontal="right" vertical="center"/>
      <protection locked="0"/>
    </xf>
    <xf numFmtId="165" fontId="11" fillId="0" borderId="0" xfId="1" applyFont="1" applyBorder="1" applyAlignment="1" applyProtection="1">
      <alignment vertical="center"/>
      <protection locked="0"/>
    </xf>
    <xf numFmtId="165" fontId="10" fillId="0" borderId="0" xfId="1" applyFont="1" applyAlignment="1" applyProtection="1">
      <alignment horizontal="right" vertical="center"/>
      <protection locked="0"/>
    </xf>
    <xf numFmtId="165" fontId="5" fillId="0" borderId="0" xfId="1" applyFont="1" applyAlignment="1" applyProtection="1">
      <alignment horizontal="right" vertical="center"/>
      <protection locked="0"/>
    </xf>
    <xf numFmtId="165" fontId="5" fillId="0" borderId="0" xfId="1" applyFont="1" applyFill="1" applyAlignment="1" applyProtection="1">
      <alignment horizontal="right" vertical="center"/>
      <protection locked="0"/>
    </xf>
    <xf numFmtId="165" fontId="11" fillId="0" borderId="0" xfId="1" applyFont="1" applyFill="1" applyAlignment="1" applyProtection="1">
      <alignment horizontal="right" vertical="center"/>
      <protection locked="0"/>
    </xf>
    <xf numFmtId="174" fontId="11" fillId="0" borderId="0" xfId="2" applyNumberFormat="1" applyFont="1" applyAlignment="1" applyProtection="1">
      <alignment horizontal="right" vertical="center"/>
      <protection locked="0"/>
    </xf>
    <xf numFmtId="10" fontId="11" fillId="0" borderId="0" xfId="1" applyNumberFormat="1" applyFont="1" applyAlignment="1" applyProtection="1">
      <alignment horizontal="right" vertical="center"/>
      <protection locked="0"/>
    </xf>
    <xf numFmtId="174" fontId="0" fillId="0" borderId="0" xfId="2" applyNumberFormat="1" applyFont="1" applyFill="1" applyAlignment="1" applyProtection="1">
      <alignment horizontal="center" vertical="center"/>
    </xf>
    <xf numFmtId="0" fontId="6" fillId="0" borderId="0" xfId="1" applyNumberFormat="1" applyFont="1" applyAlignment="1" applyProtection="1">
      <alignment horizontal="left" vertical="center"/>
    </xf>
    <xf numFmtId="0" fontId="7" fillId="0" borderId="0" xfId="1" applyNumberFormat="1" applyFont="1" applyBorder="1" applyAlignment="1" applyProtection="1">
      <alignment horizontal="left" vertical="center"/>
    </xf>
    <xf numFmtId="165" fontId="25" fillId="5" borderId="65" xfId="1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41" xfId="0" applyBorder="1" applyAlignment="1" applyProtection="1">
      <alignment horizontal="center" vertical="center"/>
    </xf>
    <xf numFmtId="0" fontId="5" fillId="7" borderId="66" xfId="0" applyFont="1" applyFill="1" applyBorder="1" applyAlignment="1" applyProtection="1">
      <alignment horizontal="center" vertical="center"/>
    </xf>
    <xf numFmtId="0" fontId="5" fillId="7" borderId="0" xfId="0" applyFont="1" applyFill="1" applyBorder="1" applyAlignment="1" applyProtection="1">
      <alignment horizontal="center" vertical="center"/>
    </xf>
    <xf numFmtId="165" fontId="25" fillId="0" borderId="71" xfId="1" applyFont="1" applyFill="1" applyBorder="1" applyAlignment="1" applyProtection="1">
      <alignment horizontal="center" vertical="center" wrapText="1"/>
    </xf>
    <xf numFmtId="165" fontId="25" fillId="0" borderId="72" xfId="1" applyFont="1" applyFill="1" applyBorder="1" applyAlignment="1" applyProtection="1">
      <alignment horizontal="center" vertical="center" wrapText="1"/>
    </xf>
    <xf numFmtId="165" fontId="25" fillId="0" borderId="77" xfId="1" applyFont="1" applyFill="1" applyBorder="1" applyAlignment="1" applyProtection="1">
      <alignment horizontal="center" vertical="center" wrapText="1"/>
    </xf>
    <xf numFmtId="165" fontId="25" fillId="0" borderId="78" xfId="1" applyFont="1" applyFill="1" applyBorder="1" applyAlignment="1" applyProtection="1">
      <alignment horizontal="center" vertical="center" wrapText="1"/>
    </xf>
    <xf numFmtId="165" fontId="25" fillId="0" borderId="78" xfId="1" applyFont="1" applyFill="1" applyBorder="1" applyAlignment="1" applyProtection="1">
      <alignment horizontal="right" vertical="center" shrinkToFit="1"/>
    </xf>
    <xf numFmtId="165" fontId="25" fillId="0" borderId="72" xfId="1" applyFont="1" applyFill="1" applyBorder="1" applyAlignment="1" applyProtection="1">
      <alignment horizontal="right" vertical="center" shrinkToFit="1"/>
    </xf>
    <xf numFmtId="165" fontId="25" fillId="0" borderId="57" xfId="1" applyFont="1" applyFill="1" applyBorder="1" applyAlignment="1" applyProtection="1">
      <alignment horizontal="right" vertical="center"/>
    </xf>
    <xf numFmtId="171" fontId="27" fillId="8" borderId="68" xfId="2" applyNumberFormat="1" applyFont="1" applyFill="1" applyBorder="1" applyAlignment="1" applyProtection="1">
      <alignment horizontal="center" vertical="center"/>
    </xf>
    <xf numFmtId="171" fontId="27" fillId="8" borderId="69" xfId="2" applyNumberFormat="1" applyFont="1" applyFill="1" applyBorder="1" applyAlignment="1" applyProtection="1">
      <alignment horizontal="center" vertical="center"/>
    </xf>
    <xf numFmtId="165" fontId="26" fillId="0" borderId="65" xfId="1" applyFont="1" applyBorder="1" applyAlignment="1" applyProtection="1">
      <alignment horizontal="right" vertical="center"/>
    </xf>
    <xf numFmtId="0" fontId="24" fillId="7" borderId="31" xfId="0" applyFont="1" applyFill="1" applyBorder="1" applyAlignment="1" applyProtection="1">
      <alignment horizontal="center" vertical="center"/>
    </xf>
    <xf numFmtId="0" fontId="24" fillId="7" borderId="32" xfId="0" applyFont="1" applyFill="1" applyBorder="1" applyAlignment="1" applyProtection="1">
      <alignment horizontal="center" vertical="center"/>
    </xf>
    <xf numFmtId="0" fontId="24" fillId="7" borderId="33" xfId="0" applyFont="1" applyFill="1" applyBorder="1" applyAlignment="1" applyProtection="1">
      <alignment horizontal="center" vertical="center"/>
    </xf>
    <xf numFmtId="0" fontId="24" fillId="7" borderId="34" xfId="0" applyFont="1" applyFill="1" applyBorder="1" applyAlignment="1" applyProtection="1">
      <alignment horizontal="center" vertical="center"/>
    </xf>
    <xf numFmtId="0" fontId="24" fillId="7" borderId="0" xfId="0" applyFont="1" applyFill="1" applyBorder="1" applyAlignment="1" applyProtection="1">
      <alignment horizontal="center" vertical="center"/>
    </xf>
    <xf numFmtId="0" fontId="24" fillId="7" borderId="35" xfId="0" applyFont="1" applyFill="1" applyBorder="1" applyAlignment="1" applyProtection="1">
      <alignment horizontal="center" vertical="center"/>
    </xf>
    <xf numFmtId="0" fontId="25" fillId="9" borderId="56" xfId="0" applyFont="1" applyFill="1" applyBorder="1" applyAlignment="1" applyProtection="1">
      <alignment horizontal="center" vertical="center" wrapText="1"/>
    </xf>
    <xf numFmtId="0" fontId="25" fillId="9" borderId="57" xfId="0" applyFont="1" applyFill="1" applyBorder="1" applyAlignment="1" applyProtection="1">
      <alignment horizontal="center" vertical="center" wrapText="1"/>
    </xf>
    <xf numFmtId="0" fontId="25" fillId="9" borderId="59" xfId="0" applyFont="1" applyFill="1" applyBorder="1" applyAlignment="1" applyProtection="1">
      <alignment horizontal="center" vertical="center" wrapText="1"/>
    </xf>
    <xf numFmtId="0" fontId="25" fillId="9" borderId="60" xfId="0" applyFont="1" applyFill="1" applyBorder="1" applyAlignment="1" applyProtection="1">
      <alignment horizontal="center" vertical="center" wrapText="1"/>
    </xf>
    <xf numFmtId="0" fontId="25" fillId="9" borderId="62" xfId="0" applyFont="1" applyFill="1" applyBorder="1" applyAlignment="1" applyProtection="1">
      <alignment horizontal="center" vertical="center" wrapText="1"/>
    </xf>
    <xf numFmtId="0" fontId="25" fillId="9" borderId="63" xfId="0" applyFont="1" applyFill="1" applyBorder="1" applyAlignment="1" applyProtection="1">
      <alignment horizontal="center" vertical="center" wrapText="1"/>
    </xf>
    <xf numFmtId="165" fontId="26" fillId="0" borderId="60" xfId="1" applyFont="1" applyFill="1" applyBorder="1" applyAlignment="1" applyProtection="1">
      <alignment horizontal="right" vertical="center"/>
    </xf>
    <xf numFmtId="165" fontId="26" fillId="0" borderId="60" xfId="1" applyFont="1" applyBorder="1" applyAlignment="1" applyProtection="1">
      <alignment horizontal="right" vertical="center"/>
    </xf>
    <xf numFmtId="165" fontId="26" fillId="0" borderId="63" xfId="1" applyFont="1" applyFill="1" applyBorder="1" applyAlignment="1" applyProtection="1">
      <alignment horizontal="right" vertical="center"/>
    </xf>
    <xf numFmtId="171" fontId="0" fillId="0" borderId="86" xfId="2" applyNumberFormat="1" applyFont="1" applyFill="1" applyBorder="1" applyAlignment="1" applyProtection="1">
      <alignment horizontal="right" vertical="center"/>
    </xf>
    <xf numFmtId="0" fontId="0" fillId="0" borderId="86" xfId="0" applyFont="1" applyFill="1" applyBorder="1" applyAlignment="1" applyProtection="1">
      <alignment horizontal="right" vertical="center"/>
    </xf>
    <xf numFmtId="0" fontId="30" fillId="4" borderId="40" xfId="0" applyFont="1" applyFill="1" applyBorder="1" applyAlignment="1" applyProtection="1">
      <alignment horizontal="center" vertical="center"/>
    </xf>
    <xf numFmtId="0" fontId="30" fillId="4" borderId="41" xfId="0" applyFont="1" applyFill="1" applyBorder="1" applyAlignment="1" applyProtection="1">
      <alignment horizontal="center" vertical="center"/>
    </xf>
    <xf numFmtId="0" fontId="30" fillId="4" borderId="42" xfId="0" applyFont="1" applyFill="1" applyBorder="1" applyAlignment="1" applyProtection="1">
      <alignment horizontal="center" vertical="center"/>
    </xf>
    <xf numFmtId="0" fontId="30" fillId="4" borderId="43" xfId="0" applyFont="1" applyFill="1" applyBorder="1" applyAlignment="1" applyProtection="1">
      <alignment horizontal="center" vertical="center"/>
    </xf>
    <xf numFmtId="0" fontId="30" fillId="4" borderId="0" xfId="0" applyFont="1" applyFill="1" applyBorder="1" applyAlignment="1" applyProtection="1">
      <alignment horizontal="center" vertical="center"/>
    </xf>
    <xf numFmtId="0" fontId="30" fillId="4" borderId="44" xfId="0" applyFont="1" applyFill="1" applyBorder="1" applyAlignment="1" applyProtection="1">
      <alignment horizontal="center" vertical="center"/>
    </xf>
    <xf numFmtId="0" fontId="27" fillId="3" borderId="63" xfId="2" applyNumberFormat="1" applyFont="1" applyFill="1" applyBorder="1" applyAlignment="1" applyProtection="1">
      <alignment horizontal="center" vertical="center"/>
      <protection locked="0"/>
    </xf>
    <xf numFmtId="0" fontId="27" fillId="3" borderId="64" xfId="2" applyNumberFormat="1" applyFont="1" applyFill="1" applyBorder="1" applyAlignment="1" applyProtection="1">
      <alignment horizontal="center" vertical="center"/>
      <protection locked="0"/>
    </xf>
    <xf numFmtId="10" fontId="27" fillId="3" borderId="57" xfId="2" applyNumberFormat="1" applyFont="1" applyFill="1" applyBorder="1" applyAlignment="1" applyProtection="1">
      <alignment horizontal="center" vertical="center"/>
      <protection locked="0"/>
    </xf>
    <xf numFmtId="10" fontId="27" fillId="3" borderId="58" xfId="2" applyNumberFormat="1" applyFont="1" applyFill="1" applyBorder="1" applyAlignment="1" applyProtection="1">
      <alignment horizontal="center" vertical="center"/>
      <protection locked="0"/>
    </xf>
    <xf numFmtId="0" fontId="30" fillId="4" borderId="48" xfId="1" applyNumberFormat="1" applyFont="1" applyFill="1" applyBorder="1" applyAlignment="1" applyProtection="1">
      <alignment horizontal="center" vertical="center"/>
    </xf>
    <xf numFmtId="0" fontId="30" fillId="4" borderId="49" xfId="1" applyNumberFormat="1" applyFont="1" applyFill="1" applyBorder="1" applyAlignment="1" applyProtection="1">
      <alignment horizontal="center" vertical="center"/>
    </xf>
    <xf numFmtId="0" fontId="30" fillId="4" borderId="50" xfId="1" applyNumberFormat="1" applyFont="1" applyFill="1" applyBorder="1" applyAlignment="1" applyProtection="1">
      <alignment horizontal="center" vertical="center"/>
    </xf>
    <xf numFmtId="0" fontId="30" fillId="4" borderId="51" xfId="1" applyNumberFormat="1" applyFont="1" applyFill="1" applyBorder="1" applyAlignment="1" applyProtection="1">
      <alignment horizontal="center" vertical="center"/>
    </xf>
    <xf numFmtId="0" fontId="30" fillId="4" borderId="0" xfId="1" applyNumberFormat="1" applyFont="1" applyFill="1" applyBorder="1" applyAlignment="1" applyProtection="1">
      <alignment horizontal="center" vertical="center"/>
    </xf>
    <xf numFmtId="0" fontId="30" fillId="4" borderId="52" xfId="1" applyNumberFormat="1" applyFont="1" applyFill="1" applyBorder="1" applyAlignment="1" applyProtection="1">
      <alignment horizontal="center" vertical="center"/>
    </xf>
    <xf numFmtId="165" fontId="26" fillId="0" borderId="63" xfId="1" applyFont="1" applyBorder="1" applyAlignment="1" applyProtection="1">
      <alignment horizontal="right" vertical="center" shrinkToFit="1"/>
    </xf>
    <xf numFmtId="165" fontId="26" fillId="0" borderId="57" xfId="1" applyFont="1" applyBorder="1" applyAlignment="1" applyProtection="1">
      <alignment horizontal="right" vertical="center" shrinkToFit="1"/>
    </xf>
    <xf numFmtId="165" fontId="25" fillId="9" borderId="56" xfId="1" applyFont="1" applyFill="1" applyBorder="1" applyAlignment="1" applyProtection="1">
      <alignment horizontal="center" vertical="center" wrapText="1"/>
    </xf>
    <xf numFmtId="165" fontId="25" fillId="9" borderId="57" xfId="1" applyFont="1" applyFill="1" applyBorder="1" applyAlignment="1" applyProtection="1">
      <alignment horizontal="center" vertical="center" wrapText="1"/>
    </xf>
    <xf numFmtId="165" fontId="25" fillId="9" borderId="59" xfId="1" applyFont="1" applyFill="1" applyBorder="1" applyAlignment="1" applyProtection="1">
      <alignment horizontal="center" vertical="center" wrapText="1"/>
    </xf>
    <xf numFmtId="165" fontId="25" fillId="9" borderId="60" xfId="1" applyFont="1" applyFill="1" applyBorder="1" applyAlignment="1" applyProtection="1">
      <alignment horizontal="center" vertical="center" wrapText="1"/>
    </xf>
    <xf numFmtId="165" fontId="25" fillId="9" borderId="62" xfId="1" applyFont="1" applyFill="1" applyBorder="1" applyAlignment="1" applyProtection="1">
      <alignment horizontal="center" vertical="center" wrapText="1"/>
    </xf>
    <xf numFmtId="165" fontId="25" fillId="9" borderId="63" xfId="1" applyFont="1" applyFill="1" applyBorder="1" applyAlignment="1" applyProtection="1">
      <alignment horizontal="center" vertical="center" wrapText="1"/>
    </xf>
    <xf numFmtId="165" fontId="26" fillId="0" borderId="60" xfId="1" applyFont="1" applyBorder="1" applyAlignment="1" applyProtection="1">
      <alignment horizontal="right" vertical="center" shrinkToFit="1"/>
    </xf>
    <xf numFmtId="169" fontId="28" fillId="0" borderId="60" xfId="2" applyNumberFormat="1" applyFont="1" applyBorder="1" applyAlignment="1" applyProtection="1">
      <alignment horizontal="center" vertical="center"/>
    </xf>
    <xf numFmtId="169" fontId="28" fillId="0" borderId="61" xfId="2" applyNumberFormat="1" applyFont="1" applyBorder="1" applyAlignment="1" applyProtection="1">
      <alignment horizontal="center" vertical="center"/>
    </xf>
    <xf numFmtId="0" fontId="17" fillId="0" borderId="44" xfId="0" applyFont="1" applyFill="1" applyBorder="1" applyAlignment="1" applyProtection="1">
      <alignment horizontal="center" vertical="center"/>
    </xf>
    <xf numFmtId="0" fontId="17" fillId="0" borderId="46" xfId="0" applyFont="1" applyFill="1" applyBorder="1" applyAlignment="1" applyProtection="1">
      <alignment horizontal="center" vertical="center"/>
    </xf>
    <xf numFmtId="0" fontId="17" fillId="0" borderId="43" xfId="0" applyFont="1" applyFill="1" applyBorder="1" applyAlignment="1" applyProtection="1">
      <alignment horizontal="center" vertical="center"/>
    </xf>
    <xf numFmtId="0" fontId="17" fillId="0" borderId="45" xfId="0" applyFont="1" applyFill="1" applyBorder="1" applyAlignment="1" applyProtection="1">
      <alignment horizontal="center" vertical="center"/>
    </xf>
    <xf numFmtId="164" fontId="25" fillId="0" borderId="60" xfId="3" applyFont="1" applyFill="1" applyBorder="1" applyAlignment="1" applyProtection="1">
      <alignment horizontal="center" vertical="center" shrinkToFit="1"/>
    </xf>
    <xf numFmtId="164" fontId="25" fillId="0" borderId="61" xfId="3" applyFont="1" applyFill="1" applyBorder="1" applyAlignment="1" applyProtection="1">
      <alignment horizontal="center" vertical="center" shrinkToFit="1"/>
    </xf>
    <xf numFmtId="167" fontId="27" fillId="3" borderId="57" xfId="2" applyNumberFormat="1" applyFont="1" applyFill="1" applyBorder="1" applyAlignment="1" applyProtection="1">
      <alignment horizontal="center" vertical="center"/>
      <protection locked="0"/>
    </xf>
    <xf numFmtId="167" fontId="27" fillId="3" borderId="58" xfId="2" applyNumberFormat="1" applyFont="1" applyFill="1" applyBorder="1" applyAlignment="1" applyProtection="1">
      <alignment horizontal="center" vertical="center"/>
      <protection locked="0"/>
    </xf>
    <xf numFmtId="165" fontId="20" fillId="0" borderId="23" xfId="1" applyFont="1" applyBorder="1" applyAlignment="1" applyProtection="1">
      <alignment horizontal="left" vertical="center"/>
    </xf>
    <xf numFmtId="165" fontId="20" fillId="0" borderId="24" xfId="1" applyFont="1" applyBorder="1" applyAlignment="1" applyProtection="1">
      <alignment horizontal="left" vertical="center"/>
    </xf>
    <xf numFmtId="165" fontId="20" fillId="0" borderId="25" xfId="1" applyFont="1" applyBorder="1" applyAlignment="1" applyProtection="1">
      <alignment horizontal="left" vertical="center"/>
    </xf>
    <xf numFmtId="165" fontId="19" fillId="0" borderId="18" xfId="1" applyFont="1" applyBorder="1" applyAlignment="1" applyProtection="1">
      <alignment horizontal="left" vertical="center"/>
    </xf>
    <xf numFmtId="165" fontId="19" fillId="0" borderId="19" xfId="1" applyFont="1" applyBorder="1" applyAlignment="1" applyProtection="1">
      <alignment horizontal="left" vertical="center"/>
    </xf>
    <xf numFmtId="165" fontId="19" fillId="0" borderId="20" xfId="1" applyFont="1" applyBorder="1" applyAlignment="1" applyProtection="1">
      <alignment horizontal="left" vertical="center"/>
    </xf>
    <xf numFmtId="165" fontId="26" fillId="3" borderId="65" xfId="1" applyFont="1" applyFill="1" applyBorder="1" applyAlignment="1" applyProtection="1">
      <alignment horizontal="left" vertical="center"/>
      <protection locked="0"/>
    </xf>
    <xf numFmtId="165" fontId="19" fillId="0" borderId="23" xfId="1" applyFont="1" applyBorder="1" applyAlignment="1" applyProtection="1">
      <alignment horizontal="left" vertical="center"/>
    </xf>
    <xf numFmtId="165" fontId="19" fillId="0" borderId="24" xfId="1" applyFont="1" applyBorder="1" applyAlignment="1" applyProtection="1">
      <alignment horizontal="left" vertical="center"/>
    </xf>
    <xf numFmtId="165" fontId="19" fillId="0" borderId="25" xfId="1" applyFont="1" applyBorder="1" applyAlignment="1" applyProtection="1">
      <alignment horizontal="left" vertical="center"/>
    </xf>
    <xf numFmtId="165" fontId="19" fillId="0" borderId="28" xfId="1" applyFont="1" applyBorder="1" applyAlignment="1" applyProtection="1">
      <alignment horizontal="left" vertical="center"/>
    </xf>
    <xf numFmtId="165" fontId="19" fillId="0" borderId="0" xfId="1" applyFont="1" applyBorder="1" applyAlignment="1" applyProtection="1">
      <alignment horizontal="left" vertical="center"/>
    </xf>
    <xf numFmtId="165" fontId="19" fillId="0" borderId="17" xfId="1" applyFont="1" applyBorder="1" applyAlignment="1" applyProtection="1">
      <alignment horizontal="left" vertical="center"/>
    </xf>
    <xf numFmtId="165" fontId="26" fillId="0" borderId="65" xfId="1" applyFont="1" applyBorder="1" applyAlignment="1" applyProtection="1">
      <alignment horizontal="left" vertical="center"/>
    </xf>
    <xf numFmtId="165" fontId="29" fillId="0" borderId="0" xfId="1" applyFont="1" applyBorder="1" applyAlignment="1" applyProtection="1">
      <alignment horizontal="right" vertical="center"/>
    </xf>
    <xf numFmtId="165" fontId="20" fillId="0" borderId="28" xfId="1" applyFont="1" applyBorder="1" applyAlignment="1" applyProtection="1">
      <alignment horizontal="left" vertical="center"/>
    </xf>
    <xf numFmtId="165" fontId="20" fillId="0" borderId="0" xfId="1" applyFont="1" applyBorder="1" applyAlignment="1" applyProtection="1">
      <alignment horizontal="left" vertical="center"/>
    </xf>
    <xf numFmtId="165" fontId="20" fillId="0" borderId="17" xfId="1" applyFont="1" applyBorder="1" applyAlignment="1" applyProtection="1">
      <alignment horizontal="left" vertical="center"/>
    </xf>
    <xf numFmtId="0" fontId="22" fillId="0" borderId="0" xfId="0" applyFont="1" applyAlignment="1" applyProtection="1">
      <alignment horizontal="center" vertical="center"/>
    </xf>
    <xf numFmtId="0" fontId="23" fillId="0" borderId="0" xfId="0" applyFont="1" applyAlignment="1" applyProtection="1">
      <alignment horizontal="center" vertical="center" wrapText="1"/>
    </xf>
    <xf numFmtId="165" fontId="25" fillId="8" borderId="80" xfId="1" applyFont="1" applyFill="1" applyBorder="1" applyAlignment="1" applyProtection="1">
      <alignment horizontal="center" vertical="center"/>
    </xf>
    <xf numFmtId="165" fontId="25" fillId="8" borderId="81" xfId="1" applyFont="1" applyFill="1" applyBorder="1" applyAlignment="1" applyProtection="1">
      <alignment horizontal="center" vertical="center"/>
    </xf>
    <xf numFmtId="165" fontId="25" fillId="8" borderId="74" xfId="1" applyFont="1" applyFill="1" applyBorder="1" applyAlignment="1" applyProtection="1">
      <alignment horizontal="center" vertical="center"/>
    </xf>
    <xf numFmtId="165" fontId="25" fillId="8" borderId="75" xfId="1" applyFont="1" applyFill="1" applyBorder="1" applyAlignment="1" applyProtection="1">
      <alignment horizontal="center" vertical="center"/>
    </xf>
    <xf numFmtId="169" fontId="13" fillId="6" borderId="75" xfId="2" applyNumberFormat="1" applyFont="1" applyFill="1" applyBorder="1" applyAlignment="1" applyProtection="1">
      <alignment horizontal="center" vertical="center"/>
    </xf>
    <xf numFmtId="169" fontId="13" fillId="6" borderId="76" xfId="2" applyNumberFormat="1" applyFont="1" applyFill="1" applyBorder="1" applyAlignment="1" applyProtection="1">
      <alignment horizontal="center" vertical="center"/>
    </xf>
    <xf numFmtId="169" fontId="13" fillId="6" borderId="81" xfId="2" applyNumberFormat="1" applyFont="1" applyFill="1" applyBorder="1" applyAlignment="1" applyProtection="1">
      <alignment horizontal="center" vertical="center"/>
    </xf>
    <xf numFmtId="169" fontId="13" fillId="6" borderId="82" xfId="2" applyNumberFormat="1" applyFont="1" applyFill="1" applyBorder="1" applyAlignment="1" applyProtection="1">
      <alignment horizontal="center" vertical="center"/>
    </xf>
    <xf numFmtId="165" fontId="25" fillId="8" borderId="67" xfId="1" applyFont="1" applyFill="1" applyBorder="1" applyAlignment="1" applyProtection="1">
      <alignment horizontal="center" vertical="center"/>
    </xf>
    <xf numFmtId="165" fontId="25" fillId="8" borderId="68" xfId="1" applyFont="1" applyFill="1" applyBorder="1" applyAlignment="1" applyProtection="1">
      <alignment horizontal="center" vertical="center"/>
    </xf>
    <xf numFmtId="171" fontId="27" fillId="10" borderId="68" xfId="1" applyNumberFormat="1" applyFont="1" applyFill="1" applyBorder="1" applyAlignment="1" applyProtection="1">
      <alignment horizontal="center" vertical="center"/>
    </xf>
    <xf numFmtId="171" fontId="27" fillId="10" borderId="69" xfId="1" applyNumberFormat="1" applyFont="1" applyFill="1" applyBorder="1" applyAlignment="1" applyProtection="1">
      <alignment horizontal="center" vertical="center"/>
    </xf>
    <xf numFmtId="0" fontId="25" fillId="10" borderId="67" xfId="0" applyFont="1" applyFill="1" applyBorder="1" applyAlignment="1" applyProtection="1">
      <alignment horizontal="center" vertical="center"/>
    </xf>
    <xf numFmtId="0" fontId="25" fillId="10" borderId="68" xfId="0" applyFont="1" applyFill="1" applyBorder="1" applyAlignment="1" applyProtection="1">
      <alignment horizontal="center" vertical="center"/>
    </xf>
    <xf numFmtId="165" fontId="25" fillId="8" borderId="83" xfId="1" applyFont="1" applyFill="1" applyBorder="1" applyAlignment="1" applyProtection="1">
      <alignment horizontal="right" vertical="center"/>
    </xf>
    <xf numFmtId="165" fontId="25" fillId="8" borderId="84" xfId="1" applyFont="1" applyFill="1" applyBorder="1" applyAlignment="1" applyProtection="1">
      <alignment horizontal="right" vertical="center"/>
    </xf>
    <xf numFmtId="173" fontId="27" fillId="8" borderId="84" xfId="1" applyNumberFormat="1" applyFont="1" applyFill="1" applyBorder="1" applyAlignment="1" applyProtection="1">
      <alignment horizontal="center" vertical="center" shrinkToFit="1"/>
    </xf>
    <xf numFmtId="173" fontId="27" fillId="8" borderId="85" xfId="1" applyNumberFormat="1" applyFont="1" applyFill="1" applyBorder="1" applyAlignment="1" applyProtection="1">
      <alignment horizontal="center" vertical="center" shrinkToFit="1"/>
    </xf>
    <xf numFmtId="0" fontId="0" fillId="7" borderId="35" xfId="0" applyFill="1" applyBorder="1" applyAlignment="1" applyProtection="1">
      <alignment horizontal="center" vertical="center"/>
    </xf>
    <xf numFmtId="0" fontId="0" fillId="7" borderId="37" xfId="0" applyFill="1" applyBorder="1" applyAlignment="1" applyProtection="1">
      <alignment horizontal="center" vertical="center"/>
    </xf>
    <xf numFmtId="0" fontId="0" fillId="7" borderId="34" xfId="0" applyFill="1" applyBorder="1" applyAlignment="1" applyProtection="1">
      <alignment horizontal="center" vertical="center"/>
    </xf>
    <xf numFmtId="0" fontId="0" fillId="7" borderId="36" xfId="0" applyFill="1" applyBorder="1" applyAlignment="1" applyProtection="1">
      <alignment horizontal="center" vertical="center"/>
    </xf>
    <xf numFmtId="0" fontId="0" fillId="7" borderId="70" xfId="0" applyFill="1" applyBorder="1" applyAlignment="1" applyProtection="1">
      <alignment horizontal="center" vertical="center"/>
    </xf>
    <xf numFmtId="10" fontId="28" fillId="0" borderId="78" xfId="2" applyNumberFormat="1" applyFont="1" applyFill="1" applyBorder="1" applyAlignment="1" applyProtection="1">
      <alignment horizontal="center" vertical="center"/>
    </xf>
    <xf numFmtId="10" fontId="28" fillId="0" borderId="79" xfId="2" applyNumberFormat="1" applyFont="1" applyFill="1" applyBorder="1" applyAlignment="1" applyProtection="1">
      <alignment horizontal="center" vertical="center"/>
    </xf>
    <xf numFmtId="169" fontId="27" fillId="3" borderId="72" xfId="2" applyNumberFormat="1" applyFont="1" applyFill="1" applyBorder="1" applyAlignment="1" applyProtection="1">
      <alignment horizontal="center" vertical="center"/>
      <protection locked="0"/>
    </xf>
    <xf numFmtId="169" fontId="27" fillId="3" borderId="73" xfId="2" applyNumberFormat="1" applyFont="1" applyFill="1" applyBorder="1" applyAlignment="1" applyProtection="1">
      <alignment horizontal="center" vertical="center"/>
      <protection locked="0"/>
    </xf>
    <xf numFmtId="0" fontId="9" fillId="7" borderId="15" xfId="1" applyNumberFormat="1" applyFont="1" applyFill="1" applyBorder="1" applyAlignment="1" applyProtection="1">
      <alignment horizontal="center" vertical="center"/>
    </xf>
    <xf numFmtId="0" fontId="9" fillId="7" borderId="12" xfId="1" applyNumberFormat="1" applyFont="1" applyFill="1" applyBorder="1" applyAlignment="1" applyProtection="1">
      <alignment horizontal="center" vertical="center"/>
    </xf>
    <xf numFmtId="0" fontId="9" fillId="7" borderId="14" xfId="1" applyNumberFormat="1" applyFont="1" applyFill="1" applyBorder="1" applyAlignment="1" applyProtection="1">
      <alignment horizontal="center" vertical="center"/>
    </xf>
    <xf numFmtId="0" fontId="31" fillId="7" borderId="3" xfId="1" applyNumberFormat="1" applyFont="1" applyFill="1" applyBorder="1" applyAlignment="1" applyProtection="1">
      <alignment horizontal="center" vertical="center" textRotation="90" wrapText="1"/>
    </xf>
    <xf numFmtId="0" fontId="31" fillId="7" borderId="11" xfId="1" applyNumberFormat="1" applyFont="1" applyFill="1" applyBorder="1" applyAlignment="1" applyProtection="1">
      <alignment horizontal="center" vertical="center" textRotation="90" wrapText="1"/>
    </xf>
    <xf numFmtId="0" fontId="31" fillId="7" borderId="4" xfId="1" applyNumberFormat="1" applyFont="1" applyFill="1" applyBorder="1" applyAlignment="1" applyProtection="1">
      <alignment horizontal="center" vertical="center" textRotation="90" wrapText="1"/>
    </xf>
    <xf numFmtId="165" fontId="2" fillId="5" borderId="2" xfId="1" applyFont="1" applyFill="1" applyBorder="1" applyAlignment="1" applyProtection="1">
      <alignment horizontal="center" vertical="center" wrapText="1"/>
    </xf>
    <xf numFmtId="0" fontId="4" fillId="5" borderId="2" xfId="1" applyNumberFormat="1" applyFont="1" applyFill="1" applyBorder="1" applyAlignment="1" applyProtection="1">
      <alignment horizontal="center" vertical="center" textRotation="90" wrapText="1"/>
    </xf>
    <xf numFmtId="165" fontId="12" fillId="5" borderId="2" xfId="1" applyFont="1" applyFill="1" applyBorder="1" applyAlignment="1" applyProtection="1">
      <alignment horizontal="center" vertical="center" wrapText="1"/>
    </xf>
    <xf numFmtId="165" fontId="31" fillId="7" borderId="3" xfId="1" applyFont="1" applyFill="1" applyBorder="1" applyAlignment="1" applyProtection="1">
      <alignment horizontal="center" vertical="center" wrapText="1"/>
    </xf>
    <xf numFmtId="165" fontId="31" fillId="7" borderId="16" xfId="1" applyFont="1" applyFill="1" applyBorder="1" applyAlignment="1" applyProtection="1">
      <alignment horizontal="center" vertical="center" wrapText="1"/>
    </xf>
    <xf numFmtId="165" fontId="9" fillId="7" borderId="15" xfId="1" applyFont="1" applyFill="1" applyBorder="1" applyAlignment="1" applyProtection="1">
      <alignment horizontal="center" vertical="center"/>
    </xf>
    <xf numFmtId="165" fontId="9" fillId="7" borderId="12" xfId="1" applyFont="1" applyFill="1" applyBorder="1" applyAlignment="1" applyProtection="1">
      <alignment horizontal="center" vertical="center"/>
    </xf>
    <xf numFmtId="165" fontId="9" fillId="7" borderId="14" xfId="1" applyFont="1" applyFill="1" applyBorder="1" applyAlignment="1" applyProtection="1">
      <alignment horizontal="center" vertical="center"/>
    </xf>
    <xf numFmtId="165" fontId="2" fillId="5" borderId="3" xfId="1" applyFont="1" applyFill="1" applyBorder="1" applyAlignment="1" applyProtection="1">
      <alignment horizontal="center" vertical="center" wrapText="1"/>
    </xf>
    <xf numFmtId="165" fontId="2" fillId="5" borderId="11" xfId="1" applyFont="1" applyFill="1" applyBorder="1" applyAlignment="1" applyProtection="1">
      <alignment horizontal="center" vertical="center" wrapText="1"/>
    </xf>
    <xf numFmtId="165" fontId="2" fillId="5" borderId="4" xfId="1" applyFont="1" applyFill="1" applyBorder="1" applyAlignment="1" applyProtection="1">
      <alignment horizontal="center" vertical="center" wrapText="1"/>
    </xf>
    <xf numFmtId="10" fontId="2" fillId="5" borderId="3" xfId="2" applyNumberFormat="1" applyFont="1" applyFill="1" applyBorder="1" applyAlignment="1" applyProtection="1">
      <alignment horizontal="center" vertical="center" wrapText="1"/>
    </xf>
    <xf numFmtId="10" fontId="2" fillId="5" borderId="11" xfId="2" applyNumberFormat="1" applyFont="1" applyFill="1" applyBorder="1" applyAlignment="1" applyProtection="1">
      <alignment horizontal="center" vertical="center"/>
    </xf>
    <xf numFmtId="10" fontId="2" fillId="5" borderId="4" xfId="2" applyNumberFormat="1" applyFont="1" applyFill="1" applyBorder="1" applyAlignment="1" applyProtection="1">
      <alignment horizontal="center" vertical="center"/>
    </xf>
    <xf numFmtId="165" fontId="9" fillId="7" borderId="2" xfId="1" applyFont="1" applyFill="1" applyBorder="1" applyAlignment="1" applyProtection="1">
      <alignment horizontal="center" vertical="center"/>
    </xf>
    <xf numFmtId="168" fontId="0" fillId="2" borderId="39" xfId="1" applyNumberFormat="1" applyFont="1" applyFill="1" applyBorder="1" applyAlignment="1" applyProtection="1">
      <alignment horizontal="center" vertical="center"/>
    </xf>
    <xf numFmtId="168" fontId="0" fillId="2" borderId="6" xfId="1" applyNumberFormat="1" applyFont="1" applyFill="1" applyBorder="1" applyAlignment="1" applyProtection="1">
      <alignment horizontal="center" vertical="center"/>
    </xf>
    <xf numFmtId="168" fontId="0" fillId="2" borderId="47" xfId="1" applyNumberFormat="1" applyFont="1" applyFill="1" applyBorder="1" applyAlignment="1" applyProtection="1">
      <alignment horizontal="center" vertical="center"/>
    </xf>
    <xf numFmtId="169" fontId="0" fillId="2" borderId="5" xfId="1" applyNumberFormat="1" applyFont="1" applyFill="1" applyBorder="1" applyAlignment="1" applyProtection="1">
      <alignment horizontal="center" vertical="center"/>
    </xf>
    <xf numFmtId="169" fontId="0" fillId="2" borderId="1" xfId="1" applyNumberFormat="1" applyFont="1" applyFill="1" applyBorder="1" applyAlignment="1" applyProtection="1">
      <alignment horizontal="center" vertical="center"/>
    </xf>
    <xf numFmtId="169" fontId="0" fillId="2" borderId="7" xfId="1" applyNumberFormat="1" applyFont="1" applyFill="1" applyBorder="1" applyAlignment="1" applyProtection="1">
      <alignment horizontal="center" vertical="center"/>
    </xf>
    <xf numFmtId="0" fontId="2" fillId="2" borderId="2" xfId="1" applyNumberFormat="1" applyFont="1" applyFill="1" applyBorder="1" applyAlignment="1" applyProtection="1">
      <alignment horizontal="center" vertical="center"/>
    </xf>
    <xf numFmtId="169" fontId="1" fillId="5" borderId="15" xfId="2" applyNumberFormat="1" applyFont="1" applyFill="1" applyBorder="1" applyAlignment="1" applyProtection="1">
      <alignment horizontal="center" vertical="center"/>
    </xf>
    <xf numFmtId="169" fontId="1" fillId="5" borderId="12" xfId="2" applyNumberFormat="1" applyFont="1" applyFill="1" applyBorder="1" applyAlignment="1" applyProtection="1">
      <alignment horizontal="center" vertical="center"/>
    </xf>
    <xf numFmtId="169" fontId="1" fillId="5" borderId="14" xfId="2" applyNumberFormat="1" applyFont="1" applyFill="1" applyBorder="1" applyAlignment="1" applyProtection="1">
      <alignment horizontal="center" vertical="center"/>
    </xf>
    <xf numFmtId="164" fontId="25" fillId="0" borderId="64" xfId="3" applyFont="1" applyFill="1" applyBorder="1" applyAlignment="1" applyProtection="1">
      <alignment horizontal="center" vertical="center" shrinkToFit="1"/>
    </xf>
    <xf numFmtId="164" fontId="25" fillId="0" borderId="63" xfId="3" applyFont="1" applyFill="1" applyBorder="1" applyAlignment="1" applyProtection="1">
      <alignment horizontal="center" vertical="center" shrinkToFit="1"/>
    </xf>
    <xf numFmtId="174" fontId="27" fillId="0" borderId="61" xfId="2" applyNumberFormat="1" applyFont="1" applyFill="1" applyBorder="1" applyAlignment="1" applyProtection="1">
      <alignment horizontal="center" vertical="center"/>
      <protection locked="0"/>
    </xf>
    <xf numFmtId="174" fontId="27" fillId="12" borderId="60" xfId="2" applyNumberFormat="1" applyFont="1" applyFill="1" applyBorder="1" applyAlignment="1" applyProtection="1">
      <alignment horizontal="center" vertical="center"/>
      <protection locked="0"/>
    </xf>
  </cellXfs>
  <cellStyles count="4">
    <cellStyle name="Moeda" xfId="3" builtinId="4"/>
    <cellStyle name="Normal" xfId="0" builtinId="0"/>
    <cellStyle name="Porcentagem" xfId="2" builtinId="5"/>
    <cellStyle name="Vírgula" xfId="1" builtinId="3"/>
  </cellStyles>
  <dxfs count="18">
    <dxf>
      <fill>
        <gradientFill degree="90">
          <stop position="0">
            <color theme="0"/>
          </stop>
          <stop position="0.5">
            <color theme="5" tint="0.59999389629810485"/>
          </stop>
          <stop position="1">
            <color theme="0"/>
          </stop>
        </gradient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0000"/>
      </font>
      <fill>
        <patternFill>
          <bgColor theme="5" tint="0.59996337778862885"/>
        </patternFill>
      </fill>
    </dxf>
    <dxf>
      <fill>
        <patternFill patternType="none">
          <fgColor auto="1"/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rgb="FFFFC5C5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FF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gradientFill degree="90">
          <stop position="0">
            <color theme="4" tint="0.40000610370189521"/>
          </stop>
          <stop position="0.5">
            <color theme="0"/>
          </stop>
          <stop position="1">
            <color theme="4" tint="0.40000610370189521"/>
          </stop>
        </gradientFill>
      </fill>
    </dxf>
    <dxf>
      <fill>
        <patternFill patternType="none">
          <bgColor auto="1"/>
        </patternFill>
      </fill>
    </dxf>
    <dxf>
      <fill>
        <patternFill patternType="lightUp"/>
      </fill>
    </dxf>
    <dxf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C5C5"/>
      <color rgb="FFFE1F0E"/>
      <color rgb="FFF0DC66"/>
      <color rgb="FF5F5F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979455778765689E-2"/>
          <c:y val="6.2962954616644848E-2"/>
          <c:w val="0.90543322486893441"/>
          <c:h val="0.70766540391662014"/>
        </c:manualLayout>
      </c:layout>
      <c:lineChart>
        <c:grouping val="standard"/>
        <c:varyColors val="0"/>
        <c:ser>
          <c:idx val="0"/>
          <c:order val="0"/>
          <c:tx>
            <c:v>Pagamentos</c:v>
          </c:tx>
          <c:spPr>
            <a:ln w="22225" cap="rnd" cmpd="sng" algn="ctr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[0]!Graf_SldDevedor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84-4DE5-A671-6FB4E361E523}"/>
            </c:ext>
          </c:extLst>
        </c:ser>
        <c:ser>
          <c:idx val="1"/>
          <c:order val="1"/>
          <c:tx>
            <c:v>Crédito</c:v>
          </c:tx>
          <c:spPr>
            <a:ln w="22225" cap="rnd" cmpd="sng" algn="ctr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[0]!Graf_VlrCredito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84-4DE5-A671-6FB4E361E5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712659008"/>
        <c:axId val="712671472"/>
      </c:lineChart>
      <c:catAx>
        <c:axId val="7126590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12671472"/>
        <c:crosses val="autoZero"/>
        <c:auto val="1"/>
        <c:lblAlgn val="ctr"/>
        <c:lblOffset val="100"/>
        <c:noMultiLvlLbl val="0"/>
      </c:catAx>
      <c:valAx>
        <c:axId val="712671472"/>
        <c:scaling>
          <c:orientation val="minMax"/>
        </c:scaling>
        <c:delete val="0"/>
        <c:axPos val="l"/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126590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7716844948929764"/>
          <c:y val="0.85999520708011468"/>
          <c:w val="0.50632814097912593"/>
          <c:h val="0.13468406614987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 sz="900"/>
              <a:t>VALOR PRESENTE DO CRÉDITO E DOS PAGAMENTOS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5601049868766405E-2"/>
          <c:y val="0.15746477475583365"/>
          <c:w val="0.98164590789787642"/>
          <c:h val="0.80601691040171397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PAINEL!$AD$3</c:f>
              <c:strCache>
                <c:ptCount val="1"/>
                <c:pt idx="0">
                  <c:v> Custos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dLbl>
              <c:idx val="0"/>
              <c:layout>
                <c:manualLayout>
                  <c:x val="6.0604099538818911E-3"/>
                  <c:y val="-7.5567442961215728E-4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bg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2C3CAB5C-CC81-4F8F-B046-ECAC01A27291}" type="CELLRANGE">
                      <a:rPr lang="en-US" baseline="0"/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[INTERVALODACÉLULA]</a:t>
                    </a:fld>
                    <a:r>
                      <a:rPr lang="en-US" baseline="0"/>
                      <a:t> </a:t>
                    </a:r>
                    <a:fld id="{7263A5F2-01D7-4D8E-9062-28DE77A9DBE9}" type="SERIESNAME">
                      <a:rPr lang="en-US" baseline="0"/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[NOME DA SÉRIE]</a:t>
                    </a:fld>
                    <a:r>
                      <a:rPr lang="en-US" baseline="0"/>
                      <a:t> </a:t>
                    </a:r>
                    <a:fld id="{7650EB5F-66AE-4C47-A45E-E2B7F3F21AF1}" type="VALUE">
                      <a:rPr lang="en-US" baseline="0"/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[VALOR]</a:t>
                    </a:fld>
                    <a:endParaRPr lang="en-US" baseline="0"/>
                  </a:p>
                </c:rich>
              </c:tx>
              <c:numFmt formatCode="_(&quot;R$&quot;* #,##0.00_);_(&quot;R$&quot;* \(#,##0.00\);_(&quot;R$&quot;* &quot;-&quot;??_);_(@_)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5996989039285539"/>
                      <c:h val="0.11677115344046039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43A8-498C-97FD-E2DFF65CFEE3}"/>
                </c:ext>
              </c:extLst>
            </c:dLbl>
            <c:numFmt formatCode="_(&quot;R$&quot;* #,##0.00_);_(&quot;R$&quot;* \(#,##0.00\);_(&quot;R$&quot;* &quot;-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[0]!Encargos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PAINEL!$AF$3</c15:f>
                <c15:dlblRangeCache>
                  <c:ptCount val="1"/>
                  <c:pt idx="0">
                    <c:v>#DIV/0!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43A8-498C-97FD-E2DFF65CFEE3}"/>
            </c:ext>
          </c:extLst>
        </c:ser>
        <c:ser>
          <c:idx val="0"/>
          <c:order val="1"/>
          <c:tx>
            <c:strRef>
              <c:f>PAINEL!$AD$4</c:f>
              <c:strCache>
                <c:ptCount val="1"/>
                <c:pt idx="0">
                  <c:v> Crédito 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dLbl>
              <c:idx val="0"/>
              <c:numFmt formatCode="_(&quot;R$&quot;* #,##0.00_);_(&quot;R$&quot;* \(#,##0.00\);_(&quot;R$&quot;* &quot;-&quot;??_);_(@_)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62290101296348022"/>
                      <c:h val="0.2625934732146076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2D7-4A82-808A-73ABC8F3ED40}"/>
                </c:ext>
              </c:extLst>
            </c:dLbl>
            <c:numFmt formatCode="_(&quot;R$&quot;* #,##0.00_);_(&quot;R$&quot;* \(#,##0.00\);_(&quot;R$&quot;* &quot;-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PAINEL!$AE$4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D7-4A82-808A-73ABC8F3E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1"/>
        <c:overlap val="100"/>
        <c:axId val="645530000"/>
        <c:axId val="645526064"/>
      </c:barChart>
      <c:catAx>
        <c:axId val="645530000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645526064"/>
        <c:crosses val="max"/>
        <c:auto val="1"/>
        <c:lblAlgn val="ctr"/>
        <c:lblOffset val="100"/>
        <c:noMultiLvlLbl val="0"/>
      </c:catAx>
      <c:valAx>
        <c:axId val="64552606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crossAx val="645530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>
      <a:outerShdw blurRad="50800" dist="50800" dir="5400000" algn="ctr" rotWithShape="0">
        <a:schemeClr val="tx2">
          <a:lumMod val="40000"/>
          <a:lumOff val="60000"/>
        </a:schemeClr>
      </a:outerShdw>
      <a:softEdge rad="139700"/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 sz="1000" b="1">
                <a:solidFill>
                  <a:schemeClr val="tx2"/>
                </a:solidFill>
              </a:rPr>
              <a:t>VALOR</a:t>
            </a:r>
            <a:r>
              <a:rPr lang="pt-BR" sz="1000" b="1" baseline="0">
                <a:solidFill>
                  <a:schemeClr val="tx2"/>
                </a:solidFill>
              </a:rPr>
              <a:t> PRESENTE DOS CUSTOS DA OPERAÇÃO</a:t>
            </a:r>
            <a:endParaRPr lang="pt-BR" sz="1000" b="1">
              <a:solidFill>
                <a:schemeClr val="tx2"/>
              </a:solidFill>
            </a:endParaRPr>
          </a:p>
        </c:rich>
      </c:tx>
      <c:layout>
        <c:manualLayout>
          <c:xMode val="edge"/>
          <c:yMode val="edge"/>
          <c:x val="0.207357240192028"/>
          <c:y val="2.0222226029744363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7556483880813932E-2"/>
          <c:y val="0.30544620827907615"/>
          <c:w val="0.90766445171268328"/>
          <c:h val="0.64276137687615664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F8A-44BC-BC75-68EC0D0090B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F8A-44BC-BC75-68EC0D0090B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F8A-44BC-BC75-68EC0D0090B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F8A-44BC-BC75-68EC0D0090BB}"/>
              </c:ext>
            </c:extLst>
          </c:dPt>
          <c:dLbls>
            <c:dLbl>
              <c:idx val="0"/>
              <c:layout>
                <c:manualLayout>
                  <c:x val="-8.5152220083753616E-2"/>
                  <c:y val="-9.2790504420533198E-3"/>
                </c:manualLayout>
              </c:layout>
              <c:spPr>
                <a:solidFill>
                  <a:schemeClr val="bg1"/>
                </a:solidFill>
                <a:ln>
                  <a:solidFill>
                    <a:schemeClr val="bg1">
                      <a:lumMod val="50000"/>
                    </a:schemeClr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402403031375033"/>
                      <c:h val="0.142611098736664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7F8A-44BC-BC75-68EC0D0090BB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solidFill>
                    <a:schemeClr val="bg1">
                      <a:lumMod val="50000"/>
                    </a:schemeClr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7F8A-44BC-BC75-68EC0D0090BB}"/>
                </c:ext>
              </c:extLst>
            </c:dLbl>
            <c:dLbl>
              <c:idx val="2"/>
              <c:layout>
                <c:manualLayout>
                  <c:x val="-8.5161798493252325E-2"/>
                  <c:y val="8.1871244831288898E-3"/>
                </c:manualLayout>
              </c:layout>
              <c:spPr>
                <a:solidFill>
                  <a:schemeClr val="bg1"/>
                </a:solidFill>
                <a:ln>
                  <a:solidFill>
                    <a:schemeClr val="bg1">
                      <a:lumMod val="50000"/>
                    </a:schemeClr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38605587916389"/>
                      <c:h val="0.1335633552646608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7F8A-44BC-BC75-68EC0D0090BB}"/>
                </c:ext>
              </c:extLst>
            </c:dLbl>
            <c:dLbl>
              <c:idx val="3"/>
              <c:layout>
                <c:manualLayout>
                  <c:x val="-4.3179470020216902E-2"/>
                  <c:y val="-4.1575821568089921E-2"/>
                </c:manualLayout>
              </c:layout>
              <c:spPr>
                <a:solidFill>
                  <a:schemeClr val="bg1"/>
                </a:solidFill>
                <a:ln>
                  <a:solidFill>
                    <a:schemeClr val="bg1">
                      <a:lumMod val="50000"/>
                    </a:schemeClr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149163932562888"/>
                      <c:h val="0.1244966931670207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7F8A-44BC-BC75-68EC0D0090BB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bg1">
                    <a:lumMod val="50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PAINEL!$AD$6:$AD$9</c:f>
              <c:strCache>
                <c:ptCount val="4"/>
                <c:pt idx="0">
                  <c:v>Custos Indiretos</c:v>
                </c:pt>
                <c:pt idx="1">
                  <c:v>Taxa Adm.</c:v>
                </c:pt>
                <c:pt idx="2">
                  <c:v>Fundo Reserva</c:v>
                </c:pt>
                <c:pt idx="3">
                  <c:v>Seguro</c:v>
                </c:pt>
              </c:strCache>
            </c:strRef>
          </c:cat>
          <c:val>
            <c:numRef>
              <c:f>PAINEL!$AE$6:$AE$9</c:f>
              <c:numCache>
                <c:formatCode>_("R$"* #,##0.00_);_("R$"* \(#,##0.00\);_("R$"*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6B-4CAD-BA03-145FF9166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936143936677E-2"/>
          <c:y val="0.9098995099719005"/>
          <c:w val="0.89999980843181004"/>
          <c:h val="7.6500496881639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>
      <a:softEdge rad="317500"/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CheckBox" checked="Checked" fmlaLink="$A$25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watch?v=fSqqGjaLaUY&amp;feature=youtu.be" TargetMode="External"/><Relationship Id="rId2" Type="http://schemas.openxmlformats.org/officeDocument/2006/relationships/image" Target="../media/image1.jpeg"/><Relationship Id="rId1" Type="http://schemas.openxmlformats.org/officeDocument/2006/relationships/hyperlink" Target="https://www.planilhacessivel.com.br/" TargetMode="External"/><Relationship Id="rId6" Type="http://schemas.openxmlformats.org/officeDocument/2006/relationships/image" Target="../media/image3.jpeg"/><Relationship Id="rId5" Type="http://schemas.openxmlformats.org/officeDocument/2006/relationships/hyperlink" Target="https://www.youtube.com/channel/UCiSDzhcjZe-1jUDRYoHq8Ug?view_as=subscriber" TargetMode="External"/><Relationship Id="rId4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2228850</xdr:colOff>
      <xdr:row>0</xdr:row>
      <xdr:rowOff>123825</xdr:rowOff>
    </xdr:from>
    <xdr:to>
      <xdr:col>2</xdr:col>
      <xdr:colOff>6688790</xdr:colOff>
      <xdr:row>2</xdr:row>
      <xdr:rowOff>247090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609850" y="123825"/>
          <a:ext cx="4459940" cy="694765"/>
          <a:chOff x="2609850" y="123825"/>
          <a:chExt cx="4459940" cy="694765"/>
        </a:xfrm>
      </xdr:grpSpPr>
      <xdr:pic>
        <xdr:nvPicPr>
          <xdr:cNvPr id="3" name="Imagem 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609850" y="123825"/>
            <a:ext cx="2223068" cy="690598"/>
          </a:xfrm>
          <a:prstGeom prst="rect">
            <a:avLst/>
          </a:prstGeom>
        </xdr:spPr>
      </xdr:pic>
      <xdr:pic>
        <xdr:nvPicPr>
          <xdr:cNvPr id="4" name="Imagem 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44083" y="123827"/>
            <a:ext cx="1364816" cy="691029"/>
          </a:xfrm>
          <a:prstGeom prst="rect">
            <a:avLst/>
          </a:prstGeom>
        </xdr:spPr>
      </xdr:pic>
      <xdr:pic>
        <xdr:nvPicPr>
          <xdr:cNvPr id="5" name="Imagem 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213426" y="123827"/>
            <a:ext cx="856364" cy="694763"/>
          </a:xfrm>
          <a:prstGeom prst="rect">
            <a:avLst/>
          </a:prstGeom>
        </xdr:spPr>
      </xdr:pic>
    </xdr:grp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8</xdr:row>
          <xdr:rowOff>19050</xdr:rowOff>
        </xdr:from>
        <xdr:to>
          <xdr:col>13</xdr:col>
          <xdr:colOff>361950</xdr:colOff>
          <xdr:row>9</xdr:row>
          <xdr:rowOff>0</xdr:rowOff>
        </xdr:to>
        <xdr:sp macro="" textlink="">
          <xdr:nvSpPr>
            <xdr:cNvPr id="4543" name="OptPercLance" hidden="1">
              <a:extLst>
                <a:ext uri="{63B3BB69-23CF-44E3-9099-C40C66FF867C}">
                  <a14:compatExt spid="_x0000_s4543"/>
                </a:ext>
                <a:ext uri="{FF2B5EF4-FFF2-40B4-BE49-F238E27FC236}">
                  <a16:creationId xmlns:a16="http://schemas.microsoft.com/office/drawing/2014/main" id="{00000000-0008-0000-0100-0000B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9</xdr:row>
          <xdr:rowOff>19050</xdr:rowOff>
        </xdr:from>
        <xdr:to>
          <xdr:col>13</xdr:col>
          <xdr:colOff>361950</xdr:colOff>
          <xdr:row>9</xdr:row>
          <xdr:rowOff>266700</xdr:rowOff>
        </xdr:to>
        <xdr:sp macro="" textlink="">
          <xdr:nvSpPr>
            <xdr:cNvPr id="4544" name="OptValorLance" hidden="1">
              <a:extLst>
                <a:ext uri="{63B3BB69-23CF-44E3-9099-C40C66FF867C}">
                  <a14:compatExt spid="_x0000_s4544"/>
                </a:ext>
                <a:ext uri="{FF2B5EF4-FFF2-40B4-BE49-F238E27FC236}">
                  <a16:creationId xmlns:a16="http://schemas.microsoft.com/office/drawing/2014/main" id="{00000000-0008-0000-0100-0000C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1019175</xdr:colOff>
          <xdr:row>16</xdr:row>
          <xdr:rowOff>28575</xdr:rowOff>
        </xdr:from>
        <xdr:to>
          <xdr:col>5</xdr:col>
          <xdr:colOff>771525</xdr:colOff>
          <xdr:row>16</xdr:row>
          <xdr:rowOff>257175</xdr:rowOff>
        </xdr:to>
        <xdr:sp macro="" textlink="">
          <xdr:nvSpPr>
            <xdr:cNvPr id="4365" name="AposContemplacao" hidden="1">
              <a:extLst>
                <a:ext uri="{63B3BB69-23CF-44E3-9099-C40C66FF867C}">
                  <a14:compatExt spid="_x0000_s4365"/>
                </a:ext>
                <a:ext uri="{FF2B5EF4-FFF2-40B4-BE49-F238E27FC236}">
                  <a16:creationId xmlns:a16="http://schemas.microsoft.com/office/drawing/2014/main" id="{00000000-0008-0000-0100-00000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Após Contemplação</a:t>
              </a:r>
            </a:p>
          </xdr:txBody>
        </xdr:sp>
        <xdr:clientData/>
      </xdr:twoCellAnchor>
    </mc:Choice>
    <mc:Fallback/>
  </mc:AlternateContent>
  <xdr:twoCellAnchor editAs="oneCell">
    <xdr:from>
      <xdr:col>19</xdr:col>
      <xdr:colOff>0</xdr:colOff>
      <xdr:row>12</xdr:row>
      <xdr:rowOff>1</xdr:rowOff>
    </xdr:from>
    <xdr:to>
      <xdr:col>26</xdr:col>
      <xdr:colOff>0</xdr:colOff>
      <xdr:row>24</xdr:row>
      <xdr:rowOff>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18</xdr:col>
      <xdr:colOff>134471</xdr:colOff>
      <xdr:row>1</xdr:row>
      <xdr:rowOff>0</xdr:rowOff>
    </xdr:from>
    <xdr:to>
      <xdr:col>20</xdr:col>
      <xdr:colOff>537882</xdr:colOff>
      <xdr:row>11</xdr:row>
      <xdr:rowOff>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21</xdr:col>
      <xdr:colOff>5603</xdr:colOff>
      <xdr:row>1</xdr:row>
      <xdr:rowOff>0</xdr:rowOff>
    </xdr:from>
    <xdr:to>
      <xdr:col>26</xdr:col>
      <xdr:colOff>0</xdr:colOff>
      <xdr:row>11</xdr:row>
      <xdr:rowOff>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47625</xdr:rowOff>
        </xdr:from>
        <xdr:to>
          <xdr:col>8</xdr:col>
          <xdr:colOff>9525</xdr:colOff>
          <xdr:row>4</xdr:row>
          <xdr:rowOff>85725</xdr:rowOff>
        </xdr:to>
        <xdr:sp macro="" textlink="">
          <xdr:nvSpPr>
            <xdr:cNvPr id="4539" name="ComboBox1" hidden="1">
              <a:extLst>
                <a:ext uri="{63B3BB69-23CF-44E3-9099-C40C66FF867C}">
                  <a14:compatExt spid="_x0000_s4539"/>
                </a:ext>
                <a:ext uri="{FF2B5EF4-FFF2-40B4-BE49-F238E27FC236}">
                  <a16:creationId xmlns:a16="http://schemas.microsoft.com/office/drawing/2014/main" id="{00000000-0008-0000-0100-0000B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13</xdr:col>
      <xdr:colOff>609816</xdr:colOff>
      <xdr:row>14</xdr:row>
      <xdr:rowOff>112058</xdr:rowOff>
    </xdr:from>
    <xdr:to>
      <xdr:col>14</xdr:col>
      <xdr:colOff>1</xdr:colOff>
      <xdr:row>14</xdr:row>
      <xdr:rowOff>193087</xdr:rowOff>
    </xdr:to>
    <xdr:sp macro="[0]!CarregarPercReajuste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spect="1"/>
        </xdr:cNvSpPr>
      </xdr:nvSpPr>
      <xdr:spPr>
        <a:xfrm>
          <a:off x="7635904" y="3933264"/>
          <a:ext cx="84950" cy="81029"/>
        </a:xfrm>
        <a:prstGeom prst="rect">
          <a:avLst/>
        </a:prstGeom>
        <a:gradFill flip="none" rotWithShape="1">
          <a:gsLst>
            <a:gs pos="84000">
              <a:schemeClr val="accent1">
                <a:lumMod val="0"/>
                <a:lumOff val="100000"/>
              </a:schemeClr>
            </a:gs>
            <a:gs pos="100000">
              <a:schemeClr val="accent1">
                <a:lumMod val="0"/>
                <a:lumOff val="100000"/>
              </a:schemeClr>
            </a:gs>
            <a:gs pos="0">
              <a:schemeClr val="accent1">
                <a:lumMod val="100000"/>
              </a:schemeClr>
            </a:gs>
          </a:gsLst>
          <a:path path="circle">
            <a:fillToRect l="50000" t="50000" r="50000" b="50000"/>
          </a:path>
          <a:tileRect/>
        </a:gra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85725</xdr:colOff>
      <xdr:row>1</xdr:row>
      <xdr:rowOff>19050</xdr:rowOff>
    </xdr:from>
    <xdr:to>
      <xdr:col>29</xdr:col>
      <xdr:colOff>613776</xdr:colOff>
      <xdr:row>3</xdr:row>
      <xdr:rowOff>27119</xdr:rowOff>
    </xdr:to>
    <xdr:pic macro="[0]!Impressao_Calculo"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68875" y="114300"/>
          <a:ext cx="528051" cy="465269"/>
        </a:xfrm>
        <a:prstGeom prst="rect">
          <a:avLst/>
        </a:prstGeom>
      </xdr:spPr>
    </xdr:pic>
    <xdr:clientData fPrintsWithSheet="0"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omments" Target="../comments1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Tutorial">
    <pageSetUpPr fitToPage="1"/>
  </sheetPr>
  <dimension ref="B2:C23"/>
  <sheetViews>
    <sheetView showGridLines="0" workbookViewId="0">
      <selection activeCell="G2" sqref="G2"/>
    </sheetView>
  </sheetViews>
  <sheetFormatPr defaultColWidth="9.140625" defaultRowHeight="22.5" customHeight="1" x14ac:dyDescent="0.25"/>
  <cols>
    <col min="1" max="1" width="3.85546875" style="1" customWidth="1"/>
    <col min="2" max="2" width="1.85546875" style="5" customWidth="1"/>
    <col min="3" max="3" width="134.140625" style="6" bestFit="1" customWidth="1"/>
    <col min="4" max="16384" width="9.140625" style="1"/>
  </cols>
  <sheetData>
    <row r="2" spans="2:3" ht="22.5" customHeight="1" x14ac:dyDescent="0.25">
      <c r="B2" s="161" t="s">
        <v>9</v>
      </c>
      <c r="C2" s="161"/>
    </row>
    <row r="4" spans="2:3" ht="22.5" customHeight="1" x14ac:dyDescent="0.25">
      <c r="B4" s="162" t="s">
        <v>10</v>
      </c>
      <c r="C4" s="162"/>
    </row>
    <row r="5" spans="2:3" ht="22.5" customHeight="1" x14ac:dyDescent="0.25">
      <c r="B5" s="2" t="s">
        <v>11</v>
      </c>
      <c r="C5" s="3" t="s">
        <v>19</v>
      </c>
    </row>
    <row r="7" spans="2:3" ht="22.5" customHeight="1" x14ac:dyDescent="0.25">
      <c r="B7" s="162" t="s">
        <v>42</v>
      </c>
      <c r="C7" s="162"/>
    </row>
    <row r="8" spans="2:3" ht="22.5" customHeight="1" x14ac:dyDescent="0.25">
      <c r="B8" s="2" t="s">
        <v>11</v>
      </c>
      <c r="C8" s="3" t="s">
        <v>83</v>
      </c>
    </row>
    <row r="9" spans="2:3" ht="22.5" customHeight="1" x14ac:dyDescent="0.25">
      <c r="B9" s="2" t="s">
        <v>11</v>
      </c>
      <c r="C9" s="3" t="s">
        <v>41</v>
      </c>
    </row>
    <row r="10" spans="2:3" ht="30" x14ac:dyDescent="0.25">
      <c r="B10" s="8" t="s">
        <v>11</v>
      </c>
      <c r="C10" s="4" t="s">
        <v>43</v>
      </c>
    </row>
    <row r="11" spans="2:3" ht="48" customHeight="1" x14ac:dyDescent="0.25">
      <c r="B11" s="8" t="s">
        <v>11</v>
      </c>
      <c r="C11" s="16" t="s">
        <v>84</v>
      </c>
    </row>
    <row r="12" spans="2:3" ht="30" x14ac:dyDescent="0.25">
      <c r="B12" s="9" t="s">
        <v>11</v>
      </c>
      <c r="C12" s="3" t="s">
        <v>89</v>
      </c>
    </row>
    <row r="13" spans="2:3" ht="31.5" customHeight="1" x14ac:dyDescent="0.25">
      <c r="B13" s="9" t="s">
        <v>11</v>
      </c>
      <c r="C13" s="15" t="s">
        <v>88</v>
      </c>
    </row>
    <row r="14" spans="2:3" ht="22.5" customHeight="1" x14ac:dyDescent="0.25">
      <c r="B14" s="2" t="s">
        <v>11</v>
      </c>
      <c r="C14" s="3" t="s">
        <v>87</v>
      </c>
    </row>
    <row r="15" spans="2:3" ht="22.5" customHeight="1" x14ac:dyDescent="0.25">
      <c r="B15" s="2" t="s">
        <v>11</v>
      </c>
      <c r="C15" s="3" t="s">
        <v>86</v>
      </c>
    </row>
    <row r="16" spans="2:3" ht="30" x14ac:dyDescent="0.25">
      <c r="B16" s="9" t="s">
        <v>11</v>
      </c>
      <c r="C16" s="15" t="s">
        <v>90</v>
      </c>
    </row>
    <row r="17" spans="2:3" ht="22.5" customHeight="1" x14ac:dyDescent="0.25">
      <c r="B17" s="2" t="s">
        <v>11</v>
      </c>
      <c r="C17" s="3" t="s">
        <v>91</v>
      </c>
    </row>
    <row r="18" spans="2:3" ht="22.5" customHeight="1" x14ac:dyDescent="0.25">
      <c r="B18" s="2" t="s">
        <v>11</v>
      </c>
      <c r="C18" s="3" t="s">
        <v>93</v>
      </c>
    </row>
    <row r="20" spans="2:3" ht="22.5" customHeight="1" x14ac:dyDescent="0.25">
      <c r="B20" s="162" t="s">
        <v>12</v>
      </c>
      <c r="C20" s="162"/>
    </row>
    <row r="21" spans="2:3" ht="34.5" customHeight="1" x14ac:dyDescent="0.25">
      <c r="B21" s="9" t="s">
        <v>11</v>
      </c>
      <c r="C21" s="15" t="s">
        <v>92</v>
      </c>
    </row>
    <row r="22" spans="2:3" ht="34.5" customHeight="1" x14ac:dyDescent="0.25">
      <c r="B22" s="9" t="s">
        <v>11</v>
      </c>
      <c r="C22" s="15" t="s">
        <v>44</v>
      </c>
    </row>
    <row r="23" spans="2:3" ht="34.5" customHeight="1" x14ac:dyDescent="0.25">
      <c r="B23" s="9" t="s">
        <v>11</v>
      </c>
      <c r="C23" s="15" t="s">
        <v>45</v>
      </c>
    </row>
  </sheetData>
  <sheetProtection algorithmName="SHA-512" hashValue="cZp4fbAvHmN4P8nGhGIioXpa6oRSBpAhx9VrsAHqwZ+Pgl96bWW9KSHpunPm35e59nwGYB2JGhFPU3XQHgHTaA==" saltValue="H3sxvhPLWCot961A4SribQ==" spinCount="100000" sheet="1" objects="1" scenarios="1" selectLockedCells="1"/>
  <mergeCells count="4">
    <mergeCell ref="B2:C2"/>
    <mergeCell ref="B4:C4"/>
    <mergeCell ref="B7:C7"/>
    <mergeCell ref="B20:C20"/>
  </mergeCells>
  <pageMargins left="0.51181102362204722" right="0.51181102362204722" top="0.78740157480314965" bottom="0.78740157480314965" header="0.31496062992125984" footer="0.31496062992125984"/>
  <pageSetup paperSize="9" scale="99" orientation="landscape" r:id="rId1"/>
  <headerFooter>
    <oddHeader>&amp;C&amp;"-,Negrito"&amp;14CÁLCULO DE OPERAÇÕES DE CONSÓRCIO</oddHeader>
    <oddFooter>&amp;L&amp;8&amp;Z&amp;F&amp;R&amp;D / &amp;T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PainelDados">
    <tabColor theme="4" tint="-0.499984740745262"/>
    <outlinePr summaryRight="0"/>
    <pageSetUpPr fitToPage="1"/>
  </sheetPr>
  <dimension ref="A1:BQ663"/>
  <sheetViews>
    <sheetView showGridLines="0" showRowColHeaders="0" tabSelected="1" topLeftCell="B1" zoomScale="85" zoomScaleNormal="85" workbookViewId="0">
      <selection activeCell="H7" sqref="H7"/>
    </sheetView>
  </sheetViews>
  <sheetFormatPr defaultColWidth="9.140625" defaultRowHeight="15" x14ac:dyDescent="0.25"/>
  <cols>
    <col min="1" max="1" width="24" style="46" hidden="1" customWidth="1"/>
    <col min="2" max="2" width="2.140625" style="38" customWidth="1"/>
    <col min="3" max="3" width="3" style="22" customWidth="1"/>
    <col min="4" max="4" width="3.42578125" style="7" customWidth="1"/>
    <col min="5" max="5" width="23.7109375" style="7" customWidth="1"/>
    <col min="6" max="6" width="17.140625" style="7" customWidth="1"/>
    <col min="7" max="7" width="8.85546875" style="18" customWidth="1"/>
    <col min="8" max="8" width="18.28515625" style="7" customWidth="1"/>
    <col min="9" max="9" width="3" style="1" customWidth="1"/>
    <col min="10" max="10" width="2.140625" style="1" customWidth="1"/>
    <col min="11" max="11" width="2.7109375" style="1" customWidth="1"/>
    <col min="12" max="14" width="10.42578125" style="1" customWidth="1"/>
    <col min="15" max="15" width="13.85546875" style="1" bestFit="1" customWidth="1"/>
    <col min="16" max="16" width="8.140625" style="1" customWidth="1"/>
    <col min="17" max="17" width="8" style="1" customWidth="1"/>
    <col min="18" max="18" width="2.7109375" style="1" customWidth="1"/>
    <col min="19" max="19" width="2.140625" style="1" customWidth="1"/>
    <col min="20" max="20" width="13.85546875" style="1" bestFit="1" customWidth="1"/>
    <col min="21" max="25" width="9.140625" style="1"/>
    <col min="26" max="26" width="10.7109375" style="1" customWidth="1"/>
    <col min="27" max="27" width="2.42578125" style="1" customWidth="1"/>
    <col min="28" max="29" width="9.140625" style="128"/>
    <col min="30" max="30" width="16.42578125" style="128" bestFit="1" customWidth="1"/>
    <col min="31" max="31" width="12.7109375" style="128" bestFit="1" customWidth="1"/>
    <col min="32" max="32" width="9.140625" style="128"/>
    <col min="33" max="33" width="9.140625" style="129" customWidth="1"/>
    <col min="34" max="42" width="9.140625" style="129"/>
    <col min="43" max="43" width="33.7109375" style="130" customWidth="1"/>
    <col min="44" max="44" width="3.5703125" style="130" customWidth="1"/>
    <col min="45" max="69" width="9.140625" style="129"/>
    <col min="70" max="16384" width="9.140625" style="7"/>
  </cols>
  <sheetData>
    <row r="1" spans="1:44" ht="13.5" customHeight="1" thickBot="1" x14ac:dyDescent="0.3">
      <c r="A1" s="152"/>
      <c r="B1" s="37"/>
      <c r="C1" s="17"/>
    </row>
    <row r="2" spans="1:44" ht="21.75" customHeight="1" x14ac:dyDescent="0.25">
      <c r="A2" s="159">
        <f>100%-0.264409128434957%</f>
        <v>0.99735590871565039</v>
      </c>
      <c r="B2" s="37"/>
      <c r="C2" s="205" t="s">
        <v>82</v>
      </c>
      <c r="D2" s="206"/>
      <c r="E2" s="206"/>
      <c r="F2" s="206"/>
      <c r="G2" s="206"/>
      <c r="H2" s="206"/>
      <c r="I2" s="207"/>
      <c r="K2" s="195" t="s">
        <v>80</v>
      </c>
      <c r="L2" s="196"/>
      <c r="M2" s="196"/>
      <c r="N2" s="196"/>
      <c r="O2" s="196"/>
      <c r="P2" s="196"/>
      <c r="Q2" s="196"/>
      <c r="R2" s="197"/>
      <c r="T2" s="164"/>
      <c r="U2" s="164"/>
    </row>
    <row r="3" spans="1:44" ht="21.75" customHeight="1" thickBot="1" x14ac:dyDescent="0.3">
      <c r="A3" s="46" t="e">
        <f>SldDevedor*A5</f>
        <v>#DIV/0!</v>
      </c>
      <c r="B3" s="37"/>
      <c r="C3" s="208"/>
      <c r="D3" s="209"/>
      <c r="E3" s="209"/>
      <c r="F3" s="209"/>
      <c r="G3" s="209"/>
      <c r="H3" s="209"/>
      <c r="I3" s="210"/>
      <c r="K3" s="198"/>
      <c r="L3" s="199"/>
      <c r="M3" s="199"/>
      <c r="N3" s="199"/>
      <c r="O3" s="199"/>
      <c r="P3" s="199"/>
      <c r="Q3" s="199"/>
      <c r="R3" s="200"/>
      <c r="T3" s="164"/>
      <c r="U3" s="164"/>
      <c r="AD3" s="131" t="s">
        <v>74</v>
      </c>
      <c r="AE3" s="129">
        <f>ABS(CÁLCULO!$AC$5)</f>
        <v>0</v>
      </c>
      <c r="AF3" s="132" t="e">
        <f>Encargos/Cred_Liquido</f>
        <v>#DIV/0!</v>
      </c>
    </row>
    <row r="4" spans="1:44" ht="21.75" customHeight="1" x14ac:dyDescent="0.25">
      <c r="A4" s="152"/>
      <c r="B4" s="37"/>
      <c r="C4" s="100"/>
      <c r="D4" s="119">
        <f>IF(E4="PLANO NORMAL DE CONSÓRCIO",1,2)</f>
        <v>1</v>
      </c>
      <c r="E4" s="118" t="s">
        <v>52</v>
      </c>
      <c r="F4" s="118"/>
      <c r="G4" s="118"/>
      <c r="H4" s="118"/>
      <c r="I4" s="101"/>
      <c r="K4" s="224"/>
      <c r="L4" s="213" t="s">
        <v>77</v>
      </c>
      <c r="M4" s="214"/>
      <c r="N4" s="212" t="s">
        <v>58</v>
      </c>
      <c r="O4" s="212"/>
      <c r="P4" s="203"/>
      <c r="Q4" s="204"/>
      <c r="R4" s="222"/>
      <c r="T4" s="164"/>
      <c r="U4" s="164"/>
      <c r="AD4" s="131" t="s">
        <v>71</v>
      </c>
      <c r="AE4" s="129">
        <f>IF(AvisoErro&lt;&gt;"",0,CÁLCULO!R6+SUM(H18:H23))</f>
        <v>0</v>
      </c>
      <c r="AF4" s="132"/>
      <c r="AQ4" s="130" t="s">
        <v>52</v>
      </c>
      <c r="AR4" s="133">
        <v>1</v>
      </c>
    </row>
    <row r="5" spans="1:44" ht="21.75" customHeight="1" x14ac:dyDescent="0.25">
      <c r="A5" s="158" t="e">
        <f>-H40/H43</f>
        <v>#DIV/0!</v>
      </c>
      <c r="B5" s="37"/>
      <c r="C5" s="100"/>
      <c r="D5" s="118"/>
      <c r="E5" s="118"/>
      <c r="F5" s="118"/>
      <c r="G5" s="118"/>
      <c r="H5" s="118"/>
      <c r="I5" s="101"/>
      <c r="K5" s="224"/>
      <c r="L5" s="215"/>
      <c r="M5" s="216"/>
      <c r="N5" s="219" t="s">
        <v>59</v>
      </c>
      <c r="O5" s="219"/>
      <c r="P5" s="220" t="str">
        <f>IF(PercReajuste="","",(1+PercReajuste)^(1/12)-1)</f>
        <v/>
      </c>
      <c r="Q5" s="221"/>
      <c r="R5" s="222"/>
      <c r="T5" s="164"/>
      <c r="U5" s="164"/>
      <c r="X5" s="47"/>
      <c r="AQ5" s="130" t="s">
        <v>23</v>
      </c>
      <c r="AR5" s="133">
        <v>2</v>
      </c>
    </row>
    <row r="6" spans="1:44" ht="21.75" customHeight="1" thickBot="1" x14ac:dyDescent="0.3">
      <c r="A6" s="152">
        <f>IF(OR(MomentoContemplação=0,MomentoContemplação=""),QTDEParc,MomentoContemplação)</f>
        <v>0</v>
      </c>
      <c r="B6" s="37"/>
      <c r="C6" s="102"/>
      <c r="D6" s="163" t="s">
        <v>73</v>
      </c>
      <c r="E6" s="163"/>
      <c r="F6" s="163"/>
      <c r="G6" s="163"/>
      <c r="H6" s="163"/>
      <c r="I6" s="101"/>
      <c r="K6" s="224"/>
      <c r="L6" s="217"/>
      <c r="M6" s="218"/>
      <c r="N6" s="211" t="s">
        <v>76</v>
      </c>
      <c r="O6" s="211"/>
      <c r="P6" s="201"/>
      <c r="Q6" s="202"/>
      <c r="R6" s="222"/>
      <c r="T6" s="164"/>
      <c r="U6" s="164"/>
      <c r="X6" s="47"/>
      <c r="AD6" s="134" t="s">
        <v>62</v>
      </c>
      <c r="AE6" s="135">
        <f>CÁLCULO!AB5</f>
        <v>0</v>
      </c>
      <c r="AR6" s="133">
        <f>COUNT(CÁLCULO!C6:C332)+5</f>
        <v>6</v>
      </c>
    </row>
    <row r="7" spans="1:44" ht="21.75" customHeight="1" x14ac:dyDescent="0.25">
      <c r="A7" s="46">
        <f>ValorBase*(1+(PercTxAdm+PercTxFRes))</f>
        <v>0</v>
      </c>
      <c r="B7" s="37"/>
      <c r="C7" s="100"/>
      <c r="D7" s="177" t="str">
        <f>IF(D4=1,"VALOR DO CRÉDITO:","VALOR-BASE DA OPERAÇÃO, ANTES DO LANCE EMBUTIDO:")</f>
        <v>VALOR DO CRÉDITO:</v>
      </c>
      <c r="E7" s="177"/>
      <c r="F7" s="177"/>
      <c r="G7" s="177"/>
      <c r="H7" s="109"/>
      <c r="I7" s="101"/>
      <c r="K7" s="224"/>
      <c r="L7" s="184" t="s">
        <v>56</v>
      </c>
      <c r="M7" s="185"/>
      <c r="N7" s="174" t="s">
        <v>53</v>
      </c>
      <c r="O7" s="174"/>
      <c r="P7" s="228"/>
      <c r="Q7" s="229"/>
      <c r="R7" s="222"/>
      <c r="T7" s="164"/>
      <c r="U7" s="164"/>
      <c r="X7" s="47"/>
      <c r="AD7" s="134" t="s">
        <v>60</v>
      </c>
      <c r="AE7" s="135">
        <f>CÁLCULO!Y5</f>
        <v>0</v>
      </c>
      <c r="AR7" s="133">
        <v>46</v>
      </c>
    </row>
    <row r="8" spans="1:44" ht="21.75" customHeight="1" x14ac:dyDescent="0.25">
      <c r="A8" s="46">
        <f>H43</f>
        <v>0</v>
      </c>
      <c r="C8" s="100"/>
      <c r="D8" s="177" t="s">
        <v>14</v>
      </c>
      <c r="E8" s="177"/>
      <c r="F8" s="177"/>
      <c r="G8" s="177"/>
      <c r="H8" s="110"/>
      <c r="I8" s="101"/>
      <c r="K8" s="224"/>
      <c r="L8" s="186"/>
      <c r="M8" s="187"/>
      <c r="N8" s="191" t="s">
        <v>54</v>
      </c>
      <c r="O8" s="191"/>
      <c r="P8" s="226">
        <f>IFERROR(IF(AND($D$4=2,MomentoContemplação&lt;&gt;"",OR(PercLanceEmbutido="",PercLanceEmbutido=0)),"ERRO!",(VLOOKUP(MomentoContemplação-1,CÁLCULO!C6:P500,13,FALSE)-VLOOKUP(MomentoContemplação-1,CÁLCULO!C6:P500,7,FALSE)))*(1+VLOOKUP(MomentoContemplação,CÁLCULO!C6:P500,11,FALSE)),0)</f>
        <v>0</v>
      </c>
      <c r="Q8" s="227"/>
      <c r="R8" s="222"/>
      <c r="T8" s="164"/>
      <c r="U8" s="164"/>
      <c r="X8" s="47"/>
      <c r="AD8" s="134" t="s">
        <v>61</v>
      </c>
      <c r="AE8" s="135">
        <f>CÁLCULO!Z5</f>
        <v>0</v>
      </c>
    </row>
    <row r="9" spans="1:44" ht="21.75" customHeight="1" x14ac:dyDescent="0.25">
      <c r="A9" s="158" t="e">
        <f>A7/A8</f>
        <v>#DIV/0!</v>
      </c>
      <c r="C9" s="102"/>
      <c r="D9" s="177" t="s">
        <v>16</v>
      </c>
      <c r="E9" s="177"/>
      <c r="F9" s="177"/>
      <c r="G9" s="177"/>
      <c r="H9" s="111"/>
      <c r="I9" s="101"/>
      <c r="K9" s="224"/>
      <c r="L9" s="186"/>
      <c r="M9" s="187"/>
      <c r="N9" s="190" t="s">
        <v>94</v>
      </c>
      <c r="O9" s="190"/>
      <c r="P9" s="311"/>
      <c r="Q9" s="310"/>
      <c r="R9" s="222"/>
      <c r="S9" s="48"/>
      <c r="T9" s="164"/>
      <c r="U9" s="164"/>
      <c r="X9" s="47"/>
      <c r="AD9" s="134" t="s">
        <v>63</v>
      </c>
      <c r="AE9" s="135">
        <f>CÁLCULO!AA5</f>
        <v>0</v>
      </c>
    </row>
    <row r="10" spans="1:44" ht="21.75" customHeight="1" thickBot="1" x14ac:dyDescent="0.3">
      <c r="A10" s="46" t="e">
        <f>VLOOKUP(MomentoContemplação-1,PV_AreaCalculo,13,FALSE)</f>
        <v>#N/A</v>
      </c>
      <c r="C10" s="102"/>
      <c r="D10" s="177" t="s">
        <v>17</v>
      </c>
      <c r="E10" s="177"/>
      <c r="F10" s="177"/>
      <c r="G10" s="177"/>
      <c r="H10" s="111"/>
      <c r="I10" s="101"/>
      <c r="K10" s="224"/>
      <c r="L10" s="188"/>
      <c r="M10" s="189"/>
      <c r="N10" s="192" t="str">
        <f>IF(AND(D4=2,A19=FALSE),"VALOR DO LANCE:","VALOR DO LANCE:")</f>
        <v>VALOR DO LANCE:</v>
      </c>
      <c r="O10" s="192"/>
      <c r="P10" s="309">
        <f>IFERROR(SldDevedor*PercLance,"")</f>
        <v>0</v>
      </c>
      <c r="Q10" s="308"/>
      <c r="R10" s="222"/>
      <c r="T10" s="164"/>
      <c r="U10" s="164"/>
      <c r="X10" s="47"/>
      <c r="AE10" s="136"/>
    </row>
    <row r="11" spans="1:44" ht="21.75" customHeight="1" thickBot="1" x14ac:dyDescent="0.3">
      <c r="A11" s="46" t="e">
        <f>(A10)*A9</f>
        <v>#N/A</v>
      </c>
      <c r="C11" s="102"/>
      <c r="D11" s="177" t="s">
        <v>50</v>
      </c>
      <c r="E11" s="177"/>
      <c r="F11" s="177"/>
      <c r="G11" s="177"/>
      <c r="H11" s="112"/>
      <c r="I11" s="101"/>
      <c r="K11" s="225"/>
      <c r="L11" s="194" t="str">
        <f>IF(AND(D4=2,MomentoContemplação&gt;0,A19=TRUE,ValorLance&gt;0),"DIFERENÇA A PAGAR:",IF(AND(D4=2,MomentoContemplação&gt;0,A19=TRUE,ValorLance=0),"LANCE MÍNIMO (EMBUTIDO):",IF(AND(D4=2,MomentoContemplação&gt;0,A18=TRUE,PercLance=0),"LANCE MÍNIMO (EMBUTIDO):",IF(AND(D4=2,MomentoContemplação&gt;0,A18=TRUE,PercLance&gt;0),"DIFERENÇA A PAGAR:",""))))</f>
        <v/>
      </c>
      <c r="M11" s="194"/>
      <c r="N11" s="194"/>
      <c r="O11" s="160" t="str">
        <f>IFERROR(IF(OR(D4=1,MomentoContemplação=0),"",IF(AND(MomentoContemplação&gt;0,L11="% MÍNIMO DE LANCE:"),A5,P11/SldDevedor)),0)</f>
        <v/>
      </c>
      <c r="P11" s="193" t="str">
        <f>IF(L11="","",IF(L11="VALOR MÍNIMO DE LANCE:",A3,IF(L11="","",IF(L11="% MÍNIMO DE LANCE:",A3,ValorLance-A3))))</f>
        <v/>
      </c>
      <c r="Q11" s="193"/>
      <c r="R11" s="223"/>
      <c r="T11" s="164"/>
      <c r="U11" s="164"/>
      <c r="X11" s="47"/>
    </row>
    <row r="12" spans="1:44" ht="21.75" customHeight="1" thickBot="1" x14ac:dyDescent="0.3">
      <c r="A12" s="158" t="e">
        <f>(ValorBase*PercLanceEmbutido)/(H39+H42)</f>
        <v>#DIV/0!</v>
      </c>
      <c r="C12" s="102"/>
      <c r="D12" s="177" t="s">
        <v>18</v>
      </c>
      <c r="E12" s="177"/>
      <c r="F12" s="177"/>
      <c r="G12" s="177"/>
      <c r="H12" s="111"/>
      <c r="I12" s="101"/>
      <c r="K12" s="165" t="str">
        <f>IF(AND($D$4=2,MomentoContemplação&lt;&gt;"",OR($H$13="",H13=0)),"O CAMPO 'LANCE EMBUTIDO' DEVE ESTAR PREENCHIDO!","")</f>
        <v/>
      </c>
      <c r="L12" s="165"/>
      <c r="M12" s="165"/>
      <c r="N12" s="165"/>
      <c r="O12" s="165"/>
      <c r="P12" s="165"/>
      <c r="Q12" s="165"/>
      <c r="R12" s="165"/>
      <c r="X12" s="47"/>
    </row>
    <row r="13" spans="1:44" ht="21.75" customHeight="1" thickTop="1" x14ac:dyDescent="0.25">
      <c r="A13" s="46">
        <f>IF(D4=1,0,A11*PercSldDev)</f>
        <v>0</v>
      </c>
      <c r="C13" s="102"/>
      <c r="D13" s="177" t="str">
        <f>IF(D4=1,"LANCE EMBUTIDO (NÃO APLICÁVEL AO PLANO ESCOLHIDO):","LANCE EMBUTIDO (PREENCHIMENTO OBRIGATÓRIO):")</f>
        <v>LANCE EMBUTIDO (NÃO APLICÁVEL AO PLANO ESCOLHIDO):</v>
      </c>
      <c r="E13" s="177"/>
      <c r="F13" s="177"/>
      <c r="G13" s="177"/>
      <c r="H13" s="113"/>
      <c r="I13" s="101"/>
      <c r="K13" s="178" t="s">
        <v>55</v>
      </c>
      <c r="L13" s="179"/>
      <c r="M13" s="179"/>
      <c r="N13" s="179"/>
      <c r="O13" s="179"/>
      <c r="P13" s="179"/>
      <c r="Q13" s="179"/>
      <c r="R13" s="180"/>
      <c r="X13" s="47"/>
    </row>
    <row r="14" spans="1:44" ht="23.25" customHeight="1" thickBot="1" x14ac:dyDescent="0.3">
      <c r="A14" s="158" t="e">
        <f>rng_VlrMinimoLance/SldDevedor</f>
        <v>#DIV/0!</v>
      </c>
      <c r="C14" s="102"/>
      <c r="D14" s="244"/>
      <c r="E14" s="244"/>
      <c r="F14" s="244"/>
      <c r="G14" s="244"/>
      <c r="H14" s="244"/>
      <c r="I14" s="101"/>
      <c r="K14" s="181"/>
      <c r="L14" s="182"/>
      <c r="M14" s="182"/>
      <c r="N14" s="182"/>
      <c r="O14" s="182"/>
      <c r="P14" s="182"/>
      <c r="Q14" s="182"/>
      <c r="R14" s="183"/>
      <c r="X14" s="47"/>
    </row>
    <row r="15" spans="1:44" ht="21.75" customHeight="1" x14ac:dyDescent="0.25">
      <c r="A15" s="46">
        <f>IF(D4=1,SldDevedor,VlrLanceSldoDev)</f>
        <v>0</v>
      </c>
      <c r="C15" s="102"/>
      <c r="D15" s="163" t="s">
        <v>24</v>
      </c>
      <c r="E15" s="163"/>
      <c r="F15" s="163"/>
      <c r="G15" s="163"/>
      <c r="H15" s="163"/>
      <c r="I15" s="101"/>
      <c r="K15" s="270"/>
      <c r="L15" s="168" t="s">
        <v>78</v>
      </c>
      <c r="M15" s="169"/>
      <c r="N15" s="173" t="s">
        <v>79</v>
      </c>
      <c r="O15" s="173"/>
      <c r="P15" s="275"/>
      <c r="Q15" s="276"/>
      <c r="R15" s="268"/>
      <c r="X15" s="47"/>
    </row>
    <row r="16" spans="1:44" ht="21.75" customHeight="1" thickBot="1" x14ac:dyDescent="0.3">
      <c r="A16" s="152">
        <f>IF(OR(NroParcAntecipadas="",NroParcAntecipadas=0),1,NroParcAntecipadas)</f>
        <v>1</v>
      </c>
      <c r="C16" s="102"/>
      <c r="D16" s="163" t="s">
        <v>32</v>
      </c>
      <c r="E16" s="163"/>
      <c r="F16" s="163"/>
      <c r="G16" s="114" t="s">
        <v>33</v>
      </c>
      <c r="H16" s="114" t="s">
        <v>34</v>
      </c>
      <c r="I16" s="101"/>
      <c r="K16" s="270"/>
      <c r="L16" s="170"/>
      <c r="M16" s="171"/>
      <c r="N16" s="172" t="s">
        <v>57</v>
      </c>
      <c r="O16" s="172"/>
      <c r="P16" s="273" t="str">
        <f>IF(P15="","",(1+P15)^12-1)</f>
        <v/>
      </c>
      <c r="Q16" s="274"/>
      <c r="R16" s="268"/>
      <c r="X16" s="47"/>
    </row>
    <row r="17" spans="1:44" ht="21.75" customHeight="1" thickBot="1" x14ac:dyDescent="0.3">
      <c r="A17" s="46">
        <f>VLOOKUP(MomentoContemplação,Reaj_VlrBase,2,FALSE)</f>
        <v>0</v>
      </c>
      <c r="C17" s="102"/>
      <c r="D17" s="243" t="s">
        <v>25</v>
      </c>
      <c r="E17" s="243"/>
      <c r="F17" s="243"/>
      <c r="G17" s="115" t="s">
        <v>21</v>
      </c>
      <c r="H17" s="116">
        <v>0</v>
      </c>
      <c r="I17" s="101"/>
      <c r="K17" s="270"/>
      <c r="L17" s="264" t="s">
        <v>85</v>
      </c>
      <c r="M17" s="265"/>
      <c r="N17" s="265"/>
      <c r="O17" s="265"/>
      <c r="P17" s="266">
        <f>IFERROR(IF(AND($D$4=2,OR($H$13="",H13=0)),"",SUM(CÁLCULO!R6:R332)),0)</f>
        <v>0</v>
      </c>
      <c r="Q17" s="267"/>
      <c r="R17" s="268"/>
      <c r="X17" s="47"/>
    </row>
    <row r="18" spans="1:44" ht="21.75" customHeight="1" x14ac:dyDescent="0.25">
      <c r="A18" s="46" t="b">
        <v>1</v>
      </c>
      <c r="C18" s="102"/>
      <c r="D18" s="236" t="s">
        <v>26</v>
      </c>
      <c r="E18" s="236"/>
      <c r="F18" s="236"/>
      <c r="G18" s="115" t="s">
        <v>27</v>
      </c>
      <c r="H18" s="117">
        <v>0</v>
      </c>
      <c r="I18" s="101"/>
      <c r="K18" s="270"/>
      <c r="L18" s="250" t="str">
        <f>IF(P18&gt;0,"GANHO PROVOCADO PELA TVP =&gt;","CUSTO EFETIVO DA OPERAÇÃO =&gt;")</f>
        <v>CUSTO EFETIVO DA OPERAÇÃO =&gt;</v>
      </c>
      <c r="M18" s="251"/>
      <c r="N18" s="251"/>
      <c r="O18" s="126" t="s">
        <v>38</v>
      </c>
      <c r="P18" s="256">
        <f>IFERROR(IF(AND($D$4=2,OR($H$13="",H13=0)),"",CÁLCULO!$R$5),0)</f>
        <v>0</v>
      </c>
      <c r="Q18" s="257"/>
      <c r="R18" s="268"/>
      <c r="X18" s="47"/>
    </row>
    <row r="19" spans="1:44" ht="21.75" customHeight="1" thickBot="1" x14ac:dyDescent="0.3">
      <c r="A19" s="46" t="b">
        <v>0</v>
      </c>
      <c r="C19" s="102"/>
      <c r="D19" s="236" t="s">
        <v>30</v>
      </c>
      <c r="E19" s="236"/>
      <c r="F19" s="236"/>
      <c r="G19" s="115" t="s">
        <v>27</v>
      </c>
      <c r="H19" s="117">
        <v>0</v>
      </c>
      <c r="I19" s="101"/>
      <c r="K19" s="270"/>
      <c r="L19" s="252"/>
      <c r="M19" s="253"/>
      <c r="N19" s="253"/>
      <c r="O19" s="125" t="s">
        <v>39</v>
      </c>
      <c r="P19" s="254">
        <f>IF(P18="","",(1+P18)^12-1)</f>
        <v>0</v>
      </c>
      <c r="Q19" s="255"/>
      <c r="R19" s="268"/>
      <c r="X19" s="47"/>
    </row>
    <row r="20" spans="1:44" ht="21.75" customHeight="1" thickBot="1" x14ac:dyDescent="0.3">
      <c r="A20" s="153">
        <f>A17*PercLanceEmbutido</f>
        <v>0</v>
      </c>
      <c r="B20" s="45"/>
      <c r="C20" s="102"/>
      <c r="D20" s="236" t="s">
        <v>40</v>
      </c>
      <c r="E20" s="236"/>
      <c r="F20" s="236"/>
      <c r="G20" s="115" t="s">
        <v>27</v>
      </c>
      <c r="H20" s="117">
        <v>0</v>
      </c>
      <c r="I20" s="101"/>
      <c r="K20" s="270"/>
      <c r="L20" s="272"/>
      <c r="M20" s="272"/>
      <c r="N20" s="272"/>
      <c r="O20" s="272"/>
      <c r="P20" s="272"/>
      <c r="Q20" s="272"/>
      <c r="R20" s="268"/>
      <c r="X20" s="47"/>
    </row>
    <row r="21" spans="1:44" ht="21.75" customHeight="1" thickTop="1" thickBot="1" x14ac:dyDescent="0.3">
      <c r="A21" s="46">
        <f>IF(A18=TRUE,SldDevedor*PercLance)</f>
        <v>0</v>
      </c>
      <c r="C21" s="103"/>
      <c r="D21" s="236"/>
      <c r="E21" s="236"/>
      <c r="F21" s="236"/>
      <c r="G21" s="115" t="s">
        <v>27</v>
      </c>
      <c r="H21" s="117">
        <v>0</v>
      </c>
      <c r="I21" s="101"/>
      <c r="K21" s="270"/>
      <c r="L21" s="258" t="s">
        <v>72</v>
      </c>
      <c r="M21" s="259"/>
      <c r="N21" s="259"/>
      <c r="O21" s="259"/>
      <c r="P21" s="175">
        <f>IFERROR(IF(AND($D$4=2,OR($H$13="",H13=0)),"",CÁLCULO!R6+SUM(H18:H23)),0)</f>
        <v>0</v>
      </c>
      <c r="Q21" s="176"/>
      <c r="R21" s="268"/>
      <c r="X21" s="47"/>
    </row>
    <row r="22" spans="1:44" ht="21.75" customHeight="1" thickTop="1" thickBot="1" x14ac:dyDescent="0.3">
      <c r="A22" s="46" t="e">
        <f>A3-A21</f>
        <v>#DIV/0!</v>
      </c>
      <c r="C22" s="102"/>
      <c r="D22" s="236"/>
      <c r="E22" s="236"/>
      <c r="F22" s="236"/>
      <c r="G22" s="115" t="s">
        <v>27</v>
      </c>
      <c r="H22" s="117">
        <v>0</v>
      </c>
      <c r="I22" s="101"/>
      <c r="K22" s="270"/>
      <c r="L22" s="167"/>
      <c r="M22" s="167"/>
      <c r="N22" s="167"/>
      <c r="O22" s="167"/>
      <c r="P22" s="167"/>
      <c r="Q22" s="167"/>
      <c r="R22" s="268"/>
      <c r="S22" s="74"/>
      <c r="X22" s="47"/>
      <c r="AE22" s="129"/>
      <c r="AF22" s="129"/>
      <c r="AO22" s="130"/>
      <c r="AP22" s="130"/>
      <c r="AQ22" s="129"/>
      <c r="AR22" s="129"/>
    </row>
    <row r="23" spans="1:44" ht="21.75" customHeight="1" thickTop="1" thickBot="1" x14ac:dyDescent="0.3">
      <c r="A23" s="46">
        <f>SldDevedor*PercLanceEmbutido</f>
        <v>0</v>
      </c>
      <c r="C23" s="102"/>
      <c r="D23" s="236"/>
      <c r="E23" s="236"/>
      <c r="F23" s="236"/>
      <c r="G23" s="115" t="s">
        <v>27</v>
      </c>
      <c r="H23" s="117">
        <v>0</v>
      </c>
      <c r="I23" s="101"/>
      <c r="K23" s="270"/>
      <c r="L23" s="262" t="s">
        <v>31</v>
      </c>
      <c r="M23" s="263"/>
      <c r="N23" s="263"/>
      <c r="O23" s="127">
        <v>1</v>
      </c>
      <c r="P23" s="260">
        <f>IFERROR(IF(AND($D$4=2,OR($H$13="",H13=0)),"",VLOOKUP(O23,CÁLCULO!C6:R332,12,FALSE)-VLOOKUP(O23,CÁLCULO!C6:R332,4,FALSE)-VLOOKUP(O23,CÁLCULO!C6:R332,8,FALSE)),0)</f>
        <v>0</v>
      </c>
      <c r="Q23" s="261"/>
      <c r="R23" s="268"/>
      <c r="S23" s="74"/>
      <c r="AE23" s="129"/>
      <c r="AF23" s="129"/>
      <c r="AO23" s="130"/>
      <c r="AP23" s="130"/>
      <c r="AQ23" s="129"/>
      <c r="AR23" s="129"/>
    </row>
    <row r="24" spans="1:44" ht="21.75" customHeight="1" thickTop="1" thickBot="1" x14ac:dyDescent="0.3">
      <c r="C24" s="104"/>
      <c r="D24" s="105"/>
      <c r="E24" s="105"/>
      <c r="F24" s="105"/>
      <c r="G24" s="106"/>
      <c r="H24" s="107"/>
      <c r="I24" s="108"/>
      <c r="K24" s="271"/>
      <c r="L24" s="166"/>
      <c r="M24" s="166"/>
      <c r="N24" s="166"/>
      <c r="O24" s="166"/>
      <c r="P24" s="166"/>
      <c r="Q24" s="166"/>
      <c r="R24" s="269"/>
      <c r="AE24" s="129"/>
      <c r="AF24" s="129"/>
      <c r="AO24" s="130"/>
      <c r="AP24" s="130"/>
      <c r="AQ24" s="129"/>
      <c r="AR24" s="129"/>
    </row>
    <row r="25" spans="1:44" ht="11.25" customHeight="1" x14ac:dyDescent="0.25">
      <c r="A25" s="46" t="b">
        <v>1</v>
      </c>
      <c r="AE25" s="129"/>
      <c r="AF25" s="129"/>
      <c r="AO25" s="130"/>
      <c r="AP25" s="130"/>
      <c r="AQ25" s="129"/>
      <c r="AR25" s="129"/>
    </row>
    <row r="26" spans="1:44" ht="21.75" customHeight="1" x14ac:dyDescent="0.25">
      <c r="K26" s="248" t="str">
        <f>IF(AND($D$4=2,OR($H$13="",H13=0)),"ATENÇÃO!","")</f>
        <v/>
      </c>
      <c r="L26" s="248"/>
      <c r="M26" s="248"/>
      <c r="N26" s="248"/>
      <c r="O26" s="248"/>
      <c r="P26" s="248"/>
      <c r="Q26" s="248"/>
      <c r="R26" s="248"/>
      <c r="AE26" s="129"/>
      <c r="AF26" s="129"/>
      <c r="AO26" s="130"/>
      <c r="AP26" s="130"/>
      <c r="AQ26" s="129"/>
      <c r="AR26" s="129"/>
    </row>
    <row r="27" spans="1:44" ht="21.75" customHeight="1" x14ac:dyDescent="0.25">
      <c r="K27" s="249" t="str">
        <f>IF(AND($D$4=2,OR($H$13="",H13=0)),"Devido ao plano de consórcio escolhido, o campo 'LANCE EMBUTIDO' deve conter um percentual de lance mínimo!","")</f>
        <v/>
      </c>
      <c r="L27" s="249"/>
      <c r="M27" s="249"/>
      <c r="N27" s="249"/>
      <c r="O27" s="249"/>
      <c r="P27" s="249"/>
      <c r="Q27" s="249"/>
      <c r="R27" s="249"/>
    </row>
    <row r="28" spans="1:44" ht="21.75" customHeight="1" x14ac:dyDescent="0.25">
      <c r="K28" s="249"/>
      <c r="L28" s="249"/>
      <c r="M28" s="249"/>
      <c r="N28" s="249"/>
      <c r="O28" s="249"/>
      <c r="P28" s="249"/>
      <c r="Q28" s="249"/>
      <c r="R28" s="249"/>
    </row>
    <row r="29" spans="1:44" ht="21.75" customHeight="1" x14ac:dyDescent="0.25"/>
    <row r="30" spans="1:44" ht="21.75" customHeight="1" x14ac:dyDescent="0.25"/>
    <row r="31" spans="1:44" ht="21.75" customHeight="1" x14ac:dyDescent="0.25">
      <c r="D31" s="233" t="s">
        <v>51</v>
      </c>
      <c r="E31" s="234"/>
      <c r="F31" s="235"/>
      <c r="G31" s="78">
        <v>1</v>
      </c>
      <c r="H31" s="79">
        <f>H7</f>
        <v>0</v>
      </c>
    </row>
    <row r="32" spans="1:44" ht="21.75" customHeight="1" x14ac:dyDescent="0.25">
      <c r="D32" s="237" t="s">
        <v>3</v>
      </c>
      <c r="E32" s="238"/>
      <c r="F32" s="239"/>
      <c r="G32" s="80">
        <f>IF(H10=0,0,H10)</f>
        <v>0</v>
      </c>
      <c r="H32" s="81">
        <f>$H$31*G32</f>
        <v>0</v>
      </c>
    </row>
    <row r="33" spans="1:69" s="30" customFormat="1" x14ac:dyDescent="0.25">
      <c r="A33" s="154"/>
      <c r="B33" s="92"/>
      <c r="D33" s="233" t="str">
        <f>D31</f>
        <v>VALOR-BASE DA OPERAÇÃO:</v>
      </c>
      <c r="E33" s="234"/>
      <c r="F33" s="235"/>
      <c r="G33" s="78">
        <v>1</v>
      </c>
      <c r="H33" s="79">
        <f>H7</f>
        <v>0</v>
      </c>
      <c r="I33" s="74"/>
      <c r="J33" s="74"/>
      <c r="K33" s="74"/>
      <c r="R33" s="74"/>
      <c r="S33" s="74"/>
      <c r="AB33" s="128"/>
      <c r="AC33" s="128"/>
      <c r="AD33" s="128"/>
      <c r="AE33" s="128"/>
      <c r="AF33" s="128"/>
      <c r="AG33" s="129"/>
      <c r="AH33" s="129"/>
      <c r="AI33" s="129"/>
      <c r="AJ33" s="129"/>
      <c r="AK33" s="129"/>
      <c r="AL33" s="129"/>
      <c r="AM33" s="129"/>
      <c r="AN33" s="129"/>
      <c r="AO33" s="129"/>
      <c r="AP33" s="129"/>
      <c r="AQ33" s="130"/>
      <c r="AR33" s="130"/>
      <c r="AS33" s="129"/>
      <c r="AT33" s="129"/>
      <c r="AU33" s="129"/>
      <c r="AV33" s="129"/>
      <c r="AW33" s="129"/>
      <c r="AX33" s="129"/>
      <c r="AY33" s="129"/>
      <c r="AZ33" s="129"/>
      <c r="BA33" s="129"/>
      <c r="BB33" s="129"/>
      <c r="BC33" s="129"/>
      <c r="BD33" s="129"/>
      <c r="BE33" s="129"/>
      <c r="BF33" s="129"/>
      <c r="BG33" s="129"/>
      <c r="BH33" s="129"/>
      <c r="BI33" s="129"/>
      <c r="BJ33" s="129"/>
      <c r="BK33" s="129"/>
      <c r="BL33" s="129"/>
      <c r="BM33" s="129"/>
      <c r="BN33" s="129"/>
      <c r="BO33" s="129"/>
      <c r="BP33" s="129"/>
      <c r="BQ33" s="129"/>
    </row>
    <row r="34" spans="1:69" s="30" customFormat="1" x14ac:dyDescent="0.25">
      <c r="A34" s="154"/>
      <c r="B34" s="92"/>
      <c r="D34" s="240" t="s">
        <v>4</v>
      </c>
      <c r="E34" s="241"/>
      <c r="F34" s="242"/>
      <c r="G34" s="75">
        <f>H9-G32</f>
        <v>0</v>
      </c>
      <c r="H34" s="82">
        <f>H31*G34</f>
        <v>0</v>
      </c>
      <c r="I34" s="74"/>
      <c r="J34" s="74"/>
      <c r="AB34" s="128"/>
      <c r="AC34" s="128"/>
      <c r="AD34" s="128"/>
      <c r="AE34" s="128"/>
      <c r="AF34" s="128"/>
      <c r="AG34" s="129"/>
      <c r="AH34" s="129"/>
      <c r="AI34" s="129"/>
      <c r="AJ34" s="129"/>
      <c r="AK34" s="129"/>
      <c r="AL34" s="129"/>
      <c r="AM34" s="129"/>
      <c r="AN34" s="129"/>
      <c r="AO34" s="129"/>
      <c r="AP34" s="129"/>
      <c r="AQ34" s="130"/>
      <c r="AR34" s="130"/>
      <c r="AS34" s="129"/>
      <c r="AT34" s="129"/>
      <c r="AU34" s="129"/>
      <c r="AV34" s="129"/>
      <c r="AW34" s="129"/>
      <c r="AX34" s="129"/>
      <c r="AY34" s="129"/>
      <c r="AZ34" s="129"/>
      <c r="BA34" s="129"/>
      <c r="BB34" s="129"/>
      <c r="BC34" s="129"/>
      <c r="BD34" s="129"/>
      <c r="BE34" s="129"/>
      <c r="BF34" s="129"/>
      <c r="BG34" s="129"/>
      <c r="BH34" s="129"/>
      <c r="BI34" s="129"/>
      <c r="BJ34" s="129"/>
      <c r="BK34" s="129"/>
      <c r="BL34" s="129"/>
      <c r="BM34" s="129"/>
      <c r="BN34" s="129"/>
      <c r="BO34" s="129"/>
      <c r="BP34" s="129"/>
      <c r="BQ34" s="129"/>
    </row>
    <row r="35" spans="1:69" s="57" customFormat="1" ht="21.75" customHeight="1" x14ac:dyDescent="0.25">
      <c r="A35" s="46"/>
      <c r="B35" s="38"/>
      <c r="D35" s="240" t="s">
        <v>5</v>
      </c>
      <c r="E35" s="241"/>
      <c r="F35" s="242"/>
      <c r="G35" s="75">
        <f>H12</f>
        <v>0</v>
      </c>
      <c r="H35" s="83">
        <f>H33*G35</f>
        <v>0</v>
      </c>
      <c r="I35" s="47"/>
      <c r="J35" s="47"/>
      <c r="AA35" s="47"/>
      <c r="AB35" s="128"/>
      <c r="AC35" s="128"/>
      <c r="AD35" s="128"/>
      <c r="AE35" s="128"/>
      <c r="AF35" s="128"/>
      <c r="AG35" s="129"/>
      <c r="AH35" s="129"/>
      <c r="AI35" s="129"/>
      <c r="AJ35" s="129"/>
      <c r="AK35" s="129"/>
      <c r="AL35" s="129"/>
      <c r="AM35" s="129"/>
      <c r="AN35" s="129"/>
      <c r="AO35" s="129"/>
      <c r="AP35" s="129"/>
      <c r="AQ35" s="130"/>
      <c r="AR35" s="130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29"/>
      <c r="BE35" s="129"/>
      <c r="BF35" s="129"/>
      <c r="BG35" s="129"/>
      <c r="BH35" s="129"/>
      <c r="BI35" s="129"/>
      <c r="BJ35" s="129"/>
      <c r="BK35" s="129"/>
      <c r="BL35" s="129"/>
      <c r="BM35" s="129"/>
      <c r="BN35" s="129"/>
      <c r="BO35" s="129"/>
      <c r="BP35" s="129"/>
      <c r="BQ35" s="129"/>
    </row>
    <row r="36" spans="1:69" s="22" customFormat="1" ht="21.75" customHeight="1" x14ac:dyDescent="0.25">
      <c r="A36" s="155"/>
      <c r="B36" s="56"/>
      <c r="D36" s="237"/>
      <c r="E36" s="238"/>
      <c r="F36" s="239"/>
      <c r="G36" s="84"/>
      <c r="H36" s="85">
        <f>SUM(H33:H35)</f>
        <v>0</v>
      </c>
      <c r="I36" s="58"/>
      <c r="J36" s="58"/>
      <c r="AA36" s="58"/>
      <c r="AB36" s="128"/>
      <c r="AC36" s="128"/>
      <c r="AD36" s="128"/>
      <c r="AE36" s="128"/>
      <c r="AF36" s="128"/>
      <c r="AG36" s="129"/>
      <c r="AH36" s="129"/>
      <c r="AI36" s="129"/>
      <c r="AJ36" s="129"/>
      <c r="AK36" s="129"/>
      <c r="AL36" s="129"/>
      <c r="AM36" s="129"/>
      <c r="AN36" s="129"/>
      <c r="AO36" s="129"/>
      <c r="AP36" s="129"/>
      <c r="AQ36" s="130"/>
      <c r="AR36" s="130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29"/>
      <c r="BE36" s="129"/>
      <c r="BF36" s="129"/>
      <c r="BG36" s="129"/>
      <c r="BH36" s="129"/>
      <c r="BI36" s="129"/>
      <c r="BJ36" s="129"/>
      <c r="BK36" s="129"/>
      <c r="BL36" s="129"/>
      <c r="BM36" s="129"/>
      <c r="BN36" s="129"/>
      <c r="BO36" s="129"/>
      <c r="BP36" s="129"/>
      <c r="BQ36" s="129"/>
    </row>
    <row r="37" spans="1:69" s="22" customFormat="1" ht="21.75" customHeight="1" x14ac:dyDescent="0.25">
      <c r="A37" s="155"/>
      <c r="B37" s="56"/>
      <c r="D37" s="233" t="s">
        <v>6</v>
      </c>
      <c r="E37" s="234"/>
      <c r="F37" s="235"/>
      <c r="G37" s="86">
        <f>H13</f>
        <v>0</v>
      </c>
      <c r="H37" s="87">
        <f>IF(D4=1,0,H7*-G37)</f>
        <v>0</v>
      </c>
      <c r="I37" s="58"/>
      <c r="J37" s="58"/>
      <c r="K37" s="58"/>
      <c r="L37" s="58"/>
      <c r="M37" s="58"/>
      <c r="AA37" s="58"/>
      <c r="AB37" s="128"/>
      <c r="AC37" s="128"/>
      <c r="AD37" s="128"/>
      <c r="AE37" s="128"/>
      <c r="AF37" s="128"/>
      <c r="AG37" s="129"/>
      <c r="AH37" s="129"/>
      <c r="AI37" s="129"/>
      <c r="AJ37" s="129"/>
      <c r="AK37" s="129"/>
      <c r="AL37" s="129"/>
      <c r="AM37" s="129"/>
      <c r="AN37" s="129"/>
      <c r="AO37" s="129"/>
      <c r="AP37" s="129"/>
      <c r="AQ37" s="130"/>
      <c r="AR37" s="130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29"/>
      <c r="BE37" s="129"/>
      <c r="BF37" s="129"/>
      <c r="BG37" s="129"/>
      <c r="BH37" s="129"/>
      <c r="BI37" s="129"/>
      <c r="BJ37" s="129"/>
      <c r="BK37" s="129"/>
      <c r="BL37" s="129"/>
      <c r="BM37" s="129"/>
      <c r="BN37" s="129"/>
      <c r="BO37" s="129"/>
      <c r="BP37" s="129"/>
      <c r="BQ37" s="129"/>
    </row>
    <row r="38" spans="1:69" s="22" customFormat="1" ht="21.75" customHeight="1" x14ac:dyDescent="0.25">
      <c r="A38" s="155"/>
      <c r="B38" s="56"/>
      <c r="D38" s="230" t="s">
        <v>7</v>
      </c>
      <c r="E38" s="231"/>
      <c r="F38" s="232"/>
      <c r="G38" s="80"/>
      <c r="H38" s="85">
        <f>SUM(H36:H37)</f>
        <v>0</v>
      </c>
      <c r="K38" s="58"/>
      <c r="L38" s="58"/>
      <c r="M38" s="58"/>
      <c r="AA38" s="58"/>
      <c r="AB38" s="128"/>
      <c r="AC38" s="128"/>
      <c r="AD38" s="128"/>
      <c r="AE38" s="128"/>
      <c r="AF38" s="128"/>
      <c r="AG38" s="129"/>
      <c r="AH38" s="129"/>
      <c r="AI38" s="129"/>
      <c r="AJ38" s="129"/>
      <c r="AK38" s="129"/>
      <c r="AL38" s="129"/>
      <c r="AM38" s="129"/>
      <c r="AN38" s="129"/>
      <c r="AO38" s="129"/>
      <c r="AP38" s="129"/>
      <c r="AQ38" s="130"/>
      <c r="AR38" s="130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29"/>
      <c r="BE38" s="129"/>
      <c r="BF38" s="129"/>
      <c r="BG38" s="129"/>
      <c r="BH38" s="129"/>
      <c r="BI38" s="129"/>
      <c r="BJ38" s="129"/>
      <c r="BK38" s="129"/>
      <c r="BL38" s="129"/>
      <c r="BM38" s="129"/>
      <c r="BN38" s="129"/>
      <c r="BO38" s="129"/>
      <c r="BP38" s="129"/>
      <c r="BQ38" s="129"/>
    </row>
    <row r="39" spans="1:69" s="22" customFormat="1" ht="21.75" customHeight="1" x14ac:dyDescent="0.25">
      <c r="A39" s="155"/>
      <c r="B39" s="56"/>
      <c r="D39" s="233" t="str">
        <f>D31</f>
        <v>VALOR-BASE DA OPERAÇÃO:</v>
      </c>
      <c r="E39" s="234"/>
      <c r="F39" s="235"/>
      <c r="G39" s="88">
        <v>1</v>
      </c>
      <c r="H39" s="87">
        <f>H7</f>
        <v>0</v>
      </c>
      <c r="K39" s="58"/>
      <c r="L39" s="58"/>
      <c r="AA39" s="58"/>
      <c r="AB39" s="128"/>
      <c r="AC39" s="128"/>
      <c r="AD39" s="128"/>
      <c r="AE39" s="128"/>
      <c r="AF39" s="128"/>
      <c r="AG39" s="129"/>
      <c r="AH39" s="129"/>
      <c r="AI39" s="129"/>
      <c r="AJ39" s="129"/>
      <c r="AK39" s="129"/>
      <c r="AL39" s="129"/>
      <c r="AM39" s="129"/>
      <c r="AN39" s="129"/>
      <c r="AO39" s="129"/>
      <c r="AP39" s="129"/>
      <c r="AQ39" s="130"/>
      <c r="AR39" s="130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29"/>
      <c r="BE39" s="129"/>
      <c r="BF39" s="129"/>
      <c r="BG39" s="129"/>
      <c r="BH39" s="129"/>
      <c r="BI39" s="129"/>
      <c r="BJ39" s="129"/>
      <c r="BK39" s="129"/>
      <c r="BL39" s="129"/>
      <c r="BM39" s="129"/>
      <c r="BN39" s="129"/>
      <c r="BO39" s="129"/>
      <c r="BP39" s="129"/>
      <c r="BQ39" s="129"/>
    </row>
    <row r="40" spans="1:69" s="129" customFormat="1" ht="21.75" customHeight="1" x14ac:dyDescent="0.25">
      <c r="A40" s="156"/>
      <c r="B40" s="131"/>
      <c r="D40" s="240" t="s">
        <v>6</v>
      </c>
      <c r="E40" s="241"/>
      <c r="F40" s="242"/>
      <c r="G40" s="76">
        <f>H13</f>
        <v>0</v>
      </c>
      <c r="H40" s="83">
        <f>H37</f>
        <v>0</v>
      </c>
      <c r="K40" s="128"/>
      <c r="L40" s="128"/>
      <c r="AA40" s="128"/>
      <c r="AB40" s="128"/>
      <c r="AC40" s="128"/>
      <c r="AD40" s="128"/>
      <c r="AE40" s="128"/>
      <c r="AF40" s="128"/>
      <c r="AQ40" s="130"/>
      <c r="AR40" s="130"/>
    </row>
    <row r="41" spans="1:69" s="129" customFormat="1" ht="21.75" customHeight="1" x14ac:dyDescent="0.25">
      <c r="A41" s="156"/>
      <c r="B41" s="131"/>
      <c r="D41" s="245" t="s">
        <v>2</v>
      </c>
      <c r="E41" s="246"/>
      <c r="F41" s="247"/>
      <c r="G41" s="76"/>
      <c r="H41" s="89">
        <f>SUM(H39:H40)</f>
        <v>0</v>
      </c>
      <c r="I41" s="128"/>
      <c r="J41" s="128"/>
      <c r="K41" s="128"/>
      <c r="L41" s="128"/>
      <c r="AA41" s="128"/>
      <c r="AB41" s="128"/>
      <c r="AC41" s="128"/>
      <c r="AD41" s="128"/>
      <c r="AE41" s="128"/>
      <c r="AF41" s="128"/>
      <c r="AQ41" s="130"/>
      <c r="AR41" s="130"/>
    </row>
    <row r="42" spans="1:69" s="129" customFormat="1" ht="21.75" customHeight="1" x14ac:dyDescent="0.25">
      <c r="A42" s="156"/>
      <c r="B42" s="131"/>
      <c r="D42" s="240" t="s">
        <v>8</v>
      </c>
      <c r="E42" s="241"/>
      <c r="F42" s="242"/>
      <c r="G42" s="77">
        <f>IFERROR(H42/H31,0)</f>
        <v>0</v>
      </c>
      <c r="H42" s="83">
        <f>H32+H34+H35</f>
        <v>0</v>
      </c>
      <c r="I42" s="128"/>
      <c r="J42" s="128"/>
      <c r="K42" s="128"/>
      <c r="L42" s="128"/>
      <c r="AA42" s="128"/>
      <c r="AB42" s="128"/>
      <c r="AC42" s="128"/>
      <c r="AD42" s="128"/>
      <c r="AE42" s="128"/>
      <c r="AF42" s="128"/>
      <c r="AQ42" s="130"/>
      <c r="AR42" s="130"/>
    </row>
    <row r="43" spans="1:69" s="139" customFormat="1" ht="21.75" customHeight="1" x14ac:dyDescent="0.25">
      <c r="A43" s="157"/>
      <c r="B43" s="137"/>
      <c r="C43" s="138"/>
      <c r="D43" s="230" t="s">
        <v>15</v>
      </c>
      <c r="E43" s="231"/>
      <c r="F43" s="232"/>
      <c r="G43" s="90"/>
      <c r="H43" s="85">
        <f>SUM(H41:H42)</f>
        <v>0</v>
      </c>
      <c r="I43" s="141"/>
      <c r="J43" s="141"/>
      <c r="K43" s="141"/>
      <c r="L43" s="141"/>
      <c r="M43" s="141"/>
      <c r="N43" s="141"/>
      <c r="O43" s="141"/>
      <c r="P43" s="141"/>
      <c r="Q43" s="141"/>
      <c r="R43" s="141"/>
      <c r="AA43" s="141"/>
      <c r="AB43" s="128"/>
      <c r="AC43" s="128"/>
      <c r="AD43" s="128"/>
      <c r="AE43" s="128"/>
      <c r="AF43" s="128"/>
      <c r="AG43" s="129"/>
      <c r="AH43" s="129"/>
      <c r="AI43" s="129"/>
      <c r="AJ43" s="129"/>
      <c r="AK43" s="129"/>
      <c r="AL43" s="129"/>
      <c r="AM43" s="129"/>
      <c r="AN43" s="129"/>
      <c r="AO43" s="129"/>
      <c r="AP43" s="129"/>
      <c r="AQ43" s="130"/>
      <c r="AR43" s="130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29"/>
      <c r="BE43" s="129"/>
      <c r="BF43" s="129"/>
      <c r="BG43" s="129"/>
      <c r="BH43" s="129"/>
      <c r="BI43" s="129"/>
      <c r="BJ43" s="129"/>
      <c r="BK43" s="129"/>
      <c r="BL43" s="129"/>
      <c r="BM43" s="129"/>
      <c r="BN43" s="129"/>
      <c r="BO43" s="129"/>
      <c r="BP43" s="129"/>
      <c r="BQ43" s="129"/>
    </row>
    <row r="44" spans="1:69" s="139" customFormat="1" ht="21.75" customHeight="1" x14ac:dyDescent="0.25">
      <c r="A44" s="157"/>
      <c r="B44" s="137"/>
      <c r="C44" s="129"/>
      <c r="I44" s="141"/>
      <c r="J44" s="141"/>
      <c r="K44" s="141"/>
      <c r="L44" s="141"/>
      <c r="M44" s="141"/>
      <c r="N44" s="141"/>
      <c r="O44" s="141"/>
      <c r="P44" s="141"/>
      <c r="Q44" s="141"/>
      <c r="R44" s="141"/>
      <c r="AA44" s="141"/>
      <c r="AB44" s="128"/>
      <c r="AC44" s="128"/>
      <c r="AD44" s="128"/>
      <c r="AE44" s="128"/>
      <c r="AF44" s="128"/>
      <c r="AG44" s="129"/>
      <c r="AH44" s="129"/>
      <c r="AI44" s="129"/>
      <c r="AJ44" s="129"/>
      <c r="AK44" s="129"/>
      <c r="AL44" s="129"/>
      <c r="AM44" s="129"/>
      <c r="AN44" s="129"/>
      <c r="AO44" s="129"/>
      <c r="AP44" s="129"/>
      <c r="AQ44" s="130"/>
      <c r="AR44" s="130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29"/>
      <c r="BE44" s="129"/>
      <c r="BF44" s="129"/>
      <c r="BG44" s="129"/>
      <c r="BH44" s="129"/>
      <c r="BI44" s="129"/>
      <c r="BJ44" s="129"/>
      <c r="BK44" s="129"/>
      <c r="BL44" s="129"/>
      <c r="BM44" s="129"/>
      <c r="BN44" s="129"/>
      <c r="BO44" s="129"/>
      <c r="BP44" s="129"/>
      <c r="BQ44" s="129"/>
    </row>
    <row r="45" spans="1:69" s="139" customFormat="1" ht="21.75" customHeight="1" x14ac:dyDescent="0.25">
      <c r="A45" s="157"/>
      <c r="B45" s="137"/>
      <c r="C45" s="129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1"/>
      <c r="V45" s="141"/>
      <c r="W45" s="141"/>
      <c r="X45" s="141"/>
      <c r="Y45" s="141"/>
      <c r="Z45" s="141"/>
      <c r="AA45" s="141"/>
      <c r="AB45" s="128"/>
      <c r="AC45" s="128"/>
      <c r="AD45" s="128"/>
      <c r="AE45" s="128"/>
      <c r="AF45" s="128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30"/>
      <c r="AR45" s="130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29"/>
      <c r="BE45" s="129"/>
      <c r="BF45" s="129"/>
      <c r="BG45" s="129"/>
      <c r="BH45" s="129"/>
      <c r="BI45" s="129"/>
      <c r="BJ45" s="129"/>
      <c r="BK45" s="129"/>
      <c r="BL45" s="129"/>
      <c r="BM45" s="129"/>
      <c r="BN45" s="129"/>
      <c r="BO45" s="129"/>
      <c r="BP45" s="129"/>
      <c r="BQ45" s="129"/>
    </row>
    <row r="46" spans="1:69" s="139" customFormat="1" ht="21.75" customHeight="1" x14ac:dyDescent="0.25">
      <c r="A46" s="157"/>
      <c r="B46" s="137"/>
      <c r="C46" s="129"/>
      <c r="I46" s="141"/>
      <c r="J46" s="141"/>
      <c r="K46" s="141"/>
      <c r="L46" s="141"/>
      <c r="M46" s="141"/>
      <c r="N46" s="141"/>
      <c r="O46" s="141"/>
      <c r="P46" s="141"/>
      <c r="Q46" s="141"/>
      <c r="R46" s="141"/>
      <c r="S46" s="141"/>
      <c r="T46" s="141"/>
      <c r="U46" s="141"/>
      <c r="V46" s="141"/>
      <c r="W46" s="141"/>
      <c r="X46" s="141"/>
      <c r="Y46" s="141"/>
      <c r="Z46" s="141"/>
      <c r="AA46" s="141"/>
      <c r="AB46" s="128"/>
      <c r="AC46" s="128"/>
      <c r="AD46" s="128"/>
      <c r="AE46" s="128"/>
      <c r="AF46" s="128"/>
      <c r="AG46" s="129"/>
      <c r="AH46" s="129"/>
      <c r="AI46" s="129"/>
      <c r="AJ46" s="129"/>
      <c r="AK46" s="129"/>
      <c r="AL46" s="129"/>
      <c r="AM46" s="129"/>
      <c r="AN46" s="129"/>
      <c r="AO46" s="129"/>
      <c r="AP46" s="129"/>
      <c r="AQ46" s="130"/>
      <c r="AR46" s="130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29"/>
      <c r="BE46" s="129"/>
      <c r="BF46" s="129"/>
      <c r="BG46" s="129"/>
      <c r="BH46" s="129"/>
      <c r="BI46" s="129"/>
      <c r="BJ46" s="129"/>
      <c r="BK46" s="129"/>
      <c r="BL46" s="129"/>
      <c r="BM46" s="129"/>
      <c r="BN46" s="129"/>
      <c r="BO46" s="129"/>
      <c r="BP46" s="129"/>
      <c r="BQ46" s="129"/>
    </row>
    <row r="47" spans="1:69" s="139" customFormat="1" ht="21.75" customHeight="1" x14ac:dyDescent="0.25">
      <c r="A47" s="157"/>
      <c r="B47" s="137"/>
      <c r="C47" s="129"/>
      <c r="I47" s="141"/>
      <c r="J47" s="141"/>
      <c r="K47" s="141"/>
      <c r="L47" s="141"/>
      <c r="M47" s="141"/>
      <c r="N47" s="141"/>
      <c r="O47" s="141"/>
      <c r="P47" s="141"/>
      <c r="Q47" s="141"/>
      <c r="R47" s="141"/>
      <c r="S47" s="141"/>
      <c r="T47" s="141"/>
      <c r="U47" s="141"/>
      <c r="V47" s="141"/>
      <c r="W47" s="141"/>
      <c r="X47" s="141"/>
      <c r="Y47" s="141"/>
      <c r="Z47" s="141"/>
      <c r="AA47" s="141"/>
      <c r="AB47" s="128"/>
      <c r="AC47" s="128"/>
      <c r="AD47" s="128"/>
      <c r="AE47" s="128"/>
      <c r="AF47" s="128"/>
      <c r="AG47" s="129"/>
      <c r="AH47" s="129"/>
      <c r="AI47" s="129"/>
      <c r="AJ47" s="129"/>
      <c r="AK47" s="129"/>
      <c r="AL47" s="129"/>
      <c r="AM47" s="129"/>
      <c r="AN47" s="129"/>
      <c r="AO47" s="129"/>
      <c r="AP47" s="129"/>
      <c r="AQ47" s="130"/>
      <c r="AR47" s="130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29"/>
      <c r="BE47" s="129"/>
      <c r="BF47" s="129"/>
      <c r="BG47" s="129"/>
      <c r="BH47" s="129"/>
      <c r="BI47" s="129"/>
      <c r="BJ47" s="129"/>
      <c r="BK47" s="129"/>
      <c r="BL47" s="129"/>
      <c r="BM47" s="129"/>
      <c r="BN47" s="129"/>
      <c r="BO47" s="129"/>
      <c r="BP47" s="129"/>
      <c r="BQ47" s="129"/>
    </row>
    <row r="48" spans="1:69" s="139" customFormat="1" ht="21.75" customHeight="1" x14ac:dyDescent="0.25">
      <c r="A48" s="157"/>
      <c r="B48" s="137"/>
      <c r="C48" s="129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28"/>
      <c r="AC48" s="128"/>
      <c r="AD48" s="128"/>
      <c r="AE48" s="128"/>
      <c r="AF48" s="128"/>
      <c r="AG48" s="129"/>
      <c r="AH48" s="129"/>
      <c r="AI48" s="129"/>
      <c r="AJ48" s="129"/>
      <c r="AK48" s="129"/>
      <c r="AL48" s="129"/>
      <c r="AM48" s="129"/>
      <c r="AN48" s="129"/>
      <c r="AO48" s="129"/>
      <c r="AP48" s="129"/>
      <c r="AQ48" s="130"/>
      <c r="AR48" s="130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29"/>
      <c r="BE48" s="129"/>
      <c r="BF48" s="129"/>
      <c r="BG48" s="129"/>
      <c r="BH48" s="129"/>
      <c r="BI48" s="129"/>
      <c r="BJ48" s="129"/>
      <c r="BK48" s="129"/>
      <c r="BL48" s="129"/>
      <c r="BM48" s="129"/>
      <c r="BN48" s="129"/>
      <c r="BO48" s="129"/>
      <c r="BP48" s="129"/>
      <c r="BQ48" s="129"/>
    </row>
    <row r="49" spans="1:69" s="139" customFormat="1" ht="21.75" customHeight="1" x14ac:dyDescent="0.25">
      <c r="A49" s="157"/>
      <c r="B49" s="137"/>
      <c r="C49" s="129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28"/>
      <c r="AC49" s="128"/>
      <c r="AD49" s="128"/>
      <c r="AE49" s="128"/>
      <c r="AF49" s="128"/>
      <c r="AG49" s="129"/>
      <c r="AH49" s="129"/>
      <c r="AI49" s="129"/>
      <c r="AJ49" s="129"/>
      <c r="AK49" s="129"/>
      <c r="AL49" s="129"/>
      <c r="AM49" s="129"/>
      <c r="AN49" s="129"/>
      <c r="AO49" s="129"/>
      <c r="AP49" s="129"/>
      <c r="AQ49" s="130"/>
      <c r="AR49" s="130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29"/>
      <c r="BE49" s="129"/>
      <c r="BF49" s="129"/>
      <c r="BG49" s="129"/>
      <c r="BH49" s="129"/>
      <c r="BI49" s="129"/>
      <c r="BJ49" s="129"/>
      <c r="BK49" s="129"/>
      <c r="BL49" s="129"/>
      <c r="BM49" s="129"/>
      <c r="BN49" s="129"/>
      <c r="BO49" s="129"/>
      <c r="BP49" s="129"/>
      <c r="BQ49" s="129"/>
    </row>
    <row r="50" spans="1:69" s="139" customFormat="1" ht="21.75" customHeight="1" x14ac:dyDescent="0.25">
      <c r="A50" s="157"/>
      <c r="B50" s="137"/>
      <c r="C50" s="129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28"/>
      <c r="AC50" s="128"/>
      <c r="AD50" s="128"/>
      <c r="AE50" s="128"/>
      <c r="AF50" s="128"/>
      <c r="AG50" s="129"/>
      <c r="AH50" s="129"/>
      <c r="AI50" s="129"/>
      <c r="AJ50" s="129"/>
      <c r="AK50" s="129"/>
      <c r="AL50" s="129"/>
      <c r="AM50" s="129"/>
      <c r="AN50" s="129"/>
      <c r="AO50" s="129"/>
      <c r="AP50" s="129"/>
      <c r="AQ50" s="130"/>
      <c r="AR50" s="130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29"/>
      <c r="BE50" s="129"/>
      <c r="BF50" s="129"/>
      <c r="BG50" s="129"/>
      <c r="BH50" s="129"/>
      <c r="BI50" s="129"/>
      <c r="BJ50" s="129"/>
      <c r="BK50" s="129"/>
      <c r="BL50" s="129"/>
      <c r="BM50" s="129"/>
      <c r="BN50" s="129"/>
      <c r="BO50" s="129"/>
      <c r="BP50" s="129"/>
      <c r="BQ50" s="129"/>
    </row>
    <row r="51" spans="1:69" s="139" customFormat="1" ht="21.75" customHeight="1" x14ac:dyDescent="0.25">
      <c r="A51" s="157"/>
      <c r="B51" s="137"/>
      <c r="C51" s="129"/>
      <c r="I51" s="141"/>
      <c r="J51" s="141"/>
      <c r="K51" s="141"/>
      <c r="L51" s="141"/>
      <c r="M51" s="141"/>
      <c r="N51" s="141"/>
      <c r="O51" s="141"/>
      <c r="P51" s="141"/>
      <c r="Q51" s="141"/>
      <c r="R51" s="141"/>
      <c r="S51" s="141"/>
      <c r="T51" s="141"/>
      <c r="U51" s="141"/>
      <c r="V51" s="141"/>
      <c r="W51" s="141"/>
      <c r="X51" s="141"/>
      <c r="Y51" s="141"/>
      <c r="Z51" s="141"/>
      <c r="AA51" s="141"/>
      <c r="AB51" s="128"/>
      <c r="AC51" s="128"/>
      <c r="AD51" s="128"/>
      <c r="AE51" s="128"/>
      <c r="AF51" s="128"/>
      <c r="AG51" s="129"/>
      <c r="AH51" s="129"/>
      <c r="AI51" s="129"/>
      <c r="AJ51" s="129"/>
      <c r="AK51" s="129"/>
      <c r="AL51" s="129"/>
      <c r="AM51" s="129"/>
      <c r="AN51" s="129"/>
      <c r="AO51" s="129"/>
      <c r="AP51" s="129"/>
      <c r="AQ51" s="130"/>
      <c r="AR51" s="130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29"/>
      <c r="BE51" s="129"/>
      <c r="BF51" s="129"/>
      <c r="BG51" s="129"/>
      <c r="BH51" s="129"/>
      <c r="BI51" s="129"/>
      <c r="BJ51" s="129"/>
      <c r="BK51" s="129"/>
      <c r="BL51" s="129"/>
      <c r="BM51" s="129"/>
      <c r="BN51" s="129"/>
      <c r="BO51" s="129"/>
      <c r="BP51" s="129"/>
      <c r="BQ51" s="129"/>
    </row>
    <row r="52" spans="1:69" s="139" customFormat="1" ht="21.75" customHeight="1" x14ac:dyDescent="0.25">
      <c r="A52" s="157"/>
      <c r="B52" s="137"/>
      <c r="C52" s="129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28"/>
      <c r="AC52" s="128"/>
      <c r="AD52" s="128"/>
      <c r="AE52" s="128"/>
      <c r="AF52" s="128"/>
      <c r="AG52" s="129"/>
      <c r="AH52" s="129"/>
      <c r="AI52" s="129"/>
      <c r="AJ52" s="129"/>
      <c r="AK52" s="129"/>
      <c r="AL52" s="129"/>
      <c r="AM52" s="129"/>
      <c r="AN52" s="129"/>
      <c r="AO52" s="129"/>
      <c r="AP52" s="129"/>
      <c r="AQ52" s="130"/>
      <c r="AR52" s="130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29"/>
      <c r="BE52" s="129"/>
      <c r="BF52" s="129"/>
      <c r="BG52" s="129"/>
      <c r="BH52" s="129"/>
      <c r="BI52" s="129"/>
      <c r="BJ52" s="129"/>
      <c r="BK52" s="129"/>
      <c r="BL52" s="129"/>
      <c r="BM52" s="129"/>
      <c r="BN52" s="129"/>
      <c r="BO52" s="129"/>
      <c r="BP52" s="129"/>
      <c r="BQ52" s="129"/>
    </row>
    <row r="53" spans="1:69" s="139" customFormat="1" ht="21.75" customHeight="1" x14ac:dyDescent="0.25">
      <c r="A53" s="157"/>
      <c r="B53" s="137"/>
      <c r="C53" s="129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28"/>
      <c r="AC53" s="128"/>
      <c r="AD53" s="128"/>
      <c r="AE53" s="128"/>
      <c r="AF53" s="128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30"/>
      <c r="AR53" s="130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</row>
    <row r="54" spans="1:69" s="139" customFormat="1" ht="21.75" customHeight="1" x14ac:dyDescent="0.25">
      <c r="A54" s="157"/>
      <c r="B54" s="137"/>
      <c r="C54" s="129"/>
      <c r="I54" s="141"/>
      <c r="J54" s="141"/>
      <c r="K54" s="141"/>
      <c r="L54" s="141"/>
      <c r="M54" s="141"/>
      <c r="N54" s="141"/>
      <c r="O54" s="141"/>
      <c r="P54" s="141"/>
      <c r="Q54" s="141"/>
      <c r="R54" s="141"/>
      <c r="S54" s="141"/>
      <c r="T54" s="141"/>
      <c r="U54" s="141"/>
      <c r="V54" s="141"/>
      <c r="W54" s="141"/>
      <c r="X54" s="141"/>
      <c r="Y54" s="141"/>
      <c r="Z54" s="141"/>
      <c r="AA54" s="141"/>
      <c r="AB54" s="128"/>
      <c r="AC54" s="128"/>
      <c r="AD54" s="128"/>
      <c r="AE54" s="128"/>
      <c r="AF54" s="128"/>
      <c r="AG54" s="129"/>
      <c r="AH54" s="129"/>
      <c r="AI54" s="129"/>
      <c r="AJ54" s="129"/>
      <c r="AK54" s="129"/>
      <c r="AL54" s="129"/>
      <c r="AM54" s="129"/>
      <c r="AN54" s="129"/>
      <c r="AO54" s="129"/>
      <c r="AP54" s="129"/>
      <c r="AQ54" s="130"/>
      <c r="AR54" s="130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29"/>
      <c r="BE54" s="129"/>
      <c r="BF54" s="129"/>
      <c r="BG54" s="129"/>
      <c r="BH54" s="129"/>
      <c r="BI54" s="129"/>
      <c r="BJ54" s="129"/>
      <c r="BK54" s="129"/>
      <c r="BL54" s="129"/>
      <c r="BM54" s="129"/>
      <c r="BN54" s="129"/>
      <c r="BO54" s="129"/>
      <c r="BP54" s="129"/>
      <c r="BQ54" s="129"/>
    </row>
    <row r="55" spans="1:69" s="139" customFormat="1" ht="21.75" customHeight="1" x14ac:dyDescent="0.25">
      <c r="A55" s="157"/>
      <c r="B55" s="137"/>
      <c r="C55" s="129"/>
      <c r="I55" s="141"/>
      <c r="J55" s="141"/>
      <c r="K55" s="141"/>
      <c r="L55" s="141"/>
      <c r="M55" s="141"/>
      <c r="N55" s="141"/>
      <c r="O55" s="141"/>
      <c r="P55" s="141"/>
      <c r="Q55" s="141"/>
      <c r="R55" s="141"/>
      <c r="S55" s="141"/>
      <c r="T55" s="141"/>
      <c r="U55" s="141"/>
      <c r="V55" s="141"/>
      <c r="W55" s="141"/>
      <c r="X55" s="141"/>
      <c r="Y55" s="141"/>
      <c r="Z55" s="141"/>
      <c r="AA55" s="141"/>
      <c r="AB55" s="128"/>
      <c r="AC55" s="128"/>
      <c r="AD55" s="128"/>
      <c r="AE55" s="128"/>
      <c r="AF55" s="128"/>
      <c r="AG55" s="129"/>
      <c r="AH55" s="129"/>
      <c r="AI55" s="129"/>
      <c r="AJ55" s="129"/>
      <c r="AK55" s="129"/>
      <c r="AL55" s="129"/>
      <c r="AM55" s="129"/>
      <c r="AN55" s="129"/>
      <c r="AO55" s="129"/>
      <c r="AP55" s="129"/>
      <c r="AQ55" s="130"/>
      <c r="AR55" s="130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29"/>
      <c r="BE55" s="129"/>
      <c r="BF55" s="129"/>
      <c r="BG55" s="129"/>
      <c r="BH55" s="129"/>
      <c r="BI55" s="129"/>
      <c r="BJ55" s="129"/>
      <c r="BK55" s="129"/>
      <c r="BL55" s="129"/>
      <c r="BM55" s="129"/>
      <c r="BN55" s="129"/>
      <c r="BO55" s="129"/>
      <c r="BP55" s="129"/>
      <c r="BQ55" s="129"/>
    </row>
    <row r="56" spans="1:69" s="139" customFormat="1" x14ac:dyDescent="0.25">
      <c r="A56" s="157"/>
      <c r="B56" s="137"/>
      <c r="C56" s="129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28"/>
      <c r="AC56" s="128"/>
      <c r="AD56" s="128"/>
      <c r="AE56" s="128"/>
      <c r="AF56" s="128"/>
      <c r="AG56" s="129"/>
      <c r="AH56" s="129"/>
      <c r="AI56" s="129"/>
      <c r="AJ56" s="129"/>
      <c r="AK56" s="129"/>
      <c r="AL56" s="129"/>
      <c r="AM56" s="129"/>
      <c r="AN56" s="129"/>
      <c r="AO56" s="129"/>
      <c r="AP56" s="129"/>
      <c r="AQ56" s="130"/>
      <c r="AR56" s="130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29"/>
      <c r="BE56" s="129"/>
      <c r="BF56" s="129"/>
      <c r="BG56" s="129"/>
      <c r="BH56" s="129"/>
      <c r="BI56" s="129"/>
      <c r="BJ56" s="129"/>
      <c r="BK56" s="129"/>
      <c r="BL56" s="129"/>
      <c r="BM56" s="129"/>
      <c r="BN56" s="129"/>
      <c r="BO56" s="129"/>
      <c r="BP56" s="129"/>
      <c r="BQ56" s="129"/>
    </row>
    <row r="57" spans="1:69" s="139" customFormat="1" x14ac:dyDescent="0.25">
      <c r="A57" s="157"/>
      <c r="B57" s="137"/>
      <c r="C57" s="129"/>
      <c r="G57" s="140"/>
      <c r="I57" s="141"/>
      <c r="J57" s="141"/>
      <c r="K57" s="141"/>
      <c r="L57" s="141"/>
      <c r="M57" s="141"/>
      <c r="N57" s="141"/>
      <c r="O57" s="141"/>
      <c r="P57" s="141"/>
      <c r="Q57" s="141"/>
      <c r="R57" s="141"/>
      <c r="S57" s="141"/>
      <c r="T57" s="141"/>
      <c r="U57" s="141"/>
      <c r="V57" s="141"/>
      <c r="W57" s="141"/>
      <c r="X57" s="141"/>
      <c r="Y57" s="141"/>
      <c r="Z57" s="141"/>
      <c r="AA57" s="141"/>
      <c r="AB57" s="128"/>
      <c r="AC57" s="128"/>
      <c r="AD57" s="128"/>
      <c r="AE57" s="128"/>
      <c r="AF57" s="128"/>
      <c r="AG57" s="129"/>
      <c r="AH57" s="129"/>
      <c r="AI57" s="129"/>
      <c r="AJ57" s="129"/>
      <c r="AK57" s="129"/>
      <c r="AL57" s="129"/>
      <c r="AM57" s="129"/>
      <c r="AN57" s="129"/>
      <c r="AO57" s="129"/>
      <c r="AP57" s="129"/>
      <c r="AQ57" s="130"/>
      <c r="AR57" s="130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29"/>
      <c r="BE57" s="129"/>
      <c r="BF57" s="129"/>
      <c r="BG57" s="129"/>
      <c r="BH57" s="129"/>
      <c r="BI57" s="129"/>
      <c r="BJ57" s="129"/>
      <c r="BK57" s="129"/>
      <c r="BL57" s="129"/>
      <c r="BM57" s="129"/>
      <c r="BN57" s="129"/>
      <c r="BO57" s="129"/>
      <c r="BP57" s="129"/>
      <c r="BQ57" s="129"/>
    </row>
    <row r="58" spans="1:69" s="139" customFormat="1" x14ac:dyDescent="0.25">
      <c r="A58" s="157"/>
      <c r="B58" s="137"/>
      <c r="C58" s="129"/>
      <c r="G58" s="142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28"/>
      <c r="AC58" s="128"/>
      <c r="AD58" s="128"/>
      <c r="AE58" s="128"/>
      <c r="AF58" s="128"/>
      <c r="AG58" s="129"/>
      <c r="AH58" s="129"/>
      <c r="AI58" s="129"/>
      <c r="AJ58" s="129"/>
      <c r="AK58" s="129"/>
      <c r="AL58" s="129"/>
      <c r="AM58" s="129"/>
      <c r="AN58" s="129"/>
      <c r="AO58" s="129"/>
      <c r="AP58" s="129"/>
      <c r="AQ58" s="130"/>
      <c r="AR58" s="130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29"/>
      <c r="BE58" s="129"/>
      <c r="BF58" s="129"/>
      <c r="BG58" s="129"/>
      <c r="BH58" s="129"/>
      <c r="BI58" s="129"/>
      <c r="BJ58" s="129"/>
      <c r="BK58" s="129"/>
      <c r="BL58" s="129"/>
      <c r="BM58" s="129"/>
      <c r="BN58" s="129"/>
      <c r="BO58" s="129"/>
      <c r="BP58" s="129"/>
      <c r="BQ58" s="129"/>
    </row>
    <row r="59" spans="1:69" s="139" customFormat="1" x14ac:dyDescent="0.25">
      <c r="A59" s="157"/>
      <c r="B59" s="137"/>
      <c r="C59" s="129"/>
      <c r="G59" s="140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28"/>
      <c r="AC59" s="128"/>
      <c r="AD59" s="128"/>
      <c r="AE59" s="128"/>
      <c r="AF59" s="128"/>
      <c r="AG59" s="129"/>
      <c r="AH59" s="129"/>
      <c r="AI59" s="129"/>
      <c r="AJ59" s="129"/>
      <c r="AK59" s="129"/>
      <c r="AL59" s="129"/>
      <c r="AM59" s="129"/>
      <c r="AN59" s="129"/>
      <c r="AO59" s="129"/>
      <c r="AP59" s="129"/>
      <c r="AQ59" s="130"/>
      <c r="AR59" s="130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29"/>
      <c r="BE59" s="129"/>
      <c r="BF59" s="129"/>
      <c r="BG59" s="129"/>
      <c r="BH59" s="129"/>
      <c r="BI59" s="129"/>
      <c r="BJ59" s="129"/>
      <c r="BK59" s="129"/>
      <c r="BL59" s="129"/>
      <c r="BM59" s="129"/>
      <c r="BN59" s="129"/>
      <c r="BO59" s="129"/>
      <c r="BP59" s="129"/>
      <c r="BQ59" s="129"/>
    </row>
    <row r="60" spans="1:69" s="139" customFormat="1" x14ac:dyDescent="0.25">
      <c r="A60" s="157"/>
      <c r="B60" s="137"/>
      <c r="C60" s="129"/>
      <c r="G60" s="140"/>
      <c r="I60" s="141"/>
      <c r="J60" s="141"/>
      <c r="K60" s="141"/>
      <c r="L60" s="141"/>
      <c r="M60" s="141"/>
      <c r="N60" s="141"/>
      <c r="O60" s="141"/>
      <c r="P60" s="141"/>
      <c r="Q60" s="141"/>
      <c r="R60" s="141"/>
      <c r="S60" s="141"/>
      <c r="T60" s="141"/>
      <c r="U60" s="141"/>
      <c r="V60" s="141"/>
      <c r="W60" s="141"/>
      <c r="X60" s="141"/>
      <c r="Y60" s="141"/>
      <c r="Z60" s="141"/>
      <c r="AA60" s="141"/>
      <c r="AB60" s="128"/>
      <c r="AC60" s="128"/>
      <c r="AD60" s="128"/>
      <c r="AE60" s="128"/>
      <c r="AF60" s="128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30"/>
      <c r="AR60" s="130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29"/>
      <c r="BE60" s="129"/>
      <c r="BF60" s="129"/>
      <c r="BG60" s="129"/>
      <c r="BH60" s="129"/>
      <c r="BI60" s="129"/>
      <c r="BJ60" s="129"/>
      <c r="BK60" s="129"/>
      <c r="BL60" s="129"/>
      <c r="BM60" s="129"/>
      <c r="BN60" s="129"/>
      <c r="BO60" s="129"/>
      <c r="BP60" s="129"/>
      <c r="BQ60" s="129"/>
    </row>
    <row r="61" spans="1:69" s="139" customFormat="1" x14ac:dyDescent="0.25">
      <c r="A61" s="157"/>
      <c r="B61" s="137"/>
      <c r="C61" s="129"/>
      <c r="G61" s="140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28"/>
      <c r="AC61" s="128"/>
      <c r="AD61" s="128"/>
      <c r="AE61" s="128"/>
      <c r="AF61" s="128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  <c r="AQ61" s="130"/>
      <c r="AR61" s="130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L61" s="129"/>
      <c r="BM61" s="129"/>
      <c r="BN61" s="129"/>
      <c r="BO61" s="129"/>
      <c r="BP61" s="129"/>
      <c r="BQ61" s="129"/>
    </row>
    <row r="62" spans="1:69" s="139" customFormat="1" x14ac:dyDescent="0.25">
      <c r="A62" s="157"/>
      <c r="B62" s="137"/>
      <c r="C62" s="129"/>
      <c r="G62" s="140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28"/>
      <c r="AC62" s="128"/>
      <c r="AD62" s="128"/>
      <c r="AE62" s="128"/>
      <c r="AF62" s="128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  <c r="AQ62" s="130"/>
      <c r="AR62" s="130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L62" s="129"/>
      <c r="BM62" s="129"/>
      <c r="BN62" s="129"/>
      <c r="BO62" s="129"/>
      <c r="BP62" s="129"/>
      <c r="BQ62" s="129"/>
    </row>
    <row r="63" spans="1:69" s="139" customFormat="1" x14ac:dyDescent="0.25">
      <c r="A63" s="157"/>
      <c r="B63" s="137"/>
      <c r="C63" s="129"/>
      <c r="G63" s="140"/>
      <c r="I63" s="141"/>
      <c r="J63" s="141"/>
      <c r="K63" s="141"/>
      <c r="L63" s="141"/>
      <c r="M63" s="141"/>
      <c r="N63" s="141"/>
      <c r="O63" s="141"/>
      <c r="P63" s="141"/>
      <c r="Q63" s="141"/>
      <c r="R63" s="141"/>
      <c r="S63" s="141"/>
      <c r="T63" s="141"/>
      <c r="U63" s="141"/>
      <c r="V63" s="141"/>
      <c r="W63" s="141"/>
      <c r="X63" s="141"/>
      <c r="Y63" s="141"/>
      <c r="Z63" s="141"/>
      <c r="AA63" s="141"/>
      <c r="AB63" s="128"/>
      <c r="AC63" s="128"/>
      <c r="AD63" s="128"/>
      <c r="AE63" s="128"/>
      <c r="AF63" s="128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  <c r="AQ63" s="130"/>
      <c r="AR63" s="130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L63" s="129"/>
      <c r="BM63" s="129"/>
      <c r="BN63" s="129"/>
      <c r="BO63" s="129"/>
      <c r="BP63" s="129"/>
      <c r="BQ63" s="129"/>
    </row>
    <row r="64" spans="1:69" s="139" customFormat="1" x14ac:dyDescent="0.25">
      <c r="A64" s="157"/>
      <c r="B64" s="137"/>
      <c r="C64" s="129"/>
      <c r="G64" s="140"/>
      <c r="I64" s="141"/>
      <c r="J64" s="141"/>
      <c r="K64" s="141"/>
      <c r="L64" s="141"/>
      <c r="M64" s="141"/>
      <c r="N64" s="141"/>
      <c r="O64" s="141"/>
      <c r="P64" s="141"/>
      <c r="Q64" s="141"/>
      <c r="R64" s="141"/>
      <c r="S64" s="141"/>
      <c r="T64" s="141"/>
      <c r="U64" s="141"/>
      <c r="V64" s="141"/>
      <c r="W64" s="141"/>
      <c r="X64" s="141"/>
      <c r="Y64" s="141"/>
      <c r="Z64" s="141"/>
      <c r="AA64" s="141"/>
      <c r="AB64" s="128"/>
      <c r="AC64" s="128"/>
      <c r="AD64" s="128"/>
      <c r="AE64" s="128"/>
      <c r="AF64" s="128"/>
      <c r="AG64" s="129"/>
      <c r="AH64" s="129"/>
      <c r="AI64" s="129"/>
      <c r="AJ64" s="129"/>
      <c r="AK64" s="129"/>
      <c r="AL64" s="129"/>
      <c r="AM64" s="129"/>
      <c r="AN64" s="129"/>
      <c r="AO64" s="129"/>
      <c r="AP64" s="129"/>
      <c r="AQ64" s="130"/>
      <c r="AR64" s="130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129"/>
      <c r="BE64" s="129"/>
      <c r="BF64" s="129"/>
      <c r="BG64" s="129"/>
      <c r="BH64" s="129"/>
      <c r="BI64" s="129"/>
      <c r="BJ64" s="129"/>
      <c r="BK64" s="129"/>
      <c r="BL64" s="129"/>
      <c r="BM64" s="129"/>
      <c r="BN64" s="129"/>
      <c r="BO64" s="129"/>
      <c r="BP64" s="129"/>
      <c r="BQ64" s="129"/>
    </row>
    <row r="65" spans="1:69" s="139" customFormat="1" x14ac:dyDescent="0.25">
      <c r="A65" s="157"/>
      <c r="B65" s="137"/>
      <c r="C65" s="129"/>
      <c r="G65" s="140"/>
      <c r="I65" s="141"/>
      <c r="J65" s="141"/>
      <c r="K65" s="141"/>
      <c r="L65" s="141"/>
      <c r="M65" s="141"/>
      <c r="N65" s="141"/>
      <c r="O65" s="141"/>
      <c r="P65" s="141"/>
      <c r="Q65" s="141"/>
      <c r="R65" s="141"/>
      <c r="S65" s="141"/>
      <c r="T65" s="141"/>
      <c r="U65" s="141"/>
      <c r="V65" s="141"/>
      <c r="W65" s="141"/>
      <c r="X65" s="141"/>
      <c r="Y65" s="141"/>
      <c r="Z65" s="141"/>
      <c r="AA65" s="141"/>
      <c r="AB65" s="128"/>
      <c r="AC65" s="128"/>
      <c r="AD65" s="128"/>
      <c r="AE65" s="128"/>
      <c r="AF65" s="128"/>
      <c r="AG65" s="129"/>
      <c r="AH65" s="129"/>
      <c r="AI65" s="129"/>
      <c r="AJ65" s="129"/>
      <c r="AK65" s="129"/>
      <c r="AL65" s="129"/>
      <c r="AM65" s="129"/>
      <c r="AN65" s="129"/>
      <c r="AO65" s="129"/>
      <c r="AP65" s="129"/>
      <c r="AQ65" s="130"/>
      <c r="AR65" s="130"/>
      <c r="AS65" s="129"/>
      <c r="AT65" s="129"/>
      <c r="AU65" s="129"/>
      <c r="AV65" s="129"/>
      <c r="AW65" s="129"/>
      <c r="AX65" s="129"/>
      <c r="AY65" s="129"/>
      <c r="AZ65" s="129"/>
      <c r="BA65" s="129"/>
      <c r="BB65" s="129"/>
      <c r="BC65" s="129"/>
      <c r="BD65" s="129"/>
      <c r="BE65" s="129"/>
      <c r="BF65" s="129"/>
      <c r="BG65" s="129"/>
      <c r="BH65" s="129"/>
      <c r="BI65" s="129"/>
      <c r="BJ65" s="129"/>
      <c r="BK65" s="129"/>
      <c r="BL65" s="129"/>
      <c r="BM65" s="129"/>
      <c r="BN65" s="129"/>
      <c r="BO65" s="129"/>
      <c r="BP65" s="129"/>
      <c r="BQ65" s="129"/>
    </row>
    <row r="66" spans="1:69" s="139" customFormat="1" x14ac:dyDescent="0.25">
      <c r="A66" s="157"/>
      <c r="B66" s="137"/>
      <c r="C66" s="129"/>
      <c r="G66" s="140"/>
      <c r="I66" s="141"/>
      <c r="J66" s="141"/>
      <c r="K66" s="141"/>
      <c r="L66" s="141"/>
      <c r="M66" s="141"/>
      <c r="N66" s="141"/>
      <c r="O66" s="141"/>
      <c r="P66" s="141"/>
      <c r="Q66" s="141"/>
      <c r="R66" s="141"/>
      <c r="S66" s="141"/>
      <c r="T66" s="141"/>
      <c r="U66" s="141"/>
      <c r="V66" s="141"/>
      <c r="W66" s="141"/>
      <c r="X66" s="141"/>
      <c r="Y66" s="141"/>
      <c r="Z66" s="141"/>
      <c r="AA66" s="141"/>
      <c r="AB66" s="128"/>
      <c r="AC66" s="128"/>
      <c r="AD66" s="128"/>
      <c r="AE66" s="128"/>
      <c r="AF66" s="128"/>
      <c r="AG66" s="129"/>
      <c r="AH66" s="129"/>
      <c r="AI66" s="129"/>
      <c r="AJ66" s="129"/>
      <c r="AK66" s="129"/>
      <c r="AL66" s="129"/>
      <c r="AM66" s="129"/>
      <c r="AN66" s="129"/>
      <c r="AO66" s="129"/>
      <c r="AP66" s="129"/>
      <c r="AQ66" s="130"/>
      <c r="AR66" s="130"/>
      <c r="AS66" s="129"/>
      <c r="AT66" s="129"/>
      <c r="AU66" s="129"/>
      <c r="AV66" s="129"/>
      <c r="AW66" s="129"/>
      <c r="AX66" s="129"/>
      <c r="AY66" s="129"/>
      <c r="AZ66" s="129"/>
      <c r="BA66" s="129"/>
      <c r="BB66" s="129"/>
      <c r="BC66" s="129"/>
      <c r="BD66" s="129"/>
      <c r="BE66" s="129"/>
      <c r="BF66" s="129"/>
      <c r="BG66" s="129"/>
      <c r="BH66" s="129"/>
      <c r="BI66" s="129"/>
      <c r="BJ66" s="129"/>
      <c r="BK66" s="129"/>
      <c r="BL66" s="129"/>
      <c r="BM66" s="129"/>
      <c r="BN66" s="129"/>
      <c r="BO66" s="129"/>
      <c r="BP66" s="129"/>
      <c r="BQ66" s="129"/>
    </row>
    <row r="67" spans="1:69" s="139" customFormat="1" x14ac:dyDescent="0.25">
      <c r="A67" s="157"/>
      <c r="B67" s="137"/>
      <c r="C67" s="129"/>
      <c r="G67" s="140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41"/>
      <c r="V67" s="141"/>
      <c r="W67" s="141"/>
      <c r="X67" s="141"/>
      <c r="Y67" s="141"/>
      <c r="Z67" s="141"/>
      <c r="AA67" s="141"/>
      <c r="AB67" s="128"/>
      <c r="AC67" s="128"/>
      <c r="AD67" s="128"/>
      <c r="AE67" s="128"/>
      <c r="AF67" s="128"/>
      <c r="AG67" s="129"/>
      <c r="AH67" s="129"/>
      <c r="AI67" s="129"/>
      <c r="AJ67" s="129"/>
      <c r="AK67" s="129"/>
      <c r="AL67" s="129"/>
      <c r="AM67" s="129"/>
      <c r="AN67" s="129"/>
      <c r="AO67" s="129"/>
      <c r="AP67" s="129"/>
      <c r="AQ67" s="130"/>
      <c r="AR67" s="130"/>
      <c r="AS67" s="129"/>
      <c r="AT67" s="129"/>
      <c r="AU67" s="129"/>
      <c r="AV67" s="129"/>
      <c r="AW67" s="129"/>
      <c r="AX67" s="129"/>
      <c r="AY67" s="129"/>
      <c r="AZ67" s="129"/>
      <c r="BA67" s="129"/>
      <c r="BB67" s="129"/>
      <c r="BC67" s="129"/>
      <c r="BD67" s="129"/>
      <c r="BE67" s="129"/>
      <c r="BF67" s="129"/>
      <c r="BG67" s="129"/>
      <c r="BH67" s="129"/>
      <c r="BI67" s="129"/>
      <c r="BJ67" s="129"/>
      <c r="BK67" s="129"/>
      <c r="BL67" s="129"/>
      <c r="BM67" s="129"/>
      <c r="BN67" s="129"/>
      <c r="BO67" s="129"/>
      <c r="BP67" s="129"/>
      <c r="BQ67" s="129"/>
    </row>
    <row r="68" spans="1:69" s="139" customFormat="1" x14ac:dyDescent="0.25">
      <c r="A68" s="157"/>
      <c r="B68" s="137"/>
      <c r="C68" s="129"/>
      <c r="G68" s="140"/>
      <c r="I68" s="141"/>
      <c r="J68" s="141"/>
      <c r="K68" s="141"/>
      <c r="L68" s="141"/>
      <c r="M68" s="141"/>
      <c r="N68" s="141"/>
      <c r="O68" s="141"/>
      <c r="P68" s="141"/>
      <c r="Q68" s="141"/>
      <c r="R68" s="141"/>
      <c r="S68" s="141"/>
      <c r="T68" s="141"/>
      <c r="U68" s="141"/>
      <c r="V68" s="141"/>
      <c r="W68" s="141"/>
      <c r="X68" s="141"/>
      <c r="Y68" s="141"/>
      <c r="Z68" s="141"/>
      <c r="AA68" s="141"/>
      <c r="AB68" s="128"/>
      <c r="AC68" s="128"/>
      <c r="AD68" s="128"/>
      <c r="AE68" s="128"/>
      <c r="AF68" s="128"/>
      <c r="AG68" s="129"/>
      <c r="AH68" s="129"/>
      <c r="AI68" s="129"/>
      <c r="AJ68" s="129"/>
      <c r="AK68" s="129"/>
      <c r="AL68" s="129"/>
      <c r="AM68" s="129"/>
      <c r="AN68" s="129"/>
      <c r="AO68" s="129"/>
      <c r="AP68" s="129"/>
      <c r="AQ68" s="130"/>
      <c r="AR68" s="130"/>
      <c r="AS68" s="129"/>
      <c r="AT68" s="129"/>
      <c r="AU68" s="129"/>
      <c r="AV68" s="129"/>
      <c r="AW68" s="129"/>
      <c r="AX68" s="129"/>
      <c r="AY68" s="129"/>
      <c r="AZ68" s="129"/>
      <c r="BA68" s="129"/>
      <c r="BB68" s="129"/>
      <c r="BC68" s="129"/>
      <c r="BD68" s="129"/>
      <c r="BE68" s="129"/>
      <c r="BF68" s="129"/>
      <c r="BG68" s="129"/>
      <c r="BH68" s="129"/>
      <c r="BI68" s="129"/>
      <c r="BJ68" s="129"/>
      <c r="BK68" s="129"/>
      <c r="BL68" s="129"/>
      <c r="BM68" s="129"/>
      <c r="BN68" s="129"/>
      <c r="BO68" s="129"/>
      <c r="BP68" s="129"/>
      <c r="BQ68" s="129"/>
    </row>
    <row r="69" spans="1:69" s="139" customFormat="1" x14ac:dyDescent="0.25">
      <c r="A69" s="157"/>
      <c r="B69" s="137"/>
      <c r="C69" s="129"/>
      <c r="G69" s="140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41"/>
      <c r="V69" s="141"/>
      <c r="W69" s="141"/>
      <c r="X69" s="141"/>
      <c r="Y69" s="141"/>
      <c r="Z69" s="141"/>
      <c r="AA69" s="141"/>
      <c r="AB69" s="128"/>
      <c r="AC69" s="128"/>
      <c r="AD69" s="128"/>
      <c r="AE69" s="128"/>
      <c r="AF69" s="128"/>
      <c r="AG69" s="129"/>
      <c r="AH69" s="129"/>
      <c r="AI69" s="129"/>
      <c r="AJ69" s="129"/>
      <c r="AK69" s="129"/>
      <c r="AL69" s="129"/>
      <c r="AM69" s="129"/>
      <c r="AN69" s="129"/>
      <c r="AO69" s="129"/>
      <c r="AP69" s="129"/>
      <c r="AQ69" s="130"/>
      <c r="AR69" s="130"/>
      <c r="AS69" s="129"/>
      <c r="AT69" s="129"/>
      <c r="AU69" s="129"/>
      <c r="AV69" s="129"/>
      <c r="AW69" s="129"/>
      <c r="AX69" s="129"/>
      <c r="AY69" s="129"/>
      <c r="AZ69" s="129"/>
      <c r="BA69" s="129"/>
      <c r="BB69" s="129"/>
      <c r="BC69" s="129"/>
      <c r="BD69" s="129"/>
      <c r="BE69" s="129"/>
      <c r="BF69" s="129"/>
      <c r="BG69" s="129"/>
      <c r="BH69" s="129"/>
      <c r="BI69" s="129"/>
      <c r="BJ69" s="129"/>
      <c r="BK69" s="129"/>
      <c r="BL69" s="129"/>
      <c r="BM69" s="129"/>
      <c r="BN69" s="129"/>
      <c r="BO69" s="129"/>
      <c r="BP69" s="129"/>
      <c r="BQ69" s="129"/>
    </row>
    <row r="70" spans="1:69" s="139" customFormat="1" x14ac:dyDescent="0.25">
      <c r="A70" s="157"/>
      <c r="B70" s="137"/>
      <c r="C70" s="129"/>
      <c r="G70" s="140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  <c r="U70" s="141"/>
      <c r="V70" s="141"/>
      <c r="W70" s="141"/>
      <c r="X70" s="141"/>
      <c r="Y70" s="141"/>
      <c r="Z70" s="141"/>
      <c r="AA70" s="141"/>
      <c r="AB70" s="128"/>
      <c r="AC70" s="128"/>
      <c r="AD70" s="128"/>
      <c r="AE70" s="128"/>
      <c r="AF70" s="128"/>
      <c r="AG70" s="129"/>
      <c r="AH70" s="129"/>
      <c r="AI70" s="129"/>
      <c r="AJ70" s="129"/>
      <c r="AK70" s="129"/>
      <c r="AL70" s="129"/>
      <c r="AM70" s="129"/>
      <c r="AN70" s="129"/>
      <c r="AO70" s="129"/>
      <c r="AP70" s="129"/>
      <c r="AQ70" s="130"/>
      <c r="AR70" s="130"/>
      <c r="AS70" s="129"/>
      <c r="AT70" s="129"/>
      <c r="AU70" s="129"/>
      <c r="AV70" s="129"/>
      <c r="AW70" s="129"/>
      <c r="AX70" s="129"/>
      <c r="AY70" s="129"/>
      <c r="AZ70" s="129"/>
      <c r="BA70" s="129"/>
      <c r="BB70" s="129"/>
      <c r="BC70" s="129"/>
      <c r="BD70" s="129"/>
      <c r="BE70" s="129"/>
      <c r="BF70" s="129"/>
      <c r="BG70" s="129"/>
      <c r="BH70" s="129"/>
      <c r="BI70" s="129"/>
      <c r="BJ70" s="129"/>
      <c r="BK70" s="129"/>
      <c r="BL70" s="129"/>
      <c r="BM70" s="129"/>
      <c r="BN70" s="129"/>
      <c r="BO70" s="129"/>
      <c r="BP70" s="129"/>
      <c r="BQ70" s="129"/>
    </row>
    <row r="71" spans="1:69" s="139" customFormat="1" x14ac:dyDescent="0.25">
      <c r="A71" s="157"/>
      <c r="B71" s="137"/>
      <c r="C71" s="129"/>
      <c r="G71" s="140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41"/>
      <c r="V71" s="141"/>
      <c r="W71" s="141"/>
      <c r="X71" s="141"/>
      <c r="Y71" s="141"/>
      <c r="Z71" s="141"/>
      <c r="AA71" s="141"/>
      <c r="AB71" s="128"/>
      <c r="AC71" s="128"/>
      <c r="AD71" s="128"/>
      <c r="AE71" s="128"/>
      <c r="AF71" s="128"/>
      <c r="AG71" s="129"/>
      <c r="AH71" s="129"/>
      <c r="AI71" s="129"/>
      <c r="AJ71" s="129"/>
      <c r="AK71" s="129"/>
      <c r="AL71" s="129"/>
      <c r="AM71" s="129"/>
      <c r="AN71" s="129"/>
      <c r="AO71" s="129"/>
      <c r="AP71" s="129"/>
      <c r="AQ71" s="130"/>
      <c r="AR71" s="130"/>
      <c r="AS71" s="129"/>
      <c r="AT71" s="129"/>
      <c r="AU71" s="129"/>
      <c r="AV71" s="129"/>
      <c r="AW71" s="129"/>
      <c r="AX71" s="129"/>
      <c r="AY71" s="129"/>
      <c r="AZ71" s="129"/>
      <c r="BA71" s="129"/>
      <c r="BB71" s="129"/>
      <c r="BC71" s="129"/>
      <c r="BD71" s="129"/>
      <c r="BE71" s="129"/>
      <c r="BF71" s="129"/>
      <c r="BG71" s="129"/>
      <c r="BH71" s="129"/>
      <c r="BI71" s="129"/>
      <c r="BJ71" s="129"/>
      <c r="BK71" s="129"/>
      <c r="BL71" s="129"/>
      <c r="BM71" s="129"/>
      <c r="BN71" s="129"/>
      <c r="BO71" s="129"/>
      <c r="BP71" s="129"/>
      <c r="BQ71" s="129"/>
    </row>
    <row r="72" spans="1:69" s="139" customFormat="1" x14ac:dyDescent="0.25">
      <c r="A72" s="157"/>
      <c r="B72" s="137"/>
      <c r="C72" s="129"/>
      <c r="G72" s="140"/>
      <c r="I72" s="141"/>
      <c r="J72" s="141"/>
      <c r="K72" s="141"/>
      <c r="L72" s="141"/>
      <c r="M72" s="141"/>
      <c r="N72" s="141"/>
      <c r="O72" s="141"/>
      <c r="P72" s="141"/>
      <c r="Q72" s="141"/>
      <c r="R72" s="141"/>
      <c r="S72" s="141"/>
      <c r="T72" s="141"/>
      <c r="U72" s="141"/>
      <c r="V72" s="141"/>
      <c r="W72" s="141"/>
      <c r="X72" s="141"/>
      <c r="Y72" s="141"/>
      <c r="Z72" s="141"/>
      <c r="AA72" s="141"/>
      <c r="AB72" s="128"/>
      <c r="AC72" s="128"/>
      <c r="AD72" s="128"/>
      <c r="AE72" s="128"/>
      <c r="AF72" s="128"/>
      <c r="AG72" s="129"/>
      <c r="AH72" s="129"/>
      <c r="AI72" s="129"/>
      <c r="AJ72" s="129"/>
      <c r="AK72" s="129"/>
      <c r="AL72" s="129"/>
      <c r="AM72" s="129"/>
      <c r="AN72" s="129"/>
      <c r="AO72" s="129"/>
      <c r="AP72" s="129"/>
      <c r="AQ72" s="130"/>
      <c r="AR72" s="130"/>
      <c r="AS72" s="129"/>
      <c r="AT72" s="129"/>
      <c r="AU72" s="129"/>
      <c r="AV72" s="129"/>
      <c r="AW72" s="129"/>
      <c r="AX72" s="129"/>
      <c r="AY72" s="129"/>
      <c r="AZ72" s="129"/>
      <c r="BA72" s="129"/>
      <c r="BB72" s="129"/>
      <c r="BC72" s="129"/>
      <c r="BD72" s="129"/>
      <c r="BE72" s="129"/>
      <c r="BF72" s="129"/>
      <c r="BG72" s="129"/>
      <c r="BH72" s="129"/>
      <c r="BI72" s="129"/>
      <c r="BJ72" s="129"/>
      <c r="BK72" s="129"/>
      <c r="BL72" s="129"/>
      <c r="BM72" s="129"/>
      <c r="BN72" s="129"/>
      <c r="BO72" s="129"/>
      <c r="BP72" s="129"/>
      <c r="BQ72" s="129"/>
    </row>
    <row r="73" spans="1:69" s="139" customFormat="1" x14ac:dyDescent="0.25">
      <c r="A73" s="157"/>
      <c r="B73" s="137"/>
      <c r="C73" s="129"/>
      <c r="G73" s="140"/>
      <c r="I73" s="141"/>
      <c r="J73" s="141"/>
      <c r="K73" s="141"/>
      <c r="L73" s="141"/>
      <c r="M73" s="141"/>
      <c r="N73" s="141"/>
      <c r="O73" s="141"/>
      <c r="P73" s="141"/>
      <c r="Q73" s="141"/>
      <c r="R73" s="141"/>
      <c r="S73" s="141"/>
      <c r="T73" s="141"/>
      <c r="U73" s="141"/>
      <c r="V73" s="141"/>
      <c r="W73" s="141"/>
      <c r="X73" s="141"/>
      <c r="Y73" s="141"/>
      <c r="Z73" s="141"/>
      <c r="AA73" s="141"/>
      <c r="AB73" s="128"/>
      <c r="AC73" s="128"/>
      <c r="AD73" s="128"/>
      <c r="AE73" s="128"/>
      <c r="AF73" s="128"/>
      <c r="AG73" s="129"/>
      <c r="AH73" s="129"/>
      <c r="AI73" s="129"/>
      <c r="AJ73" s="129"/>
      <c r="AK73" s="129"/>
      <c r="AL73" s="129"/>
      <c r="AM73" s="129"/>
      <c r="AN73" s="129"/>
      <c r="AO73" s="129"/>
      <c r="AP73" s="129"/>
      <c r="AQ73" s="130"/>
      <c r="AR73" s="130"/>
      <c r="AS73" s="129"/>
      <c r="AT73" s="129"/>
      <c r="AU73" s="129"/>
      <c r="AV73" s="129"/>
      <c r="AW73" s="129"/>
      <c r="AX73" s="129"/>
      <c r="AY73" s="129"/>
      <c r="AZ73" s="129"/>
      <c r="BA73" s="129"/>
      <c r="BB73" s="129"/>
      <c r="BC73" s="129"/>
      <c r="BD73" s="129"/>
      <c r="BE73" s="129"/>
      <c r="BF73" s="129"/>
      <c r="BG73" s="129"/>
      <c r="BH73" s="129"/>
      <c r="BI73" s="129"/>
      <c r="BJ73" s="129"/>
      <c r="BK73" s="129"/>
      <c r="BL73" s="129"/>
      <c r="BM73" s="129"/>
      <c r="BN73" s="129"/>
      <c r="BO73" s="129"/>
      <c r="BP73" s="129"/>
      <c r="BQ73" s="129"/>
    </row>
    <row r="74" spans="1:69" s="139" customFormat="1" x14ac:dyDescent="0.25">
      <c r="A74" s="157"/>
      <c r="B74" s="137"/>
      <c r="C74" s="129"/>
      <c r="G74" s="140"/>
      <c r="I74" s="141"/>
      <c r="J74" s="141"/>
      <c r="K74" s="141"/>
      <c r="L74" s="141"/>
      <c r="M74" s="141"/>
      <c r="N74" s="141"/>
      <c r="O74" s="141"/>
      <c r="P74" s="141"/>
      <c r="Q74" s="141"/>
      <c r="R74" s="141"/>
      <c r="S74" s="141"/>
      <c r="T74" s="141"/>
      <c r="U74" s="141"/>
      <c r="V74" s="141"/>
      <c r="W74" s="141"/>
      <c r="X74" s="141"/>
      <c r="Y74" s="141"/>
      <c r="Z74" s="141"/>
      <c r="AA74" s="141"/>
      <c r="AB74" s="128"/>
      <c r="AC74" s="128"/>
      <c r="AD74" s="128"/>
      <c r="AE74" s="128"/>
      <c r="AF74" s="128"/>
      <c r="AG74" s="129"/>
      <c r="AH74" s="129"/>
      <c r="AI74" s="129"/>
      <c r="AJ74" s="129"/>
      <c r="AK74" s="129"/>
      <c r="AL74" s="129"/>
      <c r="AM74" s="129"/>
      <c r="AN74" s="129"/>
      <c r="AO74" s="129"/>
      <c r="AP74" s="129"/>
      <c r="AQ74" s="130"/>
      <c r="AR74" s="130"/>
      <c r="AS74" s="129"/>
      <c r="AT74" s="129"/>
      <c r="AU74" s="129"/>
      <c r="AV74" s="129"/>
      <c r="AW74" s="129"/>
      <c r="AX74" s="129"/>
      <c r="AY74" s="129"/>
      <c r="AZ74" s="129"/>
      <c r="BA74" s="129"/>
      <c r="BB74" s="129"/>
      <c r="BC74" s="129"/>
      <c r="BD74" s="129"/>
      <c r="BE74" s="129"/>
      <c r="BF74" s="129"/>
      <c r="BG74" s="129"/>
      <c r="BH74" s="129"/>
      <c r="BI74" s="129"/>
      <c r="BJ74" s="129"/>
      <c r="BK74" s="129"/>
      <c r="BL74" s="129"/>
      <c r="BM74" s="129"/>
      <c r="BN74" s="129"/>
      <c r="BO74" s="129"/>
      <c r="BP74" s="129"/>
      <c r="BQ74" s="129"/>
    </row>
    <row r="75" spans="1:69" s="139" customFormat="1" x14ac:dyDescent="0.25">
      <c r="A75" s="157"/>
      <c r="B75" s="137"/>
      <c r="C75" s="129"/>
      <c r="G75" s="140"/>
      <c r="I75" s="141"/>
      <c r="J75" s="141"/>
      <c r="K75" s="141"/>
      <c r="L75" s="141"/>
      <c r="M75" s="141"/>
      <c r="N75" s="141"/>
      <c r="O75" s="141"/>
      <c r="P75" s="141"/>
      <c r="Q75" s="141"/>
      <c r="R75" s="141"/>
      <c r="S75" s="141"/>
      <c r="T75" s="141"/>
      <c r="U75" s="141"/>
      <c r="V75" s="141"/>
      <c r="W75" s="141"/>
      <c r="X75" s="141"/>
      <c r="Y75" s="141"/>
      <c r="Z75" s="141"/>
      <c r="AA75" s="141"/>
      <c r="AB75" s="128"/>
      <c r="AC75" s="128"/>
      <c r="AD75" s="128"/>
      <c r="AE75" s="128"/>
      <c r="AF75" s="128"/>
      <c r="AG75" s="129"/>
      <c r="AH75" s="129"/>
      <c r="AI75" s="129"/>
      <c r="AJ75" s="129"/>
      <c r="AK75" s="129"/>
      <c r="AL75" s="129"/>
      <c r="AM75" s="129"/>
      <c r="AN75" s="129"/>
      <c r="AO75" s="129"/>
      <c r="AP75" s="129"/>
      <c r="AQ75" s="130"/>
      <c r="AR75" s="130"/>
      <c r="AS75" s="129"/>
      <c r="AT75" s="129"/>
      <c r="AU75" s="129"/>
      <c r="AV75" s="129"/>
      <c r="AW75" s="129"/>
      <c r="AX75" s="129"/>
      <c r="AY75" s="129"/>
      <c r="AZ75" s="129"/>
      <c r="BA75" s="129"/>
      <c r="BB75" s="129"/>
      <c r="BC75" s="129"/>
      <c r="BD75" s="129"/>
      <c r="BE75" s="129"/>
      <c r="BF75" s="129"/>
      <c r="BG75" s="129"/>
      <c r="BH75" s="129"/>
      <c r="BI75" s="129"/>
      <c r="BJ75" s="129"/>
      <c r="BK75" s="129"/>
      <c r="BL75" s="129"/>
      <c r="BM75" s="129"/>
      <c r="BN75" s="129"/>
      <c r="BO75" s="129"/>
      <c r="BP75" s="129"/>
      <c r="BQ75" s="129"/>
    </row>
    <row r="76" spans="1:69" s="139" customFormat="1" x14ac:dyDescent="0.25">
      <c r="A76" s="157"/>
      <c r="B76" s="137"/>
      <c r="C76" s="129"/>
      <c r="G76" s="140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41"/>
      <c r="V76" s="141"/>
      <c r="W76" s="141"/>
      <c r="X76" s="141"/>
      <c r="Y76" s="141"/>
      <c r="Z76" s="141"/>
      <c r="AA76" s="141"/>
      <c r="AB76" s="128"/>
      <c r="AC76" s="128"/>
      <c r="AD76" s="128"/>
      <c r="AE76" s="128"/>
      <c r="AF76" s="128"/>
      <c r="AG76" s="129"/>
      <c r="AH76" s="129"/>
      <c r="AI76" s="129"/>
      <c r="AJ76" s="129"/>
      <c r="AK76" s="129"/>
      <c r="AL76" s="129"/>
      <c r="AM76" s="129"/>
      <c r="AN76" s="129"/>
      <c r="AO76" s="129"/>
      <c r="AP76" s="129"/>
      <c r="AQ76" s="130"/>
      <c r="AR76" s="130"/>
      <c r="AS76" s="129"/>
      <c r="AT76" s="129"/>
      <c r="AU76" s="129"/>
      <c r="AV76" s="129"/>
      <c r="AW76" s="129"/>
      <c r="AX76" s="129"/>
      <c r="AY76" s="129"/>
      <c r="AZ76" s="129"/>
      <c r="BA76" s="129"/>
      <c r="BB76" s="129"/>
      <c r="BC76" s="129"/>
      <c r="BD76" s="129"/>
      <c r="BE76" s="129"/>
      <c r="BF76" s="129"/>
      <c r="BG76" s="129"/>
      <c r="BH76" s="129"/>
      <c r="BI76" s="129"/>
      <c r="BJ76" s="129"/>
      <c r="BK76" s="129"/>
      <c r="BL76" s="129"/>
      <c r="BM76" s="129"/>
      <c r="BN76" s="129"/>
      <c r="BO76" s="129"/>
      <c r="BP76" s="129"/>
      <c r="BQ76" s="129"/>
    </row>
    <row r="77" spans="1:69" s="139" customFormat="1" x14ac:dyDescent="0.25">
      <c r="A77" s="157"/>
      <c r="B77" s="137"/>
      <c r="C77" s="129"/>
      <c r="G77" s="140"/>
      <c r="I77" s="141"/>
      <c r="J77" s="141"/>
      <c r="K77" s="141"/>
      <c r="L77" s="141"/>
      <c r="M77" s="141"/>
      <c r="N77" s="141"/>
      <c r="O77" s="141"/>
      <c r="P77" s="141"/>
      <c r="Q77" s="141"/>
      <c r="R77" s="141"/>
      <c r="S77" s="141"/>
      <c r="T77" s="141"/>
      <c r="U77" s="141"/>
      <c r="V77" s="141"/>
      <c r="W77" s="141"/>
      <c r="X77" s="141"/>
      <c r="Y77" s="141"/>
      <c r="Z77" s="141"/>
      <c r="AA77" s="141"/>
      <c r="AB77" s="128"/>
      <c r="AC77" s="128"/>
      <c r="AD77" s="128"/>
      <c r="AE77" s="128"/>
      <c r="AF77" s="128"/>
      <c r="AG77" s="129"/>
      <c r="AH77" s="129"/>
      <c r="AI77" s="129"/>
      <c r="AJ77" s="129"/>
      <c r="AK77" s="129"/>
      <c r="AL77" s="129"/>
      <c r="AM77" s="129"/>
      <c r="AN77" s="129"/>
      <c r="AO77" s="129"/>
      <c r="AP77" s="129"/>
      <c r="AQ77" s="130"/>
      <c r="AR77" s="130"/>
      <c r="AS77" s="129"/>
      <c r="AT77" s="129"/>
      <c r="AU77" s="129"/>
      <c r="AV77" s="129"/>
      <c r="AW77" s="129"/>
      <c r="AX77" s="129"/>
      <c r="AY77" s="129"/>
      <c r="AZ77" s="129"/>
      <c r="BA77" s="129"/>
      <c r="BB77" s="129"/>
      <c r="BC77" s="129"/>
      <c r="BD77" s="129"/>
      <c r="BE77" s="129"/>
      <c r="BF77" s="129"/>
      <c r="BG77" s="129"/>
      <c r="BH77" s="129"/>
      <c r="BI77" s="129"/>
      <c r="BJ77" s="129"/>
      <c r="BK77" s="129"/>
      <c r="BL77" s="129"/>
      <c r="BM77" s="129"/>
      <c r="BN77" s="129"/>
      <c r="BO77" s="129"/>
      <c r="BP77" s="129"/>
      <c r="BQ77" s="129"/>
    </row>
    <row r="78" spans="1:69" s="139" customFormat="1" x14ac:dyDescent="0.25">
      <c r="A78" s="157"/>
      <c r="B78" s="137"/>
      <c r="C78" s="129"/>
      <c r="G78" s="140"/>
      <c r="I78" s="141"/>
      <c r="J78" s="141"/>
      <c r="K78" s="141"/>
      <c r="L78" s="141"/>
      <c r="M78" s="141"/>
      <c r="N78" s="141"/>
      <c r="O78" s="141"/>
      <c r="P78" s="141"/>
      <c r="Q78" s="141"/>
      <c r="R78" s="141"/>
      <c r="S78" s="141"/>
      <c r="T78" s="141"/>
      <c r="U78" s="141"/>
      <c r="V78" s="141"/>
      <c r="W78" s="141"/>
      <c r="X78" s="141"/>
      <c r="Y78" s="141"/>
      <c r="Z78" s="141"/>
      <c r="AA78" s="141"/>
      <c r="AB78" s="128"/>
      <c r="AC78" s="128"/>
      <c r="AD78" s="128"/>
      <c r="AE78" s="128"/>
      <c r="AF78" s="128"/>
      <c r="AG78" s="129"/>
      <c r="AH78" s="129"/>
      <c r="AI78" s="129"/>
      <c r="AJ78" s="129"/>
      <c r="AK78" s="129"/>
      <c r="AL78" s="129"/>
      <c r="AM78" s="129"/>
      <c r="AN78" s="129"/>
      <c r="AO78" s="129"/>
      <c r="AP78" s="129"/>
      <c r="AQ78" s="130"/>
      <c r="AR78" s="130"/>
      <c r="AS78" s="129"/>
      <c r="AT78" s="129"/>
      <c r="AU78" s="129"/>
      <c r="AV78" s="129"/>
      <c r="AW78" s="129"/>
      <c r="AX78" s="129"/>
      <c r="AY78" s="129"/>
      <c r="AZ78" s="129"/>
      <c r="BA78" s="129"/>
      <c r="BB78" s="129"/>
      <c r="BC78" s="129"/>
      <c r="BD78" s="129"/>
      <c r="BE78" s="129"/>
      <c r="BF78" s="129"/>
      <c r="BG78" s="129"/>
      <c r="BH78" s="129"/>
      <c r="BI78" s="129"/>
      <c r="BJ78" s="129"/>
      <c r="BK78" s="129"/>
      <c r="BL78" s="129"/>
      <c r="BM78" s="129"/>
      <c r="BN78" s="129"/>
      <c r="BO78" s="129"/>
      <c r="BP78" s="129"/>
      <c r="BQ78" s="129"/>
    </row>
    <row r="79" spans="1:69" s="139" customFormat="1" x14ac:dyDescent="0.25">
      <c r="A79" s="157"/>
      <c r="B79" s="137"/>
      <c r="C79" s="129"/>
      <c r="G79" s="140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28"/>
      <c r="AC79" s="128"/>
      <c r="AD79" s="128"/>
      <c r="AE79" s="128"/>
      <c r="AF79" s="128"/>
      <c r="AG79" s="129"/>
      <c r="AH79" s="129"/>
      <c r="AI79" s="129"/>
      <c r="AJ79" s="129"/>
      <c r="AK79" s="129"/>
      <c r="AL79" s="129"/>
      <c r="AM79" s="129"/>
      <c r="AN79" s="129"/>
      <c r="AO79" s="129"/>
      <c r="AP79" s="129"/>
      <c r="AQ79" s="130"/>
      <c r="AR79" s="130"/>
      <c r="AS79" s="129"/>
      <c r="AT79" s="129"/>
      <c r="AU79" s="129"/>
      <c r="AV79" s="129"/>
      <c r="AW79" s="129"/>
      <c r="AX79" s="129"/>
      <c r="AY79" s="129"/>
      <c r="AZ79" s="129"/>
      <c r="BA79" s="129"/>
      <c r="BB79" s="129"/>
      <c r="BC79" s="129"/>
      <c r="BD79" s="129"/>
      <c r="BE79" s="129"/>
      <c r="BF79" s="129"/>
      <c r="BG79" s="129"/>
      <c r="BH79" s="129"/>
      <c r="BI79" s="129"/>
      <c r="BJ79" s="129"/>
      <c r="BK79" s="129"/>
      <c r="BL79" s="129"/>
      <c r="BM79" s="129"/>
      <c r="BN79" s="129"/>
      <c r="BO79" s="129"/>
      <c r="BP79" s="129"/>
      <c r="BQ79" s="129"/>
    </row>
    <row r="80" spans="1:69" s="139" customFormat="1" x14ac:dyDescent="0.25">
      <c r="A80" s="157"/>
      <c r="B80" s="137"/>
      <c r="C80" s="129"/>
      <c r="G80" s="140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28"/>
      <c r="AC80" s="128"/>
      <c r="AD80" s="128"/>
      <c r="AE80" s="128"/>
      <c r="AF80" s="128"/>
      <c r="AG80" s="129"/>
      <c r="AH80" s="129"/>
      <c r="AI80" s="129"/>
      <c r="AJ80" s="129"/>
      <c r="AK80" s="129"/>
      <c r="AL80" s="129"/>
      <c r="AM80" s="129"/>
      <c r="AN80" s="129"/>
      <c r="AO80" s="129"/>
      <c r="AP80" s="129"/>
      <c r="AQ80" s="130"/>
      <c r="AR80" s="130"/>
      <c r="AS80" s="129"/>
      <c r="AT80" s="129"/>
      <c r="AU80" s="129"/>
      <c r="AV80" s="129"/>
      <c r="AW80" s="129"/>
      <c r="AX80" s="129"/>
      <c r="AY80" s="129"/>
      <c r="AZ80" s="129"/>
      <c r="BA80" s="129"/>
      <c r="BB80" s="129"/>
      <c r="BC80" s="129"/>
      <c r="BD80" s="129"/>
      <c r="BE80" s="129"/>
      <c r="BF80" s="129"/>
      <c r="BG80" s="129"/>
      <c r="BH80" s="129"/>
      <c r="BI80" s="129"/>
      <c r="BJ80" s="129"/>
      <c r="BK80" s="129"/>
      <c r="BL80" s="129"/>
      <c r="BM80" s="129"/>
      <c r="BN80" s="129"/>
      <c r="BO80" s="129"/>
      <c r="BP80" s="129"/>
      <c r="BQ80" s="129"/>
    </row>
    <row r="81" spans="1:69" s="139" customFormat="1" x14ac:dyDescent="0.25">
      <c r="A81" s="157"/>
      <c r="B81" s="137"/>
      <c r="C81" s="129"/>
      <c r="G81" s="140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28"/>
      <c r="AC81" s="128"/>
      <c r="AD81" s="128"/>
      <c r="AE81" s="128"/>
      <c r="AF81" s="128"/>
      <c r="AG81" s="129"/>
      <c r="AH81" s="129"/>
      <c r="AI81" s="129"/>
      <c r="AJ81" s="129"/>
      <c r="AK81" s="129"/>
      <c r="AL81" s="129"/>
      <c r="AM81" s="129"/>
      <c r="AN81" s="129"/>
      <c r="AO81" s="129"/>
      <c r="AP81" s="129"/>
      <c r="AQ81" s="130"/>
      <c r="AR81" s="130"/>
      <c r="AS81" s="129"/>
      <c r="AT81" s="129"/>
      <c r="AU81" s="129"/>
      <c r="AV81" s="129"/>
      <c r="AW81" s="129"/>
      <c r="AX81" s="129"/>
      <c r="AY81" s="129"/>
      <c r="AZ81" s="129"/>
      <c r="BA81" s="129"/>
      <c r="BB81" s="129"/>
      <c r="BC81" s="129"/>
      <c r="BD81" s="129"/>
      <c r="BE81" s="129"/>
      <c r="BF81" s="129"/>
      <c r="BG81" s="129"/>
      <c r="BH81" s="129"/>
      <c r="BI81" s="129"/>
      <c r="BJ81" s="129"/>
      <c r="BK81" s="129"/>
      <c r="BL81" s="129"/>
      <c r="BM81" s="129"/>
      <c r="BN81" s="129"/>
      <c r="BO81" s="129"/>
      <c r="BP81" s="129"/>
      <c r="BQ81" s="129"/>
    </row>
    <row r="82" spans="1:69" s="139" customFormat="1" x14ac:dyDescent="0.25">
      <c r="A82" s="157"/>
      <c r="B82" s="137"/>
      <c r="C82" s="129"/>
      <c r="G82" s="140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28"/>
      <c r="AC82" s="128"/>
      <c r="AD82" s="128"/>
      <c r="AE82" s="128"/>
      <c r="AF82" s="128"/>
      <c r="AG82" s="129"/>
      <c r="AH82" s="129"/>
      <c r="AI82" s="129"/>
      <c r="AJ82" s="129"/>
      <c r="AK82" s="129"/>
      <c r="AL82" s="129"/>
      <c r="AM82" s="129"/>
      <c r="AN82" s="129"/>
      <c r="AO82" s="129"/>
      <c r="AP82" s="129"/>
      <c r="AQ82" s="130"/>
      <c r="AR82" s="130"/>
      <c r="AS82" s="129"/>
      <c r="AT82" s="129"/>
      <c r="AU82" s="129"/>
      <c r="AV82" s="129"/>
      <c r="AW82" s="129"/>
      <c r="AX82" s="129"/>
      <c r="AY82" s="129"/>
      <c r="AZ82" s="129"/>
      <c r="BA82" s="129"/>
      <c r="BB82" s="129"/>
      <c r="BC82" s="129"/>
      <c r="BD82" s="129"/>
      <c r="BE82" s="129"/>
      <c r="BF82" s="129"/>
      <c r="BG82" s="129"/>
      <c r="BH82" s="129"/>
      <c r="BI82" s="129"/>
      <c r="BJ82" s="129"/>
      <c r="BK82" s="129"/>
      <c r="BL82" s="129"/>
      <c r="BM82" s="129"/>
      <c r="BN82" s="129"/>
      <c r="BO82" s="129"/>
      <c r="BP82" s="129"/>
      <c r="BQ82" s="129"/>
    </row>
    <row r="83" spans="1:69" s="139" customFormat="1" x14ac:dyDescent="0.25">
      <c r="A83" s="157"/>
      <c r="B83" s="137"/>
      <c r="C83" s="129"/>
      <c r="G83" s="140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28"/>
      <c r="AC83" s="128"/>
      <c r="AD83" s="128"/>
      <c r="AE83" s="128"/>
      <c r="AF83" s="128"/>
      <c r="AG83" s="129"/>
      <c r="AH83" s="129"/>
      <c r="AI83" s="129"/>
      <c r="AJ83" s="129"/>
      <c r="AK83" s="129"/>
      <c r="AL83" s="129"/>
      <c r="AM83" s="129"/>
      <c r="AN83" s="129"/>
      <c r="AO83" s="129"/>
      <c r="AP83" s="129"/>
      <c r="AQ83" s="130"/>
      <c r="AR83" s="130"/>
      <c r="AS83" s="129"/>
      <c r="AT83" s="129"/>
      <c r="AU83" s="129"/>
      <c r="AV83" s="129"/>
      <c r="AW83" s="129"/>
      <c r="AX83" s="129"/>
      <c r="AY83" s="129"/>
      <c r="AZ83" s="129"/>
      <c r="BA83" s="129"/>
      <c r="BB83" s="129"/>
      <c r="BC83" s="129"/>
      <c r="BD83" s="129"/>
      <c r="BE83" s="129"/>
      <c r="BF83" s="129"/>
      <c r="BG83" s="129"/>
      <c r="BH83" s="129"/>
      <c r="BI83" s="129"/>
      <c r="BJ83" s="129"/>
      <c r="BK83" s="129"/>
      <c r="BL83" s="129"/>
      <c r="BM83" s="129"/>
      <c r="BN83" s="129"/>
      <c r="BO83" s="129"/>
      <c r="BP83" s="129"/>
      <c r="BQ83" s="129"/>
    </row>
    <row r="84" spans="1:69" s="139" customFormat="1" x14ac:dyDescent="0.25">
      <c r="A84" s="157"/>
      <c r="B84" s="137"/>
      <c r="C84" s="129"/>
      <c r="G84" s="140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28"/>
      <c r="AC84" s="128"/>
      <c r="AD84" s="128"/>
      <c r="AE84" s="128"/>
      <c r="AF84" s="128"/>
      <c r="AG84" s="129"/>
      <c r="AH84" s="129"/>
      <c r="AI84" s="129"/>
      <c r="AJ84" s="129"/>
      <c r="AK84" s="129"/>
      <c r="AL84" s="129"/>
      <c r="AM84" s="129"/>
      <c r="AN84" s="129"/>
      <c r="AO84" s="129"/>
      <c r="AP84" s="129"/>
      <c r="AQ84" s="130"/>
      <c r="AR84" s="130"/>
      <c r="AS84" s="129"/>
      <c r="AT84" s="129"/>
      <c r="AU84" s="129"/>
      <c r="AV84" s="129"/>
      <c r="AW84" s="129"/>
      <c r="AX84" s="129"/>
      <c r="AY84" s="129"/>
      <c r="AZ84" s="129"/>
      <c r="BA84" s="129"/>
      <c r="BB84" s="129"/>
      <c r="BC84" s="129"/>
      <c r="BD84" s="129"/>
      <c r="BE84" s="129"/>
      <c r="BF84" s="129"/>
      <c r="BG84" s="129"/>
      <c r="BH84" s="129"/>
      <c r="BI84" s="129"/>
      <c r="BJ84" s="129"/>
      <c r="BK84" s="129"/>
      <c r="BL84" s="129"/>
      <c r="BM84" s="129"/>
      <c r="BN84" s="129"/>
      <c r="BO84" s="129"/>
      <c r="BP84" s="129"/>
      <c r="BQ84" s="129"/>
    </row>
    <row r="85" spans="1:69" s="139" customFormat="1" x14ac:dyDescent="0.25">
      <c r="A85" s="157"/>
      <c r="B85" s="137"/>
      <c r="C85" s="129"/>
      <c r="G85" s="140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28"/>
      <c r="AC85" s="128"/>
      <c r="AD85" s="128"/>
      <c r="AE85" s="128"/>
      <c r="AF85" s="128"/>
      <c r="AG85" s="129"/>
      <c r="AH85" s="129"/>
      <c r="AI85" s="129"/>
      <c r="AJ85" s="129"/>
      <c r="AK85" s="129"/>
      <c r="AL85" s="129"/>
      <c r="AM85" s="129"/>
      <c r="AN85" s="129"/>
      <c r="AO85" s="129"/>
      <c r="AP85" s="129"/>
      <c r="AQ85" s="130"/>
      <c r="AR85" s="130"/>
      <c r="AS85" s="129"/>
      <c r="AT85" s="129"/>
      <c r="AU85" s="129"/>
      <c r="AV85" s="129"/>
      <c r="AW85" s="129"/>
      <c r="AX85" s="129"/>
      <c r="AY85" s="129"/>
      <c r="AZ85" s="129"/>
      <c r="BA85" s="129"/>
      <c r="BB85" s="129"/>
      <c r="BC85" s="129"/>
      <c r="BD85" s="129"/>
      <c r="BE85" s="129"/>
      <c r="BF85" s="129"/>
      <c r="BG85" s="129"/>
      <c r="BH85" s="129"/>
      <c r="BI85" s="129"/>
      <c r="BJ85" s="129"/>
      <c r="BK85" s="129"/>
      <c r="BL85" s="129"/>
      <c r="BM85" s="129"/>
      <c r="BN85" s="129"/>
      <c r="BO85" s="129"/>
      <c r="BP85" s="129"/>
      <c r="BQ85" s="129"/>
    </row>
    <row r="86" spans="1:69" s="139" customFormat="1" x14ac:dyDescent="0.25">
      <c r="A86" s="157"/>
      <c r="B86" s="137"/>
      <c r="C86" s="129"/>
      <c r="G86" s="140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28"/>
      <c r="AC86" s="128"/>
      <c r="AD86" s="128"/>
      <c r="AE86" s="128"/>
      <c r="AF86" s="128"/>
      <c r="AG86" s="129"/>
      <c r="AH86" s="129"/>
      <c r="AI86" s="129"/>
      <c r="AJ86" s="129"/>
      <c r="AK86" s="129"/>
      <c r="AL86" s="129"/>
      <c r="AM86" s="129"/>
      <c r="AN86" s="129"/>
      <c r="AO86" s="129"/>
      <c r="AP86" s="129"/>
      <c r="AQ86" s="130"/>
      <c r="AR86" s="130"/>
      <c r="AS86" s="129"/>
      <c r="AT86" s="129"/>
      <c r="AU86" s="129"/>
      <c r="AV86" s="129"/>
      <c r="AW86" s="129"/>
      <c r="AX86" s="129"/>
      <c r="AY86" s="129"/>
      <c r="AZ86" s="129"/>
      <c r="BA86" s="129"/>
      <c r="BB86" s="129"/>
      <c r="BC86" s="129"/>
      <c r="BD86" s="129"/>
      <c r="BE86" s="129"/>
      <c r="BF86" s="129"/>
      <c r="BG86" s="129"/>
      <c r="BH86" s="129"/>
      <c r="BI86" s="129"/>
      <c r="BJ86" s="129"/>
      <c r="BK86" s="129"/>
      <c r="BL86" s="129"/>
      <c r="BM86" s="129"/>
      <c r="BN86" s="129"/>
      <c r="BO86" s="129"/>
      <c r="BP86" s="129"/>
      <c r="BQ86" s="129"/>
    </row>
    <row r="87" spans="1:69" s="139" customFormat="1" x14ac:dyDescent="0.25">
      <c r="A87" s="157"/>
      <c r="B87" s="137"/>
      <c r="C87" s="129"/>
      <c r="G87" s="140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28"/>
      <c r="AC87" s="128"/>
      <c r="AD87" s="128"/>
      <c r="AE87" s="128"/>
      <c r="AF87" s="128"/>
      <c r="AG87" s="129"/>
      <c r="AH87" s="129"/>
      <c r="AI87" s="129"/>
      <c r="AJ87" s="129"/>
      <c r="AK87" s="129"/>
      <c r="AL87" s="129"/>
      <c r="AM87" s="129"/>
      <c r="AN87" s="129"/>
      <c r="AO87" s="129"/>
      <c r="AP87" s="129"/>
      <c r="AQ87" s="130"/>
      <c r="AR87" s="130"/>
      <c r="AS87" s="129"/>
      <c r="AT87" s="129"/>
      <c r="AU87" s="129"/>
      <c r="AV87" s="129"/>
      <c r="AW87" s="129"/>
      <c r="AX87" s="129"/>
      <c r="AY87" s="129"/>
      <c r="AZ87" s="129"/>
      <c r="BA87" s="129"/>
      <c r="BB87" s="129"/>
      <c r="BC87" s="129"/>
      <c r="BD87" s="129"/>
      <c r="BE87" s="129"/>
      <c r="BF87" s="129"/>
      <c r="BG87" s="129"/>
      <c r="BH87" s="129"/>
      <c r="BI87" s="129"/>
      <c r="BJ87" s="129"/>
      <c r="BK87" s="129"/>
      <c r="BL87" s="129"/>
      <c r="BM87" s="129"/>
      <c r="BN87" s="129"/>
      <c r="BO87" s="129"/>
      <c r="BP87" s="129"/>
      <c r="BQ87" s="129"/>
    </row>
    <row r="88" spans="1:69" s="139" customFormat="1" x14ac:dyDescent="0.25">
      <c r="A88" s="157"/>
      <c r="B88" s="137"/>
      <c r="C88" s="129"/>
      <c r="G88" s="140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28"/>
      <c r="AC88" s="128"/>
      <c r="AD88" s="128"/>
      <c r="AE88" s="128"/>
      <c r="AF88" s="128"/>
      <c r="AG88" s="129"/>
      <c r="AH88" s="129"/>
      <c r="AI88" s="129"/>
      <c r="AJ88" s="129"/>
      <c r="AK88" s="129"/>
      <c r="AL88" s="129"/>
      <c r="AM88" s="129"/>
      <c r="AN88" s="129"/>
      <c r="AO88" s="129"/>
      <c r="AP88" s="129"/>
      <c r="AQ88" s="130"/>
      <c r="AR88" s="130"/>
      <c r="AS88" s="129"/>
      <c r="AT88" s="129"/>
      <c r="AU88" s="129"/>
      <c r="AV88" s="129"/>
      <c r="AW88" s="129"/>
      <c r="AX88" s="129"/>
      <c r="AY88" s="129"/>
      <c r="AZ88" s="129"/>
      <c r="BA88" s="129"/>
      <c r="BB88" s="129"/>
      <c r="BC88" s="129"/>
      <c r="BD88" s="129"/>
      <c r="BE88" s="129"/>
      <c r="BF88" s="129"/>
      <c r="BG88" s="129"/>
      <c r="BH88" s="129"/>
      <c r="BI88" s="129"/>
      <c r="BJ88" s="129"/>
      <c r="BK88" s="129"/>
      <c r="BL88" s="129"/>
      <c r="BM88" s="129"/>
      <c r="BN88" s="129"/>
      <c r="BO88" s="129"/>
      <c r="BP88" s="129"/>
      <c r="BQ88" s="129"/>
    </row>
    <row r="89" spans="1:69" s="139" customFormat="1" x14ac:dyDescent="0.25">
      <c r="A89" s="157"/>
      <c r="B89" s="137"/>
      <c r="C89" s="129"/>
      <c r="G89" s="140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28"/>
      <c r="AC89" s="128"/>
      <c r="AD89" s="128"/>
      <c r="AE89" s="128"/>
      <c r="AF89" s="128"/>
      <c r="AG89" s="129"/>
      <c r="AH89" s="129"/>
      <c r="AI89" s="129"/>
      <c r="AJ89" s="129"/>
      <c r="AK89" s="129"/>
      <c r="AL89" s="129"/>
      <c r="AM89" s="129"/>
      <c r="AN89" s="129"/>
      <c r="AO89" s="129"/>
      <c r="AP89" s="129"/>
      <c r="AQ89" s="130"/>
      <c r="AR89" s="130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29"/>
      <c r="BE89" s="129"/>
      <c r="BF89" s="129"/>
      <c r="BG89" s="129"/>
      <c r="BH89" s="129"/>
      <c r="BI89" s="129"/>
      <c r="BJ89" s="129"/>
      <c r="BK89" s="129"/>
      <c r="BL89" s="129"/>
      <c r="BM89" s="129"/>
      <c r="BN89" s="129"/>
      <c r="BO89" s="129"/>
      <c r="BP89" s="129"/>
      <c r="BQ89" s="129"/>
    </row>
    <row r="90" spans="1:69" s="139" customFormat="1" x14ac:dyDescent="0.25">
      <c r="A90" s="157"/>
      <c r="B90" s="137"/>
      <c r="C90" s="129"/>
      <c r="G90" s="140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28"/>
      <c r="AC90" s="128"/>
      <c r="AD90" s="128"/>
      <c r="AE90" s="128"/>
      <c r="AF90" s="128"/>
      <c r="AG90" s="129"/>
      <c r="AH90" s="129"/>
      <c r="AI90" s="129"/>
      <c r="AJ90" s="129"/>
      <c r="AK90" s="129"/>
      <c r="AL90" s="129"/>
      <c r="AM90" s="129"/>
      <c r="AN90" s="129"/>
      <c r="AO90" s="129"/>
      <c r="AP90" s="129"/>
      <c r="AQ90" s="130"/>
      <c r="AR90" s="130"/>
      <c r="AS90" s="129"/>
      <c r="AT90" s="129"/>
      <c r="AU90" s="129"/>
      <c r="AV90" s="129"/>
      <c r="AW90" s="129"/>
      <c r="AX90" s="129"/>
      <c r="AY90" s="129"/>
      <c r="AZ90" s="129"/>
      <c r="BA90" s="129"/>
      <c r="BB90" s="129"/>
      <c r="BC90" s="129"/>
      <c r="BD90" s="129"/>
      <c r="BE90" s="129"/>
      <c r="BF90" s="129"/>
      <c r="BG90" s="129"/>
      <c r="BH90" s="129"/>
      <c r="BI90" s="129"/>
      <c r="BJ90" s="129"/>
      <c r="BK90" s="129"/>
      <c r="BL90" s="129"/>
      <c r="BM90" s="129"/>
      <c r="BN90" s="129"/>
      <c r="BO90" s="129"/>
      <c r="BP90" s="129"/>
      <c r="BQ90" s="129"/>
    </row>
    <row r="91" spans="1:69" s="139" customFormat="1" x14ac:dyDescent="0.25">
      <c r="A91" s="157"/>
      <c r="B91" s="137"/>
      <c r="C91" s="129"/>
      <c r="G91" s="140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28"/>
      <c r="AC91" s="128"/>
      <c r="AD91" s="128"/>
      <c r="AE91" s="128"/>
      <c r="AF91" s="128"/>
      <c r="AG91" s="129"/>
      <c r="AH91" s="129"/>
      <c r="AI91" s="129"/>
      <c r="AJ91" s="129"/>
      <c r="AK91" s="129"/>
      <c r="AL91" s="129"/>
      <c r="AM91" s="129"/>
      <c r="AN91" s="129"/>
      <c r="AO91" s="129"/>
      <c r="AP91" s="129"/>
      <c r="AQ91" s="130"/>
      <c r="AR91" s="130"/>
      <c r="AS91" s="129"/>
      <c r="AT91" s="129"/>
      <c r="AU91" s="129"/>
      <c r="AV91" s="129"/>
      <c r="AW91" s="129"/>
      <c r="AX91" s="129"/>
      <c r="AY91" s="129"/>
      <c r="AZ91" s="129"/>
      <c r="BA91" s="129"/>
      <c r="BB91" s="129"/>
      <c r="BC91" s="129"/>
      <c r="BD91" s="129"/>
      <c r="BE91" s="129"/>
      <c r="BF91" s="129"/>
      <c r="BG91" s="129"/>
      <c r="BH91" s="129"/>
      <c r="BI91" s="129"/>
      <c r="BJ91" s="129"/>
      <c r="BK91" s="129"/>
      <c r="BL91" s="129"/>
      <c r="BM91" s="129"/>
      <c r="BN91" s="129"/>
      <c r="BO91" s="129"/>
      <c r="BP91" s="129"/>
      <c r="BQ91" s="129"/>
    </row>
    <row r="92" spans="1:69" s="139" customFormat="1" x14ac:dyDescent="0.25">
      <c r="A92" s="157"/>
      <c r="B92" s="137"/>
      <c r="C92" s="129"/>
      <c r="G92" s="140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28"/>
      <c r="AC92" s="128"/>
      <c r="AD92" s="128"/>
      <c r="AE92" s="128"/>
      <c r="AF92" s="128"/>
      <c r="AG92" s="129"/>
      <c r="AH92" s="129"/>
      <c r="AI92" s="129"/>
      <c r="AJ92" s="129"/>
      <c r="AK92" s="129"/>
      <c r="AL92" s="129"/>
      <c r="AM92" s="129"/>
      <c r="AN92" s="129"/>
      <c r="AO92" s="129"/>
      <c r="AP92" s="129"/>
      <c r="AQ92" s="130"/>
      <c r="AR92" s="130"/>
      <c r="AS92" s="129"/>
      <c r="AT92" s="129"/>
      <c r="AU92" s="129"/>
      <c r="AV92" s="129"/>
      <c r="AW92" s="129"/>
      <c r="AX92" s="129"/>
      <c r="AY92" s="129"/>
      <c r="AZ92" s="129"/>
      <c r="BA92" s="129"/>
      <c r="BB92" s="129"/>
      <c r="BC92" s="129"/>
      <c r="BD92" s="129"/>
      <c r="BE92" s="129"/>
      <c r="BF92" s="129"/>
      <c r="BG92" s="129"/>
      <c r="BH92" s="129"/>
      <c r="BI92" s="129"/>
      <c r="BJ92" s="129"/>
      <c r="BK92" s="129"/>
      <c r="BL92" s="129"/>
      <c r="BM92" s="129"/>
      <c r="BN92" s="129"/>
      <c r="BO92" s="129"/>
      <c r="BP92" s="129"/>
      <c r="BQ92" s="129"/>
    </row>
    <row r="93" spans="1:69" s="139" customFormat="1" x14ac:dyDescent="0.25">
      <c r="A93" s="157"/>
      <c r="B93" s="137"/>
      <c r="C93" s="129"/>
      <c r="G93" s="140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28"/>
      <c r="AC93" s="128"/>
      <c r="AD93" s="128"/>
      <c r="AE93" s="128"/>
      <c r="AF93" s="128"/>
      <c r="AG93" s="129"/>
      <c r="AH93" s="129"/>
      <c r="AI93" s="129"/>
      <c r="AJ93" s="129"/>
      <c r="AK93" s="129"/>
      <c r="AL93" s="129"/>
      <c r="AM93" s="129"/>
      <c r="AN93" s="129"/>
      <c r="AO93" s="129"/>
      <c r="AP93" s="129"/>
      <c r="AQ93" s="130"/>
      <c r="AR93" s="130"/>
      <c r="AS93" s="129"/>
      <c r="AT93" s="129"/>
      <c r="AU93" s="129"/>
      <c r="AV93" s="129"/>
      <c r="AW93" s="129"/>
      <c r="AX93" s="129"/>
      <c r="AY93" s="129"/>
      <c r="AZ93" s="129"/>
      <c r="BA93" s="129"/>
      <c r="BB93" s="129"/>
      <c r="BC93" s="129"/>
      <c r="BD93" s="129"/>
      <c r="BE93" s="129"/>
      <c r="BF93" s="129"/>
      <c r="BG93" s="129"/>
      <c r="BH93" s="129"/>
      <c r="BI93" s="129"/>
      <c r="BJ93" s="129"/>
      <c r="BK93" s="129"/>
      <c r="BL93" s="129"/>
      <c r="BM93" s="129"/>
      <c r="BN93" s="129"/>
      <c r="BO93" s="129"/>
      <c r="BP93" s="129"/>
      <c r="BQ93" s="129"/>
    </row>
    <row r="94" spans="1:69" s="139" customFormat="1" x14ac:dyDescent="0.25">
      <c r="A94" s="157"/>
      <c r="B94" s="137"/>
      <c r="C94" s="129"/>
      <c r="G94" s="140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28"/>
      <c r="AC94" s="128"/>
      <c r="AD94" s="128"/>
      <c r="AE94" s="128"/>
      <c r="AF94" s="128"/>
      <c r="AG94" s="129"/>
      <c r="AH94" s="129"/>
      <c r="AI94" s="129"/>
      <c r="AJ94" s="129"/>
      <c r="AK94" s="129"/>
      <c r="AL94" s="129"/>
      <c r="AM94" s="129"/>
      <c r="AN94" s="129"/>
      <c r="AO94" s="129"/>
      <c r="AP94" s="129"/>
      <c r="AQ94" s="130"/>
      <c r="AR94" s="130"/>
      <c r="AS94" s="129"/>
      <c r="AT94" s="129"/>
      <c r="AU94" s="129"/>
      <c r="AV94" s="129"/>
      <c r="AW94" s="129"/>
      <c r="AX94" s="129"/>
      <c r="AY94" s="129"/>
      <c r="AZ94" s="129"/>
      <c r="BA94" s="129"/>
      <c r="BB94" s="129"/>
      <c r="BC94" s="129"/>
      <c r="BD94" s="129"/>
      <c r="BE94" s="129"/>
      <c r="BF94" s="129"/>
      <c r="BG94" s="129"/>
      <c r="BH94" s="129"/>
      <c r="BI94" s="129"/>
      <c r="BJ94" s="129"/>
      <c r="BK94" s="129"/>
      <c r="BL94" s="129"/>
      <c r="BM94" s="129"/>
      <c r="BN94" s="129"/>
      <c r="BO94" s="129"/>
      <c r="BP94" s="129"/>
      <c r="BQ94" s="129"/>
    </row>
    <row r="95" spans="1:69" s="139" customFormat="1" x14ac:dyDescent="0.25">
      <c r="A95" s="157"/>
      <c r="B95" s="137"/>
      <c r="C95" s="129"/>
      <c r="G95" s="140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28"/>
      <c r="AC95" s="128"/>
      <c r="AD95" s="128"/>
      <c r="AE95" s="128"/>
      <c r="AF95" s="128"/>
      <c r="AG95" s="129"/>
      <c r="AH95" s="129"/>
      <c r="AI95" s="129"/>
      <c r="AJ95" s="129"/>
      <c r="AK95" s="129"/>
      <c r="AL95" s="129"/>
      <c r="AM95" s="129"/>
      <c r="AN95" s="129"/>
      <c r="AO95" s="129"/>
      <c r="AP95" s="129"/>
      <c r="AQ95" s="130"/>
      <c r="AR95" s="130"/>
      <c r="AS95" s="129"/>
      <c r="AT95" s="129"/>
      <c r="AU95" s="129"/>
      <c r="AV95" s="129"/>
      <c r="AW95" s="129"/>
      <c r="AX95" s="129"/>
      <c r="AY95" s="129"/>
      <c r="AZ95" s="129"/>
      <c r="BA95" s="129"/>
      <c r="BB95" s="129"/>
      <c r="BC95" s="129"/>
      <c r="BD95" s="129"/>
      <c r="BE95" s="129"/>
      <c r="BF95" s="129"/>
      <c r="BG95" s="129"/>
      <c r="BH95" s="129"/>
      <c r="BI95" s="129"/>
      <c r="BJ95" s="129"/>
      <c r="BK95" s="129"/>
      <c r="BL95" s="129"/>
      <c r="BM95" s="129"/>
      <c r="BN95" s="129"/>
      <c r="BO95" s="129"/>
      <c r="BP95" s="129"/>
      <c r="BQ95" s="129"/>
    </row>
    <row r="96" spans="1:69" s="139" customFormat="1" x14ac:dyDescent="0.25">
      <c r="A96" s="157"/>
      <c r="B96" s="137"/>
      <c r="C96" s="129"/>
      <c r="G96" s="140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28"/>
      <c r="AC96" s="128"/>
      <c r="AD96" s="128"/>
      <c r="AE96" s="128"/>
      <c r="AF96" s="128"/>
      <c r="AG96" s="129"/>
      <c r="AH96" s="129"/>
      <c r="AI96" s="129"/>
      <c r="AJ96" s="129"/>
      <c r="AK96" s="129"/>
      <c r="AL96" s="129"/>
      <c r="AM96" s="129"/>
      <c r="AN96" s="129"/>
      <c r="AO96" s="129"/>
      <c r="AP96" s="129"/>
      <c r="AQ96" s="130"/>
      <c r="AR96" s="130"/>
      <c r="AS96" s="129"/>
      <c r="AT96" s="129"/>
      <c r="AU96" s="129"/>
      <c r="AV96" s="129"/>
      <c r="AW96" s="129"/>
      <c r="AX96" s="129"/>
      <c r="AY96" s="129"/>
      <c r="AZ96" s="129"/>
      <c r="BA96" s="129"/>
      <c r="BB96" s="129"/>
      <c r="BC96" s="129"/>
      <c r="BD96" s="129"/>
      <c r="BE96" s="129"/>
      <c r="BF96" s="129"/>
      <c r="BG96" s="129"/>
      <c r="BH96" s="129"/>
      <c r="BI96" s="129"/>
      <c r="BJ96" s="129"/>
      <c r="BK96" s="129"/>
      <c r="BL96" s="129"/>
      <c r="BM96" s="129"/>
      <c r="BN96" s="129"/>
      <c r="BO96" s="129"/>
      <c r="BP96" s="129"/>
      <c r="BQ96" s="129"/>
    </row>
    <row r="97" spans="1:69" s="139" customFormat="1" x14ac:dyDescent="0.25">
      <c r="A97" s="157"/>
      <c r="B97" s="137"/>
      <c r="C97" s="129"/>
      <c r="G97" s="140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28"/>
      <c r="AC97" s="128"/>
      <c r="AD97" s="128"/>
      <c r="AE97" s="128"/>
      <c r="AF97" s="128"/>
      <c r="AG97" s="129"/>
      <c r="AH97" s="129"/>
      <c r="AI97" s="129"/>
      <c r="AJ97" s="129"/>
      <c r="AK97" s="129"/>
      <c r="AL97" s="129"/>
      <c r="AM97" s="129"/>
      <c r="AN97" s="129"/>
      <c r="AO97" s="129"/>
      <c r="AP97" s="129"/>
      <c r="AQ97" s="130"/>
      <c r="AR97" s="130"/>
      <c r="AS97" s="129"/>
      <c r="AT97" s="129"/>
      <c r="AU97" s="129"/>
      <c r="AV97" s="129"/>
      <c r="AW97" s="129"/>
      <c r="AX97" s="129"/>
      <c r="AY97" s="129"/>
      <c r="AZ97" s="129"/>
      <c r="BA97" s="129"/>
      <c r="BB97" s="129"/>
      <c r="BC97" s="129"/>
      <c r="BD97" s="129"/>
      <c r="BE97" s="129"/>
      <c r="BF97" s="129"/>
      <c r="BG97" s="129"/>
      <c r="BH97" s="129"/>
      <c r="BI97" s="129"/>
      <c r="BJ97" s="129"/>
      <c r="BK97" s="129"/>
      <c r="BL97" s="129"/>
      <c r="BM97" s="129"/>
      <c r="BN97" s="129"/>
      <c r="BO97" s="129"/>
      <c r="BP97" s="129"/>
      <c r="BQ97" s="129"/>
    </row>
    <row r="98" spans="1:69" s="139" customFormat="1" x14ac:dyDescent="0.25">
      <c r="A98" s="157"/>
      <c r="B98" s="137"/>
      <c r="C98" s="129"/>
      <c r="G98" s="140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28"/>
      <c r="AC98" s="128"/>
      <c r="AD98" s="128"/>
      <c r="AE98" s="128"/>
      <c r="AF98" s="128"/>
      <c r="AG98" s="129"/>
      <c r="AH98" s="129"/>
      <c r="AI98" s="129"/>
      <c r="AJ98" s="129"/>
      <c r="AK98" s="129"/>
      <c r="AL98" s="129"/>
      <c r="AM98" s="129"/>
      <c r="AN98" s="129"/>
      <c r="AO98" s="129"/>
      <c r="AP98" s="129"/>
      <c r="AQ98" s="130"/>
      <c r="AR98" s="130"/>
      <c r="AS98" s="129"/>
      <c r="AT98" s="129"/>
      <c r="AU98" s="129"/>
      <c r="AV98" s="129"/>
      <c r="AW98" s="129"/>
      <c r="AX98" s="129"/>
      <c r="AY98" s="129"/>
      <c r="AZ98" s="129"/>
      <c r="BA98" s="129"/>
      <c r="BB98" s="129"/>
      <c r="BC98" s="129"/>
      <c r="BD98" s="129"/>
      <c r="BE98" s="129"/>
      <c r="BF98" s="129"/>
      <c r="BG98" s="129"/>
      <c r="BH98" s="129"/>
      <c r="BI98" s="129"/>
      <c r="BJ98" s="129"/>
      <c r="BK98" s="129"/>
      <c r="BL98" s="129"/>
      <c r="BM98" s="129"/>
      <c r="BN98" s="129"/>
      <c r="BO98" s="129"/>
      <c r="BP98" s="129"/>
      <c r="BQ98" s="129"/>
    </row>
    <row r="99" spans="1:69" s="139" customFormat="1" x14ac:dyDescent="0.25">
      <c r="A99" s="157"/>
      <c r="B99" s="137"/>
      <c r="C99" s="129"/>
      <c r="G99" s="140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28"/>
      <c r="AC99" s="128"/>
      <c r="AD99" s="128"/>
      <c r="AE99" s="128"/>
      <c r="AF99" s="128"/>
      <c r="AG99" s="129"/>
      <c r="AH99" s="129"/>
      <c r="AI99" s="129"/>
      <c r="AJ99" s="129"/>
      <c r="AK99" s="129"/>
      <c r="AL99" s="129"/>
      <c r="AM99" s="129"/>
      <c r="AN99" s="129"/>
      <c r="AO99" s="129"/>
      <c r="AP99" s="129"/>
      <c r="AQ99" s="130"/>
      <c r="AR99" s="130"/>
      <c r="AS99" s="129"/>
      <c r="AT99" s="129"/>
      <c r="AU99" s="129"/>
      <c r="AV99" s="129"/>
      <c r="AW99" s="129"/>
      <c r="AX99" s="129"/>
      <c r="AY99" s="129"/>
      <c r="AZ99" s="129"/>
      <c r="BA99" s="129"/>
      <c r="BB99" s="129"/>
      <c r="BC99" s="129"/>
      <c r="BD99" s="129"/>
      <c r="BE99" s="129"/>
      <c r="BF99" s="129"/>
      <c r="BG99" s="129"/>
      <c r="BH99" s="129"/>
      <c r="BI99" s="129"/>
      <c r="BJ99" s="129"/>
      <c r="BK99" s="129"/>
      <c r="BL99" s="129"/>
      <c r="BM99" s="129"/>
      <c r="BN99" s="129"/>
      <c r="BO99" s="129"/>
      <c r="BP99" s="129"/>
      <c r="BQ99" s="129"/>
    </row>
    <row r="100" spans="1:69" s="139" customFormat="1" x14ac:dyDescent="0.25">
      <c r="A100" s="157"/>
      <c r="B100" s="137"/>
      <c r="C100" s="129"/>
      <c r="G100" s="140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28"/>
      <c r="AC100" s="128"/>
      <c r="AD100" s="128"/>
      <c r="AE100" s="128"/>
      <c r="AF100" s="128"/>
      <c r="AG100" s="129"/>
      <c r="AH100" s="129"/>
      <c r="AI100" s="129"/>
      <c r="AJ100" s="129"/>
      <c r="AK100" s="129"/>
      <c r="AL100" s="129"/>
      <c r="AM100" s="129"/>
      <c r="AN100" s="129"/>
      <c r="AO100" s="129"/>
      <c r="AP100" s="129"/>
      <c r="AQ100" s="130"/>
      <c r="AR100" s="130"/>
      <c r="AS100" s="129"/>
      <c r="AT100" s="129"/>
      <c r="AU100" s="129"/>
      <c r="AV100" s="129"/>
      <c r="AW100" s="129"/>
      <c r="AX100" s="129"/>
      <c r="AY100" s="129"/>
      <c r="AZ100" s="129"/>
      <c r="BA100" s="129"/>
      <c r="BB100" s="129"/>
      <c r="BC100" s="129"/>
      <c r="BD100" s="129"/>
      <c r="BE100" s="129"/>
      <c r="BF100" s="129"/>
      <c r="BG100" s="129"/>
      <c r="BH100" s="129"/>
      <c r="BI100" s="129"/>
      <c r="BJ100" s="129"/>
      <c r="BK100" s="129"/>
      <c r="BL100" s="129"/>
      <c r="BM100" s="129"/>
      <c r="BN100" s="129"/>
      <c r="BO100" s="129"/>
      <c r="BP100" s="129"/>
      <c r="BQ100" s="129"/>
    </row>
    <row r="101" spans="1:69" s="139" customFormat="1" x14ac:dyDescent="0.25">
      <c r="A101" s="157"/>
      <c r="B101" s="137"/>
      <c r="C101" s="129"/>
      <c r="G101" s="140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28"/>
      <c r="AC101" s="128"/>
      <c r="AD101" s="128"/>
      <c r="AE101" s="128"/>
      <c r="AF101" s="128"/>
      <c r="AG101" s="129"/>
      <c r="AH101" s="129"/>
      <c r="AI101" s="129"/>
      <c r="AJ101" s="129"/>
      <c r="AK101" s="129"/>
      <c r="AL101" s="129"/>
      <c r="AM101" s="129"/>
      <c r="AN101" s="129"/>
      <c r="AO101" s="129"/>
      <c r="AP101" s="129"/>
      <c r="AQ101" s="130"/>
      <c r="AR101" s="130"/>
      <c r="AS101" s="129"/>
      <c r="AT101" s="129"/>
      <c r="AU101" s="129"/>
      <c r="AV101" s="129"/>
      <c r="AW101" s="129"/>
      <c r="AX101" s="129"/>
      <c r="AY101" s="129"/>
      <c r="AZ101" s="129"/>
      <c r="BA101" s="129"/>
      <c r="BB101" s="129"/>
      <c r="BC101" s="129"/>
      <c r="BD101" s="129"/>
      <c r="BE101" s="129"/>
      <c r="BF101" s="129"/>
      <c r="BG101" s="129"/>
      <c r="BH101" s="129"/>
      <c r="BI101" s="129"/>
      <c r="BJ101" s="129"/>
      <c r="BK101" s="129"/>
      <c r="BL101" s="129"/>
      <c r="BM101" s="129"/>
      <c r="BN101" s="129"/>
      <c r="BO101" s="129"/>
      <c r="BP101" s="129"/>
      <c r="BQ101" s="129"/>
    </row>
    <row r="102" spans="1:69" s="139" customFormat="1" x14ac:dyDescent="0.25">
      <c r="A102" s="157"/>
      <c r="B102" s="137"/>
      <c r="C102" s="129"/>
      <c r="G102" s="140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28"/>
      <c r="AC102" s="128"/>
      <c r="AD102" s="128"/>
      <c r="AE102" s="128"/>
      <c r="AF102" s="128"/>
      <c r="AG102" s="129"/>
      <c r="AH102" s="129"/>
      <c r="AI102" s="129"/>
      <c r="AJ102" s="129"/>
      <c r="AK102" s="129"/>
      <c r="AL102" s="129"/>
      <c r="AM102" s="129"/>
      <c r="AN102" s="129"/>
      <c r="AO102" s="129"/>
      <c r="AP102" s="129"/>
      <c r="AQ102" s="130"/>
      <c r="AR102" s="130"/>
      <c r="AS102" s="129"/>
      <c r="AT102" s="129"/>
      <c r="AU102" s="129"/>
      <c r="AV102" s="129"/>
      <c r="AW102" s="129"/>
      <c r="AX102" s="129"/>
      <c r="AY102" s="129"/>
      <c r="AZ102" s="129"/>
      <c r="BA102" s="129"/>
      <c r="BB102" s="129"/>
      <c r="BC102" s="129"/>
      <c r="BD102" s="129"/>
      <c r="BE102" s="129"/>
      <c r="BF102" s="129"/>
      <c r="BG102" s="129"/>
      <c r="BH102" s="129"/>
      <c r="BI102" s="129"/>
      <c r="BJ102" s="129"/>
      <c r="BK102" s="129"/>
      <c r="BL102" s="129"/>
      <c r="BM102" s="129"/>
      <c r="BN102" s="129"/>
      <c r="BO102" s="129"/>
      <c r="BP102" s="129"/>
      <c r="BQ102" s="129"/>
    </row>
    <row r="103" spans="1:69" s="139" customFormat="1" x14ac:dyDescent="0.25">
      <c r="A103" s="157"/>
      <c r="B103" s="137"/>
      <c r="C103" s="129"/>
      <c r="G103" s="140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28"/>
      <c r="AC103" s="128"/>
      <c r="AD103" s="128"/>
      <c r="AE103" s="128"/>
      <c r="AF103" s="128"/>
      <c r="AG103" s="129"/>
      <c r="AH103" s="129"/>
      <c r="AI103" s="129"/>
      <c r="AJ103" s="129"/>
      <c r="AK103" s="129"/>
      <c r="AL103" s="129"/>
      <c r="AM103" s="129"/>
      <c r="AN103" s="129"/>
      <c r="AO103" s="129"/>
      <c r="AP103" s="129"/>
      <c r="AQ103" s="130"/>
      <c r="AR103" s="130"/>
      <c r="AS103" s="129"/>
      <c r="AT103" s="129"/>
      <c r="AU103" s="129"/>
      <c r="AV103" s="129"/>
      <c r="AW103" s="129"/>
      <c r="AX103" s="129"/>
      <c r="AY103" s="129"/>
      <c r="AZ103" s="129"/>
      <c r="BA103" s="129"/>
      <c r="BB103" s="129"/>
      <c r="BC103" s="129"/>
      <c r="BD103" s="129"/>
      <c r="BE103" s="129"/>
      <c r="BF103" s="129"/>
      <c r="BG103" s="129"/>
      <c r="BH103" s="129"/>
      <c r="BI103" s="129"/>
      <c r="BJ103" s="129"/>
      <c r="BK103" s="129"/>
      <c r="BL103" s="129"/>
      <c r="BM103" s="129"/>
      <c r="BN103" s="129"/>
      <c r="BO103" s="129"/>
      <c r="BP103" s="129"/>
      <c r="BQ103" s="129"/>
    </row>
    <row r="104" spans="1:69" s="139" customFormat="1" x14ac:dyDescent="0.25">
      <c r="A104" s="157"/>
      <c r="B104" s="137"/>
      <c r="C104" s="129"/>
      <c r="G104" s="140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28"/>
      <c r="AC104" s="128"/>
      <c r="AD104" s="128"/>
      <c r="AE104" s="128"/>
      <c r="AF104" s="128"/>
      <c r="AG104" s="129"/>
      <c r="AH104" s="129"/>
      <c r="AI104" s="129"/>
      <c r="AJ104" s="129"/>
      <c r="AK104" s="129"/>
      <c r="AL104" s="129"/>
      <c r="AM104" s="129"/>
      <c r="AN104" s="129"/>
      <c r="AO104" s="129"/>
      <c r="AP104" s="129"/>
      <c r="AQ104" s="130"/>
      <c r="AR104" s="130"/>
      <c r="AS104" s="129"/>
      <c r="AT104" s="129"/>
      <c r="AU104" s="129"/>
      <c r="AV104" s="129"/>
      <c r="AW104" s="129"/>
      <c r="AX104" s="129"/>
      <c r="AY104" s="129"/>
      <c r="AZ104" s="129"/>
      <c r="BA104" s="129"/>
      <c r="BB104" s="129"/>
      <c r="BC104" s="129"/>
      <c r="BD104" s="129"/>
      <c r="BE104" s="129"/>
      <c r="BF104" s="129"/>
      <c r="BG104" s="129"/>
      <c r="BH104" s="129"/>
      <c r="BI104" s="129"/>
      <c r="BJ104" s="129"/>
      <c r="BK104" s="129"/>
      <c r="BL104" s="129"/>
      <c r="BM104" s="129"/>
      <c r="BN104" s="129"/>
      <c r="BO104" s="129"/>
      <c r="BP104" s="129"/>
      <c r="BQ104" s="129"/>
    </row>
    <row r="105" spans="1:69" s="139" customFormat="1" x14ac:dyDescent="0.25">
      <c r="A105" s="157"/>
      <c r="B105" s="137"/>
      <c r="C105" s="129"/>
      <c r="G105" s="140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28"/>
      <c r="AC105" s="128"/>
      <c r="AD105" s="128"/>
      <c r="AE105" s="128"/>
      <c r="AF105" s="128"/>
      <c r="AG105" s="129"/>
      <c r="AH105" s="129"/>
      <c r="AI105" s="129"/>
      <c r="AJ105" s="129"/>
      <c r="AK105" s="129"/>
      <c r="AL105" s="129"/>
      <c r="AM105" s="129"/>
      <c r="AN105" s="129"/>
      <c r="AO105" s="129"/>
      <c r="AP105" s="129"/>
      <c r="AQ105" s="130"/>
      <c r="AR105" s="130"/>
      <c r="AS105" s="129"/>
      <c r="AT105" s="129"/>
      <c r="AU105" s="129"/>
      <c r="AV105" s="129"/>
      <c r="AW105" s="129"/>
      <c r="AX105" s="129"/>
      <c r="AY105" s="129"/>
      <c r="AZ105" s="129"/>
      <c r="BA105" s="129"/>
      <c r="BB105" s="129"/>
      <c r="BC105" s="129"/>
      <c r="BD105" s="129"/>
      <c r="BE105" s="129"/>
      <c r="BF105" s="129"/>
      <c r="BG105" s="129"/>
      <c r="BH105" s="129"/>
      <c r="BI105" s="129"/>
      <c r="BJ105" s="129"/>
      <c r="BK105" s="129"/>
      <c r="BL105" s="129"/>
      <c r="BM105" s="129"/>
      <c r="BN105" s="129"/>
      <c r="BO105" s="129"/>
      <c r="BP105" s="129"/>
      <c r="BQ105" s="129"/>
    </row>
    <row r="106" spans="1:69" s="139" customFormat="1" x14ac:dyDescent="0.25">
      <c r="A106" s="157"/>
      <c r="B106" s="137"/>
      <c r="C106" s="129"/>
      <c r="G106" s="140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28"/>
      <c r="AC106" s="128"/>
      <c r="AD106" s="128"/>
      <c r="AE106" s="128"/>
      <c r="AF106" s="128"/>
      <c r="AG106" s="129"/>
      <c r="AH106" s="129"/>
      <c r="AI106" s="129"/>
      <c r="AJ106" s="129"/>
      <c r="AK106" s="129"/>
      <c r="AL106" s="129"/>
      <c r="AM106" s="129"/>
      <c r="AN106" s="129"/>
      <c r="AO106" s="129"/>
      <c r="AP106" s="129"/>
      <c r="AQ106" s="130"/>
      <c r="AR106" s="130"/>
      <c r="AS106" s="129"/>
      <c r="AT106" s="129"/>
      <c r="AU106" s="129"/>
      <c r="AV106" s="129"/>
      <c r="AW106" s="129"/>
      <c r="AX106" s="129"/>
      <c r="AY106" s="129"/>
      <c r="AZ106" s="129"/>
      <c r="BA106" s="129"/>
      <c r="BB106" s="129"/>
      <c r="BC106" s="129"/>
      <c r="BD106" s="129"/>
      <c r="BE106" s="129"/>
      <c r="BF106" s="129"/>
      <c r="BG106" s="129"/>
      <c r="BH106" s="129"/>
      <c r="BI106" s="129"/>
      <c r="BJ106" s="129"/>
      <c r="BK106" s="129"/>
      <c r="BL106" s="129"/>
      <c r="BM106" s="129"/>
      <c r="BN106" s="129"/>
      <c r="BO106" s="129"/>
      <c r="BP106" s="129"/>
      <c r="BQ106" s="129"/>
    </row>
    <row r="107" spans="1:69" s="139" customFormat="1" x14ac:dyDescent="0.25">
      <c r="A107" s="157"/>
      <c r="B107" s="137"/>
      <c r="C107" s="129"/>
      <c r="G107" s="140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28"/>
      <c r="AC107" s="128"/>
      <c r="AD107" s="128"/>
      <c r="AE107" s="128"/>
      <c r="AF107" s="128"/>
      <c r="AG107" s="129"/>
      <c r="AH107" s="129"/>
      <c r="AI107" s="129"/>
      <c r="AJ107" s="129"/>
      <c r="AK107" s="129"/>
      <c r="AL107" s="129"/>
      <c r="AM107" s="129"/>
      <c r="AN107" s="129"/>
      <c r="AO107" s="129"/>
      <c r="AP107" s="129"/>
      <c r="AQ107" s="130"/>
      <c r="AR107" s="130"/>
      <c r="AS107" s="129"/>
      <c r="AT107" s="129"/>
      <c r="AU107" s="129"/>
      <c r="AV107" s="129"/>
      <c r="AW107" s="129"/>
      <c r="AX107" s="129"/>
      <c r="AY107" s="129"/>
      <c r="AZ107" s="129"/>
      <c r="BA107" s="129"/>
      <c r="BB107" s="129"/>
      <c r="BC107" s="129"/>
      <c r="BD107" s="129"/>
      <c r="BE107" s="129"/>
      <c r="BF107" s="129"/>
      <c r="BG107" s="129"/>
      <c r="BH107" s="129"/>
      <c r="BI107" s="129"/>
      <c r="BJ107" s="129"/>
      <c r="BK107" s="129"/>
      <c r="BL107" s="129"/>
      <c r="BM107" s="129"/>
      <c r="BN107" s="129"/>
      <c r="BO107" s="129"/>
      <c r="BP107" s="129"/>
      <c r="BQ107" s="129"/>
    </row>
    <row r="108" spans="1:69" s="139" customFormat="1" x14ac:dyDescent="0.25">
      <c r="A108" s="157"/>
      <c r="B108" s="137"/>
      <c r="C108" s="129"/>
      <c r="G108" s="140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28"/>
      <c r="AC108" s="128"/>
      <c r="AD108" s="128"/>
      <c r="AE108" s="128"/>
      <c r="AF108" s="128"/>
      <c r="AG108" s="129"/>
      <c r="AH108" s="129"/>
      <c r="AI108" s="129"/>
      <c r="AJ108" s="129"/>
      <c r="AK108" s="129"/>
      <c r="AL108" s="129"/>
      <c r="AM108" s="129"/>
      <c r="AN108" s="129"/>
      <c r="AO108" s="129"/>
      <c r="AP108" s="129"/>
      <c r="AQ108" s="130"/>
      <c r="AR108" s="130"/>
      <c r="AS108" s="129"/>
      <c r="AT108" s="129"/>
      <c r="AU108" s="129"/>
      <c r="AV108" s="129"/>
      <c r="AW108" s="129"/>
      <c r="AX108" s="129"/>
      <c r="AY108" s="129"/>
      <c r="AZ108" s="129"/>
      <c r="BA108" s="129"/>
      <c r="BB108" s="129"/>
      <c r="BC108" s="129"/>
      <c r="BD108" s="129"/>
      <c r="BE108" s="129"/>
      <c r="BF108" s="129"/>
      <c r="BG108" s="129"/>
      <c r="BH108" s="129"/>
      <c r="BI108" s="129"/>
      <c r="BJ108" s="129"/>
      <c r="BK108" s="129"/>
      <c r="BL108" s="129"/>
      <c r="BM108" s="129"/>
      <c r="BN108" s="129"/>
      <c r="BO108" s="129"/>
      <c r="BP108" s="129"/>
      <c r="BQ108" s="129"/>
    </row>
    <row r="109" spans="1:69" s="139" customFormat="1" x14ac:dyDescent="0.25">
      <c r="A109" s="157"/>
      <c r="B109" s="137"/>
      <c r="C109" s="129"/>
      <c r="G109" s="140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28"/>
      <c r="AC109" s="128"/>
      <c r="AD109" s="128"/>
      <c r="AE109" s="128"/>
      <c r="AF109" s="128"/>
      <c r="AG109" s="129"/>
      <c r="AH109" s="129"/>
      <c r="AI109" s="129"/>
      <c r="AJ109" s="129"/>
      <c r="AK109" s="129"/>
      <c r="AL109" s="129"/>
      <c r="AM109" s="129"/>
      <c r="AN109" s="129"/>
      <c r="AO109" s="129"/>
      <c r="AP109" s="129"/>
      <c r="AQ109" s="130"/>
      <c r="AR109" s="130"/>
      <c r="AS109" s="129"/>
      <c r="AT109" s="129"/>
      <c r="AU109" s="129"/>
      <c r="AV109" s="129"/>
      <c r="AW109" s="129"/>
      <c r="AX109" s="129"/>
      <c r="AY109" s="129"/>
      <c r="AZ109" s="129"/>
      <c r="BA109" s="129"/>
      <c r="BB109" s="129"/>
      <c r="BC109" s="129"/>
      <c r="BD109" s="129"/>
      <c r="BE109" s="129"/>
      <c r="BF109" s="129"/>
      <c r="BG109" s="129"/>
      <c r="BH109" s="129"/>
      <c r="BI109" s="129"/>
      <c r="BJ109" s="129"/>
      <c r="BK109" s="129"/>
      <c r="BL109" s="129"/>
      <c r="BM109" s="129"/>
      <c r="BN109" s="129"/>
      <c r="BO109" s="129"/>
      <c r="BP109" s="129"/>
      <c r="BQ109" s="129"/>
    </row>
    <row r="110" spans="1:69" s="139" customFormat="1" x14ac:dyDescent="0.25">
      <c r="A110" s="157"/>
      <c r="B110" s="137"/>
      <c r="C110" s="129"/>
      <c r="G110" s="140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28"/>
      <c r="AC110" s="128"/>
      <c r="AD110" s="128"/>
      <c r="AE110" s="128"/>
      <c r="AF110" s="128"/>
      <c r="AG110" s="129"/>
      <c r="AH110" s="129"/>
      <c r="AI110" s="129"/>
      <c r="AJ110" s="129"/>
      <c r="AK110" s="129"/>
      <c r="AL110" s="129"/>
      <c r="AM110" s="129"/>
      <c r="AN110" s="129"/>
      <c r="AO110" s="129"/>
      <c r="AP110" s="129"/>
      <c r="AQ110" s="130"/>
      <c r="AR110" s="130"/>
      <c r="AS110" s="129"/>
      <c r="AT110" s="129"/>
      <c r="AU110" s="129"/>
      <c r="AV110" s="129"/>
      <c r="AW110" s="129"/>
      <c r="AX110" s="129"/>
      <c r="AY110" s="129"/>
      <c r="AZ110" s="129"/>
      <c r="BA110" s="129"/>
      <c r="BB110" s="129"/>
      <c r="BC110" s="129"/>
      <c r="BD110" s="129"/>
      <c r="BE110" s="129"/>
      <c r="BF110" s="129"/>
      <c r="BG110" s="129"/>
      <c r="BH110" s="129"/>
      <c r="BI110" s="129"/>
      <c r="BJ110" s="129"/>
      <c r="BK110" s="129"/>
      <c r="BL110" s="129"/>
      <c r="BM110" s="129"/>
      <c r="BN110" s="129"/>
      <c r="BO110" s="129"/>
      <c r="BP110" s="129"/>
      <c r="BQ110" s="129"/>
    </row>
    <row r="111" spans="1:69" s="139" customFormat="1" x14ac:dyDescent="0.25">
      <c r="A111" s="157"/>
      <c r="B111" s="137"/>
      <c r="C111" s="129"/>
      <c r="G111" s="140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28"/>
      <c r="AC111" s="128"/>
      <c r="AD111" s="128"/>
      <c r="AE111" s="128"/>
      <c r="AF111" s="128"/>
      <c r="AG111" s="129"/>
      <c r="AH111" s="129"/>
      <c r="AI111" s="129"/>
      <c r="AJ111" s="129"/>
      <c r="AK111" s="129"/>
      <c r="AL111" s="129"/>
      <c r="AM111" s="129"/>
      <c r="AN111" s="129"/>
      <c r="AO111" s="129"/>
      <c r="AP111" s="129"/>
      <c r="AQ111" s="130"/>
      <c r="AR111" s="130"/>
      <c r="AS111" s="129"/>
      <c r="AT111" s="129"/>
      <c r="AU111" s="129"/>
      <c r="AV111" s="129"/>
      <c r="AW111" s="129"/>
      <c r="AX111" s="129"/>
      <c r="AY111" s="129"/>
      <c r="AZ111" s="129"/>
      <c r="BA111" s="129"/>
      <c r="BB111" s="129"/>
      <c r="BC111" s="129"/>
      <c r="BD111" s="129"/>
      <c r="BE111" s="129"/>
      <c r="BF111" s="129"/>
      <c r="BG111" s="129"/>
      <c r="BH111" s="129"/>
      <c r="BI111" s="129"/>
      <c r="BJ111" s="129"/>
      <c r="BK111" s="129"/>
      <c r="BL111" s="129"/>
      <c r="BM111" s="129"/>
      <c r="BN111" s="129"/>
      <c r="BO111" s="129"/>
      <c r="BP111" s="129"/>
      <c r="BQ111" s="129"/>
    </row>
    <row r="112" spans="1:69" s="139" customFormat="1" x14ac:dyDescent="0.25">
      <c r="A112" s="157"/>
      <c r="B112" s="137"/>
      <c r="C112" s="129"/>
      <c r="G112" s="140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28"/>
      <c r="AC112" s="128"/>
      <c r="AD112" s="128"/>
      <c r="AE112" s="128"/>
      <c r="AF112" s="128"/>
      <c r="AG112" s="129"/>
      <c r="AH112" s="129"/>
      <c r="AI112" s="129"/>
      <c r="AJ112" s="129"/>
      <c r="AK112" s="129"/>
      <c r="AL112" s="129"/>
      <c r="AM112" s="129"/>
      <c r="AN112" s="129"/>
      <c r="AO112" s="129"/>
      <c r="AP112" s="129"/>
      <c r="AQ112" s="130"/>
      <c r="AR112" s="130"/>
      <c r="AS112" s="129"/>
      <c r="AT112" s="129"/>
      <c r="AU112" s="129"/>
      <c r="AV112" s="129"/>
      <c r="AW112" s="129"/>
      <c r="AX112" s="129"/>
      <c r="AY112" s="129"/>
      <c r="AZ112" s="129"/>
      <c r="BA112" s="129"/>
      <c r="BB112" s="129"/>
      <c r="BC112" s="129"/>
      <c r="BD112" s="129"/>
      <c r="BE112" s="129"/>
      <c r="BF112" s="129"/>
      <c r="BG112" s="129"/>
      <c r="BH112" s="129"/>
      <c r="BI112" s="129"/>
      <c r="BJ112" s="129"/>
      <c r="BK112" s="129"/>
      <c r="BL112" s="129"/>
      <c r="BM112" s="129"/>
      <c r="BN112" s="129"/>
      <c r="BO112" s="129"/>
      <c r="BP112" s="129"/>
      <c r="BQ112" s="129"/>
    </row>
    <row r="113" spans="1:69" s="139" customFormat="1" x14ac:dyDescent="0.25">
      <c r="A113" s="157"/>
      <c r="B113" s="137"/>
      <c r="C113" s="129"/>
      <c r="G113" s="140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28"/>
      <c r="AC113" s="128"/>
      <c r="AD113" s="128"/>
      <c r="AE113" s="128"/>
      <c r="AF113" s="128"/>
      <c r="AG113" s="129"/>
      <c r="AH113" s="129"/>
      <c r="AI113" s="129"/>
      <c r="AJ113" s="129"/>
      <c r="AK113" s="129"/>
      <c r="AL113" s="129"/>
      <c r="AM113" s="129"/>
      <c r="AN113" s="129"/>
      <c r="AO113" s="129"/>
      <c r="AP113" s="129"/>
      <c r="AQ113" s="130"/>
      <c r="AR113" s="130"/>
      <c r="AS113" s="129"/>
      <c r="AT113" s="129"/>
      <c r="AU113" s="129"/>
      <c r="AV113" s="129"/>
      <c r="AW113" s="129"/>
      <c r="AX113" s="129"/>
      <c r="AY113" s="129"/>
      <c r="AZ113" s="129"/>
      <c r="BA113" s="129"/>
      <c r="BB113" s="129"/>
      <c r="BC113" s="129"/>
      <c r="BD113" s="129"/>
      <c r="BE113" s="129"/>
      <c r="BF113" s="129"/>
      <c r="BG113" s="129"/>
      <c r="BH113" s="129"/>
      <c r="BI113" s="129"/>
      <c r="BJ113" s="129"/>
      <c r="BK113" s="129"/>
      <c r="BL113" s="129"/>
      <c r="BM113" s="129"/>
      <c r="BN113" s="129"/>
      <c r="BO113" s="129"/>
      <c r="BP113" s="129"/>
      <c r="BQ113" s="129"/>
    </row>
    <row r="114" spans="1:69" s="139" customFormat="1" x14ac:dyDescent="0.25">
      <c r="A114" s="157"/>
      <c r="B114" s="137"/>
      <c r="C114" s="129"/>
      <c r="G114" s="140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28"/>
      <c r="AC114" s="128"/>
      <c r="AD114" s="128"/>
      <c r="AE114" s="128"/>
      <c r="AF114" s="128"/>
      <c r="AG114" s="129"/>
      <c r="AH114" s="129"/>
      <c r="AI114" s="129"/>
      <c r="AJ114" s="129"/>
      <c r="AK114" s="129"/>
      <c r="AL114" s="129"/>
      <c r="AM114" s="129"/>
      <c r="AN114" s="129"/>
      <c r="AO114" s="129"/>
      <c r="AP114" s="129"/>
      <c r="AQ114" s="130"/>
      <c r="AR114" s="130"/>
      <c r="AS114" s="129"/>
      <c r="AT114" s="129"/>
      <c r="AU114" s="129"/>
      <c r="AV114" s="129"/>
      <c r="AW114" s="129"/>
      <c r="AX114" s="129"/>
      <c r="AY114" s="129"/>
      <c r="AZ114" s="129"/>
      <c r="BA114" s="129"/>
      <c r="BB114" s="129"/>
      <c r="BC114" s="129"/>
      <c r="BD114" s="129"/>
      <c r="BE114" s="129"/>
      <c r="BF114" s="129"/>
      <c r="BG114" s="129"/>
      <c r="BH114" s="129"/>
      <c r="BI114" s="129"/>
      <c r="BJ114" s="129"/>
      <c r="BK114" s="129"/>
      <c r="BL114" s="129"/>
      <c r="BM114" s="129"/>
      <c r="BN114" s="129"/>
      <c r="BO114" s="129"/>
      <c r="BP114" s="129"/>
      <c r="BQ114" s="129"/>
    </row>
    <row r="115" spans="1:69" s="139" customFormat="1" x14ac:dyDescent="0.25">
      <c r="A115" s="157"/>
      <c r="B115" s="137"/>
      <c r="C115" s="129"/>
      <c r="G115" s="140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28"/>
      <c r="AC115" s="128"/>
      <c r="AD115" s="128"/>
      <c r="AE115" s="128"/>
      <c r="AF115" s="128"/>
      <c r="AG115" s="129"/>
      <c r="AH115" s="129"/>
      <c r="AI115" s="129"/>
      <c r="AJ115" s="129"/>
      <c r="AK115" s="129"/>
      <c r="AL115" s="129"/>
      <c r="AM115" s="129"/>
      <c r="AN115" s="129"/>
      <c r="AO115" s="129"/>
      <c r="AP115" s="129"/>
      <c r="AQ115" s="130"/>
      <c r="AR115" s="130"/>
      <c r="AS115" s="129"/>
      <c r="AT115" s="129"/>
      <c r="AU115" s="129"/>
      <c r="AV115" s="129"/>
      <c r="AW115" s="129"/>
      <c r="AX115" s="129"/>
      <c r="AY115" s="129"/>
      <c r="AZ115" s="129"/>
      <c r="BA115" s="129"/>
      <c r="BB115" s="129"/>
      <c r="BC115" s="129"/>
      <c r="BD115" s="129"/>
      <c r="BE115" s="129"/>
      <c r="BF115" s="129"/>
      <c r="BG115" s="129"/>
      <c r="BH115" s="129"/>
      <c r="BI115" s="129"/>
      <c r="BJ115" s="129"/>
      <c r="BK115" s="129"/>
      <c r="BL115" s="129"/>
      <c r="BM115" s="129"/>
      <c r="BN115" s="129"/>
      <c r="BO115" s="129"/>
      <c r="BP115" s="129"/>
      <c r="BQ115" s="129"/>
    </row>
    <row r="116" spans="1:69" s="139" customFormat="1" x14ac:dyDescent="0.25">
      <c r="A116" s="157"/>
      <c r="B116" s="137"/>
      <c r="C116" s="129"/>
      <c r="G116" s="140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28"/>
      <c r="AC116" s="128"/>
      <c r="AD116" s="128"/>
      <c r="AE116" s="128"/>
      <c r="AF116" s="128"/>
      <c r="AG116" s="129"/>
      <c r="AH116" s="129"/>
      <c r="AI116" s="129"/>
      <c r="AJ116" s="129"/>
      <c r="AK116" s="129"/>
      <c r="AL116" s="129"/>
      <c r="AM116" s="129"/>
      <c r="AN116" s="129"/>
      <c r="AO116" s="129"/>
      <c r="AP116" s="129"/>
      <c r="AQ116" s="130"/>
      <c r="AR116" s="130"/>
      <c r="AS116" s="129"/>
      <c r="AT116" s="129"/>
      <c r="AU116" s="129"/>
      <c r="AV116" s="129"/>
      <c r="AW116" s="129"/>
      <c r="AX116" s="129"/>
      <c r="AY116" s="129"/>
      <c r="AZ116" s="129"/>
      <c r="BA116" s="129"/>
      <c r="BB116" s="129"/>
      <c r="BC116" s="129"/>
      <c r="BD116" s="129"/>
      <c r="BE116" s="129"/>
      <c r="BF116" s="129"/>
      <c r="BG116" s="129"/>
      <c r="BH116" s="129"/>
      <c r="BI116" s="129"/>
      <c r="BJ116" s="129"/>
      <c r="BK116" s="129"/>
      <c r="BL116" s="129"/>
      <c r="BM116" s="129"/>
      <c r="BN116" s="129"/>
      <c r="BO116" s="129"/>
      <c r="BP116" s="129"/>
      <c r="BQ116" s="129"/>
    </row>
    <row r="117" spans="1:69" s="139" customFormat="1" x14ac:dyDescent="0.25">
      <c r="A117" s="157"/>
      <c r="B117" s="137"/>
      <c r="C117" s="129"/>
      <c r="G117" s="140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28"/>
      <c r="AC117" s="128"/>
      <c r="AD117" s="128"/>
      <c r="AE117" s="128"/>
      <c r="AF117" s="128"/>
      <c r="AG117" s="129"/>
      <c r="AH117" s="129"/>
      <c r="AI117" s="129"/>
      <c r="AJ117" s="129"/>
      <c r="AK117" s="129"/>
      <c r="AL117" s="129"/>
      <c r="AM117" s="129"/>
      <c r="AN117" s="129"/>
      <c r="AO117" s="129"/>
      <c r="AP117" s="129"/>
      <c r="AQ117" s="130"/>
      <c r="AR117" s="130"/>
      <c r="AS117" s="129"/>
      <c r="AT117" s="129"/>
      <c r="AU117" s="129"/>
      <c r="AV117" s="129"/>
      <c r="AW117" s="129"/>
      <c r="AX117" s="129"/>
      <c r="AY117" s="129"/>
      <c r="AZ117" s="129"/>
      <c r="BA117" s="129"/>
      <c r="BB117" s="129"/>
      <c r="BC117" s="129"/>
      <c r="BD117" s="129"/>
      <c r="BE117" s="129"/>
      <c r="BF117" s="129"/>
      <c r="BG117" s="129"/>
      <c r="BH117" s="129"/>
      <c r="BI117" s="129"/>
      <c r="BJ117" s="129"/>
      <c r="BK117" s="129"/>
      <c r="BL117" s="129"/>
      <c r="BM117" s="129"/>
      <c r="BN117" s="129"/>
      <c r="BO117" s="129"/>
      <c r="BP117" s="129"/>
      <c r="BQ117" s="129"/>
    </row>
    <row r="118" spans="1:69" s="139" customFormat="1" x14ac:dyDescent="0.25">
      <c r="A118" s="157"/>
      <c r="B118" s="137"/>
      <c r="C118" s="129"/>
      <c r="G118" s="140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28"/>
      <c r="AC118" s="128"/>
      <c r="AD118" s="128"/>
      <c r="AE118" s="128"/>
      <c r="AF118" s="128"/>
      <c r="AG118" s="129"/>
      <c r="AH118" s="129"/>
      <c r="AI118" s="129"/>
      <c r="AJ118" s="129"/>
      <c r="AK118" s="129"/>
      <c r="AL118" s="129"/>
      <c r="AM118" s="129"/>
      <c r="AN118" s="129"/>
      <c r="AO118" s="129"/>
      <c r="AP118" s="129"/>
      <c r="AQ118" s="130"/>
      <c r="AR118" s="130"/>
      <c r="AS118" s="129"/>
      <c r="AT118" s="129"/>
      <c r="AU118" s="129"/>
      <c r="AV118" s="129"/>
      <c r="AW118" s="129"/>
      <c r="AX118" s="129"/>
      <c r="AY118" s="129"/>
      <c r="AZ118" s="129"/>
      <c r="BA118" s="129"/>
      <c r="BB118" s="129"/>
      <c r="BC118" s="129"/>
      <c r="BD118" s="129"/>
      <c r="BE118" s="129"/>
      <c r="BF118" s="129"/>
      <c r="BG118" s="129"/>
      <c r="BH118" s="129"/>
      <c r="BI118" s="129"/>
      <c r="BJ118" s="129"/>
      <c r="BK118" s="129"/>
      <c r="BL118" s="129"/>
      <c r="BM118" s="129"/>
      <c r="BN118" s="129"/>
      <c r="BO118" s="129"/>
      <c r="BP118" s="129"/>
      <c r="BQ118" s="129"/>
    </row>
    <row r="119" spans="1:69" s="139" customFormat="1" x14ac:dyDescent="0.25">
      <c r="A119" s="157"/>
      <c r="B119" s="137"/>
      <c r="C119" s="129"/>
      <c r="G119" s="140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28"/>
      <c r="AC119" s="128"/>
      <c r="AD119" s="128"/>
      <c r="AE119" s="128"/>
      <c r="AF119" s="128"/>
      <c r="AG119" s="129"/>
      <c r="AH119" s="129"/>
      <c r="AI119" s="129"/>
      <c r="AJ119" s="129"/>
      <c r="AK119" s="129"/>
      <c r="AL119" s="129"/>
      <c r="AM119" s="129"/>
      <c r="AN119" s="129"/>
      <c r="AO119" s="129"/>
      <c r="AP119" s="129"/>
      <c r="AQ119" s="130"/>
      <c r="AR119" s="130"/>
      <c r="AS119" s="129"/>
      <c r="AT119" s="129"/>
      <c r="AU119" s="129"/>
      <c r="AV119" s="129"/>
      <c r="AW119" s="129"/>
      <c r="AX119" s="129"/>
      <c r="AY119" s="129"/>
      <c r="AZ119" s="129"/>
      <c r="BA119" s="129"/>
      <c r="BB119" s="129"/>
      <c r="BC119" s="129"/>
      <c r="BD119" s="129"/>
      <c r="BE119" s="129"/>
      <c r="BF119" s="129"/>
      <c r="BG119" s="129"/>
      <c r="BH119" s="129"/>
      <c r="BI119" s="129"/>
      <c r="BJ119" s="129"/>
      <c r="BK119" s="129"/>
      <c r="BL119" s="129"/>
      <c r="BM119" s="129"/>
      <c r="BN119" s="129"/>
      <c r="BO119" s="129"/>
      <c r="BP119" s="129"/>
      <c r="BQ119" s="129"/>
    </row>
    <row r="120" spans="1:69" s="139" customFormat="1" x14ac:dyDescent="0.25">
      <c r="A120" s="157"/>
      <c r="B120" s="137"/>
      <c r="C120" s="129"/>
      <c r="G120" s="140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28"/>
      <c r="AC120" s="128"/>
      <c r="AD120" s="128"/>
      <c r="AE120" s="128"/>
      <c r="AF120" s="128"/>
      <c r="AG120" s="129"/>
      <c r="AH120" s="129"/>
      <c r="AI120" s="129"/>
      <c r="AJ120" s="129"/>
      <c r="AK120" s="129"/>
      <c r="AL120" s="129"/>
      <c r="AM120" s="129"/>
      <c r="AN120" s="129"/>
      <c r="AO120" s="129"/>
      <c r="AP120" s="129"/>
      <c r="AQ120" s="130"/>
      <c r="AR120" s="130"/>
      <c r="AS120" s="129"/>
      <c r="AT120" s="129"/>
      <c r="AU120" s="129"/>
      <c r="AV120" s="129"/>
      <c r="AW120" s="129"/>
      <c r="AX120" s="129"/>
      <c r="AY120" s="129"/>
      <c r="AZ120" s="129"/>
      <c r="BA120" s="129"/>
      <c r="BB120" s="129"/>
      <c r="BC120" s="129"/>
      <c r="BD120" s="129"/>
      <c r="BE120" s="129"/>
      <c r="BF120" s="129"/>
      <c r="BG120" s="129"/>
      <c r="BH120" s="129"/>
      <c r="BI120" s="129"/>
      <c r="BJ120" s="129"/>
      <c r="BK120" s="129"/>
      <c r="BL120" s="129"/>
      <c r="BM120" s="129"/>
      <c r="BN120" s="129"/>
      <c r="BO120" s="129"/>
      <c r="BP120" s="129"/>
      <c r="BQ120" s="129"/>
    </row>
    <row r="121" spans="1:69" s="139" customFormat="1" x14ac:dyDescent="0.25">
      <c r="A121" s="157"/>
      <c r="B121" s="137"/>
      <c r="C121" s="129"/>
      <c r="G121" s="140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28"/>
      <c r="AC121" s="128"/>
      <c r="AD121" s="128"/>
      <c r="AE121" s="128"/>
      <c r="AF121" s="128"/>
      <c r="AG121" s="129"/>
      <c r="AH121" s="129"/>
      <c r="AI121" s="129"/>
      <c r="AJ121" s="129"/>
      <c r="AK121" s="129"/>
      <c r="AL121" s="129"/>
      <c r="AM121" s="129"/>
      <c r="AN121" s="129"/>
      <c r="AO121" s="129"/>
      <c r="AP121" s="129"/>
      <c r="AQ121" s="130"/>
      <c r="AR121" s="130"/>
      <c r="AS121" s="129"/>
      <c r="AT121" s="129"/>
      <c r="AU121" s="129"/>
      <c r="AV121" s="129"/>
      <c r="AW121" s="129"/>
      <c r="AX121" s="129"/>
      <c r="AY121" s="129"/>
      <c r="AZ121" s="129"/>
      <c r="BA121" s="129"/>
      <c r="BB121" s="129"/>
      <c r="BC121" s="129"/>
      <c r="BD121" s="129"/>
      <c r="BE121" s="129"/>
      <c r="BF121" s="129"/>
      <c r="BG121" s="129"/>
      <c r="BH121" s="129"/>
      <c r="BI121" s="129"/>
      <c r="BJ121" s="129"/>
      <c r="BK121" s="129"/>
      <c r="BL121" s="129"/>
      <c r="BM121" s="129"/>
      <c r="BN121" s="129"/>
      <c r="BO121" s="129"/>
      <c r="BP121" s="129"/>
      <c r="BQ121" s="129"/>
    </row>
    <row r="122" spans="1:69" s="139" customFormat="1" x14ac:dyDescent="0.25">
      <c r="A122" s="157"/>
      <c r="B122" s="137"/>
      <c r="C122" s="129"/>
      <c r="G122" s="140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28"/>
      <c r="AC122" s="128"/>
      <c r="AD122" s="128"/>
      <c r="AE122" s="128"/>
      <c r="AF122" s="128"/>
      <c r="AG122" s="129"/>
      <c r="AH122" s="129"/>
      <c r="AI122" s="129"/>
      <c r="AJ122" s="129"/>
      <c r="AK122" s="129"/>
      <c r="AL122" s="129"/>
      <c r="AM122" s="129"/>
      <c r="AN122" s="129"/>
      <c r="AO122" s="129"/>
      <c r="AP122" s="129"/>
      <c r="AQ122" s="130"/>
      <c r="AR122" s="130"/>
      <c r="AS122" s="129"/>
      <c r="AT122" s="129"/>
      <c r="AU122" s="129"/>
      <c r="AV122" s="129"/>
      <c r="AW122" s="129"/>
      <c r="AX122" s="129"/>
      <c r="AY122" s="129"/>
      <c r="AZ122" s="129"/>
      <c r="BA122" s="129"/>
      <c r="BB122" s="129"/>
      <c r="BC122" s="129"/>
      <c r="BD122" s="129"/>
      <c r="BE122" s="129"/>
      <c r="BF122" s="129"/>
      <c r="BG122" s="129"/>
      <c r="BH122" s="129"/>
      <c r="BI122" s="129"/>
      <c r="BJ122" s="129"/>
      <c r="BK122" s="129"/>
      <c r="BL122" s="129"/>
      <c r="BM122" s="129"/>
      <c r="BN122" s="129"/>
      <c r="BO122" s="129"/>
      <c r="BP122" s="129"/>
      <c r="BQ122" s="129"/>
    </row>
    <row r="123" spans="1:69" s="139" customFormat="1" x14ac:dyDescent="0.25">
      <c r="A123" s="157"/>
      <c r="B123" s="137"/>
      <c r="C123" s="129"/>
      <c r="G123" s="140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28"/>
      <c r="AC123" s="128"/>
      <c r="AD123" s="128"/>
      <c r="AE123" s="128"/>
      <c r="AF123" s="128"/>
      <c r="AG123" s="129"/>
      <c r="AH123" s="129"/>
      <c r="AI123" s="129"/>
      <c r="AJ123" s="129"/>
      <c r="AK123" s="129"/>
      <c r="AL123" s="129"/>
      <c r="AM123" s="129"/>
      <c r="AN123" s="129"/>
      <c r="AO123" s="129"/>
      <c r="AP123" s="129"/>
      <c r="AQ123" s="130"/>
      <c r="AR123" s="130"/>
      <c r="AS123" s="129"/>
      <c r="AT123" s="129"/>
      <c r="AU123" s="129"/>
      <c r="AV123" s="129"/>
      <c r="AW123" s="129"/>
      <c r="AX123" s="129"/>
      <c r="AY123" s="129"/>
      <c r="AZ123" s="129"/>
      <c r="BA123" s="129"/>
      <c r="BB123" s="129"/>
      <c r="BC123" s="129"/>
      <c r="BD123" s="129"/>
      <c r="BE123" s="129"/>
      <c r="BF123" s="129"/>
      <c r="BG123" s="129"/>
      <c r="BH123" s="129"/>
      <c r="BI123" s="129"/>
      <c r="BJ123" s="129"/>
      <c r="BK123" s="129"/>
      <c r="BL123" s="129"/>
      <c r="BM123" s="129"/>
      <c r="BN123" s="129"/>
      <c r="BO123" s="129"/>
      <c r="BP123" s="129"/>
      <c r="BQ123" s="129"/>
    </row>
    <row r="124" spans="1:69" s="139" customFormat="1" x14ac:dyDescent="0.25">
      <c r="A124" s="157"/>
      <c r="B124" s="137"/>
      <c r="C124" s="129"/>
      <c r="G124" s="140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28"/>
      <c r="AC124" s="128"/>
      <c r="AD124" s="128"/>
      <c r="AE124" s="128"/>
      <c r="AF124" s="128"/>
      <c r="AG124" s="129"/>
      <c r="AH124" s="129"/>
      <c r="AI124" s="129"/>
      <c r="AJ124" s="129"/>
      <c r="AK124" s="129"/>
      <c r="AL124" s="129"/>
      <c r="AM124" s="129"/>
      <c r="AN124" s="129"/>
      <c r="AO124" s="129"/>
      <c r="AP124" s="129"/>
      <c r="AQ124" s="130"/>
      <c r="AR124" s="130"/>
      <c r="AS124" s="129"/>
      <c r="AT124" s="129"/>
      <c r="AU124" s="129"/>
      <c r="AV124" s="129"/>
      <c r="AW124" s="129"/>
      <c r="AX124" s="129"/>
      <c r="AY124" s="129"/>
      <c r="AZ124" s="129"/>
      <c r="BA124" s="129"/>
      <c r="BB124" s="129"/>
      <c r="BC124" s="129"/>
      <c r="BD124" s="129"/>
      <c r="BE124" s="129"/>
      <c r="BF124" s="129"/>
      <c r="BG124" s="129"/>
      <c r="BH124" s="129"/>
      <c r="BI124" s="129"/>
      <c r="BJ124" s="129"/>
      <c r="BK124" s="129"/>
      <c r="BL124" s="129"/>
      <c r="BM124" s="129"/>
      <c r="BN124" s="129"/>
      <c r="BO124" s="129"/>
      <c r="BP124" s="129"/>
      <c r="BQ124" s="129"/>
    </row>
    <row r="125" spans="1:69" s="139" customFormat="1" x14ac:dyDescent="0.25">
      <c r="A125" s="157"/>
      <c r="B125" s="137"/>
      <c r="C125" s="129"/>
      <c r="G125" s="140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28"/>
      <c r="AC125" s="128"/>
      <c r="AD125" s="128"/>
      <c r="AE125" s="128"/>
      <c r="AF125" s="128"/>
      <c r="AG125" s="129"/>
      <c r="AH125" s="129"/>
      <c r="AI125" s="129"/>
      <c r="AJ125" s="129"/>
      <c r="AK125" s="129"/>
      <c r="AL125" s="129"/>
      <c r="AM125" s="129"/>
      <c r="AN125" s="129"/>
      <c r="AO125" s="129"/>
      <c r="AP125" s="129"/>
      <c r="AQ125" s="130"/>
      <c r="AR125" s="130"/>
      <c r="AS125" s="129"/>
      <c r="AT125" s="129"/>
      <c r="AU125" s="129"/>
      <c r="AV125" s="129"/>
      <c r="AW125" s="129"/>
      <c r="AX125" s="129"/>
      <c r="AY125" s="129"/>
      <c r="AZ125" s="129"/>
      <c r="BA125" s="129"/>
      <c r="BB125" s="129"/>
      <c r="BC125" s="129"/>
      <c r="BD125" s="129"/>
      <c r="BE125" s="129"/>
      <c r="BF125" s="129"/>
      <c r="BG125" s="129"/>
      <c r="BH125" s="129"/>
      <c r="BI125" s="129"/>
      <c r="BJ125" s="129"/>
      <c r="BK125" s="129"/>
      <c r="BL125" s="129"/>
      <c r="BM125" s="129"/>
      <c r="BN125" s="129"/>
      <c r="BO125" s="129"/>
      <c r="BP125" s="129"/>
      <c r="BQ125" s="129"/>
    </row>
    <row r="126" spans="1:69" s="139" customFormat="1" x14ac:dyDescent="0.25">
      <c r="A126" s="157"/>
      <c r="B126" s="137"/>
      <c r="C126" s="129"/>
      <c r="G126" s="140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28"/>
      <c r="AC126" s="128"/>
      <c r="AD126" s="128"/>
      <c r="AE126" s="128"/>
      <c r="AF126" s="128"/>
      <c r="AG126" s="129"/>
      <c r="AH126" s="129"/>
      <c r="AI126" s="129"/>
      <c r="AJ126" s="129"/>
      <c r="AK126" s="129"/>
      <c r="AL126" s="129"/>
      <c r="AM126" s="129"/>
      <c r="AN126" s="129"/>
      <c r="AO126" s="129"/>
      <c r="AP126" s="129"/>
      <c r="AQ126" s="130"/>
      <c r="AR126" s="130"/>
      <c r="AS126" s="129"/>
      <c r="AT126" s="129"/>
      <c r="AU126" s="129"/>
      <c r="AV126" s="129"/>
      <c r="AW126" s="129"/>
      <c r="AX126" s="129"/>
      <c r="AY126" s="129"/>
      <c r="AZ126" s="129"/>
      <c r="BA126" s="129"/>
      <c r="BB126" s="129"/>
      <c r="BC126" s="129"/>
      <c r="BD126" s="129"/>
      <c r="BE126" s="129"/>
      <c r="BF126" s="129"/>
      <c r="BG126" s="129"/>
      <c r="BH126" s="129"/>
      <c r="BI126" s="129"/>
      <c r="BJ126" s="129"/>
      <c r="BK126" s="129"/>
      <c r="BL126" s="129"/>
      <c r="BM126" s="129"/>
      <c r="BN126" s="129"/>
      <c r="BO126" s="129"/>
      <c r="BP126" s="129"/>
      <c r="BQ126" s="129"/>
    </row>
    <row r="127" spans="1:69" s="139" customFormat="1" x14ac:dyDescent="0.25">
      <c r="A127" s="157"/>
      <c r="B127" s="137"/>
      <c r="C127" s="129"/>
      <c r="G127" s="140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28"/>
      <c r="AC127" s="128"/>
      <c r="AD127" s="128"/>
      <c r="AE127" s="128"/>
      <c r="AF127" s="128"/>
      <c r="AG127" s="129"/>
      <c r="AH127" s="129"/>
      <c r="AI127" s="129"/>
      <c r="AJ127" s="129"/>
      <c r="AK127" s="129"/>
      <c r="AL127" s="129"/>
      <c r="AM127" s="129"/>
      <c r="AN127" s="129"/>
      <c r="AO127" s="129"/>
      <c r="AP127" s="129"/>
      <c r="AQ127" s="130"/>
      <c r="AR127" s="130"/>
      <c r="AS127" s="129"/>
      <c r="AT127" s="129"/>
      <c r="AU127" s="129"/>
      <c r="AV127" s="129"/>
      <c r="AW127" s="129"/>
      <c r="AX127" s="129"/>
      <c r="AY127" s="129"/>
      <c r="AZ127" s="129"/>
      <c r="BA127" s="129"/>
      <c r="BB127" s="129"/>
      <c r="BC127" s="129"/>
      <c r="BD127" s="129"/>
      <c r="BE127" s="129"/>
      <c r="BF127" s="129"/>
      <c r="BG127" s="129"/>
      <c r="BH127" s="129"/>
      <c r="BI127" s="129"/>
      <c r="BJ127" s="129"/>
      <c r="BK127" s="129"/>
      <c r="BL127" s="129"/>
      <c r="BM127" s="129"/>
      <c r="BN127" s="129"/>
      <c r="BO127" s="129"/>
      <c r="BP127" s="129"/>
      <c r="BQ127" s="129"/>
    </row>
    <row r="128" spans="1:69" s="139" customFormat="1" x14ac:dyDescent="0.25">
      <c r="A128" s="157"/>
      <c r="B128" s="137"/>
      <c r="C128" s="129"/>
      <c r="G128" s="140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28"/>
      <c r="AC128" s="128"/>
      <c r="AD128" s="128"/>
      <c r="AE128" s="128"/>
      <c r="AF128" s="128"/>
      <c r="AG128" s="129"/>
      <c r="AH128" s="129"/>
      <c r="AI128" s="129"/>
      <c r="AJ128" s="129"/>
      <c r="AK128" s="129"/>
      <c r="AL128" s="129"/>
      <c r="AM128" s="129"/>
      <c r="AN128" s="129"/>
      <c r="AO128" s="129"/>
      <c r="AP128" s="129"/>
      <c r="AQ128" s="130"/>
      <c r="AR128" s="130"/>
      <c r="AS128" s="129"/>
      <c r="AT128" s="129"/>
      <c r="AU128" s="129"/>
      <c r="AV128" s="129"/>
      <c r="AW128" s="129"/>
      <c r="AX128" s="129"/>
      <c r="AY128" s="129"/>
      <c r="AZ128" s="129"/>
      <c r="BA128" s="129"/>
      <c r="BB128" s="129"/>
      <c r="BC128" s="129"/>
      <c r="BD128" s="129"/>
      <c r="BE128" s="129"/>
      <c r="BF128" s="129"/>
      <c r="BG128" s="129"/>
      <c r="BH128" s="129"/>
      <c r="BI128" s="129"/>
      <c r="BJ128" s="129"/>
      <c r="BK128" s="129"/>
      <c r="BL128" s="129"/>
      <c r="BM128" s="129"/>
      <c r="BN128" s="129"/>
      <c r="BO128" s="129"/>
      <c r="BP128" s="129"/>
      <c r="BQ128" s="129"/>
    </row>
    <row r="129" spans="1:69" s="139" customFormat="1" x14ac:dyDescent="0.25">
      <c r="A129" s="157"/>
      <c r="B129" s="137"/>
      <c r="C129" s="129"/>
      <c r="G129" s="140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28"/>
      <c r="AC129" s="128"/>
      <c r="AD129" s="128"/>
      <c r="AE129" s="128"/>
      <c r="AF129" s="128"/>
      <c r="AG129" s="129"/>
      <c r="AH129" s="129"/>
      <c r="AI129" s="129"/>
      <c r="AJ129" s="129"/>
      <c r="AK129" s="129"/>
      <c r="AL129" s="129"/>
      <c r="AM129" s="129"/>
      <c r="AN129" s="129"/>
      <c r="AO129" s="129"/>
      <c r="AP129" s="129"/>
      <c r="AQ129" s="130"/>
      <c r="AR129" s="130"/>
      <c r="AS129" s="129"/>
      <c r="AT129" s="129"/>
      <c r="AU129" s="129"/>
      <c r="AV129" s="129"/>
      <c r="AW129" s="129"/>
      <c r="AX129" s="129"/>
      <c r="AY129" s="129"/>
      <c r="AZ129" s="129"/>
      <c r="BA129" s="129"/>
      <c r="BB129" s="129"/>
      <c r="BC129" s="129"/>
      <c r="BD129" s="129"/>
      <c r="BE129" s="129"/>
      <c r="BF129" s="129"/>
      <c r="BG129" s="129"/>
      <c r="BH129" s="129"/>
      <c r="BI129" s="129"/>
      <c r="BJ129" s="129"/>
      <c r="BK129" s="129"/>
      <c r="BL129" s="129"/>
      <c r="BM129" s="129"/>
      <c r="BN129" s="129"/>
      <c r="BO129" s="129"/>
      <c r="BP129" s="129"/>
      <c r="BQ129" s="129"/>
    </row>
    <row r="130" spans="1:69" s="139" customFormat="1" x14ac:dyDescent="0.25">
      <c r="A130" s="157"/>
      <c r="B130" s="137"/>
      <c r="C130" s="129"/>
      <c r="G130" s="140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28"/>
      <c r="AC130" s="128"/>
      <c r="AD130" s="128"/>
      <c r="AE130" s="128"/>
      <c r="AF130" s="128"/>
      <c r="AG130" s="129"/>
      <c r="AH130" s="129"/>
      <c r="AI130" s="129"/>
      <c r="AJ130" s="129"/>
      <c r="AK130" s="129"/>
      <c r="AL130" s="129"/>
      <c r="AM130" s="129"/>
      <c r="AN130" s="129"/>
      <c r="AO130" s="129"/>
      <c r="AP130" s="129"/>
      <c r="AQ130" s="130"/>
      <c r="AR130" s="130"/>
      <c r="AS130" s="129"/>
      <c r="AT130" s="129"/>
      <c r="AU130" s="129"/>
      <c r="AV130" s="129"/>
      <c r="AW130" s="129"/>
      <c r="AX130" s="129"/>
      <c r="AY130" s="129"/>
      <c r="AZ130" s="129"/>
      <c r="BA130" s="129"/>
      <c r="BB130" s="129"/>
      <c r="BC130" s="129"/>
      <c r="BD130" s="129"/>
      <c r="BE130" s="129"/>
      <c r="BF130" s="129"/>
      <c r="BG130" s="129"/>
      <c r="BH130" s="129"/>
      <c r="BI130" s="129"/>
      <c r="BJ130" s="129"/>
      <c r="BK130" s="129"/>
      <c r="BL130" s="129"/>
      <c r="BM130" s="129"/>
      <c r="BN130" s="129"/>
      <c r="BO130" s="129"/>
      <c r="BP130" s="129"/>
      <c r="BQ130" s="129"/>
    </row>
    <row r="131" spans="1:69" s="139" customFormat="1" x14ac:dyDescent="0.25">
      <c r="A131" s="157"/>
      <c r="B131" s="137"/>
      <c r="C131" s="129"/>
      <c r="G131" s="140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28"/>
      <c r="AC131" s="128"/>
      <c r="AD131" s="128"/>
      <c r="AE131" s="128"/>
      <c r="AF131" s="128"/>
      <c r="AG131" s="129"/>
      <c r="AH131" s="129"/>
      <c r="AI131" s="129"/>
      <c r="AJ131" s="129"/>
      <c r="AK131" s="129"/>
      <c r="AL131" s="129"/>
      <c r="AM131" s="129"/>
      <c r="AN131" s="129"/>
      <c r="AO131" s="129"/>
      <c r="AP131" s="129"/>
      <c r="AQ131" s="130"/>
      <c r="AR131" s="130"/>
      <c r="AS131" s="129"/>
      <c r="AT131" s="129"/>
      <c r="AU131" s="129"/>
      <c r="AV131" s="129"/>
      <c r="AW131" s="129"/>
      <c r="AX131" s="129"/>
      <c r="AY131" s="129"/>
      <c r="AZ131" s="129"/>
      <c r="BA131" s="129"/>
      <c r="BB131" s="129"/>
      <c r="BC131" s="129"/>
      <c r="BD131" s="129"/>
      <c r="BE131" s="129"/>
      <c r="BF131" s="129"/>
      <c r="BG131" s="129"/>
      <c r="BH131" s="129"/>
      <c r="BI131" s="129"/>
      <c r="BJ131" s="129"/>
      <c r="BK131" s="129"/>
      <c r="BL131" s="129"/>
      <c r="BM131" s="129"/>
      <c r="BN131" s="129"/>
      <c r="BO131" s="129"/>
      <c r="BP131" s="129"/>
      <c r="BQ131" s="129"/>
    </row>
    <row r="132" spans="1:69" s="139" customFormat="1" x14ac:dyDescent="0.25">
      <c r="A132" s="157"/>
      <c r="B132" s="137"/>
      <c r="C132" s="129"/>
      <c r="G132" s="140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28"/>
      <c r="AC132" s="128"/>
      <c r="AD132" s="128"/>
      <c r="AE132" s="128"/>
      <c r="AF132" s="128"/>
      <c r="AG132" s="129"/>
      <c r="AH132" s="129"/>
      <c r="AI132" s="129"/>
      <c r="AJ132" s="129"/>
      <c r="AK132" s="129"/>
      <c r="AL132" s="129"/>
      <c r="AM132" s="129"/>
      <c r="AN132" s="129"/>
      <c r="AO132" s="129"/>
      <c r="AP132" s="129"/>
      <c r="AQ132" s="130"/>
      <c r="AR132" s="130"/>
      <c r="AS132" s="129"/>
      <c r="AT132" s="129"/>
      <c r="AU132" s="129"/>
      <c r="AV132" s="129"/>
      <c r="AW132" s="129"/>
      <c r="AX132" s="129"/>
      <c r="AY132" s="129"/>
      <c r="AZ132" s="129"/>
      <c r="BA132" s="129"/>
      <c r="BB132" s="129"/>
      <c r="BC132" s="129"/>
      <c r="BD132" s="129"/>
      <c r="BE132" s="129"/>
      <c r="BF132" s="129"/>
      <c r="BG132" s="129"/>
      <c r="BH132" s="129"/>
      <c r="BI132" s="129"/>
      <c r="BJ132" s="129"/>
      <c r="BK132" s="129"/>
      <c r="BL132" s="129"/>
      <c r="BM132" s="129"/>
      <c r="BN132" s="129"/>
      <c r="BO132" s="129"/>
      <c r="BP132" s="129"/>
      <c r="BQ132" s="129"/>
    </row>
    <row r="133" spans="1:69" s="139" customFormat="1" x14ac:dyDescent="0.25">
      <c r="A133" s="157"/>
      <c r="B133" s="137"/>
      <c r="C133" s="129"/>
      <c r="G133" s="140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28"/>
      <c r="AC133" s="128"/>
      <c r="AD133" s="128"/>
      <c r="AE133" s="128"/>
      <c r="AF133" s="128"/>
      <c r="AG133" s="129"/>
      <c r="AH133" s="129"/>
      <c r="AI133" s="129"/>
      <c r="AJ133" s="129"/>
      <c r="AK133" s="129"/>
      <c r="AL133" s="129"/>
      <c r="AM133" s="129"/>
      <c r="AN133" s="129"/>
      <c r="AO133" s="129"/>
      <c r="AP133" s="129"/>
      <c r="AQ133" s="130"/>
      <c r="AR133" s="130"/>
      <c r="AS133" s="129"/>
      <c r="AT133" s="129"/>
      <c r="AU133" s="129"/>
      <c r="AV133" s="129"/>
      <c r="AW133" s="129"/>
      <c r="AX133" s="129"/>
      <c r="AY133" s="129"/>
      <c r="AZ133" s="129"/>
      <c r="BA133" s="129"/>
      <c r="BB133" s="129"/>
      <c r="BC133" s="129"/>
      <c r="BD133" s="129"/>
      <c r="BE133" s="129"/>
      <c r="BF133" s="129"/>
      <c r="BG133" s="129"/>
      <c r="BH133" s="129"/>
      <c r="BI133" s="129"/>
      <c r="BJ133" s="129"/>
      <c r="BK133" s="129"/>
      <c r="BL133" s="129"/>
      <c r="BM133" s="129"/>
      <c r="BN133" s="129"/>
      <c r="BO133" s="129"/>
      <c r="BP133" s="129"/>
      <c r="BQ133" s="129"/>
    </row>
    <row r="134" spans="1:69" s="139" customFormat="1" x14ac:dyDescent="0.25">
      <c r="A134" s="157"/>
      <c r="B134" s="137"/>
      <c r="C134" s="129"/>
      <c r="G134" s="140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28"/>
      <c r="AC134" s="128"/>
      <c r="AD134" s="128"/>
      <c r="AE134" s="128"/>
      <c r="AF134" s="128"/>
      <c r="AG134" s="129"/>
      <c r="AH134" s="129"/>
      <c r="AI134" s="129"/>
      <c r="AJ134" s="129"/>
      <c r="AK134" s="129"/>
      <c r="AL134" s="129"/>
      <c r="AM134" s="129"/>
      <c r="AN134" s="129"/>
      <c r="AO134" s="129"/>
      <c r="AP134" s="129"/>
      <c r="AQ134" s="130"/>
      <c r="AR134" s="130"/>
      <c r="AS134" s="129"/>
      <c r="AT134" s="129"/>
      <c r="AU134" s="129"/>
      <c r="AV134" s="129"/>
      <c r="AW134" s="129"/>
      <c r="AX134" s="129"/>
      <c r="AY134" s="129"/>
      <c r="AZ134" s="129"/>
      <c r="BA134" s="129"/>
      <c r="BB134" s="129"/>
      <c r="BC134" s="129"/>
      <c r="BD134" s="129"/>
      <c r="BE134" s="129"/>
      <c r="BF134" s="129"/>
      <c r="BG134" s="129"/>
      <c r="BH134" s="129"/>
      <c r="BI134" s="129"/>
      <c r="BJ134" s="129"/>
      <c r="BK134" s="129"/>
      <c r="BL134" s="129"/>
      <c r="BM134" s="129"/>
      <c r="BN134" s="129"/>
      <c r="BO134" s="129"/>
      <c r="BP134" s="129"/>
      <c r="BQ134" s="129"/>
    </row>
    <row r="135" spans="1:69" s="139" customFormat="1" x14ac:dyDescent="0.25">
      <c r="A135" s="157"/>
      <c r="B135" s="137"/>
      <c r="C135" s="129"/>
      <c r="G135" s="140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28"/>
      <c r="AC135" s="128"/>
      <c r="AD135" s="128"/>
      <c r="AE135" s="128"/>
      <c r="AF135" s="128"/>
      <c r="AG135" s="129"/>
      <c r="AH135" s="129"/>
      <c r="AI135" s="129"/>
      <c r="AJ135" s="129"/>
      <c r="AK135" s="129"/>
      <c r="AL135" s="129"/>
      <c r="AM135" s="129"/>
      <c r="AN135" s="129"/>
      <c r="AO135" s="129"/>
      <c r="AP135" s="129"/>
      <c r="AQ135" s="130"/>
      <c r="AR135" s="130"/>
      <c r="AS135" s="129"/>
      <c r="AT135" s="129"/>
      <c r="AU135" s="129"/>
      <c r="AV135" s="129"/>
      <c r="AW135" s="129"/>
      <c r="AX135" s="129"/>
      <c r="AY135" s="129"/>
      <c r="AZ135" s="129"/>
      <c r="BA135" s="129"/>
      <c r="BB135" s="129"/>
      <c r="BC135" s="129"/>
      <c r="BD135" s="129"/>
      <c r="BE135" s="129"/>
      <c r="BF135" s="129"/>
      <c r="BG135" s="129"/>
      <c r="BH135" s="129"/>
      <c r="BI135" s="129"/>
      <c r="BJ135" s="129"/>
      <c r="BK135" s="129"/>
      <c r="BL135" s="129"/>
      <c r="BM135" s="129"/>
      <c r="BN135" s="129"/>
      <c r="BO135" s="129"/>
      <c r="BP135" s="129"/>
      <c r="BQ135" s="129"/>
    </row>
    <row r="136" spans="1:69" s="139" customFormat="1" x14ac:dyDescent="0.25">
      <c r="A136" s="157"/>
      <c r="B136" s="137"/>
      <c r="C136" s="129"/>
      <c r="G136" s="140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28"/>
      <c r="AC136" s="128"/>
      <c r="AD136" s="128"/>
      <c r="AE136" s="128"/>
      <c r="AF136" s="128"/>
      <c r="AG136" s="129"/>
      <c r="AH136" s="129"/>
      <c r="AI136" s="129"/>
      <c r="AJ136" s="129"/>
      <c r="AK136" s="129"/>
      <c r="AL136" s="129"/>
      <c r="AM136" s="129"/>
      <c r="AN136" s="129"/>
      <c r="AO136" s="129"/>
      <c r="AP136" s="129"/>
      <c r="AQ136" s="130"/>
      <c r="AR136" s="130"/>
      <c r="AS136" s="129"/>
      <c r="AT136" s="129"/>
      <c r="AU136" s="129"/>
      <c r="AV136" s="129"/>
      <c r="AW136" s="129"/>
      <c r="AX136" s="129"/>
      <c r="AY136" s="129"/>
      <c r="AZ136" s="129"/>
      <c r="BA136" s="129"/>
      <c r="BB136" s="129"/>
      <c r="BC136" s="129"/>
      <c r="BD136" s="129"/>
      <c r="BE136" s="129"/>
      <c r="BF136" s="129"/>
      <c r="BG136" s="129"/>
      <c r="BH136" s="129"/>
      <c r="BI136" s="129"/>
      <c r="BJ136" s="129"/>
      <c r="BK136" s="129"/>
      <c r="BL136" s="129"/>
      <c r="BM136" s="129"/>
      <c r="BN136" s="129"/>
      <c r="BO136" s="129"/>
      <c r="BP136" s="129"/>
      <c r="BQ136" s="129"/>
    </row>
    <row r="137" spans="1:69" s="139" customFormat="1" x14ac:dyDescent="0.25">
      <c r="A137" s="157"/>
      <c r="B137" s="137"/>
      <c r="C137" s="129"/>
      <c r="G137" s="140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28"/>
      <c r="AC137" s="128"/>
      <c r="AD137" s="128"/>
      <c r="AE137" s="128"/>
      <c r="AF137" s="128"/>
      <c r="AG137" s="129"/>
      <c r="AH137" s="129"/>
      <c r="AI137" s="129"/>
      <c r="AJ137" s="129"/>
      <c r="AK137" s="129"/>
      <c r="AL137" s="129"/>
      <c r="AM137" s="129"/>
      <c r="AN137" s="129"/>
      <c r="AO137" s="129"/>
      <c r="AP137" s="129"/>
      <c r="AQ137" s="130"/>
      <c r="AR137" s="130"/>
      <c r="AS137" s="129"/>
      <c r="AT137" s="129"/>
      <c r="AU137" s="129"/>
      <c r="AV137" s="129"/>
      <c r="AW137" s="129"/>
      <c r="AX137" s="129"/>
      <c r="AY137" s="129"/>
      <c r="AZ137" s="129"/>
      <c r="BA137" s="129"/>
      <c r="BB137" s="129"/>
      <c r="BC137" s="129"/>
      <c r="BD137" s="129"/>
      <c r="BE137" s="129"/>
      <c r="BF137" s="129"/>
      <c r="BG137" s="129"/>
      <c r="BH137" s="129"/>
      <c r="BI137" s="129"/>
      <c r="BJ137" s="129"/>
      <c r="BK137" s="129"/>
      <c r="BL137" s="129"/>
      <c r="BM137" s="129"/>
      <c r="BN137" s="129"/>
      <c r="BO137" s="129"/>
      <c r="BP137" s="129"/>
      <c r="BQ137" s="129"/>
    </row>
    <row r="138" spans="1:69" s="139" customFormat="1" x14ac:dyDescent="0.25">
      <c r="A138" s="157"/>
      <c r="B138" s="137"/>
      <c r="C138" s="129"/>
      <c r="G138" s="140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28"/>
      <c r="AC138" s="128"/>
      <c r="AD138" s="128"/>
      <c r="AE138" s="128"/>
      <c r="AF138" s="128"/>
      <c r="AG138" s="129"/>
      <c r="AH138" s="129"/>
      <c r="AI138" s="129"/>
      <c r="AJ138" s="129"/>
      <c r="AK138" s="129"/>
      <c r="AL138" s="129"/>
      <c r="AM138" s="129"/>
      <c r="AN138" s="129"/>
      <c r="AO138" s="129"/>
      <c r="AP138" s="129"/>
      <c r="AQ138" s="130"/>
      <c r="AR138" s="130"/>
      <c r="AS138" s="129"/>
      <c r="AT138" s="129"/>
      <c r="AU138" s="129"/>
      <c r="AV138" s="129"/>
      <c r="AW138" s="129"/>
      <c r="AX138" s="129"/>
      <c r="AY138" s="129"/>
      <c r="AZ138" s="129"/>
      <c r="BA138" s="129"/>
      <c r="BB138" s="129"/>
      <c r="BC138" s="129"/>
      <c r="BD138" s="129"/>
      <c r="BE138" s="129"/>
      <c r="BF138" s="129"/>
      <c r="BG138" s="129"/>
      <c r="BH138" s="129"/>
      <c r="BI138" s="129"/>
      <c r="BJ138" s="129"/>
      <c r="BK138" s="129"/>
      <c r="BL138" s="129"/>
      <c r="BM138" s="129"/>
      <c r="BN138" s="129"/>
      <c r="BO138" s="129"/>
      <c r="BP138" s="129"/>
      <c r="BQ138" s="129"/>
    </row>
    <row r="139" spans="1:69" s="139" customFormat="1" x14ac:dyDescent="0.25">
      <c r="A139" s="157"/>
      <c r="B139" s="137"/>
      <c r="C139" s="129"/>
      <c r="G139" s="140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28"/>
      <c r="AC139" s="128"/>
      <c r="AD139" s="128"/>
      <c r="AE139" s="128"/>
      <c r="AF139" s="128"/>
      <c r="AG139" s="129"/>
      <c r="AH139" s="129"/>
      <c r="AI139" s="129"/>
      <c r="AJ139" s="129"/>
      <c r="AK139" s="129"/>
      <c r="AL139" s="129"/>
      <c r="AM139" s="129"/>
      <c r="AN139" s="129"/>
      <c r="AO139" s="129"/>
      <c r="AP139" s="129"/>
      <c r="AQ139" s="130"/>
      <c r="AR139" s="130"/>
      <c r="AS139" s="129"/>
      <c r="AT139" s="129"/>
      <c r="AU139" s="129"/>
      <c r="AV139" s="129"/>
      <c r="AW139" s="129"/>
      <c r="AX139" s="129"/>
      <c r="AY139" s="129"/>
      <c r="AZ139" s="129"/>
      <c r="BA139" s="129"/>
      <c r="BB139" s="129"/>
      <c r="BC139" s="129"/>
      <c r="BD139" s="129"/>
      <c r="BE139" s="129"/>
      <c r="BF139" s="129"/>
      <c r="BG139" s="129"/>
      <c r="BH139" s="129"/>
      <c r="BI139" s="129"/>
      <c r="BJ139" s="129"/>
      <c r="BK139" s="129"/>
      <c r="BL139" s="129"/>
      <c r="BM139" s="129"/>
      <c r="BN139" s="129"/>
      <c r="BO139" s="129"/>
      <c r="BP139" s="129"/>
      <c r="BQ139" s="129"/>
    </row>
    <row r="140" spans="1:69" s="139" customFormat="1" x14ac:dyDescent="0.25">
      <c r="A140" s="157"/>
      <c r="B140" s="137"/>
      <c r="C140" s="129"/>
      <c r="G140" s="140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28"/>
      <c r="AC140" s="128"/>
      <c r="AD140" s="128"/>
      <c r="AE140" s="128"/>
      <c r="AF140" s="128"/>
      <c r="AG140" s="129"/>
      <c r="AH140" s="129"/>
      <c r="AI140" s="129"/>
      <c r="AJ140" s="129"/>
      <c r="AK140" s="129"/>
      <c r="AL140" s="129"/>
      <c r="AM140" s="129"/>
      <c r="AN140" s="129"/>
      <c r="AO140" s="129"/>
      <c r="AP140" s="129"/>
      <c r="AQ140" s="130"/>
      <c r="AR140" s="130"/>
      <c r="AS140" s="129"/>
      <c r="AT140" s="129"/>
      <c r="AU140" s="129"/>
      <c r="AV140" s="129"/>
      <c r="AW140" s="129"/>
      <c r="AX140" s="129"/>
      <c r="AY140" s="129"/>
      <c r="AZ140" s="129"/>
      <c r="BA140" s="129"/>
      <c r="BB140" s="129"/>
      <c r="BC140" s="129"/>
      <c r="BD140" s="129"/>
      <c r="BE140" s="129"/>
      <c r="BF140" s="129"/>
      <c r="BG140" s="129"/>
      <c r="BH140" s="129"/>
      <c r="BI140" s="129"/>
      <c r="BJ140" s="129"/>
      <c r="BK140" s="129"/>
      <c r="BL140" s="129"/>
      <c r="BM140" s="129"/>
      <c r="BN140" s="129"/>
      <c r="BO140" s="129"/>
      <c r="BP140" s="129"/>
      <c r="BQ140" s="129"/>
    </row>
    <row r="141" spans="1:69" s="139" customFormat="1" x14ac:dyDescent="0.25">
      <c r="A141" s="157"/>
      <c r="B141" s="137"/>
      <c r="C141" s="129"/>
      <c r="G141" s="140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28"/>
      <c r="AC141" s="128"/>
      <c r="AD141" s="128"/>
      <c r="AE141" s="128"/>
      <c r="AF141" s="128"/>
      <c r="AG141" s="129"/>
      <c r="AH141" s="129"/>
      <c r="AI141" s="129"/>
      <c r="AJ141" s="129"/>
      <c r="AK141" s="129"/>
      <c r="AL141" s="129"/>
      <c r="AM141" s="129"/>
      <c r="AN141" s="129"/>
      <c r="AO141" s="129"/>
      <c r="AP141" s="129"/>
      <c r="AQ141" s="130"/>
      <c r="AR141" s="130"/>
      <c r="AS141" s="129"/>
      <c r="AT141" s="129"/>
      <c r="AU141" s="129"/>
      <c r="AV141" s="129"/>
      <c r="AW141" s="129"/>
      <c r="AX141" s="129"/>
      <c r="AY141" s="129"/>
      <c r="AZ141" s="129"/>
      <c r="BA141" s="129"/>
      <c r="BB141" s="129"/>
      <c r="BC141" s="129"/>
      <c r="BD141" s="129"/>
      <c r="BE141" s="129"/>
      <c r="BF141" s="129"/>
      <c r="BG141" s="129"/>
      <c r="BH141" s="129"/>
      <c r="BI141" s="129"/>
      <c r="BJ141" s="129"/>
      <c r="BK141" s="129"/>
      <c r="BL141" s="129"/>
      <c r="BM141" s="129"/>
      <c r="BN141" s="129"/>
      <c r="BO141" s="129"/>
      <c r="BP141" s="129"/>
      <c r="BQ141" s="129"/>
    </row>
    <row r="142" spans="1:69" s="139" customFormat="1" x14ac:dyDescent="0.25">
      <c r="A142" s="157"/>
      <c r="B142" s="137"/>
      <c r="C142" s="129"/>
      <c r="G142" s="140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28"/>
      <c r="AC142" s="128"/>
      <c r="AD142" s="128"/>
      <c r="AE142" s="128"/>
      <c r="AF142" s="128"/>
      <c r="AG142" s="129"/>
      <c r="AH142" s="129"/>
      <c r="AI142" s="129"/>
      <c r="AJ142" s="129"/>
      <c r="AK142" s="129"/>
      <c r="AL142" s="129"/>
      <c r="AM142" s="129"/>
      <c r="AN142" s="129"/>
      <c r="AO142" s="129"/>
      <c r="AP142" s="129"/>
      <c r="AQ142" s="130"/>
      <c r="AR142" s="130"/>
      <c r="AS142" s="129"/>
      <c r="AT142" s="129"/>
      <c r="AU142" s="129"/>
      <c r="AV142" s="129"/>
      <c r="AW142" s="129"/>
      <c r="AX142" s="129"/>
      <c r="AY142" s="129"/>
      <c r="AZ142" s="129"/>
      <c r="BA142" s="129"/>
      <c r="BB142" s="129"/>
      <c r="BC142" s="129"/>
      <c r="BD142" s="129"/>
      <c r="BE142" s="129"/>
      <c r="BF142" s="129"/>
      <c r="BG142" s="129"/>
      <c r="BH142" s="129"/>
      <c r="BI142" s="129"/>
      <c r="BJ142" s="129"/>
      <c r="BK142" s="129"/>
      <c r="BL142" s="129"/>
      <c r="BM142" s="129"/>
      <c r="BN142" s="129"/>
      <c r="BO142" s="129"/>
      <c r="BP142" s="129"/>
      <c r="BQ142" s="129"/>
    </row>
    <row r="143" spans="1:69" s="139" customFormat="1" x14ac:dyDescent="0.25">
      <c r="A143" s="157"/>
      <c r="B143" s="137"/>
      <c r="C143" s="129"/>
      <c r="G143" s="140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28"/>
      <c r="AC143" s="128"/>
      <c r="AD143" s="128"/>
      <c r="AE143" s="128"/>
      <c r="AF143" s="128"/>
      <c r="AG143" s="129"/>
      <c r="AH143" s="129"/>
      <c r="AI143" s="129"/>
      <c r="AJ143" s="129"/>
      <c r="AK143" s="129"/>
      <c r="AL143" s="129"/>
      <c r="AM143" s="129"/>
      <c r="AN143" s="129"/>
      <c r="AO143" s="129"/>
      <c r="AP143" s="129"/>
      <c r="AQ143" s="130"/>
      <c r="AR143" s="130"/>
      <c r="AS143" s="129"/>
      <c r="AT143" s="129"/>
      <c r="AU143" s="129"/>
      <c r="AV143" s="129"/>
      <c r="AW143" s="129"/>
      <c r="AX143" s="129"/>
      <c r="AY143" s="129"/>
      <c r="AZ143" s="129"/>
      <c r="BA143" s="129"/>
      <c r="BB143" s="129"/>
      <c r="BC143" s="129"/>
      <c r="BD143" s="129"/>
      <c r="BE143" s="129"/>
      <c r="BF143" s="129"/>
      <c r="BG143" s="129"/>
      <c r="BH143" s="129"/>
      <c r="BI143" s="129"/>
      <c r="BJ143" s="129"/>
      <c r="BK143" s="129"/>
      <c r="BL143" s="129"/>
      <c r="BM143" s="129"/>
      <c r="BN143" s="129"/>
      <c r="BO143" s="129"/>
      <c r="BP143" s="129"/>
      <c r="BQ143" s="129"/>
    </row>
    <row r="144" spans="1:69" s="139" customFormat="1" x14ac:dyDescent="0.25">
      <c r="A144" s="157"/>
      <c r="B144" s="137"/>
      <c r="C144" s="129"/>
      <c r="G144" s="140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28"/>
      <c r="AC144" s="128"/>
      <c r="AD144" s="128"/>
      <c r="AE144" s="128"/>
      <c r="AF144" s="128"/>
      <c r="AG144" s="129"/>
      <c r="AH144" s="129"/>
      <c r="AI144" s="129"/>
      <c r="AJ144" s="129"/>
      <c r="AK144" s="129"/>
      <c r="AL144" s="129"/>
      <c r="AM144" s="129"/>
      <c r="AN144" s="129"/>
      <c r="AO144" s="129"/>
      <c r="AP144" s="129"/>
      <c r="AQ144" s="130"/>
      <c r="AR144" s="130"/>
      <c r="AS144" s="129"/>
      <c r="AT144" s="129"/>
      <c r="AU144" s="129"/>
      <c r="AV144" s="129"/>
      <c r="AW144" s="129"/>
      <c r="AX144" s="129"/>
      <c r="AY144" s="129"/>
      <c r="AZ144" s="129"/>
      <c r="BA144" s="129"/>
      <c r="BB144" s="129"/>
      <c r="BC144" s="129"/>
      <c r="BD144" s="129"/>
      <c r="BE144" s="129"/>
      <c r="BF144" s="129"/>
      <c r="BG144" s="129"/>
      <c r="BH144" s="129"/>
      <c r="BI144" s="129"/>
      <c r="BJ144" s="129"/>
      <c r="BK144" s="129"/>
      <c r="BL144" s="129"/>
      <c r="BM144" s="129"/>
      <c r="BN144" s="129"/>
      <c r="BO144" s="129"/>
      <c r="BP144" s="129"/>
      <c r="BQ144" s="129"/>
    </row>
    <row r="145" spans="1:69" s="139" customFormat="1" x14ac:dyDescent="0.25">
      <c r="A145" s="157"/>
      <c r="B145" s="137"/>
      <c r="C145" s="129"/>
      <c r="G145" s="140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28"/>
      <c r="AC145" s="128"/>
      <c r="AD145" s="128"/>
      <c r="AE145" s="128"/>
      <c r="AF145" s="128"/>
      <c r="AG145" s="129"/>
      <c r="AH145" s="129"/>
      <c r="AI145" s="129"/>
      <c r="AJ145" s="129"/>
      <c r="AK145" s="129"/>
      <c r="AL145" s="129"/>
      <c r="AM145" s="129"/>
      <c r="AN145" s="129"/>
      <c r="AO145" s="129"/>
      <c r="AP145" s="129"/>
      <c r="AQ145" s="130"/>
      <c r="AR145" s="130"/>
      <c r="AS145" s="129"/>
      <c r="AT145" s="129"/>
      <c r="AU145" s="129"/>
      <c r="AV145" s="129"/>
      <c r="AW145" s="129"/>
      <c r="AX145" s="129"/>
      <c r="AY145" s="129"/>
      <c r="AZ145" s="129"/>
      <c r="BA145" s="129"/>
      <c r="BB145" s="129"/>
      <c r="BC145" s="129"/>
      <c r="BD145" s="129"/>
      <c r="BE145" s="129"/>
      <c r="BF145" s="129"/>
      <c r="BG145" s="129"/>
      <c r="BH145" s="129"/>
      <c r="BI145" s="129"/>
      <c r="BJ145" s="129"/>
      <c r="BK145" s="129"/>
      <c r="BL145" s="129"/>
      <c r="BM145" s="129"/>
      <c r="BN145" s="129"/>
      <c r="BO145" s="129"/>
      <c r="BP145" s="129"/>
      <c r="BQ145" s="129"/>
    </row>
    <row r="146" spans="1:69" s="139" customFormat="1" x14ac:dyDescent="0.25">
      <c r="A146" s="157"/>
      <c r="B146" s="137"/>
      <c r="C146" s="129"/>
      <c r="G146" s="140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28"/>
      <c r="AC146" s="128"/>
      <c r="AD146" s="128"/>
      <c r="AE146" s="128"/>
      <c r="AF146" s="128"/>
      <c r="AG146" s="129"/>
      <c r="AH146" s="129"/>
      <c r="AI146" s="129"/>
      <c r="AJ146" s="129"/>
      <c r="AK146" s="129"/>
      <c r="AL146" s="129"/>
      <c r="AM146" s="129"/>
      <c r="AN146" s="129"/>
      <c r="AO146" s="129"/>
      <c r="AP146" s="129"/>
      <c r="AQ146" s="130"/>
      <c r="AR146" s="130"/>
      <c r="AS146" s="129"/>
      <c r="AT146" s="129"/>
      <c r="AU146" s="129"/>
      <c r="AV146" s="129"/>
      <c r="AW146" s="129"/>
      <c r="AX146" s="129"/>
      <c r="AY146" s="129"/>
      <c r="AZ146" s="129"/>
      <c r="BA146" s="129"/>
      <c r="BB146" s="129"/>
      <c r="BC146" s="129"/>
      <c r="BD146" s="129"/>
      <c r="BE146" s="129"/>
      <c r="BF146" s="129"/>
      <c r="BG146" s="129"/>
      <c r="BH146" s="129"/>
      <c r="BI146" s="129"/>
      <c r="BJ146" s="129"/>
      <c r="BK146" s="129"/>
      <c r="BL146" s="129"/>
      <c r="BM146" s="129"/>
      <c r="BN146" s="129"/>
      <c r="BO146" s="129"/>
      <c r="BP146" s="129"/>
      <c r="BQ146" s="129"/>
    </row>
    <row r="147" spans="1:69" s="139" customFormat="1" x14ac:dyDescent="0.25">
      <c r="A147" s="157"/>
      <c r="B147" s="137"/>
      <c r="C147" s="129"/>
      <c r="G147" s="140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28"/>
      <c r="AC147" s="128"/>
      <c r="AD147" s="128"/>
      <c r="AE147" s="128"/>
      <c r="AF147" s="128"/>
      <c r="AG147" s="129"/>
      <c r="AH147" s="129"/>
      <c r="AI147" s="129"/>
      <c r="AJ147" s="129"/>
      <c r="AK147" s="129"/>
      <c r="AL147" s="129"/>
      <c r="AM147" s="129"/>
      <c r="AN147" s="129"/>
      <c r="AO147" s="129"/>
      <c r="AP147" s="129"/>
      <c r="AQ147" s="130"/>
      <c r="AR147" s="130"/>
      <c r="AS147" s="129"/>
      <c r="AT147" s="129"/>
      <c r="AU147" s="129"/>
      <c r="AV147" s="129"/>
      <c r="AW147" s="129"/>
      <c r="AX147" s="129"/>
      <c r="AY147" s="129"/>
      <c r="AZ147" s="129"/>
      <c r="BA147" s="129"/>
      <c r="BB147" s="129"/>
      <c r="BC147" s="129"/>
      <c r="BD147" s="129"/>
      <c r="BE147" s="129"/>
      <c r="BF147" s="129"/>
      <c r="BG147" s="129"/>
      <c r="BH147" s="129"/>
      <c r="BI147" s="129"/>
      <c r="BJ147" s="129"/>
      <c r="BK147" s="129"/>
      <c r="BL147" s="129"/>
      <c r="BM147" s="129"/>
      <c r="BN147" s="129"/>
      <c r="BO147" s="129"/>
      <c r="BP147" s="129"/>
      <c r="BQ147" s="129"/>
    </row>
    <row r="148" spans="1:69" s="139" customFormat="1" x14ac:dyDescent="0.25">
      <c r="A148" s="157"/>
      <c r="B148" s="137"/>
      <c r="C148" s="129"/>
      <c r="G148" s="140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28"/>
      <c r="AC148" s="128"/>
      <c r="AD148" s="128"/>
      <c r="AE148" s="128"/>
      <c r="AF148" s="128"/>
      <c r="AG148" s="129"/>
      <c r="AH148" s="129"/>
      <c r="AI148" s="129"/>
      <c r="AJ148" s="129"/>
      <c r="AK148" s="129"/>
      <c r="AL148" s="129"/>
      <c r="AM148" s="129"/>
      <c r="AN148" s="129"/>
      <c r="AO148" s="129"/>
      <c r="AP148" s="129"/>
      <c r="AQ148" s="130"/>
      <c r="AR148" s="130"/>
      <c r="AS148" s="129"/>
      <c r="AT148" s="129"/>
      <c r="AU148" s="129"/>
      <c r="AV148" s="129"/>
      <c r="AW148" s="129"/>
      <c r="AX148" s="129"/>
      <c r="AY148" s="129"/>
      <c r="AZ148" s="129"/>
      <c r="BA148" s="129"/>
      <c r="BB148" s="129"/>
      <c r="BC148" s="129"/>
      <c r="BD148" s="129"/>
      <c r="BE148" s="129"/>
      <c r="BF148" s="129"/>
      <c r="BG148" s="129"/>
      <c r="BH148" s="129"/>
      <c r="BI148" s="129"/>
      <c r="BJ148" s="129"/>
      <c r="BK148" s="129"/>
      <c r="BL148" s="129"/>
      <c r="BM148" s="129"/>
      <c r="BN148" s="129"/>
      <c r="BO148" s="129"/>
      <c r="BP148" s="129"/>
      <c r="BQ148" s="129"/>
    </row>
    <row r="149" spans="1:69" s="139" customFormat="1" x14ac:dyDescent="0.25">
      <c r="A149" s="157"/>
      <c r="B149" s="137"/>
      <c r="C149" s="129"/>
      <c r="G149" s="140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28"/>
      <c r="AC149" s="128"/>
      <c r="AD149" s="128"/>
      <c r="AE149" s="128"/>
      <c r="AF149" s="128"/>
      <c r="AG149" s="129"/>
      <c r="AH149" s="129"/>
      <c r="AI149" s="129"/>
      <c r="AJ149" s="129"/>
      <c r="AK149" s="129"/>
      <c r="AL149" s="129"/>
      <c r="AM149" s="129"/>
      <c r="AN149" s="129"/>
      <c r="AO149" s="129"/>
      <c r="AP149" s="129"/>
      <c r="AQ149" s="130"/>
      <c r="AR149" s="130"/>
      <c r="AS149" s="129"/>
      <c r="AT149" s="129"/>
      <c r="AU149" s="129"/>
      <c r="AV149" s="129"/>
      <c r="AW149" s="129"/>
      <c r="AX149" s="129"/>
      <c r="AY149" s="129"/>
      <c r="AZ149" s="129"/>
      <c r="BA149" s="129"/>
      <c r="BB149" s="129"/>
      <c r="BC149" s="129"/>
      <c r="BD149" s="129"/>
      <c r="BE149" s="129"/>
      <c r="BF149" s="129"/>
      <c r="BG149" s="129"/>
      <c r="BH149" s="129"/>
      <c r="BI149" s="129"/>
      <c r="BJ149" s="129"/>
      <c r="BK149" s="129"/>
      <c r="BL149" s="129"/>
      <c r="BM149" s="129"/>
      <c r="BN149" s="129"/>
      <c r="BO149" s="129"/>
      <c r="BP149" s="129"/>
      <c r="BQ149" s="129"/>
    </row>
    <row r="150" spans="1:69" s="139" customFormat="1" x14ac:dyDescent="0.25">
      <c r="A150" s="157"/>
      <c r="B150" s="137"/>
      <c r="C150" s="129"/>
      <c r="G150" s="140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28"/>
      <c r="AC150" s="128"/>
      <c r="AD150" s="128"/>
      <c r="AE150" s="128"/>
      <c r="AF150" s="128"/>
      <c r="AG150" s="129"/>
      <c r="AH150" s="129"/>
      <c r="AI150" s="129"/>
      <c r="AJ150" s="129"/>
      <c r="AK150" s="129"/>
      <c r="AL150" s="129"/>
      <c r="AM150" s="129"/>
      <c r="AN150" s="129"/>
      <c r="AO150" s="129"/>
      <c r="AP150" s="129"/>
      <c r="AQ150" s="130"/>
      <c r="AR150" s="130"/>
      <c r="AS150" s="129"/>
      <c r="AT150" s="129"/>
      <c r="AU150" s="129"/>
      <c r="AV150" s="129"/>
      <c r="AW150" s="129"/>
      <c r="AX150" s="129"/>
      <c r="AY150" s="129"/>
      <c r="AZ150" s="129"/>
      <c r="BA150" s="129"/>
      <c r="BB150" s="129"/>
      <c r="BC150" s="129"/>
      <c r="BD150" s="129"/>
      <c r="BE150" s="129"/>
      <c r="BF150" s="129"/>
      <c r="BG150" s="129"/>
      <c r="BH150" s="129"/>
      <c r="BI150" s="129"/>
      <c r="BJ150" s="129"/>
      <c r="BK150" s="129"/>
      <c r="BL150" s="129"/>
      <c r="BM150" s="129"/>
      <c r="BN150" s="129"/>
      <c r="BO150" s="129"/>
      <c r="BP150" s="129"/>
      <c r="BQ150" s="129"/>
    </row>
    <row r="151" spans="1:69" s="139" customFormat="1" x14ac:dyDescent="0.25">
      <c r="A151" s="157"/>
      <c r="B151" s="137"/>
      <c r="C151" s="129"/>
      <c r="G151" s="140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28"/>
      <c r="AC151" s="128"/>
      <c r="AD151" s="128"/>
      <c r="AE151" s="128"/>
      <c r="AF151" s="128"/>
      <c r="AG151" s="129"/>
      <c r="AH151" s="129"/>
      <c r="AI151" s="129"/>
      <c r="AJ151" s="129"/>
      <c r="AK151" s="129"/>
      <c r="AL151" s="129"/>
      <c r="AM151" s="129"/>
      <c r="AN151" s="129"/>
      <c r="AO151" s="129"/>
      <c r="AP151" s="129"/>
      <c r="AQ151" s="130"/>
      <c r="AR151" s="130"/>
      <c r="AS151" s="129"/>
      <c r="AT151" s="129"/>
      <c r="AU151" s="129"/>
      <c r="AV151" s="129"/>
      <c r="AW151" s="129"/>
      <c r="AX151" s="129"/>
      <c r="AY151" s="129"/>
      <c r="AZ151" s="129"/>
      <c r="BA151" s="129"/>
      <c r="BB151" s="129"/>
      <c r="BC151" s="129"/>
      <c r="BD151" s="129"/>
      <c r="BE151" s="129"/>
      <c r="BF151" s="129"/>
      <c r="BG151" s="129"/>
      <c r="BH151" s="129"/>
      <c r="BI151" s="129"/>
      <c r="BJ151" s="129"/>
      <c r="BK151" s="129"/>
      <c r="BL151" s="129"/>
      <c r="BM151" s="129"/>
      <c r="BN151" s="129"/>
      <c r="BO151" s="129"/>
      <c r="BP151" s="129"/>
      <c r="BQ151" s="129"/>
    </row>
    <row r="152" spans="1:69" s="139" customFormat="1" x14ac:dyDescent="0.25">
      <c r="A152" s="157"/>
      <c r="B152" s="137"/>
      <c r="C152" s="129"/>
      <c r="G152" s="140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28"/>
      <c r="AC152" s="128"/>
      <c r="AD152" s="128"/>
      <c r="AE152" s="128"/>
      <c r="AF152" s="128"/>
      <c r="AG152" s="129"/>
      <c r="AH152" s="129"/>
      <c r="AI152" s="129"/>
      <c r="AJ152" s="129"/>
      <c r="AK152" s="129"/>
      <c r="AL152" s="129"/>
      <c r="AM152" s="129"/>
      <c r="AN152" s="129"/>
      <c r="AO152" s="129"/>
      <c r="AP152" s="129"/>
      <c r="AQ152" s="130"/>
      <c r="AR152" s="130"/>
      <c r="AS152" s="129"/>
      <c r="AT152" s="129"/>
      <c r="AU152" s="129"/>
      <c r="AV152" s="129"/>
      <c r="AW152" s="129"/>
      <c r="AX152" s="129"/>
      <c r="AY152" s="129"/>
      <c r="AZ152" s="129"/>
      <c r="BA152" s="129"/>
      <c r="BB152" s="129"/>
      <c r="BC152" s="129"/>
      <c r="BD152" s="129"/>
      <c r="BE152" s="129"/>
      <c r="BF152" s="129"/>
      <c r="BG152" s="129"/>
      <c r="BH152" s="129"/>
      <c r="BI152" s="129"/>
      <c r="BJ152" s="129"/>
      <c r="BK152" s="129"/>
      <c r="BL152" s="129"/>
      <c r="BM152" s="129"/>
      <c r="BN152" s="129"/>
      <c r="BO152" s="129"/>
      <c r="BP152" s="129"/>
      <c r="BQ152" s="129"/>
    </row>
    <row r="153" spans="1:69" s="139" customFormat="1" x14ac:dyDescent="0.25">
      <c r="A153" s="157"/>
      <c r="B153" s="137"/>
      <c r="C153" s="129"/>
      <c r="G153" s="140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28"/>
      <c r="AC153" s="128"/>
      <c r="AD153" s="128"/>
      <c r="AE153" s="128"/>
      <c r="AF153" s="128"/>
      <c r="AG153" s="129"/>
      <c r="AH153" s="129"/>
      <c r="AI153" s="129"/>
      <c r="AJ153" s="129"/>
      <c r="AK153" s="129"/>
      <c r="AL153" s="129"/>
      <c r="AM153" s="129"/>
      <c r="AN153" s="129"/>
      <c r="AO153" s="129"/>
      <c r="AP153" s="129"/>
      <c r="AQ153" s="130"/>
      <c r="AR153" s="130"/>
      <c r="AS153" s="129"/>
      <c r="AT153" s="129"/>
      <c r="AU153" s="129"/>
      <c r="AV153" s="129"/>
      <c r="AW153" s="129"/>
      <c r="AX153" s="129"/>
      <c r="AY153" s="129"/>
      <c r="AZ153" s="129"/>
      <c r="BA153" s="129"/>
      <c r="BB153" s="129"/>
      <c r="BC153" s="129"/>
      <c r="BD153" s="129"/>
      <c r="BE153" s="129"/>
      <c r="BF153" s="129"/>
      <c r="BG153" s="129"/>
      <c r="BH153" s="129"/>
      <c r="BI153" s="129"/>
      <c r="BJ153" s="129"/>
      <c r="BK153" s="129"/>
      <c r="BL153" s="129"/>
      <c r="BM153" s="129"/>
      <c r="BN153" s="129"/>
      <c r="BO153" s="129"/>
      <c r="BP153" s="129"/>
      <c r="BQ153" s="129"/>
    </row>
    <row r="154" spans="1:69" s="139" customFormat="1" x14ac:dyDescent="0.25">
      <c r="A154" s="157"/>
      <c r="B154" s="137"/>
      <c r="C154" s="129"/>
      <c r="G154" s="140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28"/>
      <c r="AC154" s="128"/>
      <c r="AD154" s="128"/>
      <c r="AE154" s="128"/>
      <c r="AF154" s="128"/>
      <c r="AG154" s="129"/>
      <c r="AH154" s="129"/>
      <c r="AI154" s="129"/>
      <c r="AJ154" s="129"/>
      <c r="AK154" s="129"/>
      <c r="AL154" s="129"/>
      <c r="AM154" s="129"/>
      <c r="AN154" s="129"/>
      <c r="AO154" s="129"/>
      <c r="AP154" s="129"/>
      <c r="AQ154" s="130"/>
      <c r="AR154" s="130"/>
      <c r="AS154" s="129"/>
      <c r="AT154" s="129"/>
      <c r="AU154" s="129"/>
      <c r="AV154" s="129"/>
      <c r="AW154" s="129"/>
      <c r="AX154" s="129"/>
      <c r="AY154" s="129"/>
      <c r="AZ154" s="129"/>
      <c r="BA154" s="129"/>
      <c r="BB154" s="129"/>
      <c r="BC154" s="129"/>
      <c r="BD154" s="129"/>
      <c r="BE154" s="129"/>
      <c r="BF154" s="129"/>
      <c r="BG154" s="129"/>
      <c r="BH154" s="129"/>
      <c r="BI154" s="129"/>
      <c r="BJ154" s="129"/>
      <c r="BK154" s="129"/>
      <c r="BL154" s="129"/>
      <c r="BM154" s="129"/>
      <c r="BN154" s="129"/>
      <c r="BO154" s="129"/>
      <c r="BP154" s="129"/>
      <c r="BQ154" s="129"/>
    </row>
    <row r="155" spans="1:69" s="139" customFormat="1" x14ac:dyDescent="0.25">
      <c r="A155" s="157"/>
      <c r="B155" s="137"/>
      <c r="C155" s="129"/>
      <c r="G155" s="140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28"/>
      <c r="AC155" s="128"/>
      <c r="AD155" s="128"/>
      <c r="AE155" s="128"/>
      <c r="AF155" s="128"/>
      <c r="AG155" s="129"/>
      <c r="AH155" s="129"/>
      <c r="AI155" s="129"/>
      <c r="AJ155" s="129"/>
      <c r="AK155" s="129"/>
      <c r="AL155" s="129"/>
      <c r="AM155" s="129"/>
      <c r="AN155" s="129"/>
      <c r="AO155" s="129"/>
      <c r="AP155" s="129"/>
      <c r="AQ155" s="130"/>
      <c r="AR155" s="130"/>
      <c r="AS155" s="129"/>
      <c r="AT155" s="129"/>
      <c r="AU155" s="129"/>
      <c r="AV155" s="129"/>
      <c r="AW155" s="129"/>
      <c r="AX155" s="129"/>
      <c r="AY155" s="129"/>
      <c r="AZ155" s="129"/>
      <c r="BA155" s="129"/>
      <c r="BB155" s="129"/>
      <c r="BC155" s="129"/>
      <c r="BD155" s="129"/>
      <c r="BE155" s="129"/>
      <c r="BF155" s="129"/>
      <c r="BG155" s="129"/>
      <c r="BH155" s="129"/>
      <c r="BI155" s="129"/>
      <c r="BJ155" s="129"/>
      <c r="BK155" s="129"/>
      <c r="BL155" s="129"/>
      <c r="BM155" s="129"/>
      <c r="BN155" s="129"/>
      <c r="BO155" s="129"/>
      <c r="BP155" s="129"/>
      <c r="BQ155" s="129"/>
    </row>
    <row r="156" spans="1:69" s="139" customFormat="1" x14ac:dyDescent="0.25">
      <c r="A156" s="157"/>
      <c r="B156" s="137"/>
      <c r="C156" s="129"/>
      <c r="G156" s="140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28"/>
      <c r="AC156" s="128"/>
      <c r="AD156" s="128"/>
      <c r="AE156" s="128"/>
      <c r="AF156" s="128"/>
      <c r="AG156" s="129"/>
      <c r="AH156" s="129"/>
      <c r="AI156" s="129"/>
      <c r="AJ156" s="129"/>
      <c r="AK156" s="129"/>
      <c r="AL156" s="129"/>
      <c r="AM156" s="129"/>
      <c r="AN156" s="129"/>
      <c r="AO156" s="129"/>
      <c r="AP156" s="129"/>
      <c r="AQ156" s="130"/>
      <c r="AR156" s="130"/>
      <c r="AS156" s="129"/>
      <c r="AT156" s="129"/>
      <c r="AU156" s="129"/>
      <c r="AV156" s="129"/>
      <c r="AW156" s="129"/>
      <c r="AX156" s="129"/>
      <c r="AY156" s="129"/>
      <c r="AZ156" s="129"/>
      <c r="BA156" s="129"/>
      <c r="BB156" s="129"/>
      <c r="BC156" s="129"/>
      <c r="BD156" s="129"/>
      <c r="BE156" s="129"/>
      <c r="BF156" s="129"/>
      <c r="BG156" s="129"/>
      <c r="BH156" s="129"/>
      <c r="BI156" s="129"/>
      <c r="BJ156" s="129"/>
      <c r="BK156" s="129"/>
      <c r="BL156" s="129"/>
      <c r="BM156" s="129"/>
      <c r="BN156" s="129"/>
      <c r="BO156" s="129"/>
      <c r="BP156" s="129"/>
      <c r="BQ156" s="129"/>
    </row>
    <row r="157" spans="1:69" s="139" customFormat="1" x14ac:dyDescent="0.25">
      <c r="A157" s="157"/>
      <c r="B157" s="137"/>
      <c r="C157" s="129"/>
      <c r="G157" s="140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28"/>
      <c r="AC157" s="128"/>
      <c r="AD157" s="128"/>
      <c r="AE157" s="128"/>
      <c r="AF157" s="128"/>
      <c r="AG157" s="129"/>
      <c r="AH157" s="129"/>
      <c r="AI157" s="129"/>
      <c r="AJ157" s="129"/>
      <c r="AK157" s="129"/>
      <c r="AL157" s="129"/>
      <c r="AM157" s="129"/>
      <c r="AN157" s="129"/>
      <c r="AO157" s="129"/>
      <c r="AP157" s="129"/>
      <c r="AQ157" s="130"/>
      <c r="AR157" s="130"/>
      <c r="AS157" s="129"/>
      <c r="AT157" s="129"/>
      <c r="AU157" s="129"/>
      <c r="AV157" s="129"/>
      <c r="AW157" s="129"/>
      <c r="AX157" s="129"/>
      <c r="AY157" s="129"/>
      <c r="AZ157" s="129"/>
      <c r="BA157" s="129"/>
      <c r="BB157" s="129"/>
      <c r="BC157" s="129"/>
      <c r="BD157" s="129"/>
      <c r="BE157" s="129"/>
      <c r="BF157" s="129"/>
      <c r="BG157" s="129"/>
      <c r="BH157" s="129"/>
      <c r="BI157" s="129"/>
      <c r="BJ157" s="129"/>
      <c r="BK157" s="129"/>
      <c r="BL157" s="129"/>
      <c r="BM157" s="129"/>
      <c r="BN157" s="129"/>
      <c r="BO157" s="129"/>
      <c r="BP157" s="129"/>
      <c r="BQ157" s="129"/>
    </row>
    <row r="158" spans="1:69" s="139" customFormat="1" x14ac:dyDescent="0.25">
      <c r="A158" s="157"/>
      <c r="B158" s="137"/>
      <c r="C158" s="129"/>
      <c r="G158" s="140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28"/>
      <c r="AC158" s="128"/>
      <c r="AD158" s="128"/>
      <c r="AE158" s="128"/>
      <c r="AF158" s="128"/>
      <c r="AG158" s="129"/>
      <c r="AH158" s="129"/>
      <c r="AI158" s="129"/>
      <c r="AJ158" s="129"/>
      <c r="AK158" s="129"/>
      <c r="AL158" s="129"/>
      <c r="AM158" s="129"/>
      <c r="AN158" s="129"/>
      <c r="AO158" s="129"/>
      <c r="AP158" s="129"/>
      <c r="AQ158" s="130"/>
      <c r="AR158" s="130"/>
      <c r="AS158" s="129"/>
      <c r="AT158" s="129"/>
      <c r="AU158" s="129"/>
      <c r="AV158" s="129"/>
      <c r="AW158" s="129"/>
      <c r="AX158" s="129"/>
      <c r="AY158" s="129"/>
      <c r="AZ158" s="129"/>
      <c r="BA158" s="129"/>
      <c r="BB158" s="129"/>
      <c r="BC158" s="129"/>
      <c r="BD158" s="129"/>
      <c r="BE158" s="129"/>
      <c r="BF158" s="129"/>
      <c r="BG158" s="129"/>
      <c r="BH158" s="129"/>
      <c r="BI158" s="129"/>
      <c r="BJ158" s="129"/>
      <c r="BK158" s="129"/>
      <c r="BL158" s="129"/>
      <c r="BM158" s="129"/>
      <c r="BN158" s="129"/>
      <c r="BO158" s="129"/>
      <c r="BP158" s="129"/>
      <c r="BQ158" s="129"/>
    </row>
    <row r="159" spans="1:69" s="139" customFormat="1" x14ac:dyDescent="0.25">
      <c r="A159" s="157"/>
      <c r="B159" s="137"/>
      <c r="C159" s="129"/>
      <c r="G159" s="140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28"/>
      <c r="AC159" s="128"/>
      <c r="AD159" s="128"/>
      <c r="AE159" s="128"/>
      <c r="AF159" s="128"/>
      <c r="AG159" s="129"/>
      <c r="AH159" s="129"/>
      <c r="AI159" s="129"/>
      <c r="AJ159" s="129"/>
      <c r="AK159" s="129"/>
      <c r="AL159" s="129"/>
      <c r="AM159" s="129"/>
      <c r="AN159" s="129"/>
      <c r="AO159" s="129"/>
      <c r="AP159" s="129"/>
      <c r="AQ159" s="130"/>
      <c r="AR159" s="130"/>
      <c r="AS159" s="129"/>
      <c r="AT159" s="129"/>
      <c r="AU159" s="129"/>
      <c r="AV159" s="129"/>
      <c r="AW159" s="129"/>
      <c r="AX159" s="129"/>
      <c r="AY159" s="129"/>
      <c r="AZ159" s="129"/>
      <c r="BA159" s="129"/>
      <c r="BB159" s="129"/>
      <c r="BC159" s="129"/>
      <c r="BD159" s="129"/>
      <c r="BE159" s="129"/>
      <c r="BF159" s="129"/>
      <c r="BG159" s="129"/>
      <c r="BH159" s="129"/>
      <c r="BI159" s="129"/>
      <c r="BJ159" s="129"/>
      <c r="BK159" s="129"/>
      <c r="BL159" s="129"/>
      <c r="BM159" s="129"/>
      <c r="BN159" s="129"/>
      <c r="BO159" s="129"/>
      <c r="BP159" s="129"/>
      <c r="BQ159" s="129"/>
    </row>
    <row r="160" spans="1:69" s="139" customFormat="1" x14ac:dyDescent="0.25">
      <c r="A160" s="157"/>
      <c r="B160" s="137"/>
      <c r="C160" s="129"/>
      <c r="G160" s="140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28"/>
      <c r="AC160" s="128"/>
      <c r="AD160" s="128"/>
      <c r="AE160" s="128"/>
      <c r="AF160" s="128"/>
      <c r="AG160" s="129"/>
      <c r="AH160" s="129"/>
      <c r="AI160" s="129"/>
      <c r="AJ160" s="129"/>
      <c r="AK160" s="129"/>
      <c r="AL160" s="129"/>
      <c r="AM160" s="129"/>
      <c r="AN160" s="129"/>
      <c r="AO160" s="129"/>
      <c r="AP160" s="129"/>
      <c r="AQ160" s="130"/>
      <c r="AR160" s="130"/>
      <c r="AS160" s="129"/>
      <c r="AT160" s="129"/>
      <c r="AU160" s="129"/>
      <c r="AV160" s="129"/>
      <c r="AW160" s="129"/>
      <c r="AX160" s="129"/>
      <c r="AY160" s="129"/>
      <c r="AZ160" s="129"/>
      <c r="BA160" s="129"/>
      <c r="BB160" s="129"/>
      <c r="BC160" s="129"/>
      <c r="BD160" s="129"/>
      <c r="BE160" s="129"/>
      <c r="BF160" s="129"/>
      <c r="BG160" s="129"/>
      <c r="BH160" s="129"/>
      <c r="BI160" s="129"/>
      <c r="BJ160" s="129"/>
      <c r="BK160" s="129"/>
      <c r="BL160" s="129"/>
      <c r="BM160" s="129"/>
      <c r="BN160" s="129"/>
      <c r="BO160" s="129"/>
      <c r="BP160" s="129"/>
      <c r="BQ160" s="129"/>
    </row>
    <row r="161" spans="1:69" s="139" customFormat="1" x14ac:dyDescent="0.25">
      <c r="A161" s="157"/>
      <c r="B161" s="137"/>
      <c r="C161" s="129"/>
      <c r="G161" s="140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28"/>
      <c r="AC161" s="128"/>
      <c r="AD161" s="128"/>
      <c r="AE161" s="128"/>
      <c r="AF161" s="128"/>
      <c r="AG161" s="129"/>
      <c r="AH161" s="129"/>
      <c r="AI161" s="129"/>
      <c r="AJ161" s="129"/>
      <c r="AK161" s="129"/>
      <c r="AL161" s="129"/>
      <c r="AM161" s="129"/>
      <c r="AN161" s="129"/>
      <c r="AO161" s="129"/>
      <c r="AP161" s="129"/>
      <c r="AQ161" s="130"/>
      <c r="AR161" s="130"/>
      <c r="AS161" s="129"/>
      <c r="AT161" s="129"/>
      <c r="AU161" s="129"/>
      <c r="AV161" s="129"/>
      <c r="AW161" s="129"/>
      <c r="AX161" s="129"/>
      <c r="AY161" s="129"/>
      <c r="AZ161" s="129"/>
      <c r="BA161" s="129"/>
      <c r="BB161" s="129"/>
      <c r="BC161" s="129"/>
      <c r="BD161" s="129"/>
      <c r="BE161" s="129"/>
      <c r="BF161" s="129"/>
      <c r="BG161" s="129"/>
      <c r="BH161" s="129"/>
      <c r="BI161" s="129"/>
      <c r="BJ161" s="129"/>
      <c r="BK161" s="129"/>
      <c r="BL161" s="129"/>
      <c r="BM161" s="129"/>
      <c r="BN161" s="129"/>
      <c r="BO161" s="129"/>
      <c r="BP161" s="129"/>
      <c r="BQ161" s="129"/>
    </row>
    <row r="162" spans="1:69" s="139" customFormat="1" x14ac:dyDescent="0.25">
      <c r="A162" s="157"/>
      <c r="B162" s="137"/>
      <c r="C162" s="129"/>
      <c r="G162" s="140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28"/>
      <c r="AC162" s="128"/>
      <c r="AD162" s="128"/>
      <c r="AE162" s="128"/>
      <c r="AF162" s="128"/>
      <c r="AG162" s="129"/>
      <c r="AH162" s="129"/>
      <c r="AI162" s="129"/>
      <c r="AJ162" s="129"/>
      <c r="AK162" s="129"/>
      <c r="AL162" s="129"/>
      <c r="AM162" s="129"/>
      <c r="AN162" s="129"/>
      <c r="AO162" s="129"/>
      <c r="AP162" s="129"/>
      <c r="AQ162" s="130"/>
      <c r="AR162" s="130"/>
      <c r="AS162" s="129"/>
      <c r="AT162" s="129"/>
      <c r="AU162" s="129"/>
      <c r="AV162" s="129"/>
      <c r="AW162" s="129"/>
      <c r="AX162" s="129"/>
      <c r="AY162" s="129"/>
      <c r="AZ162" s="129"/>
      <c r="BA162" s="129"/>
      <c r="BB162" s="129"/>
      <c r="BC162" s="129"/>
      <c r="BD162" s="129"/>
      <c r="BE162" s="129"/>
      <c r="BF162" s="129"/>
      <c r="BG162" s="129"/>
      <c r="BH162" s="129"/>
      <c r="BI162" s="129"/>
      <c r="BJ162" s="129"/>
      <c r="BK162" s="129"/>
      <c r="BL162" s="129"/>
      <c r="BM162" s="129"/>
      <c r="BN162" s="129"/>
      <c r="BO162" s="129"/>
      <c r="BP162" s="129"/>
      <c r="BQ162" s="129"/>
    </row>
    <row r="163" spans="1:69" s="139" customFormat="1" x14ac:dyDescent="0.25">
      <c r="A163" s="157"/>
      <c r="B163" s="137"/>
      <c r="C163" s="129"/>
      <c r="G163" s="140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28"/>
      <c r="AC163" s="128"/>
      <c r="AD163" s="128"/>
      <c r="AE163" s="128"/>
      <c r="AF163" s="128"/>
      <c r="AG163" s="129"/>
      <c r="AH163" s="129"/>
      <c r="AI163" s="129"/>
      <c r="AJ163" s="129"/>
      <c r="AK163" s="129"/>
      <c r="AL163" s="129"/>
      <c r="AM163" s="129"/>
      <c r="AN163" s="129"/>
      <c r="AO163" s="129"/>
      <c r="AP163" s="129"/>
      <c r="AQ163" s="130"/>
      <c r="AR163" s="130"/>
      <c r="AS163" s="129"/>
      <c r="AT163" s="129"/>
      <c r="AU163" s="129"/>
      <c r="AV163" s="129"/>
      <c r="AW163" s="129"/>
      <c r="AX163" s="129"/>
      <c r="AY163" s="129"/>
      <c r="AZ163" s="129"/>
      <c r="BA163" s="129"/>
      <c r="BB163" s="129"/>
      <c r="BC163" s="129"/>
      <c r="BD163" s="129"/>
      <c r="BE163" s="129"/>
      <c r="BF163" s="129"/>
      <c r="BG163" s="129"/>
      <c r="BH163" s="129"/>
      <c r="BI163" s="129"/>
      <c r="BJ163" s="129"/>
      <c r="BK163" s="129"/>
      <c r="BL163" s="129"/>
      <c r="BM163" s="129"/>
      <c r="BN163" s="129"/>
      <c r="BO163" s="129"/>
      <c r="BP163" s="129"/>
      <c r="BQ163" s="129"/>
    </row>
    <row r="164" spans="1:69" s="139" customFormat="1" x14ac:dyDescent="0.25">
      <c r="A164" s="157"/>
      <c r="B164" s="137"/>
      <c r="C164" s="129"/>
      <c r="G164" s="140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28"/>
      <c r="AC164" s="128"/>
      <c r="AD164" s="128"/>
      <c r="AE164" s="128"/>
      <c r="AF164" s="128"/>
      <c r="AG164" s="129"/>
      <c r="AH164" s="129"/>
      <c r="AI164" s="129"/>
      <c r="AJ164" s="129"/>
      <c r="AK164" s="129"/>
      <c r="AL164" s="129"/>
      <c r="AM164" s="129"/>
      <c r="AN164" s="129"/>
      <c r="AO164" s="129"/>
      <c r="AP164" s="129"/>
      <c r="AQ164" s="130"/>
      <c r="AR164" s="130"/>
      <c r="AS164" s="129"/>
      <c r="AT164" s="129"/>
      <c r="AU164" s="129"/>
      <c r="AV164" s="129"/>
      <c r="AW164" s="129"/>
      <c r="AX164" s="129"/>
      <c r="AY164" s="129"/>
      <c r="AZ164" s="129"/>
      <c r="BA164" s="129"/>
      <c r="BB164" s="129"/>
      <c r="BC164" s="129"/>
      <c r="BD164" s="129"/>
      <c r="BE164" s="129"/>
      <c r="BF164" s="129"/>
      <c r="BG164" s="129"/>
      <c r="BH164" s="129"/>
      <c r="BI164" s="129"/>
      <c r="BJ164" s="129"/>
      <c r="BK164" s="129"/>
      <c r="BL164" s="129"/>
      <c r="BM164" s="129"/>
      <c r="BN164" s="129"/>
      <c r="BO164" s="129"/>
      <c r="BP164" s="129"/>
      <c r="BQ164" s="129"/>
    </row>
    <row r="165" spans="1:69" s="139" customFormat="1" x14ac:dyDescent="0.25">
      <c r="A165" s="157"/>
      <c r="B165" s="137"/>
      <c r="C165" s="129"/>
      <c r="G165" s="140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28"/>
      <c r="AC165" s="128"/>
      <c r="AD165" s="128"/>
      <c r="AE165" s="128"/>
      <c r="AF165" s="128"/>
      <c r="AG165" s="129"/>
      <c r="AH165" s="129"/>
      <c r="AI165" s="129"/>
      <c r="AJ165" s="129"/>
      <c r="AK165" s="129"/>
      <c r="AL165" s="129"/>
      <c r="AM165" s="129"/>
      <c r="AN165" s="129"/>
      <c r="AO165" s="129"/>
      <c r="AP165" s="129"/>
      <c r="AQ165" s="130"/>
      <c r="AR165" s="130"/>
      <c r="AS165" s="129"/>
      <c r="AT165" s="129"/>
      <c r="AU165" s="129"/>
      <c r="AV165" s="129"/>
      <c r="AW165" s="129"/>
      <c r="AX165" s="129"/>
      <c r="AY165" s="129"/>
      <c r="AZ165" s="129"/>
      <c r="BA165" s="129"/>
      <c r="BB165" s="129"/>
      <c r="BC165" s="129"/>
      <c r="BD165" s="129"/>
      <c r="BE165" s="129"/>
      <c r="BF165" s="129"/>
      <c r="BG165" s="129"/>
      <c r="BH165" s="129"/>
      <c r="BI165" s="129"/>
      <c r="BJ165" s="129"/>
      <c r="BK165" s="129"/>
      <c r="BL165" s="129"/>
      <c r="BM165" s="129"/>
      <c r="BN165" s="129"/>
      <c r="BO165" s="129"/>
      <c r="BP165" s="129"/>
      <c r="BQ165" s="129"/>
    </row>
    <row r="166" spans="1:69" s="139" customFormat="1" x14ac:dyDescent="0.25">
      <c r="A166" s="157"/>
      <c r="B166" s="137"/>
      <c r="C166" s="129"/>
      <c r="G166" s="140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28"/>
      <c r="AC166" s="128"/>
      <c r="AD166" s="128"/>
      <c r="AE166" s="128"/>
      <c r="AF166" s="128"/>
      <c r="AG166" s="129"/>
      <c r="AH166" s="129"/>
      <c r="AI166" s="129"/>
      <c r="AJ166" s="129"/>
      <c r="AK166" s="129"/>
      <c r="AL166" s="129"/>
      <c r="AM166" s="129"/>
      <c r="AN166" s="129"/>
      <c r="AO166" s="129"/>
      <c r="AP166" s="129"/>
      <c r="AQ166" s="130"/>
      <c r="AR166" s="130"/>
      <c r="AS166" s="129"/>
      <c r="AT166" s="129"/>
      <c r="AU166" s="129"/>
      <c r="AV166" s="129"/>
      <c r="AW166" s="129"/>
      <c r="AX166" s="129"/>
      <c r="AY166" s="129"/>
      <c r="AZ166" s="129"/>
      <c r="BA166" s="129"/>
      <c r="BB166" s="129"/>
      <c r="BC166" s="129"/>
      <c r="BD166" s="129"/>
      <c r="BE166" s="129"/>
      <c r="BF166" s="129"/>
      <c r="BG166" s="129"/>
      <c r="BH166" s="129"/>
      <c r="BI166" s="129"/>
      <c r="BJ166" s="129"/>
      <c r="BK166" s="129"/>
      <c r="BL166" s="129"/>
      <c r="BM166" s="129"/>
      <c r="BN166" s="129"/>
      <c r="BO166" s="129"/>
      <c r="BP166" s="129"/>
      <c r="BQ166" s="129"/>
    </row>
    <row r="167" spans="1:69" s="139" customFormat="1" x14ac:dyDescent="0.25">
      <c r="A167" s="157"/>
      <c r="B167" s="137"/>
      <c r="C167" s="129"/>
      <c r="G167" s="140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28"/>
      <c r="AC167" s="128"/>
      <c r="AD167" s="128"/>
      <c r="AE167" s="128"/>
      <c r="AF167" s="128"/>
      <c r="AG167" s="129"/>
      <c r="AH167" s="129"/>
      <c r="AI167" s="129"/>
      <c r="AJ167" s="129"/>
      <c r="AK167" s="129"/>
      <c r="AL167" s="129"/>
      <c r="AM167" s="129"/>
      <c r="AN167" s="129"/>
      <c r="AO167" s="129"/>
      <c r="AP167" s="129"/>
      <c r="AQ167" s="130"/>
      <c r="AR167" s="130"/>
      <c r="AS167" s="129"/>
      <c r="AT167" s="129"/>
      <c r="AU167" s="129"/>
      <c r="AV167" s="129"/>
      <c r="AW167" s="129"/>
      <c r="AX167" s="129"/>
      <c r="AY167" s="129"/>
      <c r="AZ167" s="129"/>
      <c r="BA167" s="129"/>
      <c r="BB167" s="129"/>
      <c r="BC167" s="129"/>
      <c r="BD167" s="129"/>
      <c r="BE167" s="129"/>
      <c r="BF167" s="129"/>
      <c r="BG167" s="129"/>
      <c r="BH167" s="129"/>
      <c r="BI167" s="129"/>
      <c r="BJ167" s="129"/>
      <c r="BK167" s="129"/>
      <c r="BL167" s="129"/>
      <c r="BM167" s="129"/>
      <c r="BN167" s="129"/>
      <c r="BO167" s="129"/>
      <c r="BP167" s="129"/>
      <c r="BQ167" s="129"/>
    </row>
    <row r="168" spans="1:69" s="139" customFormat="1" x14ac:dyDescent="0.25">
      <c r="A168" s="157"/>
      <c r="B168" s="137"/>
      <c r="C168" s="129"/>
      <c r="G168" s="140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28"/>
      <c r="AC168" s="128"/>
      <c r="AD168" s="128"/>
      <c r="AE168" s="128"/>
      <c r="AF168" s="128"/>
      <c r="AG168" s="129"/>
      <c r="AH168" s="129"/>
      <c r="AI168" s="129"/>
      <c r="AJ168" s="129"/>
      <c r="AK168" s="129"/>
      <c r="AL168" s="129"/>
      <c r="AM168" s="129"/>
      <c r="AN168" s="129"/>
      <c r="AO168" s="129"/>
      <c r="AP168" s="129"/>
      <c r="AQ168" s="130"/>
      <c r="AR168" s="130"/>
      <c r="AS168" s="129"/>
      <c r="AT168" s="129"/>
      <c r="AU168" s="129"/>
      <c r="AV168" s="129"/>
      <c r="AW168" s="129"/>
      <c r="AX168" s="129"/>
      <c r="AY168" s="129"/>
      <c r="AZ168" s="129"/>
      <c r="BA168" s="129"/>
      <c r="BB168" s="129"/>
      <c r="BC168" s="129"/>
      <c r="BD168" s="129"/>
      <c r="BE168" s="129"/>
      <c r="BF168" s="129"/>
      <c r="BG168" s="129"/>
      <c r="BH168" s="129"/>
      <c r="BI168" s="129"/>
      <c r="BJ168" s="129"/>
      <c r="BK168" s="129"/>
      <c r="BL168" s="129"/>
      <c r="BM168" s="129"/>
      <c r="BN168" s="129"/>
      <c r="BO168" s="129"/>
      <c r="BP168" s="129"/>
      <c r="BQ168" s="129"/>
    </row>
    <row r="169" spans="1:69" s="139" customFormat="1" x14ac:dyDescent="0.25">
      <c r="A169" s="157"/>
      <c r="B169" s="137"/>
      <c r="C169" s="129"/>
      <c r="G169" s="140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28"/>
      <c r="AC169" s="128"/>
      <c r="AD169" s="128"/>
      <c r="AE169" s="128"/>
      <c r="AF169" s="128"/>
      <c r="AG169" s="129"/>
      <c r="AH169" s="129"/>
      <c r="AI169" s="129"/>
      <c r="AJ169" s="129"/>
      <c r="AK169" s="129"/>
      <c r="AL169" s="129"/>
      <c r="AM169" s="129"/>
      <c r="AN169" s="129"/>
      <c r="AO169" s="129"/>
      <c r="AP169" s="129"/>
      <c r="AQ169" s="130"/>
      <c r="AR169" s="130"/>
      <c r="AS169" s="129"/>
      <c r="AT169" s="129"/>
      <c r="AU169" s="129"/>
      <c r="AV169" s="129"/>
      <c r="AW169" s="129"/>
      <c r="AX169" s="129"/>
      <c r="AY169" s="129"/>
      <c r="AZ169" s="129"/>
      <c r="BA169" s="129"/>
      <c r="BB169" s="129"/>
      <c r="BC169" s="129"/>
      <c r="BD169" s="129"/>
      <c r="BE169" s="129"/>
      <c r="BF169" s="129"/>
      <c r="BG169" s="129"/>
      <c r="BH169" s="129"/>
      <c r="BI169" s="129"/>
      <c r="BJ169" s="129"/>
      <c r="BK169" s="129"/>
      <c r="BL169" s="129"/>
      <c r="BM169" s="129"/>
      <c r="BN169" s="129"/>
      <c r="BO169" s="129"/>
      <c r="BP169" s="129"/>
      <c r="BQ169" s="129"/>
    </row>
    <row r="170" spans="1:69" s="139" customFormat="1" x14ac:dyDescent="0.25">
      <c r="A170" s="157"/>
      <c r="B170" s="137"/>
      <c r="C170" s="129"/>
      <c r="G170" s="140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28"/>
      <c r="AC170" s="128"/>
      <c r="AD170" s="128"/>
      <c r="AE170" s="128"/>
      <c r="AF170" s="128"/>
      <c r="AG170" s="129"/>
      <c r="AH170" s="129"/>
      <c r="AI170" s="129"/>
      <c r="AJ170" s="129"/>
      <c r="AK170" s="129"/>
      <c r="AL170" s="129"/>
      <c r="AM170" s="129"/>
      <c r="AN170" s="129"/>
      <c r="AO170" s="129"/>
      <c r="AP170" s="129"/>
      <c r="AQ170" s="130"/>
      <c r="AR170" s="130"/>
      <c r="AS170" s="129"/>
      <c r="AT170" s="129"/>
      <c r="AU170" s="129"/>
      <c r="AV170" s="129"/>
      <c r="AW170" s="129"/>
      <c r="AX170" s="129"/>
      <c r="AY170" s="129"/>
      <c r="AZ170" s="129"/>
      <c r="BA170" s="129"/>
      <c r="BB170" s="129"/>
      <c r="BC170" s="129"/>
      <c r="BD170" s="129"/>
      <c r="BE170" s="129"/>
      <c r="BF170" s="129"/>
      <c r="BG170" s="129"/>
      <c r="BH170" s="129"/>
      <c r="BI170" s="129"/>
      <c r="BJ170" s="129"/>
      <c r="BK170" s="129"/>
      <c r="BL170" s="129"/>
      <c r="BM170" s="129"/>
      <c r="BN170" s="129"/>
      <c r="BO170" s="129"/>
      <c r="BP170" s="129"/>
      <c r="BQ170" s="129"/>
    </row>
    <row r="171" spans="1:69" s="139" customFormat="1" x14ac:dyDescent="0.25">
      <c r="A171" s="157"/>
      <c r="B171" s="137"/>
      <c r="C171" s="129"/>
      <c r="G171" s="140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28"/>
      <c r="AC171" s="128"/>
      <c r="AD171" s="128"/>
      <c r="AE171" s="128"/>
      <c r="AF171" s="128"/>
      <c r="AG171" s="129"/>
      <c r="AH171" s="129"/>
      <c r="AI171" s="129"/>
      <c r="AJ171" s="129"/>
      <c r="AK171" s="129"/>
      <c r="AL171" s="129"/>
      <c r="AM171" s="129"/>
      <c r="AN171" s="129"/>
      <c r="AO171" s="129"/>
      <c r="AP171" s="129"/>
      <c r="AQ171" s="130"/>
      <c r="AR171" s="130"/>
      <c r="AS171" s="129"/>
      <c r="AT171" s="129"/>
      <c r="AU171" s="129"/>
      <c r="AV171" s="129"/>
      <c r="AW171" s="129"/>
      <c r="AX171" s="129"/>
      <c r="AY171" s="129"/>
      <c r="AZ171" s="129"/>
      <c r="BA171" s="129"/>
      <c r="BB171" s="129"/>
      <c r="BC171" s="129"/>
      <c r="BD171" s="129"/>
      <c r="BE171" s="129"/>
      <c r="BF171" s="129"/>
      <c r="BG171" s="129"/>
      <c r="BH171" s="129"/>
      <c r="BI171" s="129"/>
      <c r="BJ171" s="129"/>
      <c r="BK171" s="129"/>
      <c r="BL171" s="129"/>
      <c r="BM171" s="129"/>
      <c r="BN171" s="129"/>
      <c r="BO171" s="129"/>
      <c r="BP171" s="129"/>
      <c r="BQ171" s="129"/>
    </row>
    <row r="172" spans="1:69" s="139" customFormat="1" x14ac:dyDescent="0.25">
      <c r="A172" s="157"/>
      <c r="B172" s="137"/>
      <c r="C172" s="129"/>
      <c r="G172" s="140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28"/>
      <c r="AC172" s="128"/>
      <c r="AD172" s="128"/>
      <c r="AE172" s="128"/>
      <c r="AF172" s="128"/>
      <c r="AG172" s="129"/>
      <c r="AH172" s="129"/>
      <c r="AI172" s="129"/>
      <c r="AJ172" s="129"/>
      <c r="AK172" s="129"/>
      <c r="AL172" s="129"/>
      <c r="AM172" s="129"/>
      <c r="AN172" s="129"/>
      <c r="AO172" s="129"/>
      <c r="AP172" s="129"/>
      <c r="AQ172" s="130"/>
      <c r="AR172" s="130"/>
      <c r="AS172" s="129"/>
      <c r="AT172" s="129"/>
      <c r="AU172" s="129"/>
      <c r="AV172" s="129"/>
      <c r="AW172" s="129"/>
      <c r="AX172" s="129"/>
      <c r="AY172" s="129"/>
      <c r="AZ172" s="129"/>
      <c r="BA172" s="129"/>
      <c r="BB172" s="129"/>
      <c r="BC172" s="129"/>
      <c r="BD172" s="129"/>
      <c r="BE172" s="129"/>
      <c r="BF172" s="129"/>
      <c r="BG172" s="129"/>
      <c r="BH172" s="129"/>
      <c r="BI172" s="129"/>
      <c r="BJ172" s="129"/>
      <c r="BK172" s="129"/>
      <c r="BL172" s="129"/>
      <c r="BM172" s="129"/>
      <c r="BN172" s="129"/>
      <c r="BO172" s="129"/>
      <c r="BP172" s="129"/>
      <c r="BQ172" s="129"/>
    </row>
    <row r="173" spans="1:69" s="139" customFormat="1" x14ac:dyDescent="0.25">
      <c r="A173" s="157"/>
      <c r="B173" s="137"/>
      <c r="C173" s="129"/>
      <c r="G173" s="140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28"/>
      <c r="AC173" s="128"/>
      <c r="AD173" s="128"/>
      <c r="AE173" s="128"/>
      <c r="AF173" s="128"/>
      <c r="AG173" s="129"/>
      <c r="AH173" s="129"/>
      <c r="AI173" s="129"/>
      <c r="AJ173" s="129"/>
      <c r="AK173" s="129"/>
      <c r="AL173" s="129"/>
      <c r="AM173" s="129"/>
      <c r="AN173" s="129"/>
      <c r="AO173" s="129"/>
      <c r="AP173" s="129"/>
      <c r="AQ173" s="130"/>
      <c r="AR173" s="130"/>
      <c r="AS173" s="129"/>
      <c r="AT173" s="129"/>
      <c r="AU173" s="129"/>
      <c r="AV173" s="129"/>
      <c r="AW173" s="129"/>
      <c r="AX173" s="129"/>
      <c r="AY173" s="129"/>
      <c r="AZ173" s="129"/>
      <c r="BA173" s="129"/>
      <c r="BB173" s="129"/>
      <c r="BC173" s="129"/>
      <c r="BD173" s="129"/>
      <c r="BE173" s="129"/>
      <c r="BF173" s="129"/>
      <c r="BG173" s="129"/>
      <c r="BH173" s="129"/>
      <c r="BI173" s="129"/>
      <c r="BJ173" s="129"/>
      <c r="BK173" s="129"/>
      <c r="BL173" s="129"/>
      <c r="BM173" s="129"/>
      <c r="BN173" s="129"/>
      <c r="BO173" s="129"/>
      <c r="BP173" s="129"/>
      <c r="BQ173" s="129"/>
    </row>
    <row r="174" spans="1:69" s="139" customFormat="1" x14ac:dyDescent="0.25">
      <c r="A174" s="157"/>
      <c r="B174" s="137"/>
      <c r="C174" s="129"/>
      <c r="G174" s="140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28"/>
      <c r="AC174" s="128"/>
      <c r="AD174" s="128"/>
      <c r="AE174" s="128"/>
      <c r="AF174" s="128"/>
      <c r="AG174" s="129"/>
      <c r="AH174" s="129"/>
      <c r="AI174" s="129"/>
      <c r="AJ174" s="129"/>
      <c r="AK174" s="129"/>
      <c r="AL174" s="129"/>
      <c r="AM174" s="129"/>
      <c r="AN174" s="129"/>
      <c r="AO174" s="129"/>
      <c r="AP174" s="129"/>
      <c r="AQ174" s="130"/>
      <c r="AR174" s="130"/>
      <c r="AS174" s="129"/>
      <c r="AT174" s="129"/>
      <c r="AU174" s="129"/>
      <c r="AV174" s="129"/>
      <c r="AW174" s="129"/>
      <c r="AX174" s="129"/>
      <c r="AY174" s="129"/>
      <c r="AZ174" s="129"/>
      <c r="BA174" s="129"/>
      <c r="BB174" s="129"/>
      <c r="BC174" s="129"/>
      <c r="BD174" s="129"/>
      <c r="BE174" s="129"/>
      <c r="BF174" s="129"/>
      <c r="BG174" s="129"/>
      <c r="BH174" s="129"/>
      <c r="BI174" s="129"/>
      <c r="BJ174" s="129"/>
      <c r="BK174" s="129"/>
      <c r="BL174" s="129"/>
      <c r="BM174" s="129"/>
      <c r="BN174" s="129"/>
      <c r="BO174" s="129"/>
      <c r="BP174" s="129"/>
      <c r="BQ174" s="129"/>
    </row>
    <row r="175" spans="1:69" s="139" customFormat="1" x14ac:dyDescent="0.25">
      <c r="A175" s="157"/>
      <c r="B175" s="137"/>
      <c r="C175" s="129"/>
      <c r="G175" s="140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28"/>
      <c r="AC175" s="128"/>
      <c r="AD175" s="128"/>
      <c r="AE175" s="128"/>
      <c r="AF175" s="128"/>
      <c r="AG175" s="129"/>
      <c r="AH175" s="129"/>
      <c r="AI175" s="129"/>
      <c r="AJ175" s="129"/>
      <c r="AK175" s="129"/>
      <c r="AL175" s="129"/>
      <c r="AM175" s="129"/>
      <c r="AN175" s="129"/>
      <c r="AO175" s="129"/>
      <c r="AP175" s="129"/>
      <c r="AQ175" s="130"/>
      <c r="AR175" s="130"/>
      <c r="AS175" s="129"/>
      <c r="AT175" s="129"/>
      <c r="AU175" s="129"/>
      <c r="AV175" s="129"/>
      <c r="AW175" s="129"/>
      <c r="AX175" s="129"/>
      <c r="AY175" s="129"/>
      <c r="AZ175" s="129"/>
      <c r="BA175" s="129"/>
      <c r="BB175" s="129"/>
      <c r="BC175" s="129"/>
      <c r="BD175" s="129"/>
      <c r="BE175" s="129"/>
      <c r="BF175" s="129"/>
      <c r="BG175" s="129"/>
      <c r="BH175" s="129"/>
      <c r="BI175" s="129"/>
      <c r="BJ175" s="129"/>
      <c r="BK175" s="129"/>
      <c r="BL175" s="129"/>
      <c r="BM175" s="129"/>
      <c r="BN175" s="129"/>
      <c r="BO175" s="129"/>
      <c r="BP175" s="129"/>
      <c r="BQ175" s="129"/>
    </row>
    <row r="176" spans="1:69" s="139" customFormat="1" x14ac:dyDescent="0.25">
      <c r="A176" s="157"/>
      <c r="B176" s="137"/>
      <c r="C176" s="129"/>
      <c r="G176" s="140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28"/>
      <c r="AC176" s="128"/>
      <c r="AD176" s="128"/>
      <c r="AE176" s="128"/>
      <c r="AF176" s="128"/>
      <c r="AG176" s="129"/>
      <c r="AH176" s="129"/>
      <c r="AI176" s="129"/>
      <c r="AJ176" s="129"/>
      <c r="AK176" s="129"/>
      <c r="AL176" s="129"/>
      <c r="AM176" s="129"/>
      <c r="AN176" s="129"/>
      <c r="AO176" s="129"/>
      <c r="AP176" s="129"/>
      <c r="AQ176" s="130"/>
      <c r="AR176" s="130"/>
      <c r="AS176" s="129"/>
      <c r="AT176" s="129"/>
      <c r="AU176" s="129"/>
      <c r="AV176" s="129"/>
      <c r="AW176" s="129"/>
      <c r="AX176" s="129"/>
      <c r="AY176" s="129"/>
      <c r="AZ176" s="129"/>
      <c r="BA176" s="129"/>
      <c r="BB176" s="129"/>
      <c r="BC176" s="129"/>
      <c r="BD176" s="129"/>
      <c r="BE176" s="129"/>
      <c r="BF176" s="129"/>
      <c r="BG176" s="129"/>
      <c r="BH176" s="129"/>
      <c r="BI176" s="129"/>
      <c r="BJ176" s="129"/>
      <c r="BK176" s="129"/>
      <c r="BL176" s="129"/>
      <c r="BM176" s="129"/>
      <c r="BN176" s="129"/>
      <c r="BO176" s="129"/>
      <c r="BP176" s="129"/>
      <c r="BQ176" s="129"/>
    </row>
    <row r="177" spans="1:69" s="139" customFormat="1" x14ac:dyDescent="0.25">
      <c r="A177" s="157"/>
      <c r="B177" s="137"/>
      <c r="C177" s="129"/>
      <c r="G177" s="140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28"/>
      <c r="AC177" s="128"/>
      <c r="AD177" s="128"/>
      <c r="AE177" s="128"/>
      <c r="AF177" s="128"/>
      <c r="AG177" s="129"/>
      <c r="AH177" s="129"/>
      <c r="AI177" s="129"/>
      <c r="AJ177" s="129"/>
      <c r="AK177" s="129"/>
      <c r="AL177" s="129"/>
      <c r="AM177" s="129"/>
      <c r="AN177" s="129"/>
      <c r="AO177" s="129"/>
      <c r="AP177" s="129"/>
      <c r="AQ177" s="130"/>
      <c r="AR177" s="130"/>
      <c r="AS177" s="129"/>
      <c r="AT177" s="129"/>
      <c r="AU177" s="129"/>
      <c r="AV177" s="129"/>
      <c r="AW177" s="129"/>
      <c r="AX177" s="129"/>
      <c r="AY177" s="129"/>
      <c r="AZ177" s="129"/>
      <c r="BA177" s="129"/>
      <c r="BB177" s="129"/>
      <c r="BC177" s="129"/>
      <c r="BD177" s="129"/>
      <c r="BE177" s="129"/>
      <c r="BF177" s="129"/>
      <c r="BG177" s="129"/>
      <c r="BH177" s="129"/>
      <c r="BI177" s="129"/>
      <c r="BJ177" s="129"/>
      <c r="BK177" s="129"/>
      <c r="BL177" s="129"/>
      <c r="BM177" s="129"/>
      <c r="BN177" s="129"/>
      <c r="BO177" s="129"/>
      <c r="BP177" s="129"/>
      <c r="BQ177" s="129"/>
    </row>
    <row r="178" spans="1:69" s="139" customFormat="1" x14ac:dyDescent="0.25">
      <c r="A178" s="157"/>
      <c r="B178" s="137"/>
      <c r="C178" s="129"/>
      <c r="G178" s="140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28"/>
      <c r="AC178" s="128"/>
      <c r="AD178" s="128"/>
      <c r="AE178" s="128"/>
      <c r="AF178" s="128"/>
      <c r="AG178" s="129"/>
      <c r="AH178" s="129"/>
      <c r="AI178" s="129"/>
      <c r="AJ178" s="129"/>
      <c r="AK178" s="129"/>
      <c r="AL178" s="129"/>
      <c r="AM178" s="129"/>
      <c r="AN178" s="129"/>
      <c r="AO178" s="129"/>
      <c r="AP178" s="129"/>
      <c r="AQ178" s="130"/>
      <c r="AR178" s="130"/>
      <c r="AS178" s="129"/>
      <c r="AT178" s="129"/>
      <c r="AU178" s="129"/>
      <c r="AV178" s="129"/>
      <c r="AW178" s="129"/>
      <c r="AX178" s="129"/>
      <c r="AY178" s="129"/>
      <c r="AZ178" s="129"/>
      <c r="BA178" s="129"/>
      <c r="BB178" s="129"/>
      <c r="BC178" s="129"/>
      <c r="BD178" s="129"/>
      <c r="BE178" s="129"/>
      <c r="BF178" s="129"/>
      <c r="BG178" s="129"/>
      <c r="BH178" s="129"/>
      <c r="BI178" s="129"/>
      <c r="BJ178" s="129"/>
      <c r="BK178" s="129"/>
      <c r="BL178" s="129"/>
      <c r="BM178" s="129"/>
      <c r="BN178" s="129"/>
      <c r="BO178" s="129"/>
      <c r="BP178" s="129"/>
      <c r="BQ178" s="129"/>
    </row>
    <row r="179" spans="1:69" s="139" customFormat="1" x14ac:dyDescent="0.25">
      <c r="A179" s="157"/>
      <c r="B179" s="137"/>
      <c r="C179" s="129"/>
      <c r="G179" s="140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28"/>
      <c r="AC179" s="128"/>
      <c r="AD179" s="128"/>
      <c r="AE179" s="128"/>
      <c r="AF179" s="128"/>
      <c r="AG179" s="129"/>
      <c r="AH179" s="129"/>
      <c r="AI179" s="129"/>
      <c r="AJ179" s="129"/>
      <c r="AK179" s="129"/>
      <c r="AL179" s="129"/>
      <c r="AM179" s="129"/>
      <c r="AN179" s="129"/>
      <c r="AO179" s="129"/>
      <c r="AP179" s="129"/>
      <c r="AQ179" s="130"/>
      <c r="AR179" s="130"/>
      <c r="AS179" s="129"/>
      <c r="AT179" s="129"/>
      <c r="AU179" s="129"/>
      <c r="AV179" s="129"/>
      <c r="AW179" s="129"/>
      <c r="AX179" s="129"/>
      <c r="AY179" s="129"/>
      <c r="AZ179" s="129"/>
      <c r="BA179" s="129"/>
      <c r="BB179" s="129"/>
      <c r="BC179" s="129"/>
      <c r="BD179" s="129"/>
      <c r="BE179" s="129"/>
      <c r="BF179" s="129"/>
      <c r="BG179" s="129"/>
      <c r="BH179" s="129"/>
      <c r="BI179" s="129"/>
      <c r="BJ179" s="129"/>
      <c r="BK179" s="129"/>
      <c r="BL179" s="129"/>
      <c r="BM179" s="129"/>
      <c r="BN179" s="129"/>
      <c r="BO179" s="129"/>
      <c r="BP179" s="129"/>
      <c r="BQ179" s="129"/>
    </row>
    <row r="180" spans="1:69" s="139" customFormat="1" x14ac:dyDescent="0.25">
      <c r="A180" s="157"/>
      <c r="B180" s="137"/>
      <c r="C180" s="129"/>
      <c r="G180" s="140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28"/>
      <c r="AC180" s="128"/>
      <c r="AD180" s="128"/>
      <c r="AE180" s="128"/>
      <c r="AF180" s="128"/>
      <c r="AG180" s="129"/>
      <c r="AH180" s="129"/>
      <c r="AI180" s="129"/>
      <c r="AJ180" s="129"/>
      <c r="AK180" s="129"/>
      <c r="AL180" s="129"/>
      <c r="AM180" s="129"/>
      <c r="AN180" s="129"/>
      <c r="AO180" s="129"/>
      <c r="AP180" s="129"/>
      <c r="AQ180" s="130"/>
      <c r="AR180" s="130"/>
      <c r="AS180" s="129"/>
      <c r="AT180" s="129"/>
      <c r="AU180" s="129"/>
      <c r="AV180" s="129"/>
      <c r="AW180" s="129"/>
      <c r="AX180" s="129"/>
      <c r="AY180" s="129"/>
      <c r="AZ180" s="129"/>
      <c r="BA180" s="129"/>
      <c r="BB180" s="129"/>
      <c r="BC180" s="129"/>
      <c r="BD180" s="129"/>
      <c r="BE180" s="129"/>
      <c r="BF180" s="129"/>
      <c r="BG180" s="129"/>
      <c r="BH180" s="129"/>
      <c r="BI180" s="129"/>
      <c r="BJ180" s="129"/>
      <c r="BK180" s="129"/>
      <c r="BL180" s="129"/>
      <c r="BM180" s="129"/>
      <c r="BN180" s="129"/>
      <c r="BO180" s="129"/>
      <c r="BP180" s="129"/>
      <c r="BQ180" s="129"/>
    </row>
    <row r="181" spans="1:69" s="139" customFormat="1" x14ac:dyDescent="0.25">
      <c r="A181" s="157"/>
      <c r="B181" s="137"/>
      <c r="C181" s="129"/>
      <c r="G181" s="140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28"/>
      <c r="AC181" s="128"/>
      <c r="AD181" s="128"/>
      <c r="AE181" s="128"/>
      <c r="AF181" s="128"/>
      <c r="AG181" s="129"/>
      <c r="AH181" s="129"/>
      <c r="AI181" s="129"/>
      <c r="AJ181" s="129"/>
      <c r="AK181" s="129"/>
      <c r="AL181" s="129"/>
      <c r="AM181" s="129"/>
      <c r="AN181" s="129"/>
      <c r="AO181" s="129"/>
      <c r="AP181" s="129"/>
      <c r="AQ181" s="130"/>
      <c r="AR181" s="130"/>
      <c r="AS181" s="129"/>
      <c r="AT181" s="129"/>
      <c r="AU181" s="129"/>
      <c r="AV181" s="129"/>
      <c r="AW181" s="129"/>
      <c r="AX181" s="129"/>
      <c r="AY181" s="129"/>
      <c r="AZ181" s="129"/>
      <c r="BA181" s="129"/>
      <c r="BB181" s="129"/>
      <c r="BC181" s="129"/>
      <c r="BD181" s="129"/>
      <c r="BE181" s="129"/>
      <c r="BF181" s="129"/>
      <c r="BG181" s="129"/>
      <c r="BH181" s="129"/>
      <c r="BI181" s="129"/>
      <c r="BJ181" s="129"/>
      <c r="BK181" s="129"/>
      <c r="BL181" s="129"/>
      <c r="BM181" s="129"/>
      <c r="BN181" s="129"/>
      <c r="BO181" s="129"/>
      <c r="BP181" s="129"/>
      <c r="BQ181" s="129"/>
    </row>
    <row r="182" spans="1:69" s="139" customFormat="1" x14ac:dyDescent="0.25">
      <c r="A182" s="157"/>
      <c r="B182" s="137"/>
      <c r="C182" s="129"/>
      <c r="G182" s="140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28"/>
      <c r="AC182" s="128"/>
      <c r="AD182" s="128"/>
      <c r="AE182" s="128"/>
      <c r="AF182" s="128"/>
      <c r="AG182" s="129"/>
      <c r="AH182" s="129"/>
      <c r="AI182" s="129"/>
      <c r="AJ182" s="129"/>
      <c r="AK182" s="129"/>
      <c r="AL182" s="129"/>
      <c r="AM182" s="129"/>
      <c r="AN182" s="129"/>
      <c r="AO182" s="129"/>
      <c r="AP182" s="129"/>
      <c r="AQ182" s="130"/>
      <c r="AR182" s="130"/>
      <c r="AS182" s="129"/>
      <c r="AT182" s="129"/>
      <c r="AU182" s="129"/>
      <c r="AV182" s="129"/>
      <c r="AW182" s="129"/>
      <c r="AX182" s="129"/>
      <c r="AY182" s="129"/>
      <c r="AZ182" s="129"/>
      <c r="BA182" s="129"/>
      <c r="BB182" s="129"/>
      <c r="BC182" s="129"/>
      <c r="BD182" s="129"/>
      <c r="BE182" s="129"/>
      <c r="BF182" s="129"/>
      <c r="BG182" s="129"/>
      <c r="BH182" s="129"/>
      <c r="BI182" s="129"/>
      <c r="BJ182" s="129"/>
      <c r="BK182" s="129"/>
      <c r="BL182" s="129"/>
      <c r="BM182" s="129"/>
      <c r="BN182" s="129"/>
      <c r="BO182" s="129"/>
      <c r="BP182" s="129"/>
      <c r="BQ182" s="129"/>
    </row>
    <row r="183" spans="1:69" s="139" customFormat="1" x14ac:dyDescent="0.25">
      <c r="A183" s="157"/>
      <c r="B183" s="137"/>
      <c r="C183" s="129"/>
      <c r="G183" s="140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28"/>
      <c r="AC183" s="128"/>
      <c r="AD183" s="128"/>
      <c r="AE183" s="128"/>
      <c r="AF183" s="128"/>
      <c r="AG183" s="129"/>
      <c r="AH183" s="129"/>
      <c r="AI183" s="129"/>
      <c r="AJ183" s="129"/>
      <c r="AK183" s="129"/>
      <c r="AL183" s="129"/>
      <c r="AM183" s="129"/>
      <c r="AN183" s="129"/>
      <c r="AO183" s="129"/>
      <c r="AP183" s="129"/>
      <c r="AQ183" s="130"/>
      <c r="AR183" s="130"/>
      <c r="AS183" s="129"/>
      <c r="AT183" s="129"/>
      <c r="AU183" s="129"/>
      <c r="AV183" s="129"/>
      <c r="AW183" s="129"/>
      <c r="AX183" s="129"/>
      <c r="AY183" s="129"/>
      <c r="AZ183" s="129"/>
      <c r="BA183" s="129"/>
      <c r="BB183" s="129"/>
      <c r="BC183" s="129"/>
      <c r="BD183" s="129"/>
      <c r="BE183" s="129"/>
      <c r="BF183" s="129"/>
      <c r="BG183" s="129"/>
      <c r="BH183" s="129"/>
      <c r="BI183" s="129"/>
      <c r="BJ183" s="129"/>
      <c r="BK183" s="129"/>
      <c r="BL183" s="129"/>
      <c r="BM183" s="129"/>
      <c r="BN183" s="129"/>
      <c r="BO183" s="129"/>
      <c r="BP183" s="129"/>
      <c r="BQ183" s="129"/>
    </row>
    <row r="184" spans="1:69" s="139" customFormat="1" x14ac:dyDescent="0.25">
      <c r="A184" s="157"/>
      <c r="B184" s="137"/>
      <c r="C184" s="129"/>
      <c r="G184" s="140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28"/>
      <c r="AC184" s="128"/>
      <c r="AD184" s="128"/>
      <c r="AE184" s="128"/>
      <c r="AF184" s="128"/>
      <c r="AG184" s="129"/>
      <c r="AH184" s="129"/>
      <c r="AI184" s="129"/>
      <c r="AJ184" s="129"/>
      <c r="AK184" s="129"/>
      <c r="AL184" s="129"/>
      <c r="AM184" s="129"/>
      <c r="AN184" s="129"/>
      <c r="AO184" s="129"/>
      <c r="AP184" s="129"/>
      <c r="AQ184" s="130"/>
      <c r="AR184" s="130"/>
      <c r="AS184" s="129"/>
      <c r="AT184" s="129"/>
      <c r="AU184" s="129"/>
      <c r="AV184" s="129"/>
      <c r="AW184" s="129"/>
      <c r="AX184" s="129"/>
      <c r="AY184" s="129"/>
      <c r="AZ184" s="129"/>
      <c r="BA184" s="129"/>
      <c r="BB184" s="129"/>
      <c r="BC184" s="129"/>
      <c r="BD184" s="129"/>
      <c r="BE184" s="129"/>
      <c r="BF184" s="129"/>
      <c r="BG184" s="129"/>
      <c r="BH184" s="129"/>
      <c r="BI184" s="129"/>
      <c r="BJ184" s="129"/>
      <c r="BK184" s="129"/>
      <c r="BL184" s="129"/>
      <c r="BM184" s="129"/>
      <c r="BN184" s="129"/>
      <c r="BO184" s="129"/>
      <c r="BP184" s="129"/>
      <c r="BQ184" s="129"/>
    </row>
    <row r="185" spans="1:69" s="139" customFormat="1" x14ac:dyDescent="0.25">
      <c r="A185" s="157"/>
      <c r="B185" s="137"/>
      <c r="C185" s="129"/>
      <c r="G185" s="140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28"/>
      <c r="AC185" s="128"/>
      <c r="AD185" s="128"/>
      <c r="AE185" s="128"/>
      <c r="AF185" s="128"/>
      <c r="AG185" s="129"/>
      <c r="AH185" s="129"/>
      <c r="AI185" s="129"/>
      <c r="AJ185" s="129"/>
      <c r="AK185" s="129"/>
      <c r="AL185" s="129"/>
      <c r="AM185" s="129"/>
      <c r="AN185" s="129"/>
      <c r="AO185" s="129"/>
      <c r="AP185" s="129"/>
      <c r="AQ185" s="130"/>
      <c r="AR185" s="130"/>
      <c r="AS185" s="129"/>
      <c r="AT185" s="129"/>
      <c r="AU185" s="129"/>
      <c r="AV185" s="129"/>
      <c r="AW185" s="129"/>
      <c r="AX185" s="129"/>
      <c r="AY185" s="129"/>
      <c r="AZ185" s="129"/>
      <c r="BA185" s="129"/>
      <c r="BB185" s="129"/>
      <c r="BC185" s="129"/>
      <c r="BD185" s="129"/>
      <c r="BE185" s="129"/>
      <c r="BF185" s="129"/>
      <c r="BG185" s="129"/>
      <c r="BH185" s="129"/>
      <c r="BI185" s="129"/>
      <c r="BJ185" s="129"/>
      <c r="BK185" s="129"/>
      <c r="BL185" s="129"/>
      <c r="BM185" s="129"/>
      <c r="BN185" s="129"/>
      <c r="BO185" s="129"/>
      <c r="BP185" s="129"/>
      <c r="BQ185" s="129"/>
    </row>
    <row r="186" spans="1:69" s="139" customFormat="1" x14ac:dyDescent="0.25">
      <c r="A186" s="157"/>
      <c r="B186" s="137"/>
      <c r="C186" s="129"/>
      <c r="G186" s="140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28"/>
      <c r="AC186" s="128"/>
      <c r="AD186" s="128"/>
      <c r="AE186" s="128"/>
      <c r="AF186" s="128"/>
      <c r="AG186" s="129"/>
      <c r="AH186" s="129"/>
      <c r="AI186" s="129"/>
      <c r="AJ186" s="129"/>
      <c r="AK186" s="129"/>
      <c r="AL186" s="129"/>
      <c r="AM186" s="129"/>
      <c r="AN186" s="129"/>
      <c r="AO186" s="129"/>
      <c r="AP186" s="129"/>
      <c r="AQ186" s="130"/>
      <c r="AR186" s="130"/>
      <c r="AS186" s="129"/>
      <c r="AT186" s="129"/>
      <c r="AU186" s="129"/>
      <c r="AV186" s="129"/>
      <c r="AW186" s="129"/>
      <c r="AX186" s="129"/>
      <c r="AY186" s="129"/>
      <c r="AZ186" s="129"/>
      <c r="BA186" s="129"/>
      <c r="BB186" s="129"/>
      <c r="BC186" s="129"/>
      <c r="BD186" s="129"/>
      <c r="BE186" s="129"/>
      <c r="BF186" s="129"/>
      <c r="BG186" s="129"/>
      <c r="BH186" s="129"/>
      <c r="BI186" s="129"/>
      <c r="BJ186" s="129"/>
      <c r="BK186" s="129"/>
      <c r="BL186" s="129"/>
      <c r="BM186" s="129"/>
      <c r="BN186" s="129"/>
      <c r="BO186" s="129"/>
      <c r="BP186" s="129"/>
      <c r="BQ186" s="129"/>
    </row>
    <row r="187" spans="1:69" s="139" customFormat="1" x14ac:dyDescent="0.25">
      <c r="A187" s="157"/>
      <c r="B187" s="137"/>
      <c r="C187" s="129"/>
      <c r="G187" s="140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28"/>
      <c r="AC187" s="128"/>
      <c r="AD187" s="128"/>
      <c r="AE187" s="128"/>
      <c r="AF187" s="128"/>
      <c r="AG187" s="129"/>
      <c r="AH187" s="129"/>
      <c r="AI187" s="129"/>
      <c r="AJ187" s="129"/>
      <c r="AK187" s="129"/>
      <c r="AL187" s="129"/>
      <c r="AM187" s="129"/>
      <c r="AN187" s="129"/>
      <c r="AO187" s="129"/>
      <c r="AP187" s="129"/>
      <c r="AQ187" s="130"/>
      <c r="AR187" s="130"/>
      <c r="AS187" s="129"/>
      <c r="AT187" s="129"/>
      <c r="AU187" s="129"/>
      <c r="AV187" s="129"/>
      <c r="AW187" s="129"/>
      <c r="AX187" s="129"/>
      <c r="AY187" s="129"/>
      <c r="AZ187" s="129"/>
      <c r="BA187" s="129"/>
      <c r="BB187" s="129"/>
      <c r="BC187" s="129"/>
      <c r="BD187" s="129"/>
      <c r="BE187" s="129"/>
      <c r="BF187" s="129"/>
      <c r="BG187" s="129"/>
      <c r="BH187" s="129"/>
      <c r="BI187" s="129"/>
      <c r="BJ187" s="129"/>
      <c r="BK187" s="129"/>
      <c r="BL187" s="129"/>
      <c r="BM187" s="129"/>
      <c r="BN187" s="129"/>
      <c r="BO187" s="129"/>
      <c r="BP187" s="129"/>
      <c r="BQ187" s="129"/>
    </row>
    <row r="188" spans="1:69" s="139" customFormat="1" x14ac:dyDescent="0.25">
      <c r="A188" s="157"/>
      <c r="B188" s="137"/>
      <c r="C188" s="129"/>
      <c r="G188" s="140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28"/>
      <c r="AC188" s="128"/>
      <c r="AD188" s="128"/>
      <c r="AE188" s="128"/>
      <c r="AF188" s="128"/>
      <c r="AG188" s="129"/>
      <c r="AH188" s="129"/>
      <c r="AI188" s="129"/>
      <c r="AJ188" s="129"/>
      <c r="AK188" s="129"/>
      <c r="AL188" s="129"/>
      <c r="AM188" s="129"/>
      <c r="AN188" s="129"/>
      <c r="AO188" s="129"/>
      <c r="AP188" s="129"/>
      <c r="AQ188" s="130"/>
      <c r="AR188" s="130"/>
      <c r="AS188" s="129"/>
      <c r="AT188" s="129"/>
      <c r="AU188" s="129"/>
      <c r="AV188" s="129"/>
      <c r="AW188" s="129"/>
      <c r="AX188" s="129"/>
      <c r="AY188" s="129"/>
      <c r="AZ188" s="129"/>
      <c r="BA188" s="129"/>
      <c r="BB188" s="129"/>
      <c r="BC188" s="129"/>
      <c r="BD188" s="129"/>
      <c r="BE188" s="129"/>
      <c r="BF188" s="129"/>
      <c r="BG188" s="129"/>
      <c r="BH188" s="129"/>
      <c r="BI188" s="129"/>
      <c r="BJ188" s="129"/>
      <c r="BK188" s="129"/>
      <c r="BL188" s="129"/>
      <c r="BM188" s="129"/>
      <c r="BN188" s="129"/>
      <c r="BO188" s="129"/>
      <c r="BP188" s="129"/>
      <c r="BQ188" s="129"/>
    </row>
    <row r="189" spans="1:69" s="139" customFormat="1" x14ac:dyDescent="0.25">
      <c r="A189" s="157"/>
      <c r="B189" s="137"/>
      <c r="C189" s="129"/>
      <c r="G189" s="140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28"/>
      <c r="AC189" s="128"/>
      <c r="AD189" s="128"/>
      <c r="AE189" s="128"/>
      <c r="AF189" s="128"/>
      <c r="AG189" s="129"/>
      <c r="AH189" s="129"/>
      <c r="AI189" s="129"/>
      <c r="AJ189" s="129"/>
      <c r="AK189" s="129"/>
      <c r="AL189" s="129"/>
      <c r="AM189" s="129"/>
      <c r="AN189" s="129"/>
      <c r="AO189" s="129"/>
      <c r="AP189" s="129"/>
      <c r="AQ189" s="130"/>
      <c r="AR189" s="130"/>
      <c r="AS189" s="129"/>
      <c r="AT189" s="129"/>
      <c r="AU189" s="129"/>
      <c r="AV189" s="129"/>
      <c r="AW189" s="129"/>
      <c r="AX189" s="129"/>
      <c r="AY189" s="129"/>
      <c r="AZ189" s="129"/>
      <c r="BA189" s="129"/>
      <c r="BB189" s="129"/>
      <c r="BC189" s="129"/>
      <c r="BD189" s="129"/>
      <c r="BE189" s="129"/>
      <c r="BF189" s="129"/>
      <c r="BG189" s="129"/>
      <c r="BH189" s="129"/>
      <c r="BI189" s="129"/>
      <c r="BJ189" s="129"/>
      <c r="BK189" s="129"/>
      <c r="BL189" s="129"/>
      <c r="BM189" s="129"/>
      <c r="BN189" s="129"/>
      <c r="BO189" s="129"/>
      <c r="BP189" s="129"/>
      <c r="BQ189" s="129"/>
    </row>
    <row r="190" spans="1:69" s="139" customFormat="1" x14ac:dyDescent="0.25">
      <c r="A190" s="157"/>
      <c r="B190" s="137"/>
      <c r="C190" s="129"/>
      <c r="G190" s="140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28"/>
      <c r="AC190" s="128"/>
      <c r="AD190" s="128"/>
      <c r="AE190" s="128"/>
      <c r="AF190" s="128"/>
      <c r="AG190" s="129"/>
      <c r="AH190" s="129"/>
      <c r="AI190" s="129"/>
      <c r="AJ190" s="129"/>
      <c r="AK190" s="129"/>
      <c r="AL190" s="129"/>
      <c r="AM190" s="129"/>
      <c r="AN190" s="129"/>
      <c r="AO190" s="129"/>
      <c r="AP190" s="129"/>
      <c r="AQ190" s="130"/>
      <c r="AR190" s="130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29"/>
      <c r="BE190" s="129"/>
      <c r="BF190" s="129"/>
      <c r="BG190" s="129"/>
      <c r="BH190" s="129"/>
      <c r="BI190" s="129"/>
      <c r="BJ190" s="129"/>
      <c r="BK190" s="129"/>
      <c r="BL190" s="129"/>
      <c r="BM190" s="129"/>
      <c r="BN190" s="129"/>
      <c r="BO190" s="129"/>
      <c r="BP190" s="129"/>
      <c r="BQ190" s="129"/>
    </row>
    <row r="191" spans="1:69" s="139" customFormat="1" x14ac:dyDescent="0.25">
      <c r="A191" s="157"/>
      <c r="B191" s="137"/>
      <c r="C191" s="129"/>
      <c r="G191" s="140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28"/>
      <c r="AC191" s="128"/>
      <c r="AD191" s="128"/>
      <c r="AE191" s="128"/>
      <c r="AF191" s="128"/>
      <c r="AG191" s="129"/>
      <c r="AH191" s="129"/>
      <c r="AI191" s="129"/>
      <c r="AJ191" s="129"/>
      <c r="AK191" s="129"/>
      <c r="AL191" s="129"/>
      <c r="AM191" s="129"/>
      <c r="AN191" s="129"/>
      <c r="AO191" s="129"/>
      <c r="AP191" s="129"/>
      <c r="AQ191" s="130"/>
      <c r="AR191" s="130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29"/>
      <c r="BE191" s="129"/>
      <c r="BF191" s="129"/>
      <c r="BG191" s="129"/>
      <c r="BH191" s="129"/>
      <c r="BI191" s="129"/>
      <c r="BJ191" s="129"/>
      <c r="BK191" s="129"/>
      <c r="BL191" s="129"/>
      <c r="BM191" s="129"/>
      <c r="BN191" s="129"/>
      <c r="BO191" s="129"/>
      <c r="BP191" s="129"/>
      <c r="BQ191" s="129"/>
    </row>
    <row r="192" spans="1:69" s="139" customFormat="1" x14ac:dyDescent="0.25">
      <c r="A192" s="157"/>
      <c r="B192" s="137"/>
      <c r="C192" s="129"/>
      <c r="G192" s="140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28"/>
      <c r="AC192" s="128"/>
      <c r="AD192" s="128"/>
      <c r="AE192" s="128"/>
      <c r="AF192" s="128"/>
      <c r="AG192" s="129"/>
      <c r="AH192" s="129"/>
      <c r="AI192" s="129"/>
      <c r="AJ192" s="129"/>
      <c r="AK192" s="129"/>
      <c r="AL192" s="129"/>
      <c r="AM192" s="129"/>
      <c r="AN192" s="129"/>
      <c r="AO192" s="129"/>
      <c r="AP192" s="129"/>
      <c r="AQ192" s="130"/>
      <c r="AR192" s="130"/>
      <c r="AS192" s="129"/>
      <c r="AT192" s="129"/>
      <c r="AU192" s="129"/>
      <c r="AV192" s="129"/>
      <c r="AW192" s="129"/>
      <c r="AX192" s="129"/>
      <c r="AY192" s="129"/>
      <c r="AZ192" s="129"/>
      <c r="BA192" s="129"/>
      <c r="BB192" s="129"/>
      <c r="BC192" s="129"/>
      <c r="BD192" s="129"/>
      <c r="BE192" s="129"/>
      <c r="BF192" s="129"/>
      <c r="BG192" s="129"/>
      <c r="BH192" s="129"/>
      <c r="BI192" s="129"/>
      <c r="BJ192" s="129"/>
      <c r="BK192" s="129"/>
      <c r="BL192" s="129"/>
      <c r="BM192" s="129"/>
      <c r="BN192" s="129"/>
      <c r="BO192" s="129"/>
      <c r="BP192" s="129"/>
      <c r="BQ192" s="129"/>
    </row>
    <row r="193" spans="1:69" s="139" customFormat="1" x14ac:dyDescent="0.25">
      <c r="A193" s="157"/>
      <c r="B193" s="137"/>
      <c r="C193" s="129"/>
      <c r="G193" s="140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28"/>
      <c r="AC193" s="128"/>
      <c r="AD193" s="128"/>
      <c r="AE193" s="128"/>
      <c r="AF193" s="128"/>
      <c r="AG193" s="129"/>
      <c r="AH193" s="129"/>
      <c r="AI193" s="129"/>
      <c r="AJ193" s="129"/>
      <c r="AK193" s="129"/>
      <c r="AL193" s="129"/>
      <c r="AM193" s="129"/>
      <c r="AN193" s="129"/>
      <c r="AO193" s="129"/>
      <c r="AP193" s="129"/>
      <c r="AQ193" s="130"/>
      <c r="AR193" s="130"/>
      <c r="AS193" s="129"/>
      <c r="AT193" s="129"/>
      <c r="AU193" s="129"/>
      <c r="AV193" s="129"/>
      <c r="AW193" s="129"/>
      <c r="AX193" s="129"/>
      <c r="AY193" s="129"/>
      <c r="AZ193" s="129"/>
      <c r="BA193" s="129"/>
      <c r="BB193" s="129"/>
      <c r="BC193" s="129"/>
      <c r="BD193" s="129"/>
      <c r="BE193" s="129"/>
      <c r="BF193" s="129"/>
      <c r="BG193" s="129"/>
      <c r="BH193" s="129"/>
      <c r="BI193" s="129"/>
      <c r="BJ193" s="129"/>
      <c r="BK193" s="129"/>
      <c r="BL193" s="129"/>
      <c r="BM193" s="129"/>
      <c r="BN193" s="129"/>
      <c r="BO193" s="129"/>
      <c r="BP193" s="129"/>
      <c r="BQ193" s="129"/>
    </row>
    <row r="194" spans="1:69" s="139" customFormat="1" x14ac:dyDescent="0.25">
      <c r="A194" s="157"/>
      <c r="B194" s="137"/>
      <c r="C194" s="129"/>
      <c r="G194" s="140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28"/>
      <c r="AC194" s="128"/>
      <c r="AD194" s="128"/>
      <c r="AE194" s="128"/>
      <c r="AF194" s="128"/>
      <c r="AG194" s="129"/>
      <c r="AH194" s="129"/>
      <c r="AI194" s="129"/>
      <c r="AJ194" s="129"/>
      <c r="AK194" s="129"/>
      <c r="AL194" s="129"/>
      <c r="AM194" s="129"/>
      <c r="AN194" s="129"/>
      <c r="AO194" s="129"/>
      <c r="AP194" s="129"/>
      <c r="AQ194" s="130"/>
      <c r="AR194" s="130"/>
      <c r="AS194" s="129"/>
      <c r="AT194" s="129"/>
      <c r="AU194" s="129"/>
      <c r="AV194" s="129"/>
      <c r="AW194" s="129"/>
      <c r="AX194" s="129"/>
      <c r="AY194" s="129"/>
      <c r="AZ194" s="129"/>
      <c r="BA194" s="129"/>
      <c r="BB194" s="129"/>
      <c r="BC194" s="129"/>
      <c r="BD194" s="129"/>
      <c r="BE194" s="129"/>
      <c r="BF194" s="129"/>
      <c r="BG194" s="129"/>
      <c r="BH194" s="129"/>
      <c r="BI194" s="129"/>
      <c r="BJ194" s="129"/>
      <c r="BK194" s="129"/>
      <c r="BL194" s="129"/>
      <c r="BM194" s="129"/>
      <c r="BN194" s="129"/>
      <c r="BO194" s="129"/>
      <c r="BP194" s="129"/>
      <c r="BQ194" s="129"/>
    </row>
    <row r="195" spans="1:69" s="139" customFormat="1" x14ac:dyDescent="0.25">
      <c r="A195" s="157"/>
      <c r="B195" s="137"/>
      <c r="C195" s="129"/>
      <c r="G195" s="140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28"/>
      <c r="AC195" s="128"/>
      <c r="AD195" s="128"/>
      <c r="AE195" s="128"/>
      <c r="AF195" s="128"/>
      <c r="AG195" s="129"/>
      <c r="AH195" s="129"/>
      <c r="AI195" s="129"/>
      <c r="AJ195" s="129"/>
      <c r="AK195" s="129"/>
      <c r="AL195" s="129"/>
      <c r="AM195" s="129"/>
      <c r="AN195" s="129"/>
      <c r="AO195" s="129"/>
      <c r="AP195" s="129"/>
      <c r="AQ195" s="130"/>
      <c r="AR195" s="130"/>
      <c r="AS195" s="129"/>
      <c r="AT195" s="129"/>
      <c r="AU195" s="129"/>
      <c r="AV195" s="129"/>
      <c r="AW195" s="129"/>
      <c r="AX195" s="129"/>
      <c r="AY195" s="129"/>
      <c r="AZ195" s="129"/>
      <c r="BA195" s="129"/>
      <c r="BB195" s="129"/>
      <c r="BC195" s="129"/>
      <c r="BD195" s="129"/>
      <c r="BE195" s="129"/>
      <c r="BF195" s="129"/>
      <c r="BG195" s="129"/>
      <c r="BH195" s="129"/>
      <c r="BI195" s="129"/>
      <c r="BJ195" s="129"/>
      <c r="BK195" s="129"/>
      <c r="BL195" s="129"/>
      <c r="BM195" s="129"/>
      <c r="BN195" s="129"/>
      <c r="BO195" s="129"/>
      <c r="BP195" s="129"/>
      <c r="BQ195" s="129"/>
    </row>
    <row r="196" spans="1:69" s="139" customFormat="1" x14ac:dyDescent="0.25">
      <c r="A196" s="157"/>
      <c r="B196" s="137"/>
      <c r="C196" s="129"/>
      <c r="G196" s="140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28"/>
      <c r="AC196" s="128"/>
      <c r="AD196" s="128"/>
      <c r="AE196" s="128"/>
      <c r="AF196" s="128"/>
      <c r="AG196" s="129"/>
      <c r="AH196" s="129"/>
      <c r="AI196" s="129"/>
      <c r="AJ196" s="129"/>
      <c r="AK196" s="129"/>
      <c r="AL196" s="129"/>
      <c r="AM196" s="129"/>
      <c r="AN196" s="129"/>
      <c r="AO196" s="129"/>
      <c r="AP196" s="129"/>
      <c r="AQ196" s="130"/>
      <c r="AR196" s="130"/>
      <c r="AS196" s="129"/>
      <c r="AT196" s="129"/>
      <c r="AU196" s="129"/>
      <c r="AV196" s="129"/>
      <c r="AW196" s="129"/>
      <c r="AX196" s="129"/>
      <c r="AY196" s="129"/>
      <c r="AZ196" s="129"/>
      <c r="BA196" s="129"/>
      <c r="BB196" s="129"/>
      <c r="BC196" s="129"/>
      <c r="BD196" s="129"/>
      <c r="BE196" s="129"/>
      <c r="BF196" s="129"/>
      <c r="BG196" s="129"/>
      <c r="BH196" s="129"/>
      <c r="BI196" s="129"/>
      <c r="BJ196" s="129"/>
      <c r="BK196" s="129"/>
      <c r="BL196" s="129"/>
      <c r="BM196" s="129"/>
      <c r="BN196" s="129"/>
      <c r="BO196" s="129"/>
      <c r="BP196" s="129"/>
      <c r="BQ196" s="129"/>
    </row>
    <row r="197" spans="1:69" s="139" customFormat="1" x14ac:dyDescent="0.25">
      <c r="A197" s="157"/>
      <c r="B197" s="137"/>
      <c r="C197" s="129"/>
      <c r="G197" s="140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28"/>
      <c r="AC197" s="128"/>
      <c r="AD197" s="128"/>
      <c r="AE197" s="128"/>
      <c r="AF197" s="128"/>
      <c r="AG197" s="129"/>
      <c r="AH197" s="129"/>
      <c r="AI197" s="129"/>
      <c r="AJ197" s="129"/>
      <c r="AK197" s="129"/>
      <c r="AL197" s="129"/>
      <c r="AM197" s="129"/>
      <c r="AN197" s="129"/>
      <c r="AO197" s="129"/>
      <c r="AP197" s="129"/>
      <c r="AQ197" s="130"/>
      <c r="AR197" s="130"/>
      <c r="AS197" s="129"/>
      <c r="AT197" s="129"/>
      <c r="AU197" s="129"/>
      <c r="AV197" s="129"/>
      <c r="AW197" s="129"/>
      <c r="AX197" s="129"/>
      <c r="AY197" s="129"/>
      <c r="AZ197" s="129"/>
      <c r="BA197" s="129"/>
      <c r="BB197" s="129"/>
      <c r="BC197" s="129"/>
      <c r="BD197" s="129"/>
      <c r="BE197" s="129"/>
      <c r="BF197" s="129"/>
      <c r="BG197" s="129"/>
      <c r="BH197" s="129"/>
      <c r="BI197" s="129"/>
      <c r="BJ197" s="129"/>
      <c r="BK197" s="129"/>
      <c r="BL197" s="129"/>
      <c r="BM197" s="129"/>
      <c r="BN197" s="129"/>
      <c r="BO197" s="129"/>
      <c r="BP197" s="129"/>
      <c r="BQ197" s="129"/>
    </row>
    <row r="198" spans="1:69" s="139" customFormat="1" x14ac:dyDescent="0.25">
      <c r="A198" s="157"/>
      <c r="B198" s="137"/>
      <c r="C198" s="129"/>
      <c r="G198" s="140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28"/>
      <c r="AC198" s="128"/>
      <c r="AD198" s="128"/>
      <c r="AE198" s="128"/>
      <c r="AF198" s="128"/>
      <c r="AG198" s="129"/>
      <c r="AH198" s="129"/>
      <c r="AI198" s="129"/>
      <c r="AJ198" s="129"/>
      <c r="AK198" s="129"/>
      <c r="AL198" s="129"/>
      <c r="AM198" s="129"/>
      <c r="AN198" s="129"/>
      <c r="AO198" s="129"/>
      <c r="AP198" s="129"/>
      <c r="AQ198" s="130"/>
      <c r="AR198" s="130"/>
      <c r="AS198" s="129"/>
      <c r="AT198" s="129"/>
      <c r="AU198" s="129"/>
      <c r="AV198" s="129"/>
      <c r="AW198" s="129"/>
      <c r="AX198" s="129"/>
      <c r="AY198" s="129"/>
      <c r="AZ198" s="129"/>
      <c r="BA198" s="129"/>
      <c r="BB198" s="129"/>
      <c r="BC198" s="129"/>
      <c r="BD198" s="129"/>
      <c r="BE198" s="129"/>
      <c r="BF198" s="129"/>
      <c r="BG198" s="129"/>
      <c r="BH198" s="129"/>
      <c r="BI198" s="129"/>
      <c r="BJ198" s="129"/>
      <c r="BK198" s="129"/>
      <c r="BL198" s="129"/>
      <c r="BM198" s="129"/>
      <c r="BN198" s="129"/>
      <c r="BO198" s="129"/>
      <c r="BP198" s="129"/>
      <c r="BQ198" s="129"/>
    </row>
    <row r="199" spans="1:69" s="139" customFormat="1" x14ac:dyDescent="0.25">
      <c r="A199" s="157"/>
      <c r="B199" s="137"/>
      <c r="C199" s="129"/>
      <c r="G199" s="140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28"/>
      <c r="AC199" s="128"/>
      <c r="AD199" s="128"/>
      <c r="AE199" s="128"/>
      <c r="AF199" s="128"/>
      <c r="AG199" s="129"/>
      <c r="AH199" s="129"/>
      <c r="AI199" s="129"/>
      <c r="AJ199" s="129"/>
      <c r="AK199" s="129"/>
      <c r="AL199" s="129"/>
      <c r="AM199" s="129"/>
      <c r="AN199" s="129"/>
      <c r="AO199" s="129"/>
      <c r="AP199" s="129"/>
      <c r="AQ199" s="130"/>
      <c r="AR199" s="130"/>
      <c r="AS199" s="129"/>
      <c r="AT199" s="129"/>
      <c r="AU199" s="129"/>
      <c r="AV199" s="129"/>
      <c r="AW199" s="129"/>
      <c r="AX199" s="129"/>
      <c r="AY199" s="129"/>
      <c r="AZ199" s="129"/>
      <c r="BA199" s="129"/>
      <c r="BB199" s="129"/>
      <c r="BC199" s="129"/>
      <c r="BD199" s="129"/>
      <c r="BE199" s="129"/>
      <c r="BF199" s="129"/>
      <c r="BG199" s="129"/>
      <c r="BH199" s="129"/>
      <c r="BI199" s="129"/>
      <c r="BJ199" s="129"/>
      <c r="BK199" s="129"/>
      <c r="BL199" s="129"/>
      <c r="BM199" s="129"/>
      <c r="BN199" s="129"/>
      <c r="BO199" s="129"/>
      <c r="BP199" s="129"/>
      <c r="BQ199" s="129"/>
    </row>
    <row r="200" spans="1:69" s="139" customFormat="1" x14ac:dyDescent="0.25">
      <c r="A200" s="157"/>
      <c r="B200" s="137"/>
      <c r="C200" s="129"/>
      <c r="G200" s="140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28"/>
      <c r="AC200" s="128"/>
      <c r="AD200" s="128"/>
      <c r="AE200" s="128"/>
      <c r="AF200" s="128"/>
      <c r="AG200" s="129"/>
      <c r="AH200" s="129"/>
      <c r="AI200" s="129"/>
      <c r="AJ200" s="129"/>
      <c r="AK200" s="129"/>
      <c r="AL200" s="129"/>
      <c r="AM200" s="129"/>
      <c r="AN200" s="129"/>
      <c r="AO200" s="129"/>
      <c r="AP200" s="129"/>
      <c r="AQ200" s="130"/>
      <c r="AR200" s="130"/>
      <c r="AS200" s="129"/>
      <c r="AT200" s="129"/>
      <c r="AU200" s="129"/>
      <c r="AV200" s="129"/>
      <c r="AW200" s="129"/>
      <c r="AX200" s="129"/>
      <c r="AY200" s="129"/>
      <c r="AZ200" s="129"/>
      <c r="BA200" s="129"/>
      <c r="BB200" s="129"/>
      <c r="BC200" s="129"/>
      <c r="BD200" s="129"/>
      <c r="BE200" s="129"/>
      <c r="BF200" s="129"/>
      <c r="BG200" s="129"/>
      <c r="BH200" s="129"/>
      <c r="BI200" s="129"/>
      <c r="BJ200" s="129"/>
      <c r="BK200" s="129"/>
      <c r="BL200" s="129"/>
      <c r="BM200" s="129"/>
      <c r="BN200" s="129"/>
      <c r="BO200" s="129"/>
      <c r="BP200" s="129"/>
      <c r="BQ200" s="129"/>
    </row>
    <row r="201" spans="1:69" s="139" customFormat="1" x14ac:dyDescent="0.25">
      <c r="A201" s="157"/>
      <c r="B201" s="137"/>
      <c r="C201" s="129"/>
      <c r="G201" s="140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28"/>
      <c r="AC201" s="128"/>
      <c r="AD201" s="128"/>
      <c r="AE201" s="128"/>
      <c r="AF201" s="128"/>
      <c r="AG201" s="129"/>
      <c r="AH201" s="129"/>
      <c r="AI201" s="129"/>
      <c r="AJ201" s="129"/>
      <c r="AK201" s="129"/>
      <c r="AL201" s="129"/>
      <c r="AM201" s="129"/>
      <c r="AN201" s="129"/>
      <c r="AO201" s="129"/>
      <c r="AP201" s="129"/>
      <c r="AQ201" s="130"/>
      <c r="AR201" s="130"/>
      <c r="AS201" s="129"/>
      <c r="AT201" s="129"/>
      <c r="AU201" s="129"/>
      <c r="AV201" s="129"/>
      <c r="AW201" s="129"/>
      <c r="AX201" s="129"/>
      <c r="AY201" s="129"/>
      <c r="AZ201" s="129"/>
      <c r="BA201" s="129"/>
      <c r="BB201" s="129"/>
      <c r="BC201" s="129"/>
      <c r="BD201" s="129"/>
      <c r="BE201" s="129"/>
      <c r="BF201" s="129"/>
      <c r="BG201" s="129"/>
      <c r="BH201" s="129"/>
      <c r="BI201" s="129"/>
      <c r="BJ201" s="129"/>
      <c r="BK201" s="129"/>
      <c r="BL201" s="129"/>
      <c r="BM201" s="129"/>
      <c r="BN201" s="129"/>
      <c r="BO201" s="129"/>
      <c r="BP201" s="129"/>
      <c r="BQ201" s="129"/>
    </row>
    <row r="202" spans="1:69" s="139" customFormat="1" x14ac:dyDescent="0.25">
      <c r="A202" s="157"/>
      <c r="B202" s="137"/>
      <c r="C202" s="129"/>
      <c r="G202" s="140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28"/>
      <c r="AC202" s="128"/>
      <c r="AD202" s="128"/>
      <c r="AE202" s="128"/>
      <c r="AF202" s="128"/>
      <c r="AG202" s="129"/>
      <c r="AH202" s="129"/>
      <c r="AI202" s="129"/>
      <c r="AJ202" s="129"/>
      <c r="AK202" s="129"/>
      <c r="AL202" s="129"/>
      <c r="AM202" s="129"/>
      <c r="AN202" s="129"/>
      <c r="AO202" s="129"/>
      <c r="AP202" s="129"/>
      <c r="AQ202" s="130"/>
      <c r="AR202" s="130"/>
      <c r="AS202" s="129"/>
      <c r="AT202" s="129"/>
      <c r="AU202" s="129"/>
      <c r="AV202" s="129"/>
      <c r="AW202" s="129"/>
      <c r="AX202" s="129"/>
      <c r="AY202" s="129"/>
      <c r="AZ202" s="129"/>
      <c r="BA202" s="129"/>
      <c r="BB202" s="129"/>
      <c r="BC202" s="129"/>
      <c r="BD202" s="129"/>
      <c r="BE202" s="129"/>
      <c r="BF202" s="129"/>
      <c r="BG202" s="129"/>
      <c r="BH202" s="129"/>
      <c r="BI202" s="129"/>
      <c r="BJ202" s="129"/>
      <c r="BK202" s="129"/>
      <c r="BL202" s="129"/>
      <c r="BM202" s="129"/>
      <c r="BN202" s="129"/>
      <c r="BO202" s="129"/>
      <c r="BP202" s="129"/>
      <c r="BQ202" s="129"/>
    </row>
    <row r="203" spans="1:69" s="139" customFormat="1" x14ac:dyDescent="0.25">
      <c r="A203" s="157"/>
      <c r="B203" s="137"/>
      <c r="C203" s="129"/>
      <c r="G203" s="140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28"/>
      <c r="AC203" s="128"/>
      <c r="AD203" s="128"/>
      <c r="AE203" s="128"/>
      <c r="AF203" s="128"/>
      <c r="AG203" s="129"/>
      <c r="AH203" s="129"/>
      <c r="AI203" s="129"/>
      <c r="AJ203" s="129"/>
      <c r="AK203" s="129"/>
      <c r="AL203" s="129"/>
      <c r="AM203" s="129"/>
      <c r="AN203" s="129"/>
      <c r="AO203" s="129"/>
      <c r="AP203" s="129"/>
      <c r="AQ203" s="130"/>
      <c r="AR203" s="130"/>
      <c r="AS203" s="129"/>
      <c r="AT203" s="129"/>
      <c r="AU203" s="129"/>
      <c r="AV203" s="129"/>
      <c r="AW203" s="129"/>
      <c r="AX203" s="129"/>
      <c r="AY203" s="129"/>
      <c r="AZ203" s="129"/>
      <c r="BA203" s="129"/>
      <c r="BB203" s="129"/>
      <c r="BC203" s="129"/>
      <c r="BD203" s="129"/>
      <c r="BE203" s="129"/>
      <c r="BF203" s="129"/>
      <c r="BG203" s="129"/>
      <c r="BH203" s="129"/>
      <c r="BI203" s="129"/>
      <c r="BJ203" s="129"/>
      <c r="BK203" s="129"/>
      <c r="BL203" s="129"/>
      <c r="BM203" s="129"/>
      <c r="BN203" s="129"/>
      <c r="BO203" s="129"/>
      <c r="BP203" s="129"/>
      <c r="BQ203" s="129"/>
    </row>
    <row r="204" spans="1:69" s="139" customFormat="1" x14ac:dyDescent="0.25">
      <c r="A204" s="157"/>
      <c r="B204" s="137"/>
      <c r="C204" s="129"/>
      <c r="G204" s="140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28"/>
      <c r="AC204" s="128"/>
      <c r="AD204" s="128"/>
      <c r="AE204" s="128"/>
      <c r="AF204" s="128"/>
      <c r="AG204" s="129"/>
      <c r="AH204" s="129"/>
      <c r="AI204" s="129"/>
      <c r="AJ204" s="129"/>
      <c r="AK204" s="129"/>
      <c r="AL204" s="129"/>
      <c r="AM204" s="129"/>
      <c r="AN204" s="129"/>
      <c r="AO204" s="129"/>
      <c r="AP204" s="129"/>
      <c r="AQ204" s="130"/>
      <c r="AR204" s="130"/>
      <c r="AS204" s="129"/>
      <c r="AT204" s="129"/>
      <c r="AU204" s="129"/>
      <c r="AV204" s="129"/>
      <c r="AW204" s="129"/>
      <c r="AX204" s="129"/>
      <c r="AY204" s="129"/>
      <c r="AZ204" s="129"/>
      <c r="BA204" s="129"/>
      <c r="BB204" s="129"/>
      <c r="BC204" s="129"/>
      <c r="BD204" s="129"/>
      <c r="BE204" s="129"/>
      <c r="BF204" s="129"/>
      <c r="BG204" s="129"/>
      <c r="BH204" s="129"/>
      <c r="BI204" s="129"/>
      <c r="BJ204" s="129"/>
      <c r="BK204" s="129"/>
      <c r="BL204" s="129"/>
      <c r="BM204" s="129"/>
      <c r="BN204" s="129"/>
      <c r="BO204" s="129"/>
      <c r="BP204" s="129"/>
      <c r="BQ204" s="129"/>
    </row>
    <row r="205" spans="1:69" s="139" customFormat="1" x14ac:dyDescent="0.25">
      <c r="A205" s="157"/>
      <c r="B205" s="137"/>
      <c r="C205" s="129"/>
      <c r="G205" s="140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28"/>
      <c r="AC205" s="128"/>
      <c r="AD205" s="128"/>
      <c r="AE205" s="128"/>
      <c r="AF205" s="128"/>
      <c r="AG205" s="129"/>
      <c r="AH205" s="129"/>
      <c r="AI205" s="129"/>
      <c r="AJ205" s="129"/>
      <c r="AK205" s="129"/>
      <c r="AL205" s="129"/>
      <c r="AM205" s="129"/>
      <c r="AN205" s="129"/>
      <c r="AO205" s="129"/>
      <c r="AP205" s="129"/>
      <c r="AQ205" s="130"/>
      <c r="AR205" s="130"/>
      <c r="AS205" s="129"/>
      <c r="AT205" s="129"/>
      <c r="AU205" s="129"/>
      <c r="AV205" s="129"/>
      <c r="AW205" s="129"/>
      <c r="AX205" s="129"/>
      <c r="AY205" s="129"/>
      <c r="AZ205" s="129"/>
      <c r="BA205" s="129"/>
      <c r="BB205" s="129"/>
      <c r="BC205" s="129"/>
      <c r="BD205" s="129"/>
      <c r="BE205" s="129"/>
      <c r="BF205" s="129"/>
      <c r="BG205" s="129"/>
      <c r="BH205" s="129"/>
      <c r="BI205" s="129"/>
      <c r="BJ205" s="129"/>
      <c r="BK205" s="129"/>
      <c r="BL205" s="129"/>
      <c r="BM205" s="129"/>
      <c r="BN205" s="129"/>
      <c r="BO205" s="129"/>
      <c r="BP205" s="129"/>
      <c r="BQ205" s="129"/>
    </row>
    <row r="206" spans="1:69" s="139" customFormat="1" x14ac:dyDescent="0.25">
      <c r="A206" s="157"/>
      <c r="B206" s="137"/>
      <c r="C206" s="129"/>
      <c r="G206" s="140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28"/>
      <c r="AC206" s="128"/>
      <c r="AD206" s="128"/>
      <c r="AE206" s="128"/>
      <c r="AF206" s="128"/>
      <c r="AG206" s="129"/>
      <c r="AH206" s="129"/>
      <c r="AI206" s="129"/>
      <c r="AJ206" s="129"/>
      <c r="AK206" s="129"/>
      <c r="AL206" s="129"/>
      <c r="AM206" s="129"/>
      <c r="AN206" s="129"/>
      <c r="AO206" s="129"/>
      <c r="AP206" s="129"/>
      <c r="AQ206" s="130"/>
      <c r="AR206" s="130"/>
      <c r="AS206" s="129"/>
      <c r="AT206" s="129"/>
      <c r="AU206" s="129"/>
      <c r="AV206" s="129"/>
      <c r="AW206" s="129"/>
      <c r="AX206" s="129"/>
      <c r="AY206" s="129"/>
      <c r="AZ206" s="129"/>
      <c r="BA206" s="129"/>
      <c r="BB206" s="129"/>
      <c r="BC206" s="129"/>
      <c r="BD206" s="129"/>
      <c r="BE206" s="129"/>
      <c r="BF206" s="129"/>
      <c r="BG206" s="129"/>
      <c r="BH206" s="129"/>
      <c r="BI206" s="129"/>
      <c r="BJ206" s="129"/>
      <c r="BK206" s="129"/>
      <c r="BL206" s="129"/>
      <c r="BM206" s="129"/>
      <c r="BN206" s="129"/>
      <c r="BO206" s="129"/>
      <c r="BP206" s="129"/>
      <c r="BQ206" s="129"/>
    </row>
    <row r="207" spans="1:69" s="139" customFormat="1" x14ac:dyDescent="0.25">
      <c r="A207" s="157"/>
      <c r="B207" s="137"/>
      <c r="C207" s="129"/>
      <c r="G207" s="140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28"/>
      <c r="AC207" s="128"/>
      <c r="AD207" s="128"/>
      <c r="AE207" s="128"/>
      <c r="AF207" s="128"/>
      <c r="AG207" s="129"/>
      <c r="AH207" s="129"/>
      <c r="AI207" s="129"/>
      <c r="AJ207" s="129"/>
      <c r="AK207" s="129"/>
      <c r="AL207" s="129"/>
      <c r="AM207" s="129"/>
      <c r="AN207" s="129"/>
      <c r="AO207" s="129"/>
      <c r="AP207" s="129"/>
      <c r="AQ207" s="130"/>
      <c r="AR207" s="130"/>
      <c r="AS207" s="129"/>
      <c r="AT207" s="129"/>
      <c r="AU207" s="129"/>
      <c r="AV207" s="129"/>
      <c r="AW207" s="129"/>
      <c r="AX207" s="129"/>
      <c r="AY207" s="129"/>
      <c r="AZ207" s="129"/>
      <c r="BA207" s="129"/>
      <c r="BB207" s="129"/>
      <c r="BC207" s="129"/>
      <c r="BD207" s="129"/>
      <c r="BE207" s="129"/>
      <c r="BF207" s="129"/>
      <c r="BG207" s="129"/>
      <c r="BH207" s="129"/>
      <c r="BI207" s="129"/>
      <c r="BJ207" s="129"/>
      <c r="BK207" s="129"/>
      <c r="BL207" s="129"/>
      <c r="BM207" s="129"/>
      <c r="BN207" s="129"/>
      <c r="BO207" s="129"/>
      <c r="BP207" s="129"/>
      <c r="BQ207" s="129"/>
    </row>
    <row r="208" spans="1:69" s="139" customFormat="1" x14ac:dyDescent="0.25">
      <c r="A208" s="157"/>
      <c r="B208" s="137"/>
      <c r="C208" s="129"/>
      <c r="G208" s="140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28"/>
      <c r="AC208" s="128"/>
      <c r="AD208" s="128"/>
      <c r="AE208" s="128"/>
      <c r="AF208" s="128"/>
      <c r="AG208" s="129"/>
      <c r="AH208" s="129"/>
      <c r="AI208" s="129"/>
      <c r="AJ208" s="129"/>
      <c r="AK208" s="129"/>
      <c r="AL208" s="129"/>
      <c r="AM208" s="129"/>
      <c r="AN208" s="129"/>
      <c r="AO208" s="129"/>
      <c r="AP208" s="129"/>
      <c r="AQ208" s="130"/>
      <c r="AR208" s="130"/>
      <c r="AS208" s="129"/>
      <c r="AT208" s="129"/>
      <c r="AU208" s="129"/>
      <c r="AV208" s="129"/>
      <c r="AW208" s="129"/>
      <c r="AX208" s="129"/>
      <c r="AY208" s="129"/>
      <c r="AZ208" s="129"/>
      <c r="BA208" s="129"/>
      <c r="BB208" s="129"/>
      <c r="BC208" s="129"/>
      <c r="BD208" s="129"/>
      <c r="BE208" s="129"/>
      <c r="BF208" s="129"/>
      <c r="BG208" s="129"/>
      <c r="BH208" s="129"/>
      <c r="BI208" s="129"/>
      <c r="BJ208" s="129"/>
      <c r="BK208" s="129"/>
      <c r="BL208" s="129"/>
      <c r="BM208" s="129"/>
      <c r="BN208" s="129"/>
      <c r="BO208" s="129"/>
      <c r="BP208" s="129"/>
      <c r="BQ208" s="129"/>
    </row>
    <row r="209" spans="1:69" s="139" customFormat="1" x14ac:dyDescent="0.25">
      <c r="A209" s="157"/>
      <c r="B209" s="137"/>
      <c r="C209" s="129"/>
      <c r="G209" s="140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28"/>
      <c r="AC209" s="128"/>
      <c r="AD209" s="128"/>
      <c r="AE209" s="128"/>
      <c r="AF209" s="128"/>
      <c r="AG209" s="129"/>
      <c r="AH209" s="129"/>
      <c r="AI209" s="129"/>
      <c r="AJ209" s="129"/>
      <c r="AK209" s="129"/>
      <c r="AL209" s="129"/>
      <c r="AM209" s="129"/>
      <c r="AN209" s="129"/>
      <c r="AO209" s="129"/>
      <c r="AP209" s="129"/>
      <c r="AQ209" s="130"/>
      <c r="AR209" s="130"/>
      <c r="AS209" s="129"/>
      <c r="AT209" s="129"/>
      <c r="AU209" s="129"/>
      <c r="AV209" s="129"/>
      <c r="AW209" s="129"/>
      <c r="AX209" s="129"/>
      <c r="AY209" s="129"/>
      <c r="AZ209" s="129"/>
      <c r="BA209" s="129"/>
      <c r="BB209" s="129"/>
      <c r="BC209" s="129"/>
      <c r="BD209" s="129"/>
      <c r="BE209" s="129"/>
      <c r="BF209" s="129"/>
      <c r="BG209" s="129"/>
      <c r="BH209" s="129"/>
      <c r="BI209" s="129"/>
      <c r="BJ209" s="129"/>
      <c r="BK209" s="129"/>
      <c r="BL209" s="129"/>
      <c r="BM209" s="129"/>
      <c r="BN209" s="129"/>
      <c r="BO209" s="129"/>
      <c r="BP209" s="129"/>
      <c r="BQ209" s="129"/>
    </row>
    <row r="210" spans="1:69" s="139" customFormat="1" x14ac:dyDescent="0.25">
      <c r="A210" s="157"/>
      <c r="B210" s="137"/>
      <c r="C210" s="129"/>
      <c r="G210" s="140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28"/>
      <c r="AC210" s="128"/>
      <c r="AD210" s="128"/>
      <c r="AE210" s="128"/>
      <c r="AF210" s="128"/>
      <c r="AG210" s="129"/>
      <c r="AH210" s="129"/>
      <c r="AI210" s="129"/>
      <c r="AJ210" s="129"/>
      <c r="AK210" s="129"/>
      <c r="AL210" s="129"/>
      <c r="AM210" s="129"/>
      <c r="AN210" s="129"/>
      <c r="AO210" s="129"/>
      <c r="AP210" s="129"/>
      <c r="AQ210" s="130"/>
      <c r="AR210" s="130"/>
      <c r="AS210" s="129"/>
      <c r="AT210" s="129"/>
      <c r="AU210" s="129"/>
      <c r="AV210" s="129"/>
      <c r="AW210" s="129"/>
      <c r="AX210" s="129"/>
      <c r="AY210" s="129"/>
      <c r="AZ210" s="129"/>
      <c r="BA210" s="129"/>
      <c r="BB210" s="129"/>
      <c r="BC210" s="129"/>
      <c r="BD210" s="129"/>
      <c r="BE210" s="129"/>
      <c r="BF210" s="129"/>
      <c r="BG210" s="129"/>
      <c r="BH210" s="129"/>
      <c r="BI210" s="129"/>
      <c r="BJ210" s="129"/>
      <c r="BK210" s="129"/>
      <c r="BL210" s="129"/>
      <c r="BM210" s="129"/>
      <c r="BN210" s="129"/>
      <c r="BO210" s="129"/>
      <c r="BP210" s="129"/>
      <c r="BQ210" s="129"/>
    </row>
    <row r="211" spans="1:69" s="139" customFormat="1" x14ac:dyDescent="0.25">
      <c r="A211" s="157"/>
      <c r="B211" s="137"/>
      <c r="C211" s="129"/>
      <c r="G211" s="140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28"/>
      <c r="AC211" s="128"/>
      <c r="AD211" s="128"/>
      <c r="AE211" s="128"/>
      <c r="AF211" s="128"/>
      <c r="AG211" s="129"/>
      <c r="AH211" s="129"/>
      <c r="AI211" s="129"/>
      <c r="AJ211" s="129"/>
      <c r="AK211" s="129"/>
      <c r="AL211" s="129"/>
      <c r="AM211" s="129"/>
      <c r="AN211" s="129"/>
      <c r="AO211" s="129"/>
      <c r="AP211" s="129"/>
      <c r="AQ211" s="130"/>
      <c r="AR211" s="130"/>
      <c r="AS211" s="129"/>
      <c r="AT211" s="129"/>
      <c r="AU211" s="129"/>
      <c r="AV211" s="129"/>
      <c r="AW211" s="129"/>
      <c r="AX211" s="129"/>
      <c r="AY211" s="129"/>
      <c r="AZ211" s="129"/>
      <c r="BA211" s="129"/>
      <c r="BB211" s="129"/>
      <c r="BC211" s="129"/>
      <c r="BD211" s="129"/>
      <c r="BE211" s="129"/>
      <c r="BF211" s="129"/>
      <c r="BG211" s="129"/>
      <c r="BH211" s="129"/>
      <c r="BI211" s="129"/>
      <c r="BJ211" s="129"/>
      <c r="BK211" s="129"/>
      <c r="BL211" s="129"/>
      <c r="BM211" s="129"/>
      <c r="BN211" s="129"/>
      <c r="BO211" s="129"/>
      <c r="BP211" s="129"/>
      <c r="BQ211" s="129"/>
    </row>
    <row r="212" spans="1:69" s="139" customFormat="1" x14ac:dyDescent="0.25">
      <c r="A212" s="157"/>
      <c r="B212" s="137"/>
      <c r="C212" s="129"/>
      <c r="G212" s="140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28"/>
      <c r="AC212" s="128"/>
      <c r="AD212" s="128"/>
      <c r="AE212" s="128"/>
      <c r="AF212" s="128"/>
      <c r="AG212" s="129"/>
      <c r="AH212" s="129"/>
      <c r="AI212" s="129"/>
      <c r="AJ212" s="129"/>
      <c r="AK212" s="129"/>
      <c r="AL212" s="129"/>
      <c r="AM212" s="129"/>
      <c r="AN212" s="129"/>
      <c r="AO212" s="129"/>
      <c r="AP212" s="129"/>
      <c r="AQ212" s="130"/>
      <c r="AR212" s="130"/>
      <c r="AS212" s="129"/>
      <c r="AT212" s="129"/>
      <c r="AU212" s="129"/>
      <c r="AV212" s="129"/>
      <c r="AW212" s="129"/>
      <c r="AX212" s="129"/>
      <c r="AY212" s="129"/>
      <c r="AZ212" s="129"/>
      <c r="BA212" s="129"/>
      <c r="BB212" s="129"/>
      <c r="BC212" s="129"/>
      <c r="BD212" s="129"/>
      <c r="BE212" s="129"/>
      <c r="BF212" s="129"/>
      <c r="BG212" s="129"/>
      <c r="BH212" s="129"/>
      <c r="BI212" s="129"/>
      <c r="BJ212" s="129"/>
      <c r="BK212" s="129"/>
      <c r="BL212" s="129"/>
      <c r="BM212" s="129"/>
      <c r="BN212" s="129"/>
      <c r="BO212" s="129"/>
      <c r="BP212" s="129"/>
      <c r="BQ212" s="129"/>
    </row>
    <row r="213" spans="1:69" s="139" customFormat="1" x14ac:dyDescent="0.25">
      <c r="A213" s="157"/>
      <c r="B213" s="137"/>
      <c r="C213" s="129"/>
      <c r="G213" s="140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28"/>
      <c r="AC213" s="128"/>
      <c r="AD213" s="128"/>
      <c r="AE213" s="128"/>
      <c r="AF213" s="128"/>
      <c r="AG213" s="129"/>
      <c r="AH213" s="129"/>
      <c r="AI213" s="129"/>
      <c r="AJ213" s="129"/>
      <c r="AK213" s="129"/>
      <c r="AL213" s="129"/>
      <c r="AM213" s="129"/>
      <c r="AN213" s="129"/>
      <c r="AO213" s="129"/>
      <c r="AP213" s="129"/>
      <c r="AQ213" s="130"/>
      <c r="AR213" s="130"/>
      <c r="AS213" s="129"/>
      <c r="AT213" s="129"/>
      <c r="AU213" s="129"/>
      <c r="AV213" s="129"/>
      <c r="AW213" s="129"/>
      <c r="AX213" s="129"/>
      <c r="AY213" s="129"/>
      <c r="AZ213" s="129"/>
      <c r="BA213" s="129"/>
      <c r="BB213" s="129"/>
      <c r="BC213" s="129"/>
      <c r="BD213" s="129"/>
      <c r="BE213" s="129"/>
      <c r="BF213" s="129"/>
      <c r="BG213" s="129"/>
      <c r="BH213" s="129"/>
      <c r="BI213" s="129"/>
      <c r="BJ213" s="129"/>
      <c r="BK213" s="129"/>
      <c r="BL213" s="129"/>
      <c r="BM213" s="129"/>
      <c r="BN213" s="129"/>
      <c r="BO213" s="129"/>
      <c r="BP213" s="129"/>
      <c r="BQ213" s="129"/>
    </row>
    <row r="214" spans="1:69" s="139" customFormat="1" x14ac:dyDescent="0.25">
      <c r="A214" s="157"/>
      <c r="B214" s="137"/>
      <c r="C214" s="129"/>
      <c r="G214" s="140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28"/>
      <c r="AC214" s="128"/>
      <c r="AD214" s="128"/>
      <c r="AE214" s="128"/>
      <c r="AF214" s="128"/>
      <c r="AG214" s="129"/>
      <c r="AH214" s="129"/>
      <c r="AI214" s="129"/>
      <c r="AJ214" s="129"/>
      <c r="AK214" s="129"/>
      <c r="AL214" s="129"/>
      <c r="AM214" s="129"/>
      <c r="AN214" s="129"/>
      <c r="AO214" s="129"/>
      <c r="AP214" s="129"/>
      <c r="AQ214" s="130"/>
      <c r="AR214" s="130"/>
      <c r="AS214" s="129"/>
      <c r="AT214" s="129"/>
      <c r="AU214" s="129"/>
      <c r="AV214" s="129"/>
      <c r="AW214" s="129"/>
      <c r="AX214" s="129"/>
      <c r="AY214" s="129"/>
      <c r="AZ214" s="129"/>
      <c r="BA214" s="129"/>
      <c r="BB214" s="129"/>
      <c r="BC214" s="129"/>
      <c r="BD214" s="129"/>
      <c r="BE214" s="129"/>
      <c r="BF214" s="129"/>
      <c r="BG214" s="129"/>
      <c r="BH214" s="129"/>
      <c r="BI214" s="129"/>
      <c r="BJ214" s="129"/>
      <c r="BK214" s="129"/>
      <c r="BL214" s="129"/>
      <c r="BM214" s="129"/>
      <c r="BN214" s="129"/>
      <c r="BO214" s="129"/>
      <c r="BP214" s="129"/>
      <c r="BQ214" s="129"/>
    </row>
    <row r="215" spans="1:69" s="139" customFormat="1" x14ac:dyDescent="0.25">
      <c r="A215" s="157"/>
      <c r="B215" s="137"/>
      <c r="C215" s="129"/>
      <c r="G215" s="140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28"/>
      <c r="AC215" s="128"/>
      <c r="AD215" s="128"/>
      <c r="AE215" s="128"/>
      <c r="AF215" s="128"/>
      <c r="AG215" s="129"/>
      <c r="AH215" s="129"/>
      <c r="AI215" s="129"/>
      <c r="AJ215" s="129"/>
      <c r="AK215" s="129"/>
      <c r="AL215" s="129"/>
      <c r="AM215" s="129"/>
      <c r="AN215" s="129"/>
      <c r="AO215" s="129"/>
      <c r="AP215" s="129"/>
      <c r="AQ215" s="130"/>
      <c r="AR215" s="130"/>
      <c r="AS215" s="129"/>
      <c r="AT215" s="129"/>
      <c r="AU215" s="129"/>
      <c r="AV215" s="129"/>
      <c r="AW215" s="129"/>
      <c r="AX215" s="129"/>
      <c r="AY215" s="129"/>
      <c r="AZ215" s="129"/>
      <c r="BA215" s="129"/>
      <c r="BB215" s="129"/>
      <c r="BC215" s="129"/>
      <c r="BD215" s="129"/>
      <c r="BE215" s="129"/>
      <c r="BF215" s="129"/>
      <c r="BG215" s="129"/>
      <c r="BH215" s="129"/>
      <c r="BI215" s="129"/>
      <c r="BJ215" s="129"/>
      <c r="BK215" s="129"/>
      <c r="BL215" s="129"/>
      <c r="BM215" s="129"/>
      <c r="BN215" s="129"/>
      <c r="BO215" s="129"/>
      <c r="BP215" s="129"/>
      <c r="BQ215" s="129"/>
    </row>
    <row r="216" spans="1:69" s="139" customFormat="1" x14ac:dyDescent="0.25">
      <c r="A216" s="157"/>
      <c r="B216" s="137"/>
      <c r="C216" s="129"/>
      <c r="G216" s="140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28"/>
      <c r="AC216" s="128"/>
      <c r="AD216" s="128"/>
      <c r="AE216" s="128"/>
      <c r="AF216" s="128"/>
      <c r="AG216" s="129"/>
      <c r="AH216" s="129"/>
      <c r="AI216" s="129"/>
      <c r="AJ216" s="129"/>
      <c r="AK216" s="129"/>
      <c r="AL216" s="129"/>
      <c r="AM216" s="129"/>
      <c r="AN216" s="129"/>
      <c r="AO216" s="129"/>
      <c r="AP216" s="129"/>
      <c r="AQ216" s="130"/>
      <c r="AR216" s="130"/>
      <c r="AS216" s="129"/>
      <c r="AT216" s="129"/>
      <c r="AU216" s="129"/>
      <c r="AV216" s="129"/>
      <c r="AW216" s="129"/>
      <c r="AX216" s="129"/>
      <c r="AY216" s="129"/>
      <c r="AZ216" s="129"/>
      <c r="BA216" s="129"/>
      <c r="BB216" s="129"/>
      <c r="BC216" s="129"/>
      <c r="BD216" s="129"/>
      <c r="BE216" s="129"/>
      <c r="BF216" s="129"/>
      <c r="BG216" s="129"/>
      <c r="BH216" s="129"/>
      <c r="BI216" s="129"/>
      <c r="BJ216" s="129"/>
      <c r="BK216" s="129"/>
      <c r="BL216" s="129"/>
      <c r="BM216" s="129"/>
      <c r="BN216" s="129"/>
      <c r="BO216" s="129"/>
      <c r="BP216" s="129"/>
      <c r="BQ216" s="129"/>
    </row>
    <row r="217" spans="1:69" s="139" customFormat="1" x14ac:dyDescent="0.25">
      <c r="A217" s="157"/>
      <c r="B217" s="137"/>
      <c r="C217" s="129"/>
      <c r="G217" s="140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28"/>
      <c r="AC217" s="128"/>
      <c r="AD217" s="128"/>
      <c r="AE217" s="128"/>
      <c r="AF217" s="128"/>
      <c r="AG217" s="129"/>
      <c r="AH217" s="129"/>
      <c r="AI217" s="129"/>
      <c r="AJ217" s="129"/>
      <c r="AK217" s="129"/>
      <c r="AL217" s="129"/>
      <c r="AM217" s="129"/>
      <c r="AN217" s="129"/>
      <c r="AO217" s="129"/>
      <c r="AP217" s="129"/>
      <c r="AQ217" s="130"/>
      <c r="AR217" s="130"/>
      <c r="AS217" s="129"/>
      <c r="AT217" s="129"/>
      <c r="AU217" s="129"/>
      <c r="AV217" s="129"/>
      <c r="AW217" s="129"/>
      <c r="AX217" s="129"/>
      <c r="AY217" s="129"/>
      <c r="AZ217" s="129"/>
      <c r="BA217" s="129"/>
      <c r="BB217" s="129"/>
      <c r="BC217" s="129"/>
      <c r="BD217" s="129"/>
      <c r="BE217" s="129"/>
      <c r="BF217" s="129"/>
      <c r="BG217" s="129"/>
      <c r="BH217" s="129"/>
      <c r="BI217" s="129"/>
      <c r="BJ217" s="129"/>
      <c r="BK217" s="129"/>
      <c r="BL217" s="129"/>
      <c r="BM217" s="129"/>
      <c r="BN217" s="129"/>
      <c r="BO217" s="129"/>
      <c r="BP217" s="129"/>
      <c r="BQ217" s="129"/>
    </row>
    <row r="218" spans="1:69" s="139" customFormat="1" x14ac:dyDescent="0.25">
      <c r="A218" s="157"/>
      <c r="B218" s="137"/>
      <c r="C218" s="129"/>
      <c r="G218" s="140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28"/>
      <c r="AC218" s="128"/>
      <c r="AD218" s="128"/>
      <c r="AE218" s="128"/>
      <c r="AF218" s="128"/>
      <c r="AG218" s="129"/>
      <c r="AH218" s="129"/>
      <c r="AI218" s="129"/>
      <c r="AJ218" s="129"/>
      <c r="AK218" s="129"/>
      <c r="AL218" s="129"/>
      <c r="AM218" s="129"/>
      <c r="AN218" s="129"/>
      <c r="AO218" s="129"/>
      <c r="AP218" s="129"/>
      <c r="AQ218" s="130"/>
      <c r="AR218" s="130"/>
      <c r="AS218" s="129"/>
      <c r="AT218" s="129"/>
      <c r="AU218" s="129"/>
      <c r="AV218" s="129"/>
      <c r="AW218" s="129"/>
      <c r="AX218" s="129"/>
      <c r="AY218" s="129"/>
      <c r="AZ218" s="129"/>
      <c r="BA218" s="129"/>
      <c r="BB218" s="129"/>
      <c r="BC218" s="129"/>
      <c r="BD218" s="129"/>
      <c r="BE218" s="129"/>
      <c r="BF218" s="129"/>
      <c r="BG218" s="129"/>
      <c r="BH218" s="129"/>
      <c r="BI218" s="129"/>
      <c r="BJ218" s="129"/>
      <c r="BK218" s="129"/>
      <c r="BL218" s="129"/>
      <c r="BM218" s="129"/>
      <c r="BN218" s="129"/>
      <c r="BO218" s="129"/>
      <c r="BP218" s="129"/>
      <c r="BQ218" s="129"/>
    </row>
    <row r="219" spans="1:69" s="139" customFormat="1" x14ac:dyDescent="0.25">
      <c r="A219" s="157"/>
      <c r="B219" s="137"/>
      <c r="C219" s="129"/>
      <c r="G219" s="140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28"/>
      <c r="AC219" s="128"/>
      <c r="AD219" s="128"/>
      <c r="AE219" s="128"/>
      <c r="AF219" s="128"/>
      <c r="AG219" s="129"/>
      <c r="AH219" s="129"/>
      <c r="AI219" s="129"/>
      <c r="AJ219" s="129"/>
      <c r="AK219" s="129"/>
      <c r="AL219" s="129"/>
      <c r="AM219" s="129"/>
      <c r="AN219" s="129"/>
      <c r="AO219" s="129"/>
      <c r="AP219" s="129"/>
      <c r="AQ219" s="130"/>
      <c r="AR219" s="130"/>
      <c r="AS219" s="129"/>
      <c r="AT219" s="129"/>
      <c r="AU219" s="129"/>
      <c r="AV219" s="129"/>
      <c r="AW219" s="129"/>
      <c r="AX219" s="129"/>
      <c r="AY219" s="129"/>
      <c r="AZ219" s="129"/>
      <c r="BA219" s="129"/>
      <c r="BB219" s="129"/>
      <c r="BC219" s="129"/>
      <c r="BD219" s="129"/>
      <c r="BE219" s="129"/>
      <c r="BF219" s="129"/>
      <c r="BG219" s="129"/>
      <c r="BH219" s="129"/>
      <c r="BI219" s="129"/>
      <c r="BJ219" s="129"/>
      <c r="BK219" s="129"/>
      <c r="BL219" s="129"/>
      <c r="BM219" s="129"/>
      <c r="BN219" s="129"/>
      <c r="BO219" s="129"/>
      <c r="BP219" s="129"/>
      <c r="BQ219" s="129"/>
    </row>
    <row r="220" spans="1:69" s="139" customFormat="1" x14ac:dyDescent="0.25">
      <c r="A220" s="157"/>
      <c r="B220" s="137"/>
      <c r="C220" s="129"/>
      <c r="G220" s="140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28"/>
      <c r="AC220" s="128"/>
      <c r="AD220" s="128"/>
      <c r="AE220" s="128"/>
      <c r="AF220" s="128"/>
      <c r="AG220" s="129"/>
      <c r="AH220" s="129"/>
      <c r="AI220" s="129"/>
      <c r="AJ220" s="129"/>
      <c r="AK220" s="129"/>
      <c r="AL220" s="129"/>
      <c r="AM220" s="129"/>
      <c r="AN220" s="129"/>
      <c r="AO220" s="129"/>
      <c r="AP220" s="129"/>
      <c r="AQ220" s="130"/>
      <c r="AR220" s="130"/>
      <c r="AS220" s="129"/>
      <c r="AT220" s="129"/>
      <c r="AU220" s="129"/>
      <c r="AV220" s="129"/>
      <c r="AW220" s="129"/>
      <c r="AX220" s="129"/>
      <c r="AY220" s="129"/>
      <c r="AZ220" s="129"/>
      <c r="BA220" s="129"/>
      <c r="BB220" s="129"/>
      <c r="BC220" s="129"/>
      <c r="BD220" s="129"/>
      <c r="BE220" s="129"/>
      <c r="BF220" s="129"/>
      <c r="BG220" s="129"/>
      <c r="BH220" s="129"/>
      <c r="BI220" s="129"/>
      <c r="BJ220" s="129"/>
      <c r="BK220" s="129"/>
      <c r="BL220" s="129"/>
      <c r="BM220" s="129"/>
      <c r="BN220" s="129"/>
      <c r="BO220" s="129"/>
      <c r="BP220" s="129"/>
      <c r="BQ220" s="129"/>
    </row>
    <row r="221" spans="1:69" s="139" customFormat="1" x14ac:dyDescent="0.25">
      <c r="A221" s="157"/>
      <c r="B221" s="137"/>
      <c r="C221" s="129"/>
      <c r="G221" s="140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28"/>
      <c r="AC221" s="128"/>
      <c r="AD221" s="128"/>
      <c r="AE221" s="128"/>
      <c r="AF221" s="128"/>
      <c r="AG221" s="129"/>
      <c r="AH221" s="129"/>
      <c r="AI221" s="129"/>
      <c r="AJ221" s="129"/>
      <c r="AK221" s="129"/>
      <c r="AL221" s="129"/>
      <c r="AM221" s="129"/>
      <c r="AN221" s="129"/>
      <c r="AO221" s="129"/>
      <c r="AP221" s="129"/>
      <c r="AQ221" s="130"/>
      <c r="AR221" s="130"/>
      <c r="AS221" s="129"/>
      <c r="AT221" s="129"/>
      <c r="AU221" s="129"/>
      <c r="AV221" s="129"/>
      <c r="AW221" s="129"/>
      <c r="AX221" s="129"/>
      <c r="AY221" s="129"/>
      <c r="AZ221" s="129"/>
      <c r="BA221" s="129"/>
      <c r="BB221" s="129"/>
      <c r="BC221" s="129"/>
      <c r="BD221" s="129"/>
      <c r="BE221" s="129"/>
      <c r="BF221" s="129"/>
      <c r="BG221" s="129"/>
      <c r="BH221" s="129"/>
      <c r="BI221" s="129"/>
      <c r="BJ221" s="129"/>
      <c r="BK221" s="129"/>
      <c r="BL221" s="129"/>
      <c r="BM221" s="129"/>
      <c r="BN221" s="129"/>
      <c r="BO221" s="129"/>
      <c r="BP221" s="129"/>
      <c r="BQ221" s="129"/>
    </row>
    <row r="222" spans="1:69" s="139" customFormat="1" x14ac:dyDescent="0.25">
      <c r="A222" s="157"/>
      <c r="B222" s="137"/>
      <c r="C222" s="129"/>
      <c r="G222" s="140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28"/>
      <c r="AC222" s="128"/>
      <c r="AD222" s="128"/>
      <c r="AE222" s="128"/>
      <c r="AF222" s="128"/>
      <c r="AG222" s="129"/>
      <c r="AH222" s="129"/>
      <c r="AI222" s="129"/>
      <c r="AJ222" s="129"/>
      <c r="AK222" s="129"/>
      <c r="AL222" s="129"/>
      <c r="AM222" s="129"/>
      <c r="AN222" s="129"/>
      <c r="AO222" s="129"/>
      <c r="AP222" s="129"/>
      <c r="AQ222" s="130"/>
      <c r="AR222" s="130"/>
      <c r="AS222" s="129"/>
      <c r="AT222" s="129"/>
      <c r="AU222" s="129"/>
      <c r="AV222" s="129"/>
      <c r="AW222" s="129"/>
      <c r="AX222" s="129"/>
      <c r="AY222" s="129"/>
      <c r="AZ222" s="129"/>
      <c r="BA222" s="129"/>
      <c r="BB222" s="129"/>
      <c r="BC222" s="129"/>
      <c r="BD222" s="129"/>
      <c r="BE222" s="129"/>
      <c r="BF222" s="129"/>
      <c r="BG222" s="129"/>
      <c r="BH222" s="129"/>
      <c r="BI222" s="129"/>
      <c r="BJ222" s="129"/>
      <c r="BK222" s="129"/>
      <c r="BL222" s="129"/>
      <c r="BM222" s="129"/>
      <c r="BN222" s="129"/>
      <c r="BO222" s="129"/>
      <c r="BP222" s="129"/>
      <c r="BQ222" s="129"/>
    </row>
    <row r="223" spans="1:69" s="139" customFormat="1" x14ac:dyDescent="0.25">
      <c r="A223" s="157"/>
      <c r="B223" s="137"/>
      <c r="C223" s="129"/>
      <c r="G223" s="140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28"/>
      <c r="AC223" s="128"/>
      <c r="AD223" s="128"/>
      <c r="AE223" s="128"/>
      <c r="AF223" s="128"/>
      <c r="AG223" s="129"/>
      <c r="AH223" s="129"/>
      <c r="AI223" s="129"/>
      <c r="AJ223" s="129"/>
      <c r="AK223" s="129"/>
      <c r="AL223" s="129"/>
      <c r="AM223" s="129"/>
      <c r="AN223" s="129"/>
      <c r="AO223" s="129"/>
      <c r="AP223" s="129"/>
      <c r="AQ223" s="130"/>
      <c r="AR223" s="130"/>
      <c r="AS223" s="129"/>
      <c r="AT223" s="129"/>
      <c r="AU223" s="129"/>
      <c r="AV223" s="129"/>
      <c r="AW223" s="129"/>
      <c r="AX223" s="129"/>
      <c r="AY223" s="129"/>
      <c r="AZ223" s="129"/>
      <c r="BA223" s="129"/>
      <c r="BB223" s="129"/>
      <c r="BC223" s="129"/>
      <c r="BD223" s="129"/>
      <c r="BE223" s="129"/>
      <c r="BF223" s="129"/>
      <c r="BG223" s="129"/>
      <c r="BH223" s="129"/>
      <c r="BI223" s="129"/>
      <c r="BJ223" s="129"/>
      <c r="BK223" s="129"/>
      <c r="BL223" s="129"/>
      <c r="BM223" s="129"/>
      <c r="BN223" s="129"/>
      <c r="BO223" s="129"/>
      <c r="BP223" s="129"/>
      <c r="BQ223" s="129"/>
    </row>
    <row r="224" spans="1:69" s="139" customFormat="1" x14ac:dyDescent="0.25">
      <c r="A224" s="157"/>
      <c r="B224" s="137"/>
      <c r="C224" s="129"/>
      <c r="G224" s="140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28"/>
      <c r="AC224" s="128"/>
      <c r="AD224" s="128"/>
      <c r="AE224" s="128"/>
      <c r="AF224" s="128"/>
      <c r="AG224" s="129"/>
      <c r="AH224" s="129"/>
      <c r="AI224" s="129"/>
      <c r="AJ224" s="129"/>
      <c r="AK224" s="129"/>
      <c r="AL224" s="129"/>
      <c r="AM224" s="129"/>
      <c r="AN224" s="129"/>
      <c r="AO224" s="129"/>
      <c r="AP224" s="129"/>
      <c r="AQ224" s="130"/>
      <c r="AR224" s="130"/>
      <c r="AS224" s="129"/>
      <c r="AT224" s="129"/>
      <c r="AU224" s="129"/>
      <c r="AV224" s="129"/>
      <c r="AW224" s="129"/>
      <c r="AX224" s="129"/>
      <c r="AY224" s="129"/>
      <c r="AZ224" s="129"/>
      <c r="BA224" s="129"/>
      <c r="BB224" s="129"/>
      <c r="BC224" s="129"/>
      <c r="BD224" s="129"/>
      <c r="BE224" s="129"/>
      <c r="BF224" s="129"/>
      <c r="BG224" s="129"/>
      <c r="BH224" s="129"/>
      <c r="BI224" s="129"/>
      <c r="BJ224" s="129"/>
      <c r="BK224" s="129"/>
      <c r="BL224" s="129"/>
      <c r="BM224" s="129"/>
      <c r="BN224" s="129"/>
      <c r="BO224" s="129"/>
      <c r="BP224" s="129"/>
      <c r="BQ224" s="129"/>
    </row>
    <row r="225" spans="1:69" s="139" customFormat="1" x14ac:dyDescent="0.25">
      <c r="A225" s="157"/>
      <c r="B225" s="137"/>
      <c r="C225" s="129"/>
      <c r="G225" s="140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28"/>
      <c r="AC225" s="128"/>
      <c r="AD225" s="128"/>
      <c r="AE225" s="128"/>
      <c r="AF225" s="128"/>
      <c r="AG225" s="129"/>
      <c r="AH225" s="129"/>
      <c r="AI225" s="129"/>
      <c r="AJ225" s="129"/>
      <c r="AK225" s="129"/>
      <c r="AL225" s="129"/>
      <c r="AM225" s="129"/>
      <c r="AN225" s="129"/>
      <c r="AO225" s="129"/>
      <c r="AP225" s="129"/>
      <c r="AQ225" s="130"/>
      <c r="AR225" s="130"/>
      <c r="AS225" s="129"/>
      <c r="AT225" s="129"/>
      <c r="AU225" s="129"/>
      <c r="AV225" s="129"/>
      <c r="AW225" s="129"/>
      <c r="AX225" s="129"/>
      <c r="AY225" s="129"/>
      <c r="AZ225" s="129"/>
      <c r="BA225" s="129"/>
      <c r="BB225" s="129"/>
      <c r="BC225" s="129"/>
      <c r="BD225" s="129"/>
      <c r="BE225" s="129"/>
      <c r="BF225" s="129"/>
      <c r="BG225" s="129"/>
      <c r="BH225" s="129"/>
      <c r="BI225" s="129"/>
      <c r="BJ225" s="129"/>
      <c r="BK225" s="129"/>
      <c r="BL225" s="129"/>
      <c r="BM225" s="129"/>
      <c r="BN225" s="129"/>
      <c r="BO225" s="129"/>
      <c r="BP225" s="129"/>
      <c r="BQ225" s="129"/>
    </row>
    <row r="226" spans="1:69" s="139" customFormat="1" x14ac:dyDescent="0.25">
      <c r="A226" s="157"/>
      <c r="B226" s="137"/>
      <c r="C226" s="129"/>
      <c r="G226" s="140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28"/>
      <c r="AC226" s="128"/>
      <c r="AD226" s="128"/>
      <c r="AE226" s="128"/>
      <c r="AF226" s="128"/>
      <c r="AG226" s="129"/>
      <c r="AH226" s="129"/>
      <c r="AI226" s="129"/>
      <c r="AJ226" s="129"/>
      <c r="AK226" s="129"/>
      <c r="AL226" s="129"/>
      <c r="AM226" s="129"/>
      <c r="AN226" s="129"/>
      <c r="AO226" s="129"/>
      <c r="AP226" s="129"/>
      <c r="AQ226" s="130"/>
      <c r="AR226" s="130"/>
      <c r="AS226" s="129"/>
      <c r="AT226" s="129"/>
      <c r="AU226" s="129"/>
      <c r="AV226" s="129"/>
      <c r="AW226" s="129"/>
      <c r="AX226" s="129"/>
      <c r="AY226" s="129"/>
      <c r="AZ226" s="129"/>
      <c r="BA226" s="129"/>
      <c r="BB226" s="129"/>
      <c r="BC226" s="129"/>
      <c r="BD226" s="129"/>
      <c r="BE226" s="129"/>
      <c r="BF226" s="129"/>
      <c r="BG226" s="129"/>
      <c r="BH226" s="129"/>
      <c r="BI226" s="129"/>
      <c r="BJ226" s="129"/>
      <c r="BK226" s="129"/>
      <c r="BL226" s="129"/>
      <c r="BM226" s="129"/>
      <c r="BN226" s="129"/>
      <c r="BO226" s="129"/>
      <c r="BP226" s="129"/>
      <c r="BQ226" s="129"/>
    </row>
    <row r="227" spans="1:69" s="139" customFormat="1" x14ac:dyDescent="0.25">
      <c r="A227" s="157"/>
      <c r="B227" s="137"/>
      <c r="C227" s="129"/>
      <c r="G227" s="140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28"/>
      <c r="AC227" s="128"/>
      <c r="AD227" s="128"/>
      <c r="AE227" s="128"/>
      <c r="AF227" s="128"/>
      <c r="AG227" s="129"/>
      <c r="AH227" s="129"/>
      <c r="AI227" s="129"/>
      <c r="AJ227" s="129"/>
      <c r="AK227" s="129"/>
      <c r="AL227" s="129"/>
      <c r="AM227" s="129"/>
      <c r="AN227" s="129"/>
      <c r="AO227" s="129"/>
      <c r="AP227" s="129"/>
      <c r="AQ227" s="130"/>
      <c r="AR227" s="130"/>
      <c r="AS227" s="129"/>
      <c r="AT227" s="129"/>
      <c r="AU227" s="129"/>
      <c r="AV227" s="129"/>
      <c r="AW227" s="129"/>
      <c r="AX227" s="129"/>
      <c r="AY227" s="129"/>
      <c r="AZ227" s="129"/>
      <c r="BA227" s="129"/>
      <c r="BB227" s="129"/>
      <c r="BC227" s="129"/>
      <c r="BD227" s="129"/>
      <c r="BE227" s="129"/>
      <c r="BF227" s="129"/>
      <c r="BG227" s="129"/>
      <c r="BH227" s="129"/>
      <c r="BI227" s="129"/>
      <c r="BJ227" s="129"/>
      <c r="BK227" s="129"/>
      <c r="BL227" s="129"/>
      <c r="BM227" s="129"/>
      <c r="BN227" s="129"/>
      <c r="BO227" s="129"/>
      <c r="BP227" s="129"/>
      <c r="BQ227" s="129"/>
    </row>
    <row r="228" spans="1:69" s="139" customFormat="1" x14ac:dyDescent="0.25">
      <c r="A228" s="157"/>
      <c r="B228" s="137"/>
      <c r="C228" s="129"/>
      <c r="G228" s="140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28"/>
      <c r="AC228" s="128"/>
      <c r="AD228" s="128"/>
      <c r="AE228" s="128"/>
      <c r="AF228" s="128"/>
      <c r="AG228" s="129"/>
      <c r="AH228" s="129"/>
      <c r="AI228" s="129"/>
      <c r="AJ228" s="129"/>
      <c r="AK228" s="129"/>
      <c r="AL228" s="129"/>
      <c r="AM228" s="129"/>
      <c r="AN228" s="129"/>
      <c r="AO228" s="129"/>
      <c r="AP228" s="129"/>
      <c r="AQ228" s="130"/>
      <c r="AR228" s="130"/>
      <c r="AS228" s="129"/>
      <c r="AT228" s="129"/>
      <c r="AU228" s="129"/>
      <c r="AV228" s="129"/>
      <c r="AW228" s="129"/>
      <c r="AX228" s="129"/>
      <c r="AY228" s="129"/>
      <c r="AZ228" s="129"/>
      <c r="BA228" s="129"/>
      <c r="BB228" s="129"/>
      <c r="BC228" s="129"/>
      <c r="BD228" s="129"/>
      <c r="BE228" s="129"/>
      <c r="BF228" s="129"/>
      <c r="BG228" s="129"/>
      <c r="BH228" s="129"/>
      <c r="BI228" s="129"/>
      <c r="BJ228" s="129"/>
      <c r="BK228" s="129"/>
      <c r="BL228" s="129"/>
      <c r="BM228" s="129"/>
      <c r="BN228" s="129"/>
      <c r="BO228" s="129"/>
      <c r="BP228" s="129"/>
      <c r="BQ228" s="129"/>
    </row>
    <row r="229" spans="1:69" s="139" customFormat="1" x14ac:dyDescent="0.25">
      <c r="A229" s="157"/>
      <c r="B229" s="137"/>
      <c r="C229" s="129"/>
      <c r="G229" s="140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28"/>
      <c r="AC229" s="128"/>
      <c r="AD229" s="128"/>
      <c r="AE229" s="128"/>
      <c r="AF229" s="128"/>
      <c r="AG229" s="129"/>
      <c r="AH229" s="129"/>
      <c r="AI229" s="129"/>
      <c r="AJ229" s="129"/>
      <c r="AK229" s="129"/>
      <c r="AL229" s="129"/>
      <c r="AM229" s="129"/>
      <c r="AN229" s="129"/>
      <c r="AO229" s="129"/>
      <c r="AP229" s="129"/>
      <c r="AQ229" s="130"/>
      <c r="AR229" s="130"/>
      <c r="AS229" s="129"/>
      <c r="AT229" s="129"/>
      <c r="AU229" s="129"/>
      <c r="AV229" s="129"/>
      <c r="AW229" s="129"/>
      <c r="AX229" s="129"/>
      <c r="AY229" s="129"/>
      <c r="AZ229" s="129"/>
      <c r="BA229" s="129"/>
      <c r="BB229" s="129"/>
      <c r="BC229" s="129"/>
      <c r="BD229" s="129"/>
      <c r="BE229" s="129"/>
      <c r="BF229" s="129"/>
      <c r="BG229" s="129"/>
      <c r="BH229" s="129"/>
      <c r="BI229" s="129"/>
      <c r="BJ229" s="129"/>
      <c r="BK229" s="129"/>
      <c r="BL229" s="129"/>
      <c r="BM229" s="129"/>
      <c r="BN229" s="129"/>
      <c r="BO229" s="129"/>
      <c r="BP229" s="129"/>
      <c r="BQ229" s="129"/>
    </row>
    <row r="230" spans="1:69" s="139" customFormat="1" x14ac:dyDescent="0.25">
      <c r="A230" s="157"/>
      <c r="B230" s="137"/>
      <c r="C230" s="129"/>
      <c r="G230" s="140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28"/>
      <c r="AC230" s="128"/>
      <c r="AD230" s="128"/>
      <c r="AE230" s="128"/>
      <c r="AF230" s="128"/>
      <c r="AG230" s="129"/>
      <c r="AH230" s="129"/>
      <c r="AI230" s="129"/>
      <c r="AJ230" s="129"/>
      <c r="AK230" s="129"/>
      <c r="AL230" s="129"/>
      <c r="AM230" s="129"/>
      <c r="AN230" s="129"/>
      <c r="AO230" s="129"/>
      <c r="AP230" s="129"/>
      <c r="AQ230" s="130"/>
      <c r="AR230" s="130"/>
      <c r="AS230" s="129"/>
      <c r="AT230" s="129"/>
      <c r="AU230" s="129"/>
      <c r="AV230" s="129"/>
      <c r="AW230" s="129"/>
      <c r="AX230" s="129"/>
      <c r="AY230" s="129"/>
      <c r="AZ230" s="129"/>
      <c r="BA230" s="129"/>
      <c r="BB230" s="129"/>
      <c r="BC230" s="129"/>
      <c r="BD230" s="129"/>
      <c r="BE230" s="129"/>
      <c r="BF230" s="129"/>
      <c r="BG230" s="129"/>
      <c r="BH230" s="129"/>
      <c r="BI230" s="129"/>
      <c r="BJ230" s="129"/>
      <c r="BK230" s="129"/>
      <c r="BL230" s="129"/>
      <c r="BM230" s="129"/>
      <c r="BN230" s="129"/>
      <c r="BO230" s="129"/>
      <c r="BP230" s="129"/>
      <c r="BQ230" s="129"/>
    </row>
    <row r="231" spans="1:69" s="139" customFormat="1" x14ac:dyDescent="0.25">
      <c r="A231" s="157"/>
      <c r="B231" s="137"/>
      <c r="C231" s="129"/>
      <c r="G231" s="140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28"/>
      <c r="AC231" s="128"/>
      <c r="AD231" s="128"/>
      <c r="AE231" s="128"/>
      <c r="AF231" s="128"/>
      <c r="AG231" s="129"/>
      <c r="AH231" s="129"/>
      <c r="AI231" s="129"/>
      <c r="AJ231" s="129"/>
      <c r="AK231" s="129"/>
      <c r="AL231" s="129"/>
      <c r="AM231" s="129"/>
      <c r="AN231" s="129"/>
      <c r="AO231" s="129"/>
      <c r="AP231" s="129"/>
      <c r="AQ231" s="130"/>
      <c r="AR231" s="130"/>
      <c r="AS231" s="129"/>
      <c r="AT231" s="129"/>
      <c r="AU231" s="129"/>
      <c r="AV231" s="129"/>
      <c r="AW231" s="129"/>
      <c r="AX231" s="129"/>
      <c r="AY231" s="129"/>
      <c r="AZ231" s="129"/>
      <c r="BA231" s="129"/>
      <c r="BB231" s="129"/>
      <c r="BC231" s="129"/>
      <c r="BD231" s="129"/>
      <c r="BE231" s="129"/>
      <c r="BF231" s="129"/>
      <c r="BG231" s="129"/>
      <c r="BH231" s="129"/>
      <c r="BI231" s="129"/>
      <c r="BJ231" s="129"/>
      <c r="BK231" s="129"/>
      <c r="BL231" s="129"/>
      <c r="BM231" s="129"/>
      <c r="BN231" s="129"/>
      <c r="BO231" s="129"/>
      <c r="BP231" s="129"/>
      <c r="BQ231" s="129"/>
    </row>
    <row r="232" spans="1:69" s="139" customFormat="1" x14ac:dyDescent="0.25">
      <c r="A232" s="157"/>
      <c r="B232" s="137"/>
      <c r="C232" s="129"/>
      <c r="G232" s="140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28"/>
      <c r="AC232" s="128"/>
      <c r="AD232" s="128"/>
      <c r="AE232" s="128"/>
      <c r="AF232" s="128"/>
      <c r="AG232" s="129"/>
      <c r="AH232" s="129"/>
      <c r="AI232" s="129"/>
      <c r="AJ232" s="129"/>
      <c r="AK232" s="129"/>
      <c r="AL232" s="129"/>
      <c r="AM232" s="129"/>
      <c r="AN232" s="129"/>
      <c r="AO232" s="129"/>
      <c r="AP232" s="129"/>
      <c r="AQ232" s="130"/>
      <c r="AR232" s="130"/>
      <c r="AS232" s="129"/>
      <c r="AT232" s="129"/>
      <c r="AU232" s="129"/>
      <c r="AV232" s="129"/>
      <c r="AW232" s="129"/>
      <c r="AX232" s="129"/>
      <c r="AY232" s="129"/>
      <c r="AZ232" s="129"/>
      <c r="BA232" s="129"/>
      <c r="BB232" s="129"/>
      <c r="BC232" s="129"/>
      <c r="BD232" s="129"/>
      <c r="BE232" s="129"/>
      <c r="BF232" s="129"/>
      <c r="BG232" s="129"/>
      <c r="BH232" s="129"/>
      <c r="BI232" s="129"/>
      <c r="BJ232" s="129"/>
      <c r="BK232" s="129"/>
      <c r="BL232" s="129"/>
      <c r="BM232" s="129"/>
      <c r="BN232" s="129"/>
      <c r="BO232" s="129"/>
      <c r="BP232" s="129"/>
      <c r="BQ232" s="129"/>
    </row>
    <row r="233" spans="1:69" s="139" customFormat="1" x14ac:dyDescent="0.25">
      <c r="A233" s="157"/>
      <c r="B233" s="137"/>
      <c r="C233" s="129"/>
      <c r="G233" s="140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28"/>
      <c r="AC233" s="128"/>
      <c r="AD233" s="128"/>
      <c r="AE233" s="128"/>
      <c r="AF233" s="128"/>
      <c r="AG233" s="129"/>
      <c r="AH233" s="129"/>
      <c r="AI233" s="129"/>
      <c r="AJ233" s="129"/>
      <c r="AK233" s="129"/>
      <c r="AL233" s="129"/>
      <c r="AM233" s="129"/>
      <c r="AN233" s="129"/>
      <c r="AO233" s="129"/>
      <c r="AP233" s="129"/>
      <c r="AQ233" s="130"/>
      <c r="AR233" s="130"/>
      <c r="AS233" s="129"/>
      <c r="AT233" s="129"/>
      <c r="AU233" s="129"/>
      <c r="AV233" s="129"/>
      <c r="AW233" s="129"/>
      <c r="AX233" s="129"/>
      <c r="AY233" s="129"/>
      <c r="AZ233" s="129"/>
      <c r="BA233" s="129"/>
      <c r="BB233" s="129"/>
      <c r="BC233" s="129"/>
      <c r="BD233" s="129"/>
      <c r="BE233" s="129"/>
      <c r="BF233" s="129"/>
      <c r="BG233" s="129"/>
      <c r="BH233" s="129"/>
      <c r="BI233" s="129"/>
      <c r="BJ233" s="129"/>
      <c r="BK233" s="129"/>
      <c r="BL233" s="129"/>
      <c r="BM233" s="129"/>
      <c r="BN233" s="129"/>
      <c r="BO233" s="129"/>
      <c r="BP233" s="129"/>
      <c r="BQ233" s="129"/>
    </row>
    <row r="234" spans="1:69" s="139" customFormat="1" x14ac:dyDescent="0.25">
      <c r="A234" s="157"/>
      <c r="B234" s="137"/>
      <c r="C234" s="129"/>
      <c r="G234" s="140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28"/>
      <c r="AC234" s="128"/>
      <c r="AD234" s="128"/>
      <c r="AE234" s="128"/>
      <c r="AF234" s="128"/>
      <c r="AG234" s="129"/>
      <c r="AH234" s="129"/>
      <c r="AI234" s="129"/>
      <c r="AJ234" s="129"/>
      <c r="AK234" s="129"/>
      <c r="AL234" s="129"/>
      <c r="AM234" s="129"/>
      <c r="AN234" s="129"/>
      <c r="AO234" s="129"/>
      <c r="AP234" s="129"/>
      <c r="AQ234" s="130"/>
      <c r="AR234" s="130"/>
      <c r="AS234" s="129"/>
      <c r="AT234" s="129"/>
      <c r="AU234" s="129"/>
      <c r="AV234" s="129"/>
      <c r="AW234" s="129"/>
      <c r="AX234" s="129"/>
      <c r="AY234" s="129"/>
      <c r="AZ234" s="129"/>
      <c r="BA234" s="129"/>
      <c r="BB234" s="129"/>
      <c r="BC234" s="129"/>
      <c r="BD234" s="129"/>
      <c r="BE234" s="129"/>
      <c r="BF234" s="129"/>
      <c r="BG234" s="129"/>
      <c r="BH234" s="129"/>
      <c r="BI234" s="129"/>
      <c r="BJ234" s="129"/>
      <c r="BK234" s="129"/>
      <c r="BL234" s="129"/>
      <c r="BM234" s="129"/>
      <c r="BN234" s="129"/>
      <c r="BO234" s="129"/>
      <c r="BP234" s="129"/>
      <c r="BQ234" s="129"/>
    </row>
    <row r="235" spans="1:69" s="139" customFormat="1" x14ac:dyDescent="0.25">
      <c r="A235" s="157"/>
      <c r="B235" s="137"/>
      <c r="C235" s="129"/>
      <c r="G235" s="140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28"/>
      <c r="AC235" s="128"/>
      <c r="AD235" s="128"/>
      <c r="AE235" s="128"/>
      <c r="AF235" s="128"/>
      <c r="AG235" s="129"/>
      <c r="AH235" s="129"/>
      <c r="AI235" s="129"/>
      <c r="AJ235" s="129"/>
      <c r="AK235" s="129"/>
      <c r="AL235" s="129"/>
      <c r="AM235" s="129"/>
      <c r="AN235" s="129"/>
      <c r="AO235" s="129"/>
      <c r="AP235" s="129"/>
      <c r="AQ235" s="130"/>
      <c r="AR235" s="130"/>
      <c r="AS235" s="129"/>
      <c r="AT235" s="129"/>
      <c r="AU235" s="129"/>
      <c r="AV235" s="129"/>
      <c r="AW235" s="129"/>
      <c r="AX235" s="129"/>
      <c r="AY235" s="129"/>
      <c r="AZ235" s="129"/>
      <c r="BA235" s="129"/>
      <c r="BB235" s="129"/>
      <c r="BC235" s="129"/>
      <c r="BD235" s="129"/>
      <c r="BE235" s="129"/>
      <c r="BF235" s="129"/>
      <c r="BG235" s="129"/>
      <c r="BH235" s="129"/>
      <c r="BI235" s="129"/>
      <c r="BJ235" s="129"/>
      <c r="BK235" s="129"/>
      <c r="BL235" s="129"/>
      <c r="BM235" s="129"/>
      <c r="BN235" s="129"/>
      <c r="BO235" s="129"/>
      <c r="BP235" s="129"/>
      <c r="BQ235" s="129"/>
    </row>
    <row r="236" spans="1:69" s="139" customFormat="1" x14ac:dyDescent="0.25">
      <c r="A236" s="157"/>
      <c r="B236" s="137"/>
      <c r="C236" s="129"/>
      <c r="G236" s="140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28"/>
      <c r="AC236" s="128"/>
      <c r="AD236" s="128"/>
      <c r="AE236" s="128"/>
      <c r="AF236" s="128"/>
      <c r="AG236" s="129"/>
      <c r="AH236" s="129"/>
      <c r="AI236" s="129"/>
      <c r="AJ236" s="129"/>
      <c r="AK236" s="129"/>
      <c r="AL236" s="129"/>
      <c r="AM236" s="129"/>
      <c r="AN236" s="129"/>
      <c r="AO236" s="129"/>
      <c r="AP236" s="129"/>
      <c r="AQ236" s="130"/>
      <c r="AR236" s="130"/>
      <c r="AS236" s="129"/>
      <c r="AT236" s="129"/>
      <c r="AU236" s="129"/>
      <c r="AV236" s="129"/>
      <c r="AW236" s="129"/>
      <c r="AX236" s="129"/>
      <c r="AY236" s="129"/>
      <c r="AZ236" s="129"/>
      <c r="BA236" s="129"/>
      <c r="BB236" s="129"/>
      <c r="BC236" s="129"/>
      <c r="BD236" s="129"/>
      <c r="BE236" s="129"/>
      <c r="BF236" s="129"/>
      <c r="BG236" s="129"/>
      <c r="BH236" s="129"/>
      <c r="BI236" s="129"/>
      <c r="BJ236" s="129"/>
      <c r="BK236" s="129"/>
      <c r="BL236" s="129"/>
      <c r="BM236" s="129"/>
      <c r="BN236" s="129"/>
      <c r="BO236" s="129"/>
      <c r="BP236" s="129"/>
      <c r="BQ236" s="129"/>
    </row>
    <row r="237" spans="1:69" s="139" customFormat="1" x14ac:dyDescent="0.25">
      <c r="A237" s="157"/>
      <c r="B237" s="137"/>
      <c r="C237" s="129"/>
      <c r="G237" s="140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28"/>
      <c r="AC237" s="128"/>
      <c r="AD237" s="128"/>
      <c r="AE237" s="128"/>
      <c r="AF237" s="128"/>
      <c r="AG237" s="129"/>
      <c r="AH237" s="129"/>
      <c r="AI237" s="129"/>
      <c r="AJ237" s="129"/>
      <c r="AK237" s="129"/>
      <c r="AL237" s="129"/>
      <c r="AM237" s="129"/>
      <c r="AN237" s="129"/>
      <c r="AO237" s="129"/>
      <c r="AP237" s="129"/>
      <c r="AQ237" s="130"/>
      <c r="AR237" s="130"/>
      <c r="AS237" s="129"/>
      <c r="AT237" s="129"/>
      <c r="AU237" s="129"/>
      <c r="AV237" s="129"/>
      <c r="AW237" s="129"/>
      <c r="AX237" s="129"/>
      <c r="AY237" s="129"/>
      <c r="AZ237" s="129"/>
      <c r="BA237" s="129"/>
      <c r="BB237" s="129"/>
      <c r="BC237" s="129"/>
      <c r="BD237" s="129"/>
      <c r="BE237" s="129"/>
      <c r="BF237" s="129"/>
      <c r="BG237" s="129"/>
      <c r="BH237" s="129"/>
      <c r="BI237" s="129"/>
      <c r="BJ237" s="129"/>
      <c r="BK237" s="129"/>
      <c r="BL237" s="129"/>
      <c r="BM237" s="129"/>
      <c r="BN237" s="129"/>
      <c r="BO237" s="129"/>
      <c r="BP237" s="129"/>
      <c r="BQ237" s="129"/>
    </row>
    <row r="238" spans="1:69" s="139" customFormat="1" x14ac:dyDescent="0.25">
      <c r="A238" s="157"/>
      <c r="B238" s="137"/>
      <c r="C238" s="129"/>
      <c r="G238" s="140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28"/>
      <c r="AC238" s="128"/>
      <c r="AD238" s="128"/>
      <c r="AE238" s="128"/>
      <c r="AF238" s="128"/>
      <c r="AG238" s="129"/>
      <c r="AH238" s="129"/>
      <c r="AI238" s="129"/>
      <c r="AJ238" s="129"/>
      <c r="AK238" s="129"/>
      <c r="AL238" s="129"/>
      <c r="AM238" s="129"/>
      <c r="AN238" s="129"/>
      <c r="AO238" s="129"/>
      <c r="AP238" s="129"/>
      <c r="AQ238" s="130"/>
      <c r="AR238" s="130"/>
      <c r="AS238" s="129"/>
      <c r="AT238" s="129"/>
      <c r="AU238" s="129"/>
      <c r="AV238" s="129"/>
      <c r="AW238" s="129"/>
      <c r="AX238" s="129"/>
      <c r="AY238" s="129"/>
      <c r="AZ238" s="129"/>
      <c r="BA238" s="129"/>
      <c r="BB238" s="129"/>
      <c r="BC238" s="129"/>
      <c r="BD238" s="129"/>
      <c r="BE238" s="129"/>
      <c r="BF238" s="129"/>
      <c r="BG238" s="129"/>
      <c r="BH238" s="129"/>
      <c r="BI238" s="129"/>
      <c r="BJ238" s="129"/>
      <c r="BK238" s="129"/>
      <c r="BL238" s="129"/>
      <c r="BM238" s="129"/>
      <c r="BN238" s="129"/>
      <c r="BO238" s="129"/>
      <c r="BP238" s="129"/>
      <c r="BQ238" s="129"/>
    </row>
    <row r="239" spans="1:69" s="139" customFormat="1" x14ac:dyDescent="0.25">
      <c r="A239" s="157"/>
      <c r="B239" s="137"/>
      <c r="C239" s="129"/>
      <c r="G239" s="140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28"/>
      <c r="AC239" s="128"/>
      <c r="AD239" s="128"/>
      <c r="AE239" s="128"/>
      <c r="AF239" s="128"/>
      <c r="AG239" s="129"/>
      <c r="AH239" s="129"/>
      <c r="AI239" s="129"/>
      <c r="AJ239" s="129"/>
      <c r="AK239" s="129"/>
      <c r="AL239" s="129"/>
      <c r="AM239" s="129"/>
      <c r="AN239" s="129"/>
      <c r="AO239" s="129"/>
      <c r="AP239" s="129"/>
      <c r="AQ239" s="130"/>
      <c r="AR239" s="130"/>
      <c r="AS239" s="129"/>
      <c r="AT239" s="129"/>
      <c r="AU239" s="129"/>
      <c r="AV239" s="129"/>
      <c r="AW239" s="129"/>
      <c r="AX239" s="129"/>
      <c r="AY239" s="129"/>
      <c r="AZ239" s="129"/>
      <c r="BA239" s="129"/>
      <c r="BB239" s="129"/>
      <c r="BC239" s="129"/>
      <c r="BD239" s="129"/>
      <c r="BE239" s="129"/>
      <c r="BF239" s="129"/>
      <c r="BG239" s="129"/>
      <c r="BH239" s="129"/>
      <c r="BI239" s="129"/>
      <c r="BJ239" s="129"/>
      <c r="BK239" s="129"/>
      <c r="BL239" s="129"/>
      <c r="BM239" s="129"/>
      <c r="BN239" s="129"/>
      <c r="BO239" s="129"/>
      <c r="BP239" s="129"/>
      <c r="BQ239" s="129"/>
    </row>
    <row r="240" spans="1:69" s="139" customFormat="1" x14ac:dyDescent="0.25">
      <c r="A240" s="157"/>
      <c r="B240" s="137"/>
      <c r="C240" s="129"/>
      <c r="G240" s="140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28"/>
      <c r="AC240" s="128"/>
      <c r="AD240" s="128"/>
      <c r="AE240" s="128"/>
      <c r="AF240" s="128"/>
      <c r="AG240" s="129"/>
      <c r="AH240" s="129"/>
      <c r="AI240" s="129"/>
      <c r="AJ240" s="129"/>
      <c r="AK240" s="129"/>
      <c r="AL240" s="129"/>
      <c r="AM240" s="129"/>
      <c r="AN240" s="129"/>
      <c r="AO240" s="129"/>
      <c r="AP240" s="129"/>
      <c r="AQ240" s="130"/>
      <c r="AR240" s="130"/>
      <c r="AS240" s="129"/>
      <c r="AT240" s="129"/>
      <c r="AU240" s="129"/>
      <c r="AV240" s="129"/>
      <c r="AW240" s="129"/>
      <c r="AX240" s="129"/>
      <c r="AY240" s="129"/>
      <c r="AZ240" s="129"/>
      <c r="BA240" s="129"/>
      <c r="BB240" s="129"/>
      <c r="BC240" s="129"/>
      <c r="BD240" s="129"/>
      <c r="BE240" s="129"/>
      <c r="BF240" s="129"/>
      <c r="BG240" s="129"/>
      <c r="BH240" s="129"/>
      <c r="BI240" s="129"/>
      <c r="BJ240" s="129"/>
      <c r="BK240" s="129"/>
      <c r="BL240" s="129"/>
      <c r="BM240" s="129"/>
      <c r="BN240" s="129"/>
      <c r="BO240" s="129"/>
      <c r="BP240" s="129"/>
      <c r="BQ240" s="129"/>
    </row>
    <row r="241" spans="1:69" s="139" customFormat="1" x14ac:dyDescent="0.25">
      <c r="A241" s="157"/>
      <c r="B241" s="137"/>
      <c r="C241" s="129"/>
      <c r="G241" s="140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28"/>
      <c r="AC241" s="128"/>
      <c r="AD241" s="128"/>
      <c r="AE241" s="128"/>
      <c r="AF241" s="128"/>
      <c r="AG241" s="129"/>
      <c r="AH241" s="129"/>
      <c r="AI241" s="129"/>
      <c r="AJ241" s="129"/>
      <c r="AK241" s="129"/>
      <c r="AL241" s="129"/>
      <c r="AM241" s="129"/>
      <c r="AN241" s="129"/>
      <c r="AO241" s="129"/>
      <c r="AP241" s="129"/>
      <c r="AQ241" s="130"/>
      <c r="AR241" s="130"/>
      <c r="AS241" s="129"/>
      <c r="AT241" s="129"/>
      <c r="AU241" s="129"/>
      <c r="AV241" s="129"/>
      <c r="AW241" s="129"/>
      <c r="AX241" s="129"/>
      <c r="AY241" s="129"/>
      <c r="AZ241" s="129"/>
      <c r="BA241" s="129"/>
      <c r="BB241" s="129"/>
      <c r="BC241" s="129"/>
      <c r="BD241" s="129"/>
      <c r="BE241" s="129"/>
      <c r="BF241" s="129"/>
      <c r="BG241" s="129"/>
      <c r="BH241" s="129"/>
      <c r="BI241" s="129"/>
      <c r="BJ241" s="129"/>
      <c r="BK241" s="129"/>
      <c r="BL241" s="129"/>
      <c r="BM241" s="129"/>
      <c r="BN241" s="129"/>
      <c r="BO241" s="129"/>
      <c r="BP241" s="129"/>
      <c r="BQ241" s="129"/>
    </row>
    <row r="242" spans="1:69" s="139" customFormat="1" x14ac:dyDescent="0.25">
      <c r="A242" s="157"/>
      <c r="B242" s="137"/>
      <c r="C242" s="129"/>
      <c r="G242" s="140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28"/>
      <c r="AC242" s="128"/>
      <c r="AD242" s="128"/>
      <c r="AE242" s="128"/>
      <c r="AF242" s="128"/>
      <c r="AG242" s="129"/>
      <c r="AH242" s="129"/>
      <c r="AI242" s="129"/>
      <c r="AJ242" s="129"/>
      <c r="AK242" s="129"/>
      <c r="AL242" s="129"/>
      <c r="AM242" s="129"/>
      <c r="AN242" s="129"/>
      <c r="AO242" s="129"/>
      <c r="AP242" s="129"/>
      <c r="AQ242" s="130"/>
      <c r="AR242" s="130"/>
      <c r="AS242" s="129"/>
      <c r="AT242" s="129"/>
      <c r="AU242" s="129"/>
      <c r="AV242" s="129"/>
      <c r="AW242" s="129"/>
      <c r="AX242" s="129"/>
      <c r="AY242" s="129"/>
      <c r="AZ242" s="129"/>
      <c r="BA242" s="129"/>
      <c r="BB242" s="129"/>
      <c r="BC242" s="129"/>
      <c r="BD242" s="129"/>
      <c r="BE242" s="129"/>
      <c r="BF242" s="129"/>
      <c r="BG242" s="129"/>
      <c r="BH242" s="129"/>
      <c r="BI242" s="129"/>
      <c r="BJ242" s="129"/>
      <c r="BK242" s="129"/>
      <c r="BL242" s="129"/>
      <c r="BM242" s="129"/>
      <c r="BN242" s="129"/>
      <c r="BO242" s="129"/>
      <c r="BP242" s="129"/>
      <c r="BQ242" s="129"/>
    </row>
    <row r="243" spans="1:69" s="139" customFormat="1" x14ac:dyDescent="0.25">
      <c r="A243" s="157"/>
      <c r="B243" s="137"/>
      <c r="C243" s="129"/>
      <c r="G243" s="140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28"/>
      <c r="AC243" s="128"/>
      <c r="AD243" s="128"/>
      <c r="AE243" s="128"/>
      <c r="AF243" s="128"/>
      <c r="AG243" s="129"/>
      <c r="AH243" s="129"/>
      <c r="AI243" s="129"/>
      <c r="AJ243" s="129"/>
      <c r="AK243" s="129"/>
      <c r="AL243" s="129"/>
      <c r="AM243" s="129"/>
      <c r="AN243" s="129"/>
      <c r="AO243" s="129"/>
      <c r="AP243" s="129"/>
      <c r="AQ243" s="130"/>
      <c r="AR243" s="130"/>
      <c r="AS243" s="129"/>
      <c r="AT243" s="129"/>
      <c r="AU243" s="129"/>
      <c r="AV243" s="129"/>
      <c r="AW243" s="129"/>
      <c r="AX243" s="129"/>
      <c r="AY243" s="129"/>
      <c r="AZ243" s="129"/>
      <c r="BA243" s="129"/>
      <c r="BB243" s="129"/>
      <c r="BC243" s="129"/>
      <c r="BD243" s="129"/>
      <c r="BE243" s="129"/>
      <c r="BF243" s="129"/>
      <c r="BG243" s="129"/>
      <c r="BH243" s="129"/>
      <c r="BI243" s="129"/>
      <c r="BJ243" s="129"/>
      <c r="BK243" s="129"/>
      <c r="BL243" s="129"/>
      <c r="BM243" s="129"/>
      <c r="BN243" s="129"/>
      <c r="BO243" s="129"/>
      <c r="BP243" s="129"/>
      <c r="BQ243" s="129"/>
    </row>
    <row r="244" spans="1:69" s="139" customFormat="1" x14ac:dyDescent="0.25">
      <c r="A244" s="157"/>
      <c r="B244" s="137"/>
      <c r="C244" s="129"/>
      <c r="G244" s="140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28"/>
      <c r="AC244" s="128"/>
      <c r="AD244" s="128"/>
      <c r="AE244" s="128"/>
      <c r="AF244" s="128"/>
      <c r="AG244" s="129"/>
      <c r="AH244" s="129"/>
      <c r="AI244" s="129"/>
      <c r="AJ244" s="129"/>
      <c r="AK244" s="129"/>
      <c r="AL244" s="129"/>
      <c r="AM244" s="129"/>
      <c r="AN244" s="129"/>
      <c r="AO244" s="129"/>
      <c r="AP244" s="129"/>
      <c r="AQ244" s="130"/>
      <c r="AR244" s="130"/>
      <c r="AS244" s="129"/>
      <c r="AT244" s="129"/>
      <c r="AU244" s="129"/>
      <c r="AV244" s="129"/>
      <c r="AW244" s="129"/>
      <c r="AX244" s="129"/>
      <c r="AY244" s="129"/>
      <c r="AZ244" s="129"/>
      <c r="BA244" s="129"/>
      <c r="BB244" s="129"/>
      <c r="BC244" s="129"/>
      <c r="BD244" s="129"/>
      <c r="BE244" s="129"/>
      <c r="BF244" s="129"/>
      <c r="BG244" s="129"/>
      <c r="BH244" s="129"/>
      <c r="BI244" s="129"/>
      <c r="BJ244" s="129"/>
      <c r="BK244" s="129"/>
      <c r="BL244" s="129"/>
      <c r="BM244" s="129"/>
      <c r="BN244" s="129"/>
      <c r="BO244" s="129"/>
      <c r="BP244" s="129"/>
      <c r="BQ244" s="129"/>
    </row>
    <row r="245" spans="1:69" s="139" customFormat="1" x14ac:dyDescent="0.25">
      <c r="A245" s="157"/>
      <c r="B245" s="137"/>
      <c r="C245" s="129"/>
      <c r="G245" s="140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28"/>
      <c r="AC245" s="128"/>
      <c r="AD245" s="128"/>
      <c r="AE245" s="128"/>
      <c r="AF245" s="128"/>
      <c r="AG245" s="129"/>
      <c r="AH245" s="129"/>
      <c r="AI245" s="129"/>
      <c r="AJ245" s="129"/>
      <c r="AK245" s="129"/>
      <c r="AL245" s="129"/>
      <c r="AM245" s="129"/>
      <c r="AN245" s="129"/>
      <c r="AO245" s="129"/>
      <c r="AP245" s="129"/>
      <c r="AQ245" s="130"/>
      <c r="AR245" s="130"/>
      <c r="AS245" s="129"/>
      <c r="AT245" s="129"/>
      <c r="AU245" s="129"/>
      <c r="AV245" s="129"/>
      <c r="AW245" s="129"/>
      <c r="AX245" s="129"/>
      <c r="AY245" s="129"/>
      <c r="AZ245" s="129"/>
      <c r="BA245" s="129"/>
      <c r="BB245" s="129"/>
      <c r="BC245" s="129"/>
      <c r="BD245" s="129"/>
      <c r="BE245" s="129"/>
      <c r="BF245" s="129"/>
      <c r="BG245" s="129"/>
      <c r="BH245" s="129"/>
      <c r="BI245" s="129"/>
      <c r="BJ245" s="129"/>
      <c r="BK245" s="129"/>
      <c r="BL245" s="129"/>
      <c r="BM245" s="129"/>
      <c r="BN245" s="129"/>
      <c r="BO245" s="129"/>
      <c r="BP245" s="129"/>
      <c r="BQ245" s="129"/>
    </row>
    <row r="246" spans="1:69" s="139" customFormat="1" x14ac:dyDescent="0.25">
      <c r="A246" s="157"/>
      <c r="B246" s="137"/>
      <c r="C246" s="129"/>
      <c r="G246" s="140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28"/>
      <c r="AC246" s="128"/>
      <c r="AD246" s="128"/>
      <c r="AE246" s="128"/>
      <c r="AF246" s="128"/>
      <c r="AG246" s="129"/>
      <c r="AH246" s="129"/>
      <c r="AI246" s="129"/>
      <c r="AJ246" s="129"/>
      <c r="AK246" s="129"/>
      <c r="AL246" s="129"/>
      <c r="AM246" s="129"/>
      <c r="AN246" s="129"/>
      <c r="AO246" s="129"/>
      <c r="AP246" s="129"/>
      <c r="AQ246" s="130"/>
      <c r="AR246" s="130"/>
      <c r="AS246" s="129"/>
      <c r="AT246" s="129"/>
      <c r="AU246" s="129"/>
      <c r="AV246" s="129"/>
      <c r="AW246" s="129"/>
      <c r="AX246" s="129"/>
      <c r="AY246" s="129"/>
      <c r="AZ246" s="129"/>
      <c r="BA246" s="129"/>
      <c r="BB246" s="129"/>
      <c r="BC246" s="129"/>
      <c r="BD246" s="129"/>
      <c r="BE246" s="129"/>
      <c r="BF246" s="129"/>
      <c r="BG246" s="129"/>
      <c r="BH246" s="129"/>
      <c r="BI246" s="129"/>
      <c r="BJ246" s="129"/>
      <c r="BK246" s="129"/>
      <c r="BL246" s="129"/>
      <c r="BM246" s="129"/>
      <c r="BN246" s="129"/>
      <c r="BO246" s="129"/>
      <c r="BP246" s="129"/>
      <c r="BQ246" s="129"/>
    </row>
    <row r="247" spans="1:69" s="139" customFormat="1" x14ac:dyDescent="0.25">
      <c r="A247" s="157"/>
      <c r="B247" s="137"/>
      <c r="C247" s="129"/>
      <c r="G247" s="140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28"/>
      <c r="AC247" s="128"/>
      <c r="AD247" s="128"/>
      <c r="AE247" s="128"/>
      <c r="AF247" s="128"/>
      <c r="AG247" s="129"/>
      <c r="AH247" s="129"/>
      <c r="AI247" s="129"/>
      <c r="AJ247" s="129"/>
      <c r="AK247" s="129"/>
      <c r="AL247" s="129"/>
      <c r="AM247" s="129"/>
      <c r="AN247" s="129"/>
      <c r="AO247" s="129"/>
      <c r="AP247" s="129"/>
      <c r="AQ247" s="130"/>
      <c r="AR247" s="130"/>
      <c r="AS247" s="129"/>
      <c r="AT247" s="129"/>
      <c r="AU247" s="129"/>
      <c r="AV247" s="129"/>
      <c r="AW247" s="129"/>
      <c r="AX247" s="129"/>
      <c r="AY247" s="129"/>
      <c r="AZ247" s="129"/>
      <c r="BA247" s="129"/>
      <c r="BB247" s="129"/>
      <c r="BC247" s="129"/>
      <c r="BD247" s="129"/>
      <c r="BE247" s="129"/>
      <c r="BF247" s="129"/>
      <c r="BG247" s="129"/>
      <c r="BH247" s="129"/>
      <c r="BI247" s="129"/>
      <c r="BJ247" s="129"/>
      <c r="BK247" s="129"/>
      <c r="BL247" s="129"/>
      <c r="BM247" s="129"/>
      <c r="BN247" s="129"/>
      <c r="BO247" s="129"/>
      <c r="BP247" s="129"/>
      <c r="BQ247" s="129"/>
    </row>
    <row r="248" spans="1:69" s="139" customFormat="1" x14ac:dyDescent="0.25">
      <c r="A248" s="157"/>
      <c r="B248" s="137"/>
      <c r="C248" s="129"/>
      <c r="G248" s="140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28"/>
      <c r="AC248" s="128"/>
      <c r="AD248" s="128"/>
      <c r="AE248" s="128"/>
      <c r="AF248" s="128"/>
      <c r="AG248" s="129"/>
      <c r="AH248" s="129"/>
      <c r="AI248" s="129"/>
      <c r="AJ248" s="129"/>
      <c r="AK248" s="129"/>
      <c r="AL248" s="129"/>
      <c r="AM248" s="129"/>
      <c r="AN248" s="129"/>
      <c r="AO248" s="129"/>
      <c r="AP248" s="129"/>
      <c r="AQ248" s="130"/>
      <c r="AR248" s="130"/>
      <c r="AS248" s="129"/>
      <c r="AT248" s="129"/>
      <c r="AU248" s="129"/>
      <c r="AV248" s="129"/>
      <c r="AW248" s="129"/>
      <c r="AX248" s="129"/>
      <c r="AY248" s="129"/>
      <c r="AZ248" s="129"/>
      <c r="BA248" s="129"/>
      <c r="BB248" s="129"/>
      <c r="BC248" s="129"/>
      <c r="BD248" s="129"/>
      <c r="BE248" s="129"/>
      <c r="BF248" s="129"/>
      <c r="BG248" s="129"/>
      <c r="BH248" s="129"/>
      <c r="BI248" s="129"/>
      <c r="BJ248" s="129"/>
      <c r="BK248" s="129"/>
      <c r="BL248" s="129"/>
      <c r="BM248" s="129"/>
      <c r="BN248" s="129"/>
      <c r="BO248" s="129"/>
      <c r="BP248" s="129"/>
      <c r="BQ248" s="129"/>
    </row>
    <row r="249" spans="1:69" s="139" customFormat="1" x14ac:dyDescent="0.25">
      <c r="A249" s="157"/>
      <c r="B249" s="137"/>
      <c r="C249" s="129"/>
      <c r="G249" s="140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28"/>
      <c r="AC249" s="128"/>
      <c r="AD249" s="128"/>
      <c r="AE249" s="128"/>
      <c r="AF249" s="128"/>
      <c r="AG249" s="129"/>
      <c r="AH249" s="129"/>
      <c r="AI249" s="129"/>
      <c r="AJ249" s="129"/>
      <c r="AK249" s="129"/>
      <c r="AL249" s="129"/>
      <c r="AM249" s="129"/>
      <c r="AN249" s="129"/>
      <c r="AO249" s="129"/>
      <c r="AP249" s="129"/>
      <c r="AQ249" s="130"/>
      <c r="AR249" s="130"/>
      <c r="AS249" s="129"/>
      <c r="AT249" s="129"/>
      <c r="AU249" s="129"/>
      <c r="AV249" s="129"/>
      <c r="AW249" s="129"/>
      <c r="AX249" s="129"/>
      <c r="AY249" s="129"/>
      <c r="AZ249" s="129"/>
      <c r="BA249" s="129"/>
      <c r="BB249" s="129"/>
      <c r="BC249" s="129"/>
      <c r="BD249" s="129"/>
      <c r="BE249" s="129"/>
      <c r="BF249" s="129"/>
      <c r="BG249" s="129"/>
      <c r="BH249" s="129"/>
      <c r="BI249" s="129"/>
      <c r="BJ249" s="129"/>
      <c r="BK249" s="129"/>
      <c r="BL249" s="129"/>
      <c r="BM249" s="129"/>
      <c r="BN249" s="129"/>
      <c r="BO249" s="129"/>
      <c r="BP249" s="129"/>
      <c r="BQ249" s="129"/>
    </row>
    <row r="250" spans="1:69" s="139" customFormat="1" x14ac:dyDescent="0.25">
      <c r="A250" s="157"/>
      <c r="B250" s="137"/>
      <c r="C250" s="129"/>
      <c r="G250" s="140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28"/>
      <c r="AC250" s="128"/>
      <c r="AD250" s="128"/>
      <c r="AE250" s="128"/>
      <c r="AF250" s="128"/>
      <c r="AG250" s="129"/>
      <c r="AH250" s="129"/>
      <c r="AI250" s="129"/>
      <c r="AJ250" s="129"/>
      <c r="AK250" s="129"/>
      <c r="AL250" s="129"/>
      <c r="AM250" s="129"/>
      <c r="AN250" s="129"/>
      <c r="AO250" s="129"/>
      <c r="AP250" s="129"/>
      <c r="AQ250" s="130"/>
      <c r="AR250" s="130"/>
      <c r="AS250" s="129"/>
      <c r="AT250" s="129"/>
      <c r="AU250" s="129"/>
      <c r="AV250" s="129"/>
      <c r="AW250" s="129"/>
      <c r="AX250" s="129"/>
      <c r="AY250" s="129"/>
      <c r="AZ250" s="129"/>
      <c r="BA250" s="129"/>
      <c r="BB250" s="129"/>
      <c r="BC250" s="129"/>
      <c r="BD250" s="129"/>
      <c r="BE250" s="129"/>
      <c r="BF250" s="129"/>
      <c r="BG250" s="129"/>
      <c r="BH250" s="129"/>
      <c r="BI250" s="129"/>
      <c r="BJ250" s="129"/>
      <c r="BK250" s="129"/>
      <c r="BL250" s="129"/>
      <c r="BM250" s="129"/>
      <c r="BN250" s="129"/>
      <c r="BO250" s="129"/>
      <c r="BP250" s="129"/>
      <c r="BQ250" s="129"/>
    </row>
    <row r="251" spans="1:69" s="139" customFormat="1" x14ac:dyDescent="0.25">
      <c r="A251" s="157"/>
      <c r="B251" s="137"/>
      <c r="C251" s="129"/>
      <c r="G251" s="140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28"/>
      <c r="AC251" s="128"/>
      <c r="AD251" s="128"/>
      <c r="AE251" s="128"/>
      <c r="AF251" s="128"/>
      <c r="AG251" s="129"/>
      <c r="AH251" s="129"/>
      <c r="AI251" s="129"/>
      <c r="AJ251" s="129"/>
      <c r="AK251" s="129"/>
      <c r="AL251" s="129"/>
      <c r="AM251" s="129"/>
      <c r="AN251" s="129"/>
      <c r="AO251" s="129"/>
      <c r="AP251" s="129"/>
      <c r="AQ251" s="130"/>
      <c r="AR251" s="130"/>
      <c r="AS251" s="129"/>
      <c r="AT251" s="129"/>
      <c r="AU251" s="129"/>
      <c r="AV251" s="129"/>
      <c r="AW251" s="129"/>
      <c r="AX251" s="129"/>
      <c r="AY251" s="129"/>
      <c r="AZ251" s="129"/>
      <c r="BA251" s="129"/>
      <c r="BB251" s="129"/>
      <c r="BC251" s="129"/>
      <c r="BD251" s="129"/>
      <c r="BE251" s="129"/>
      <c r="BF251" s="129"/>
      <c r="BG251" s="129"/>
      <c r="BH251" s="129"/>
      <c r="BI251" s="129"/>
      <c r="BJ251" s="129"/>
      <c r="BK251" s="129"/>
      <c r="BL251" s="129"/>
      <c r="BM251" s="129"/>
      <c r="BN251" s="129"/>
      <c r="BO251" s="129"/>
      <c r="BP251" s="129"/>
      <c r="BQ251" s="129"/>
    </row>
    <row r="252" spans="1:69" s="139" customFormat="1" x14ac:dyDescent="0.25">
      <c r="A252" s="157"/>
      <c r="B252" s="137"/>
      <c r="C252" s="129"/>
      <c r="G252" s="140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28"/>
      <c r="AC252" s="128"/>
      <c r="AD252" s="128"/>
      <c r="AE252" s="128"/>
      <c r="AF252" s="128"/>
      <c r="AG252" s="129"/>
      <c r="AH252" s="129"/>
      <c r="AI252" s="129"/>
      <c r="AJ252" s="129"/>
      <c r="AK252" s="129"/>
      <c r="AL252" s="129"/>
      <c r="AM252" s="129"/>
      <c r="AN252" s="129"/>
      <c r="AO252" s="129"/>
      <c r="AP252" s="129"/>
      <c r="AQ252" s="130"/>
      <c r="AR252" s="130"/>
      <c r="AS252" s="129"/>
      <c r="AT252" s="129"/>
      <c r="AU252" s="129"/>
      <c r="AV252" s="129"/>
      <c r="AW252" s="129"/>
      <c r="AX252" s="129"/>
      <c r="AY252" s="129"/>
      <c r="AZ252" s="129"/>
      <c r="BA252" s="129"/>
      <c r="BB252" s="129"/>
      <c r="BC252" s="129"/>
      <c r="BD252" s="129"/>
      <c r="BE252" s="129"/>
      <c r="BF252" s="129"/>
      <c r="BG252" s="129"/>
      <c r="BH252" s="129"/>
      <c r="BI252" s="129"/>
      <c r="BJ252" s="129"/>
      <c r="BK252" s="129"/>
      <c r="BL252" s="129"/>
      <c r="BM252" s="129"/>
      <c r="BN252" s="129"/>
      <c r="BO252" s="129"/>
      <c r="BP252" s="129"/>
      <c r="BQ252" s="129"/>
    </row>
    <row r="253" spans="1:69" s="139" customFormat="1" x14ac:dyDescent="0.25">
      <c r="A253" s="157"/>
      <c r="B253" s="137"/>
      <c r="C253" s="129"/>
      <c r="G253" s="140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28"/>
      <c r="AC253" s="128"/>
      <c r="AD253" s="128"/>
      <c r="AE253" s="128"/>
      <c r="AF253" s="128"/>
      <c r="AG253" s="129"/>
      <c r="AH253" s="129"/>
      <c r="AI253" s="129"/>
      <c r="AJ253" s="129"/>
      <c r="AK253" s="129"/>
      <c r="AL253" s="129"/>
      <c r="AM253" s="129"/>
      <c r="AN253" s="129"/>
      <c r="AO253" s="129"/>
      <c r="AP253" s="129"/>
      <c r="AQ253" s="130"/>
      <c r="AR253" s="130"/>
      <c r="AS253" s="129"/>
      <c r="AT253" s="129"/>
      <c r="AU253" s="129"/>
      <c r="AV253" s="129"/>
      <c r="AW253" s="129"/>
      <c r="AX253" s="129"/>
      <c r="AY253" s="129"/>
      <c r="AZ253" s="129"/>
      <c r="BA253" s="129"/>
      <c r="BB253" s="129"/>
      <c r="BC253" s="129"/>
      <c r="BD253" s="129"/>
      <c r="BE253" s="129"/>
      <c r="BF253" s="129"/>
      <c r="BG253" s="129"/>
      <c r="BH253" s="129"/>
      <c r="BI253" s="129"/>
      <c r="BJ253" s="129"/>
      <c r="BK253" s="129"/>
      <c r="BL253" s="129"/>
      <c r="BM253" s="129"/>
      <c r="BN253" s="129"/>
      <c r="BO253" s="129"/>
      <c r="BP253" s="129"/>
      <c r="BQ253" s="129"/>
    </row>
    <row r="254" spans="1:69" s="139" customFormat="1" x14ac:dyDescent="0.25">
      <c r="A254" s="157"/>
      <c r="B254" s="137"/>
      <c r="C254" s="129"/>
      <c r="G254" s="140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28"/>
      <c r="AC254" s="128"/>
      <c r="AD254" s="128"/>
      <c r="AE254" s="128"/>
      <c r="AF254" s="128"/>
      <c r="AG254" s="129"/>
      <c r="AH254" s="129"/>
      <c r="AI254" s="129"/>
      <c r="AJ254" s="129"/>
      <c r="AK254" s="129"/>
      <c r="AL254" s="129"/>
      <c r="AM254" s="129"/>
      <c r="AN254" s="129"/>
      <c r="AO254" s="129"/>
      <c r="AP254" s="129"/>
      <c r="AQ254" s="130"/>
      <c r="AR254" s="130"/>
      <c r="AS254" s="129"/>
      <c r="AT254" s="129"/>
      <c r="AU254" s="129"/>
      <c r="AV254" s="129"/>
      <c r="AW254" s="129"/>
      <c r="AX254" s="129"/>
      <c r="AY254" s="129"/>
      <c r="AZ254" s="129"/>
      <c r="BA254" s="129"/>
      <c r="BB254" s="129"/>
      <c r="BC254" s="129"/>
      <c r="BD254" s="129"/>
      <c r="BE254" s="129"/>
      <c r="BF254" s="129"/>
      <c r="BG254" s="129"/>
      <c r="BH254" s="129"/>
      <c r="BI254" s="129"/>
      <c r="BJ254" s="129"/>
      <c r="BK254" s="129"/>
      <c r="BL254" s="129"/>
      <c r="BM254" s="129"/>
      <c r="BN254" s="129"/>
      <c r="BO254" s="129"/>
      <c r="BP254" s="129"/>
      <c r="BQ254" s="129"/>
    </row>
    <row r="255" spans="1:69" s="139" customFormat="1" x14ac:dyDescent="0.25">
      <c r="A255" s="157"/>
      <c r="B255" s="137"/>
      <c r="C255" s="129"/>
      <c r="G255" s="140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28"/>
      <c r="AC255" s="128"/>
      <c r="AD255" s="128"/>
      <c r="AE255" s="128"/>
      <c r="AF255" s="128"/>
      <c r="AG255" s="129"/>
      <c r="AH255" s="129"/>
      <c r="AI255" s="129"/>
      <c r="AJ255" s="129"/>
      <c r="AK255" s="129"/>
      <c r="AL255" s="129"/>
      <c r="AM255" s="129"/>
      <c r="AN255" s="129"/>
      <c r="AO255" s="129"/>
      <c r="AP255" s="129"/>
      <c r="AQ255" s="130"/>
      <c r="AR255" s="130"/>
      <c r="AS255" s="129"/>
      <c r="AT255" s="129"/>
      <c r="AU255" s="129"/>
      <c r="AV255" s="129"/>
      <c r="AW255" s="129"/>
      <c r="AX255" s="129"/>
      <c r="AY255" s="129"/>
      <c r="AZ255" s="129"/>
      <c r="BA255" s="129"/>
      <c r="BB255" s="129"/>
      <c r="BC255" s="129"/>
      <c r="BD255" s="129"/>
      <c r="BE255" s="129"/>
      <c r="BF255" s="129"/>
      <c r="BG255" s="129"/>
      <c r="BH255" s="129"/>
      <c r="BI255" s="129"/>
      <c r="BJ255" s="129"/>
      <c r="BK255" s="129"/>
      <c r="BL255" s="129"/>
      <c r="BM255" s="129"/>
      <c r="BN255" s="129"/>
      <c r="BO255" s="129"/>
      <c r="BP255" s="129"/>
      <c r="BQ255" s="129"/>
    </row>
    <row r="256" spans="1:69" s="139" customFormat="1" x14ac:dyDescent="0.25">
      <c r="A256" s="157"/>
      <c r="B256" s="137"/>
      <c r="C256" s="129"/>
      <c r="G256" s="140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28"/>
      <c r="AC256" s="128"/>
      <c r="AD256" s="128"/>
      <c r="AE256" s="128"/>
      <c r="AF256" s="128"/>
      <c r="AG256" s="129"/>
      <c r="AH256" s="129"/>
      <c r="AI256" s="129"/>
      <c r="AJ256" s="129"/>
      <c r="AK256" s="129"/>
      <c r="AL256" s="129"/>
      <c r="AM256" s="129"/>
      <c r="AN256" s="129"/>
      <c r="AO256" s="129"/>
      <c r="AP256" s="129"/>
      <c r="AQ256" s="130"/>
      <c r="AR256" s="130"/>
      <c r="AS256" s="129"/>
      <c r="AT256" s="129"/>
      <c r="AU256" s="129"/>
      <c r="AV256" s="129"/>
      <c r="AW256" s="129"/>
      <c r="AX256" s="129"/>
      <c r="AY256" s="129"/>
      <c r="AZ256" s="129"/>
      <c r="BA256" s="129"/>
      <c r="BB256" s="129"/>
      <c r="BC256" s="129"/>
      <c r="BD256" s="129"/>
      <c r="BE256" s="129"/>
      <c r="BF256" s="129"/>
      <c r="BG256" s="129"/>
      <c r="BH256" s="129"/>
      <c r="BI256" s="129"/>
      <c r="BJ256" s="129"/>
      <c r="BK256" s="129"/>
      <c r="BL256" s="129"/>
      <c r="BM256" s="129"/>
      <c r="BN256" s="129"/>
      <c r="BO256" s="129"/>
      <c r="BP256" s="129"/>
      <c r="BQ256" s="129"/>
    </row>
    <row r="257" spans="1:69" s="139" customFormat="1" x14ac:dyDescent="0.25">
      <c r="A257" s="157"/>
      <c r="B257" s="137"/>
      <c r="C257" s="129"/>
      <c r="G257" s="140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28"/>
      <c r="AC257" s="128"/>
      <c r="AD257" s="128"/>
      <c r="AE257" s="128"/>
      <c r="AF257" s="128"/>
      <c r="AG257" s="129"/>
      <c r="AH257" s="129"/>
      <c r="AI257" s="129"/>
      <c r="AJ257" s="129"/>
      <c r="AK257" s="129"/>
      <c r="AL257" s="129"/>
      <c r="AM257" s="129"/>
      <c r="AN257" s="129"/>
      <c r="AO257" s="129"/>
      <c r="AP257" s="129"/>
      <c r="AQ257" s="130"/>
      <c r="AR257" s="130"/>
      <c r="AS257" s="129"/>
      <c r="AT257" s="129"/>
      <c r="AU257" s="129"/>
      <c r="AV257" s="129"/>
      <c r="AW257" s="129"/>
      <c r="AX257" s="129"/>
      <c r="AY257" s="129"/>
      <c r="AZ257" s="129"/>
      <c r="BA257" s="129"/>
      <c r="BB257" s="129"/>
      <c r="BC257" s="129"/>
      <c r="BD257" s="129"/>
      <c r="BE257" s="129"/>
      <c r="BF257" s="129"/>
      <c r="BG257" s="129"/>
      <c r="BH257" s="129"/>
      <c r="BI257" s="129"/>
      <c r="BJ257" s="129"/>
      <c r="BK257" s="129"/>
      <c r="BL257" s="129"/>
      <c r="BM257" s="129"/>
      <c r="BN257" s="129"/>
      <c r="BO257" s="129"/>
      <c r="BP257" s="129"/>
      <c r="BQ257" s="129"/>
    </row>
    <row r="258" spans="1:69" s="139" customFormat="1" x14ac:dyDescent="0.25">
      <c r="A258" s="157"/>
      <c r="B258" s="137"/>
      <c r="C258" s="129"/>
      <c r="G258" s="140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28"/>
      <c r="AC258" s="128"/>
      <c r="AD258" s="128"/>
      <c r="AE258" s="128"/>
      <c r="AF258" s="128"/>
      <c r="AG258" s="129"/>
      <c r="AH258" s="129"/>
      <c r="AI258" s="129"/>
      <c r="AJ258" s="129"/>
      <c r="AK258" s="129"/>
      <c r="AL258" s="129"/>
      <c r="AM258" s="129"/>
      <c r="AN258" s="129"/>
      <c r="AO258" s="129"/>
      <c r="AP258" s="129"/>
      <c r="AQ258" s="130"/>
      <c r="AR258" s="130"/>
      <c r="AS258" s="129"/>
      <c r="AT258" s="129"/>
      <c r="AU258" s="129"/>
      <c r="AV258" s="129"/>
      <c r="AW258" s="129"/>
      <c r="AX258" s="129"/>
      <c r="AY258" s="129"/>
      <c r="AZ258" s="129"/>
      <c r="BA258" s="129"/>
      <c r="BB258" s="129"/>
      <c r="BC258" s="129"/>
      <c r="BD258" s="129"/>
      <c r="BE258" s="129"/>
      <c r="BF258" s="129"/>
      <c r="BG258" s="129"/>
      <c r="BH258" s="129"/>
      <c r="BI258" s="129"/>
      <c r="BJ258" s="129"/>
      <c r="BK258" s="129"/>
      <c r="BL258" s="129"/>
      <c r="BM258" s="129"/>
      <c r="BN258" s="129"/>
      <c r="BO258" s="129"/>
      <c r="BP258" s="129"/>
      <c r="BQ258" s="129"/>
    </row>
    <row r="259" spans="1:69" s="139" customFormat="1" x14ac:dyDescent="0.25">
      <c r="A259" s="157"/>
      <c r="B259" s="137"/>
      <c r="C259" s="129"/>
      <c r="G259" s="140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28"/>
      <c r="AC259" s="128"/>
      <c r="AD259" s="128"/>
      <c r="AE259" s="128"/>
      <c r="AF259" s="128"/>
      <c r="AG259" s="129"/>
      <c r="AH259" s="129"/>
      <c r="AI259" s="129"/>
      <c r="AJ259" s="129"/>
      <c r="AK259" s="129"/>
      <c r="AL259" s="129"/>
      <c r="AM259" s="129"/>
      <c r="AN259" s="129"/>
      <c r="AO259" s="129"/>
      <c r="AP259" s="129"/>
      <c r="AQ259" s="130"/>
      <c r="AR259" s="130"/>
      <c r="AS259" s="129"/>
      <c r="AT259" s="129"/>
      <c r="AU259" s="129"/>
      <c r="AV259" s="129"/>
      <c r="AW259" s="129"/>
      <c r="AX259" s="129"/>
      <c r="AY259" s="129"/>
      <c r="AZ259" s="129"/>
      <c r="BA259" s="129"/>
      <c r="BB259" s="129"/>
      <c r="BC259" s="129"/>
      <c r="BD259" s="129"/>
      <c r="BE259" s="129"/>
      <c r="BF259" s="129"/>
      <c r="BG259" s="129"/>
      <c r="BH259" s="129"/>
      <c r="BI259" s="129"/>
      <c r="BJ259" s="129"/>
      <c r="BK259" s="129"/>
      <c r="BL259" s="129"/>
      <c r="BM259" s="129"/>
      <c r="BN259" s="129"/>
      <c r="BO259" s="129"/>
      <c r="BP259" s="129"/>
      <c r="BQ259" s="129"/>
    </row>
    <row r="260" spans="1:69" s="139" customFormat="1" x14ac:dyDescent="0.25">
      <c r="A260" s="157"/>
      <c r="B260" s="137"/>
      <c r="C260" s="129"/>
      <c r="G260" s="140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28"/>
      <c r="AC260" s="128"/>
      <c r="AD260" s="128"/>
      <c r="AE260" s="128"/>
      <c r="AF260" s="128"/>
      <c r="AG260" s="129"/>
      <c r="AH260" s="129"/>
      <c r="AI260" s="129"/>
      <c r="AJ260" s="129"/>
      <c r="AK260" s="129"/>
      <c r="AL260" s="129"/>
      <c r="AM260" s="129"/>
      <c r="AN260" s="129"/>
      <c r="AO260" s="129"/>
      <c r="AP260" s="129"/>
      <c r="AQ260" s="130"/>
      <c r="AR260" s="130"/>
      <c r="AS260" s="129"/>
      <c r="AT260" s="129"/>
      <c r="AU260" s="129"/>
      <c r="AV260" s="129"/>
      <c r="AW260" s="129"/>
      <c r="AX260" s="129"/>
      <c r="AY260" s="129"/>
      <c r="AZ260" s="129"/>
      <c r="BA260" s="129"/>
      <c r="BB260" s="129"/>
      <c r="BC260" s="129"/>
      <c r="BD260" s="129"/>
      <c r="BE260" s="129"/>
      <c r="BF260" s="129"/>
      <c r="BG260" s="129"/>
      <c r="BH260" s="129"/>
      <c r="BI260" s="129"/>
      <c r="BJ260" s="129"/>
      <c r="BK260" s="129"/>
      <c r="BL260" s="129"/>
      <c r="BM260" s="129"/>
      <c r="BN260" s="129"/>
      <c r="BO260" s="129"/>
      <c r="BP260" s="129"/>
      <c r="BQ260" s="129"/>
    </row>
    <row r="261" spans="1:69" s="139" customFormat="1" x14ac:dyDescent="0.25">
      <c r="A261" s="157"/>
      <c r="B261" s="137"/>
      <c r="C261" s="129"/>
      <c r="G261" s="140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28"/>
      <c r="AC261" s="128"/>
      <c r="AD261" s="128"/>
      <c r="AE261" s="128"/>
      <c r="AF261" s="128"/>
      <c r="AG261" s="129"/>
      <c r="AH261" s="129"/>
      <c r="AI261" s="129"/>
      <c r="AJ261" s="129"/>
      <c r="AK261" s="129"/>
      <c r="AL261" s="129"/>
      <c r="AM261" s="129"/>
      <c r="AN261" s="129"/>
      <c r="AO261" s="129"/>
      <c r="AP261" s="129"/>
      <c r="AQ261" s="130"/>
      <c r="AR261" s="130"/>
      <c r="AS261" s="129"/>
      <c r="AT261" s="129"/>
      <c r="AU261" s="129"/>
      <c r="AV261" s="129"/>
      <c r="AW261" s="129"/>
      <c r="AX261" s="129"/>
      <c r="AY261" s="129"/>
      <c r="AZ261" s="129"/>
      <c r="BA261" s="129"/>
      <c r="BB261" s="129"/>
      <c r="BC261" s="129"/>
      <c r="BD261" s="129"/>
      <c r="BE261" s="129"/>
      <c r="BF261" s="129"/>
      <c r="BG261" s="129"/>
      <c r="BH261" s="129"/>
      <c r="BI261" s="129"/>
      <c r="BJ261" s="129"/>
      <c r="BK261" s="129"/>
      <c r="BL261" s="129"/>
      <c r="BM261" s="129"/>
      <c r="BN261" s="129"/>
      <c r="BO261" s="129"/>
      <c r="BP261" s="129"/>
      <c r="BQ261" s="129"/>
    </row>
    <row r="262" spans="1:69" s="139" customFormat="1" x14ac:dyDescent="0.25">
      <c r="A262" s="157"/>
      <c r="B262" s="137"/>
      <c r="C262" s="129"/>
      <c r="G262" s="140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28"/>
      <c r="AC262" s="128"/>
      <c r="AD262" s="128"/>
      <c r="AE262" s="128"/>
      <c r="AF262" s="128"/>
      <c r="AG262" s="129"/>
      <c r="AH262" s="129"/>
      <c r="AI262" s="129"/>
      <c r="AJ262" s="129"/>
      <c r="AK262" s="129"/>
      <c r="AL262" s="129"/>
      <c r="AM262" s="129"/>
      <c r="AN262" s="129"/>
      <c r="AO262" s="129"/>
      <c r="AP262" s="129"/>
      <c r="AQ262" s="130"/>
      <c r="AR262" s="130"/>
      <c r="AS262" s="129"/>
      <c r="AT262" s="129"/>
      <c r="AU262" s="129"/>
      <c r="AV262" s="129"/>
      <c r="AW262" s="129"/>
      <c r="AX262" s="129"/>
      <c r="AY262" s="129"/>
      <c r="AZ262" s="129"/>
      <c r="BA262" s="129"/>
      <c r="BB262" s="129"/>
      <c r="BC262" s="129"/>
      <c r="BD262" s="129"/>
      <c r="BE262" s="129"/>
      <c r="BF262" s="129"/>
      <c r="BG262" s="129"/>
      <c r="BH262" s="129"/>
      <c r="BI262" s="129"/>
      <c r="BJ262" s="129"/>
      <c r="BK262" s="129"/>
      <c r="BL262" s="129"/>
      <c r="BM262" s="129"/>
      <c r="BN262" s="129"/>
      <c r="BO262" s="129"/>
      <c r="BP262" s="129"/>
      <c r="BQ262" s="129"/>
    </row>
    <row r="263" spans="1:69" s="139" customFormat="1" x14ac:dyDescent="0.25">
      <c r="A263" s="157"/>
      <c r="B263" s="137"/>
      <c r="C263" s="129"/>
      <c r="G263" s="140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28"/>
      <c r="AC263" s="128"/>
      <c r="AD263" s="128"/>
      <c r="AE263" s="128"/>
      <c r="AF263" s="128"/>
      <c r="AG263" s="129"/>
      <c r="AH263" s="129"/>
      <c r="AI263" s="129"/>
      <c r="AJ263" s="129"/>
      <c r="AK263" s="129"/>
      <c r="AL263" s="129"/>
      <c r="AM263" s="129"/>
      <c r="AN263" s="129"/>
      <c r="AO263" s="129"/>
      <c r="AP263" s="129"/>
      <c r="AQ263" s="130"/>
      <c r="AR263" s="130"/>
      <c r="AS263" s="129"/>
      <c r="AT263" s="129"/>
      <c r="AU263" s="129"/>
      <c r="AV263" s="129"/>
      <c r="AW263" s="129"/>
      <c r="AX263" s="129"/>
      <c r="AY263" s="129"/>
      <c r="AZ263" s="129"/>
      <c r="BA263" s="129"/>
      <c r="BB263" s="129"/>
      <c r="BC263" s="129"/>
      <c r="BD263" s="129"/>
      <c r="BE263" s="129"/>
      <c r="BF263" s="129"/>
      <c r="BG263" s="129"/>
      <c r="BH263" s="129"/>
      <c r="BI263" s="129"/>
      <c r="BJ263" s="129"/>
      <c r="BK263" s="129"/>
      <c r="BL263" s="129"/>
      <c r="BM263" s="129"/>
      <c r="BN263" s="129"/>
      <c r="BO263" s="129"/>
      <c r="BP263" s="129"/>
      <c r="BQ263" s="129"/>
    </row>
    <row r="264" spans="1:69" s="139" customFormat="1" x14ac:dyDescent="0.25">
      <c r="A264" s="157"/>
      <c r="B264" s="137"/>
      <c r="C264" s="129"/>
      <c r="G264" s="140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28"/>
      <c r="AC264" s="128"/>
      <c r="AD264" s="128"/>
      <c r="AE264" s="128"/>
      <c r="AF264" s="128"/>
      <c r="AG264" s="129"/>
      <c r="AH264" s="129"/>
      <c r="AI264" s="129"/>
      <c r="AJ264" s="129"/>
      <c r="AK264" s="129"/>
      <c r="AL264" s="129"/>
      <c r="AM264" s="129"/>
      <c r="AN264" s="129"/>
      <c r="AO264" s="129"/>
      <c r="AP264" s="129"/>
      <c r="AQ264" s="130"/>
      <c r="AR264" s="130"/>
      <c r="AS264" s="129"/>
      <c r="AT264" s="129"/>
      <c r="AU264" s="129"/>
      <c r="AV264" s="129"/>
      <c r="AW264" s="129"/>
      <c r="AX264" s="129"/>
      <c r="AY264" s="129"/>
      <c r="AZ264" s="129"/>
      <c r="BA264" s="129"/>
      <c r="BB264" s="129"/>
      <c r="BC264" s="129"/>
      <c r="BD264" s="129"/>
      <c r="BE264" s="129"/>
      <c r="BF264" s="129"/>
      <c r="BG264" s="129"/>
      <c r="BH264" s="129"/>
      <c r="BI264" s="129"/>
      <c r="BJ264" s="129"/>
      <c r="BK264" s="129"/>
      <c r="BL264" s="129"/>
      <c r="BM264" s="129"/>
      <c r="BN264" s="129"/>
      <c r="BO264" s="129"/>
      <c r="BP264" s="129"/>
      <c r="BQ264" s="129"/>
    </row>
    <row r="265" spans="1:69" s="139" customFormat="1" x14ac:dyDescent="0.25">
      <c r="A265" s="157"/>
      <c r="B265" s="137"/>
      <c r="C265" s="129"/>
      <c r="G265" s="140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28"/>
      <c r="AC265" s="128"/>
      <c r="AD265" s="128"/>
      <c r="AE265" s="128"/>
      <c r="AF265" s="128"/>
      <c r="AG265" s="129"/>
      <c r="AH265" s="129"/>
      <c r="AI265" s="129"/>
      <c r="AJ265" s="129"/>
      <c r="AK265" s="129"/>
      <c r="AL265" s="129"/>
      <c r="AM265" s="129"/>
      <c r="AN265" s="129"/>
      <c r="AO265" s="129"/>
      <c r="AP265" s="129"/>
      <c r="AQ265" s="130"/>
      <c r="AR265" s="130"/>
      <c r="AS265" s="129"/>
      <c r="AT265" s="129"/>
      <c r="AU265" s="129"/>
      <c r="AV265" s="129"/>
      <c r="AW265" s="129"/>
      <c r="AX265" s="129"/>
      <c r="AY265" s="129"/>
      <c r="AZ265" s="129"/>
      <c r="BA265" s="129"/>
      <c r="BB265" s="129"/>
      <c r="BC265" s="129"/>
      <c r="BD265" s="129"/>
      <c r="BE265" s="129"/>
      <c r="BF265" s="129"/>
      <c r="BG265" s="129"/>
      <c r="BH265" s="129"/>
      <c r="BI265" s="129"/>
      <c r="BJ265" s="129"/>
      <c r="BK265" s="129"/>
      <c r="BL265" s="129"/>
      <c r="BM265" s="129"/>
      <c r="BN265" s="129"/>
      <c r="BO265" s="129"/>
      <c r="BP265" s="129"/>
      <c r="BQ265" s="129"/>
    </row>
    <row r="266" spans="1:69" s="139" customFormat="1" x14ac:dyDescent="0.25">
      <c r="A266" s="157"/>
      <c r="B266" s="137"/>
      <c r="C266" s="129"/>
      <c r="G266" s="140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28"/>
      <c r="AC266" s="128"/>
      <c r="AD266" s="128"/>
      <c r="AE266" s="128"/>
      <c r="AF266" s="128"/>
      <c r="AG266" s="129"/>
      <c r="AH266" s="129"/>
      <c r="AI266" s="129"/>
      <c r="AJ266" s="129"/>
      <c r="AK266" s="129"/>
      <c r="AL266" s="129"/>
      <c r="AM266" s="129"/>
      <c r="AN266" s="129"/>
      <c r="AO266" s="129"/>
      <c r="AP266" s="129"/>
      <c r="AQ266" s="130"/>
      <c r="AR266" s="130"/>
      <c r="AS266" s="129"/>
      <c r="AT266" s="129"/>
      <c r="AU266" s="129"/>
      <c r="AV266" s="129"/>
      <c r="AW266" s="129"/>
      <c r="AX266" s="129"/>
      <c r="AY266" s="129"/>
      <c r="AZ266" s="129"/>
      <c r="BA266" s="129"/>
      <c r="BB266" s="129"/>
      <c r="BC266" s="129"/>
      <c r="BD266" s="129"/>
      <c r="BE266" s="129"/>
      <c r="BF266" s="129"/>
      <c r="BG266" s="129"/>
      <c r="BH266" s="129"/>
      <c r="BI266" s="129"/>
      <c r="BJ266" s="129"/>
      <c r="BK266" s="129"/>
      <c r="BL266" s="129"/>
      <c r="BM266" s="129"/>
      <c r="BN266" s="129"/>
      <c r="BO266" s="129"/>
      <c r="BP266" s="129"/>
      <c r="BQ266" s="129"/>
    </row>
    <row r="267" spans="1:69" s="139" customFormat="1" x14ac:dyDescent="0.25">
      <c r="A267" s="157"/>
      <c r="B267" s="137"/>
      <c r="C267" s="129"/>
      <c r="G267" s="140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28"/>
      <c r="AC267" s="128"/>
      <c r="AD267" s="128"/>
      <c r="AE267" s="128"/>
      <c r="AF267" s="128"/>
      <c r="AG267" s="129"/>
      <c r="AH267" s="129"/>
      <c r="AI267" s="129"/>
      <c r="AJ267" s="129"/>
      <c r="AK267" s="129"/>
      <c r="AL267" s="129"/>
      <c r="AM267" s="129"/>
      <c r="AN267" s="129"/>
      <c r="AO267" s="129"/>
      <c r="AP267" s="129"/>
      <c r="AQ267" s="130"/>
      <c r="AR267" s="130"/>
      <c r="AS267" s="129"/>
      <c r="AT267" s="129"/>
      <c r="AU267" s="129"/>
      <c r="AV267" s="129"/>
      <c r="AW267" s="129"/>
      <c r="AX267" s="129"/>
      <c r="AY267" s="129"/>
      <c r="AZ267" s="129"/>
      <c r="BA267" s="129"/>
      <c r="BB267" s="129"/>
      <c r="BC267" s="129"/>
      <c r="BD267" s="129"/>
      <c r="BE267" s="129"/>
      <c r="BF267" s="129"/>
      <c r="BG267" s="129"/>
      <c r="BH267" s="129"/>
      <c r="BI267" s="129"/>
      <c r="BJ267" s="129"/>
      <c r="BK267" s="129"/>
      <c r="BL267" s="129"/>
      <c r="BM267" s="129"/>
      <c r="BN267" s="129"/>
      <c r="BO267" s="129"/>
      <c r="BP267" s="129"/>
      <c r="BQ267" s="129"/>
    </row>
    <row r="268" spans="1:69" s="139" customFormat="1" x14ac:dyDescent="0.25">
      <c r="A268" s="157"/>
      <c r="B268" s="137"/>
      <c r="C268" s="129"/>
      <c r="G268" s="140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28"/>
      <c r="AC268" s="128"/>
      <c r="AD268" s="128"/>
      <c r="AE268" s="128"/>
      <c r="AF268" s="128"/>
      <c r="AG268" s="129"/>
      <c r="AH268" s="129"/>
      <c r="AI268" s="129"/>
      <c r="AJ268" s="129"/>
      <c r="AK268" s="129"/>
      <c r="AL268" s="129"/>
      <c r="AM268" s="129"/>
      <c r="AN268" s="129"/>
      <c r="AO268" s="129"/>
      <c r="AP268" s="129"/>
      <c r="AQ268" s="130"/>
      <c r="AR268" s="130"/>
      <c r="AS268" s="129"/>
      <c r="AT268" s="129"/>
      <c r="AU268" s="129"/>
      <c r="AV268" s="129"/>
      <c r="AW268" s="129"/>
      <c r="AX268" s="129"/>
      <c r="AY268" s="129"/>
      <c r="AZ268" s="129"/>
      <c r="BA268" s="129"/>
      <c r="BB268" s="129"/>
      <c r="BC268" s="129"/>
      <c r="BD268" s="129"/>
      <c r="BE268" s="129"/>
      <c r="BF268" s="129"/>
      <c r="BG268" s="129"/>
      <c r="BH268" s="129"/>
      <c r="BI268" s="129"/>
      <c r="BJ268" s="129"/>
      <c r="BK268" s="129"/>
      <c r="BL268" s="129"/>
      <c r="BM268" s="129"/>
      <c r="BN268" s="129"/>
      <c r="BO268" s="129"/>
      <c r="BP268" s="129"/>
      <c r="BQ268" s="129"/>
    </row>
    <row r="269" spans="1:69" s="139" customFormat="1" x14ac:dyDescent="0.25">
      <c r="A269" s="157"/>
      <c r="B269" s="137"/>
      <c r="C269" s="129"/>
      <c r="G269" s="140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28"/>
      <c r="AC269" s="128"/>
      <c r="AD269" s="128"/>
      <c r="AE269" s="128"/>
      <c r="AF269" s="128"/>
      <c r="AG269" s="129"/>
      <c r="AH269" s="129"/>
      <c r="AI269" s="129"/>
      <c r="AJ269" s="129"/>
      <c r="AK269" s="129"/>
      <c r="AL269" s="129"/>
      <c r="AM269" s="129"/>
      <c r="AN269" s="129"/>
      <c r="AO269" s="129"/>
      <c r="AP269" s="129"/>
      <c r="AQ269" s="130"/>
      <c r="AR269" s="130"/>
      <c r="AS269" s="129"/>
      <c r="AT269" s="129"/>
      <c r="AU269" s="129"/>
      <c r="AV269" s="129"/>
      <c r="AW269" s="129"/>
      <c r="AX269" s="129"/>
      <c r="AY269" s="129"/>
      <c r="AZ269" s="129"/>
      <c r="BA269" s="129"/>
      <c r="BB269" s="129"/>
      <c r="BC269" s="129"/>
      <c r="BD269" s="129"/>
      <c r="BE269" s="129"/>
      <c r="BF269" s="129"/>
      <c r="BG269" s="129"/>
      <c r="BH269" s="129"/>
      <c r="BI269" s="129"/>
      <c r="BJ269" s="129"/>
      <c r="BK269" s="129"/>
      <c r="BL269" s="129"/>
      <c r="BM269" s="129"/>
      <c r="BN269" s="129"/>
      <c r="BO269" s="129"/>
      <c r="BP269" s="129"/>
      <c r="BQ269" s="129"/>
    </row>
    <row r="270" spans="1:69" s="139" customFormat="1" x14ac:dyDescent="0.25">
      <c r="A270" s="157"/>
      <c r="B270" s="137"/>
      <c r="C270" s="129"/>
      <c r="G270" s="140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28"/>
      <c r="AC270" s="128"/>
      <c r="AD270" s="128"/>
      <c r="AE270" s="128"/>
      <c r="AF270" s="128"/>
      <c r="AG270" s="129"/>
      <c r="AH270" s="129"/>
      <c r="AI270" s="129"/>
      <c r="AJ270" s="129"/>
      <c r="AK270" s="129"/>
      <c r="AL270" s="129"/>
      <c r="AM270" s="129"/>
      <c r="AN270" s="129"/>
      <c r="AO270" s="129"/>
      <c r="AP270" s="129"/>
      <c r="AQ270" s="130"/>
      <c r="AR270" s="130"/>
      <c r="AS270" s="129"/>
      <c r="AT270" s="129"/>
      <c r="AU270" s="129"/>
      <c r="AV270" s="129"/>
      <c r="AW270" s="129"/>
      <c r="AX270" s="129"/>
      <c r="AY270" s="129"/>
      <c r="AZ270" s="129"/>
      <c r="BA270" s="129"/>
      <c r="BB270" s="129"/>
      <c r="BC270" s="129"/>
      <c r="BD270" s="129"/>
      <c r="BE270" s="129"/>
      <c r="BF270" s="129"/>
      <c r="BG270" s="129"/>
      <c r="BH270" s="129"/>
      <c r="BI270" s="129"/>
      <c r="BJ270" s="129"/>
      <c r="BK270" s="129"/>
      <c r="BL270" s="129"/>
      <c r="BM270" s="129"/>
      <c r="BN270" s="129"/>
      <c r="BO270" s="129"/>
      <c r="BP270" s="129"/>
      <c r="BQ270" s="129"/>
    </row>
    <row r="271" spans="1:69" s="139" customFormat="1" x14ac:dyDescent="0.25">
      <c r="A271" s="157"/>
      <c r="B271" s="137"/>
      <c r="C271" s="129"/>
      <c r="G271" s="140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28"/>
      <c r="AC271" s="128"/>
      <c r="AD271" s="128"/>
      <c r="AE271" s="128"/>
      <c r="AF271" s="128"/>
      <c r="AG271" s="129"/>
      <c r="AH271" s="129"/>
      <c r="AI271" s="129"/>
      <c r="AJ271" s="129"/>
      <c r="AK271" s="129"/>
      <c r="AL271" s="129"/>
      <c r="AM271" s="129"/>
      <c r="AN271" s="129"/>
      <c r="AO271" s="129"/>
      <c r="AP271" s="129"/>
      <c r="AQ271" s="130"/>
      <c r="AR271" s="130"/>
      <c r="AS271" s="129"/>
      <c r="AT271" s="129"/>
      <c r="AU271" s="129"/>
      <c r="AV271" s="129"/>
      <c r="AW271" s="129"/>
      <c r="AX271" s="129"/>
      <c r="AY271" s="129"/>
      <c r="AZ271" s="129"/>
      <c r="BA271" s="129"/>
      <c r="BB271" s="129"/>
      <c r="BC271" s="129"/>
      <c r="BD271" s="129"/>
      <c r="BE271" s="129"/>
      <c r="BF271" s="129"/>
      <c r="BG271" s="129"/>
      <c r="BH271" s="129"/>
      <c r="BI271" s="129"/>
      <c r="BJ271" s="129"/>
      <c r="BK271" s="129"/>
      <c r="BL271" s="129"/>
      <c r="BM271" s="129"/>
      <c r="BN271" s="129"/>
      <c r="BO271" s="129"/>
      <c r="BP271" s="129"/>
      <c r="BQ271" s="129"/>
    </row>
    <row r="272" spans="1:69" s="139" customFormat="1" x14ac:dyDescent="0.25">
      <c r="A272" s="157"/>
      <c r="B272" s="137"/>
      <c r="C272" s="129"/>
      <c r="G272" s="140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28"/>
      <c r="AC272" s="128"/>
      <c r="AD272" s="128"/>
      <c r="AE272" s="128"/>
      <c r="AF272" s="128"/>
      <c r="AG272" s="129"/>
      <c r="AH272" s="129"/>
      <c r="AI272" s="129"/>
      <c r="AJ272" s="129"/>
      <c r="AK272" s="129"/>
      <c r="AL272" s="129"/>
      <c r="AM272" s="129"/>
      <c r="AN272" s="129"/>
      <c r="AO272" s="129"/>
      <c r="AP272" s="129"/>
      <c r="AQ272" s="130"/>
      <c r="AR272" s="130"/>
      <c r="AS272" s="129"/>
      <c r="AT272" s="129"/>
      <c r="AU272" s="129"/>
      <c r="AV272" s="129"/>
      <c r="AW272" s="129"/>
      <c r="AX272" s="129"/>
      <c r="AY272" s="129"/>
      <c r="AZ272" s="129"/>
      <c r="BA272" s="129"/>
      <c r="BB272" s="129"/>
      <c r="BC272" s="129"/>
      <c r="BD272" s="129"/>
      <c r="BE272" s="129"/>
      <c r="BF272" s="129"/>
      <c r="BG272" s="129"/>
      <c r="BH272" s="129"/>
      <c r="BI272" s="129"/>
      <c r="BJ272" s="129"/>
      <c r="BK272" s="129"/>
      <c r="BL272" s="129"/>
      <c r="BM272" s="129"/>
      <c r="BN272" s="129"/>
      <c r="BO272" s="129"/>
      <c r="BP272" s="129"/>
      <c r="BQ272" s="129"/>
    </row>
    <row r="273" spans="1:69" s="139" customFormat="1" x14ac:dyDescent="0.25">
      <c r="A273" s="157"/>
      <c r="B273" s="137"/>
      <c r="C273" s="129"/>
      <c r="G273" s="140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28"/>
      <c r="AC273" s="128"/>
      <c r="AD273" s="128"/>
      <c r="AE273" s="128"/>
      <c r="AF273" s="128"/>
      <c r="AG273" s="129"/>
      <c r="AH273" s="129"/>
      <c r="AI273" s="129"/>
      <c r="AJ273" s="129"/>
      <c r="AK273" s="129"/>
      <c r="AL273" s="129"/>
      <c r="AM273" s="129"/>
      <c r="AN273" s="129"/>
      <c r="AO273" s="129"/>
      <c r="AP273" s="129"/>
      <c r="AQ273" s="130"/>
      <c r="AR273" s="130"/>
      <c r="AS273" s="129"/>
      <c r="AT273" s="129"/>
      <c r="AU273" s="129"/>
      <c r="AV273" s="129"/>
      <c r="AW273" s="129"/>
      <c r="AX273" s="129"/>
      <c r="AY273" s="129"/>
      <c r="AZ273" s="129"/>
      <c r="BA273" s="129"/>
      <c r="BB273" s="129"/>
      <c r="BC273" s="129"/>
      <c r="BD273" s="129"/>
      <c r="BE273" s="129"/>
      <c r="BF273" s="129"/>
      <c r="BG273" s="129"/>
      <c r="BH273" s="129"/>
      <c r="BI273" s="129"/>
      <c r="BJ273" s="129"/>
      <c r="BK273" s="129"/>
      <c r="BL273" s="129"/>
      <c r="BM273" s="129"/>
      <c r="BN273" s="129"/>
      <c r="BO273" s="129"/>
      <c r="BP273" s="129"/>
      <c r="BQ273" s="129"/>
    </row>
    <row r="274" spans="1:69" s="139" customFormat="1" x14ac:dyDescent="0.25">
      <c r="A274" s="157"/>
      <c r="B274" s="137"/>
      <c r="C274" s="129"/>
      <c r="G274" s="140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28"/>
      <c r="AC274" s="128"/>
      <c r="AD274" s="128"/>
      <c r="AE274" s="128"/>
      <c r="AF274" s="128"/>
      <c r="AG274" s="129"/>
      <c r="AH274" s="129"/>
      <c r="AI274" s="129"/>
      <c r="AJ274" s="129"/>
      <c r="AK274" s="129"/>
      <c r="AL274" s="129"/>
      <c r="AM274" s="129"/>
      <c r="AN274" s="129"/>
      <c r="AO274" s="129"/>
      <c r="AP274" s="129"/>
      <c r="AQ274" s="130"/>
      <c r="AR274" s="130"/>
      <c r="AS274" s="129"/>
      <c r="AT274" s="129"/>
      <c r="AU274" s="129"/>
      <c r="AV274" s="129"/>
      <c r="AW274" s="129"/>
      <c r="AX274" s="129"/>
      <c r="AY274" s="129"/>
      <c r="AZ274" s="129"/>
      <c r="BA274" s="129"/>
      <c r="BB274" s="129"/>
      <c r="BC274" s="129"/>
      <c r="BD274" s="129"/>
      <c r="BE274" s="129"/>
      <c r="BF274" s="129"/>
      <c r="BG274" s="129"/>
      <c r="BH274" s="129"/>
      <c r="BI274" s="129"/>
      <c r="BJ274" s="129"/>
      <c r="BK274" s="129"/>
      <c r="BL274" s="129"/>
      <c r="BM274" s="129"/>
      <c r="BN274" s="129"/>
      <c r="BO274" s="129"/>
      <c r="BP274" s="129"/>
      <c r="BQ274" s="129"/>
    </row>
    <row r="275" spans="1:69" s="139" customFormat="1" x14ac:dyDescent="0.25">
      <c r="A275" s="157"/>
      <c r="B275" s="137"/>
      <c r="C275" s="129"/>
      <c r="G275" s="140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28"/>
      <c r="AC275" s="128"/>
      <c r="AD275" s="128"/>
      <c r="AE275" s="128"/>
      <c r="AF275" s="128"/>
      <c r="AG275" s="129"/>
      <c r="AH275" s="129"/>
      <c r="AI275" s="129"/>
      <c r="AJ275" s="129"/>
      <c r="AK275" s="129"/>
      <c r="AL275" s="129"/>
      <c r="AM275" s="129"/>
      <c r="AN275" s="129"/>
      <c r="AO275" s="129"/>
      <c r="AP275" s="129"/>
      <c r="AQ275" s="130"/>
      <c r="AR275" s="130"/>
      <c r="AS275" s="129"/>
      <c r="AT275" s="129"/>
      <c r="AU275" s="129"/>
      <c r="AV275" s="129"/>
      <c r="AW275" s="129"/>
      <c r="AX275" s="129"/>
      <c r="AY275" s="129"/>
      <c r="AZ275" s="129"/>
      <c r="BA275" s="129"/>
      <c r="BB275" s="129"/>
      <c r="BC275" s="129"/>
      <c r="BD275" s="129"/>
      <c r="BE275" s="129"/>
      <c r="BF275" s="129"/>
      <c r="BG275" s="129"/>
      <c r="BH275" s="129"/>
      <c r="BI275" s="129"/>
      <c r="BJ275" s="129"/>
      <c r="BK275" s="129"/>
      <c r="BL275" s="129"/>
      <c r="BM275" s="129"/>
      <c r="BN275" s="129"/>
      <c r="BO275" s="129"/>
      <c r="BP275" s="129"/>
      <c r="BQ275" s="129"/>
    </row>
    <row r="276" spans="1:69" s="139" customFormat="1" x14ac:dyDescent="0.25">
      <c r="A276" s="157"/>
      <c r="B276" s="137"/>
      <c r="C276" s="129"/>
      <c r="G276" s="140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28"/>
      <c r="AC276" s="128"/>
      <c r="AD276" s="128"/>
      <c r="AE276" s="128"/>
      <c r="AF276" s="128"/>
      <c r="AG276" s="129"/>
      <c r="AH276" s="129"/>
      <c r="AI276" s="129"/>
      <c r="AJ276" s="129"/>
      <c r="AK276" s="129"/>
      <c r="AL276" s="129"/>
      <c r="AM276" s="129"/>
      <c r="AN276" s="129"/>
      <c r="AO276" s="129"/>
      <c r="AP276" s="129"/>
      <c r="AQ276" s="130"/>
      <c r="AR276" s="130"/>
      <c r="AS276" s="129"/>
      <c r="AT276" s="129"/>
      <c r="AU276" s="129"/>
      <c r="AV276" s="129"/>
      <c r="AW276" s="129"/>
      <c r="AX276" s="129"/>
      <c r="AY276" s="129"/>
      <c r="AZ276" s="129"/>
      <c r="BA276" s="129"/>
      <c r="BB276" s="129"/>
      <c r="BC276" s="129"/>
      <c r="BD276" s="129"/>
      <c r="BE276" s="129"/>
      <c r="BF276" s="129"/>
      <c r="BG276" s="129"/>
      <c r="BH276" s="129"/>
      <c r="BI276" s="129"/>
      <c r="BJ276" s="129"/>
      <c r="BK276" s="129"/>
      <c r="BL276" s="129"/>
      <c r="BM276" s="129"/>
      <c r="BN276" s="129"/>
      <c r="BO276" s="129"/>
      <c r="BP276" s="129"/>
      <c r="BQ276" s="129"/>
    </row>
    <row r="277" spans="1:69" s="139" customFormat="1" x14ac:dyDescent="0.25">
      <c r="A277" s="157"/>
      <c r="B277" s="137"/>
      <c r="C277" s="129"/>
      <c r="G277" s="140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28"/>
      <c r="AC277" s="128"/>
      <c r="AD277" s="128"/>
      <c r="AE277" s="128"/>
      <c r="AF277" s="128"/>
      <c r="AG277" s="129"/>
      <c r="AH277" s="129"/>
      <c r="AI277" s="129"/>
      <c r="AJ277" s="129"/>
      <c r="AK277" s="129"/>
      <c r="AL277" s="129"/>
      <c r="AM277" s="129"/>
      <c r="AN277" s="129"/>
      <c r="AO277" s="129"/>
      <c r="AP277" s="129"/>
      <c r="AQ277" s="130"/>
      <c r="AR277" s="130"/>
      <c r="AS277" s="129"/>
      <c r="AT277" s="129"/>
      <c r="AU277" s="129"/>
      <c r="AV277" s="129"/>
      <c r="AW277" s="129"/>
      <c r="AX277" s="129"/>
      <c r="AY277" s="129"/>
      <c r="AZ277" s="129"/>
      <c r="BA277" s="129"/>
      <c r="BB277" s="129"/>
      <c r="BC277" s="129"/>
      <c r="BD277" s="129"/>
      <c r="BE277" s="129"/>
      <c r="BF277" s="129"/>
      <c r="BG277" s="129"/>
      <c r="BH277" s="129"/>
      <c r="BI277" s="129"/>
      <c r="BJ277" s="129"/>
      <c r="BK277" s="129"/>
      <c r="BL277" s="129"/>
      <c r="BM277" s="129"/>
      <c r="BN277" s="129"/>
      <c r="BO277" s="129"/>
      <c r="BP277" s="129"/>
      <c r="BQ277" s="129"/>
    </row>
    <row r="278" spans="1:69" s="139" customFormat="1" x14ac:dyDescent="0.25">
      <c r="A278" s="157"/>
      <c r="B278" s="137"/>
      <c r="C278" s="129"/>
      <c r="G278" s="140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28"/>
      <c r="AC278" s="128"/>
      <c r="AD278" s="128"/>
      <c r="AE278" s="128"/>
      <c r="AF278" s="128"/>
      <c r="AG278" s="129"/>
      <c r="AH278" s="129"/>
      <c r="AI278" s="129"/>
      <c r="AJ278" s="129"/>
      <c r="AK278" s="129"/>
      <c r="AL278" s="129"/>
      <c r="AM278" s="129"/>
      <c r="AN278" s="129"/>
      <c r="AO278" s="129"/>
      <c r="AP278" s="129"/>
      <c r="AQ278" s="130"/>
      <c r="AR278" s="130"/>
      <c r="AS278" s="129"/>
      <c r="AT278" s="129"/>
      <c r="AU278" s="129"/>
      <c r="AV278" s="129"/>
      <c r="AW278" s="129"/>
      <c r="AX278" s="129"/>
      <c r="AY278" s="129"/>
      <c r="AZ278" s="129"/>
      <c r="BA278" s="129"/>
      <c r="BB278" s="129"/>
      <c r="BC278" s="129"/>
      <c r="BD278" s="129"/>
      <c r="BE278" s="129"/>
      <c r="BF278" s="129"/>
      <c r="BG278" s="129"/>
      <c r="BH278" s="129"/>
      <c r="BI278" s="129"/>
      <c r="BJ278" s="129"/>
      <c r="BK278" s="129"/>
      <c r="BL278" s="129"/>
      <c r="BM278" s="129"/>
      <c r="BN278" s="129"/>
      <c r="BO278" s="129"/>
      <c r="BP278" s="129"/>
      <c r="BQ278" s="129"/>
    </row>
    <row r="279" spans="1:69" s="139" customFormat="1" x14ac:dyDescent="0.25">
      <c r="A279" s="157"/>
      <c r="B279" s="137"/>
      <c r="C279" s="129"/>
      <c r="G279" s="140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28"/>
      <c r="AC279" s="128"/>
      <c r="AD279" s="128"/>
      <c r="AE279" s="128"/>
      <c r="AF279" s="128"/>
      <c r="AG279" s="129"/>
      <c r="AH279" s="129"/>
      <c r="AI279" s="129"/>
      <c r="AJ279" s="129"/>
      <c r="AK279" s="129"/>
      <c r="AL279" s="129"/>
      <c r="AM279" s="129"/>
      <c r="AN279" s="129"/>
      <c r="AO279" s="129"/>
      <c r="AP279" s="129"/>
      <c r="AQ279" s="130"/>
      <c r="AR279" s="130"/>
      <c r="AS279" s="129"/>
      <c r="AT279" s="129"/>
      <c r="AU279" s="129"/>
      <c r="AV279" s="129"/>
      <c r="AW279" s="129"/>
      <c r="AX279" s="129"/>
      <c r="AY279" s="129"/>
      <c r="AZ279" s="129"/>
      <c r="BA279" s="129"/>
      <c r="BB279" s="129"/>
      <c r="BC279" s="129"/>
      <c r="BD279" s="129"/>
      <c r="BE279" s="129"/>
      <c r="BF279" s="129"/>
      <c r="BG279" s="129"/>
      <c r="BH279" s="129"/>
      <c r="BI279" s="129"/>
      <c r="BJ279" s="129"/>
      <c r="BK279" s="129"/>
      <c r="BL279" s="129"/>
      <c r="BM279" s="129"/>
      <c r="BN279" s="129"/>
      <c r="BO279" s="129"/>
      <c r="BP279" s="129"/>
      <c r="BQ279" s="129"/>
    </row>
    <row r="280" spans="1:69" s="139" customFormat="1" x14ac:dyDescent="0.25">
      <c r="A280" s="157"/>
      <c r="B280" s="137"/>
      <c r="C280" s="129"/>
      <c r="G280" s="140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28"/>
      <c r="AC280" s="128"/>
      <c r="AD280" s="128"/>
      <c r="AE280" s="128"/>
      <c r="AF280" s="128"/>
      <c r="AG280" s="129"/>
      <c r="AH280" s="129"/>
      <c r="AI280" s="129"/>
      <c r="AJ280" s="129"/>
      <c r="AK280" s="129"/>
      <c r="AL280" s="129"/>
      <c r="AM280" s="129"/>
      <c r="AN280" s="129"/>
      <c r="AO280" s="129"/>
      <c r="AP280" s="129"/>
      <c r="AQ280" s="130"/>
      <c r="AR280" s="130"/>
      <c r="AS280" s="129"/>
      <c r="AT280" s="129"/>
      <c r="AU280" s="129"/>
      <c r="AV280" s="129"/>
      <c r="AW280" s="129"/>
      <c r="AX280" s="129"/>
      <c r="AY280" s="129"/>
      <c r="AZ280" s="129"/>
      <c r="BA280" s="129"/>
      <c r="BB280" s="129"/>
      <c r="BC280" s="129"/>
      <c r="BD280" s="129"/>
      <c r="BE280" s="129"/>
      <c r="BF280" s="129"/>
      <c r="BG280" s="129"/>
      <c r="BH280" s="129"/>
      <c r="BI280" s="129"/>
      <c r="BJ280" s="129"/>
      <c r="BK280" s="129"/>
      <c r="BL280" s="129"/>
      <c r="BM280" s="129"/>
      <c r="BN280" s="129"/>
      <c r="BO280" s="129"/>
      <c r="BP280" s="129"/>
      <c r="BQ280" s="129"/>
    </row>
    <row r="281" spans="1:69" s="139" customFormat="1" x14ac:dyDescent="0.25">
      <c r="A281" s="157"/>
      <c r="B281" s="137"/>
      <c r="C281" s="129"/>
      <c r="G281" s="140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28"/>
      <c r="AC281" s="128"/>
      <c r="AD281" s="128"/>
      <c r="AE281" s="128"/>
      <c r="AF281" s="128"/>
      <c r="AG281" s="129"/>
      <c r="AH281" s="129"/>
      <c r="AI281" s="129"/>
      <c r="AJ281" s="129"/>
      <c r="AK281" s="129"/>
      <c r="AL281" s="129"/>
      <c r="AM281" s="129"/>
      <c r="AN281" s="129"/>
      <c r="AO281" s="129"/>
      <c r="AP281" s="129"/>
      <c r="AQ281" s="130"/>
      <c r="AR281" s="130"/>
      <c r="AS281" s="129"/>
      <c r="AT281" s="129"/>
      <c r="AU281" s="129"/>
      <c r="AV281" s="129"/>
      <c r="AW281" s="129"/>
      <c r="AX281" s="129"/>
      <c r="AY281" s="129"/>
      <c r="AZ281" s="129"/>
      <c r="BA281" s="129"/>
      <c r="BB281" s="129"/>
      <c r="BC281" s="129"/>
      <c r="BD281" s="129"/>
      <c r="BE281" s="129"/>
      <c r="BF281" s="129"/>
      <c r="BG281" s="129"/>
      <c r="BH281" s="129"/>
      <c r="BI281" s="129"/>
      <c r="BJ281" s="129"/>
      <c r="BK281" s="129"/>
      <c r="BL281" s="129"/>
      <c r="BM281" s="129"/>
      <c r="BN281" s="129"/>
      <c r="BO281" s="129"/>
      <c r="BP281" s="129"/>
      <c r="BQ281" s="129"/>
    </row>
    <row r="282" spans="1:69" s="139" customFormat="1" x14ac:dyDescent="0.25">
      <c r="A282" s="157"/>
      <c r="B282" s="137"/>
      <c r="C282" s="129"/>
      <c r="G282" s="140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28"/>
      <c r="AC282" s="128"/>
      <c r="AD282" s="128"/>
      <c r="AE282" s="128"/>
      <c r="AF282" s="128"/>
      <c r="AG282" s="129"/>
      <c r="AH282" s="129"/>
      <c r="AI282" s="129"/>
      <c r="AJ282" s="129"/>
      <c r="AK282" s="129"/>
      <c r="AL282" s="129"/>
      <c r="AM282" s="129"/>
      <c r="AN282" s="129"/>
      <c r="AO282" s="129"/>
      <c r="AP282" s="129"/>
      <c r="AQ282" s="130"/>
      <c r="AR282" s="130"/>
      <c r="AS282" s="129"/>
      <c r="AT282" s="129"/>
      <c r="AU282" s="129"/>
      <c r="AV282" s="129"/>
      <c r="AW282" s="129"/>
      <c r="AX282" s="129"/>
      <c r="AY282" s="129"/>
      <c r="AZ282" s="129"/>
      <c r="BA282" s="129"/>
      <c r="BB282" s="129"/>
      <c r="BC282" s="129"/>
      <c r="BD282" s="129"/>
      <c r="BE282" s="129"/>
      <c r="BF282" s="129"/>
      <c r="BG282" s="129"/>
      <c r="BH282" s="129"/>
      <c r="BI282" s="129"/>
      <c r="BJ282" s="129"/>
      <c r="BK282" s="129"/>
      <c r="BL282" s="129"/>
      <c r="BM282" s="129"/>
      <c r="BN282" s="129"/>
      <c r="BO282" s="129"/>
      <c r="BP282" s="129"/>
      <c r="BQ282" s="129"/>
    </row>
    <row r="283" spans="1:69" s="139" customFormat="1" x14ac:dyDescent="0.25">
      <c r="A283" s="157"/>
      <c r="B283" s="137"/>
      <c r="C283" s="129"/>
      <c r="G283" s="140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28"/>
      <c r="AC283" s="128"/>
      <c r="AD283" s="128"/>
      <c r="AE283" s="128"/>
      <c r="AF283" s="128"/>
      <c r="AG283" s="129"/>
      <c r="AH283" s="129"/>
      <c r="AI283" s="129"/>
      <c r="AJ283" s="129"/>
      <c r="AK283" s="129"/>
      <c r="AL283" s="129"/>
      <c r="AM283" s="129"/>
      <c r="AN283" s="129"/>
      <c r="AO283" s="129"/>
      <c r="AP283" s="129"/>
      <c r="AQ283" s="130"/>
      <c r="AR283" s="130"/>
      <c r="AS283" s="129"/>
      <c r="AT283" s="129"/>
      <c r="AU283" s="129"/>
      <c r="AV283" s="129"/>
      <c r="AW283" s="129"/>
      <c r="AX283" s="129"/>
      <c r="AY283" s="129"/>
      <c r="AZ283" s="129"/>
      <c r="BA283" s="129"/>
      <c r="BB283" s="129"/>
      <c r="BC283" s="129"/>
      <c r="BD283" s="129"/>
      <c r="BE283" s="129"/>
      <c r="BF283" s="129"/>
      <c r="BG283" s="129"/>
      <c r="BH283" s="129"/>
      <c r="BI283" s="129"/>
      <c r="BJ283" s="129"/>
      <c r="BK283" s="129"/>
      <c r="BL283" s="129"/>
      <c r="BM283" s="129"/>
      <c r="BN283" s="129"/>
      <c r="BO283" s="129"/>
      <c r="BP283" s="129"/>
      <c r="BQ283" s="129"/>
    </row>
    <row r="284" spans="1:69" s="139" customFormat="1" x14ac:dyDescent="0.25">
      <c r="A284" s="157"/>
      <c r="B284" s="137"/>
      <c r="C284" s="129"/>
      <c r="G284" s="140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28"/>
      <c r="AC284" s="128"/>
      <c r="AD284" s="128"/>
      <c r="AE284" s="128"/>
      <c r="AF284" s="128"/>
      <c r="AG284" s="129"/>
      <c r="AH284" s="129"/>
      <c r="AI284" s="129"/>
      <c r="AJ284" s="129"/>
      <c r="AK284" s="129"/>
      <c r="AL284" s="129"/>
      <c r="AM284" s="129"/>
      <c r="AN284" s="129"/>
      <c r="AO284" s="129"/>
      <c r="AP284" s="129"/>
      <c r="AQ284" s="130"/>
      <c r="AR284" s="130"/>
      <c r="AS284" s="129"/>
      <c r="AT284" s="129"/>
      <c r="AU284" s="129"/>
      <c r="AV284" s="129"/>
      <c r="AW284" s="129"/>
      <c r="AX284" s="129"/>
      <c r="AY284" s="129"/>
      <c r="AZ284" s="129"/>
      <c r="BA284" s="129"/>
      <c r="BB284" s="129"/>
      <c r="BC284" s="129"/>
      <c r="BD284" s="129"/>
      <c r="BE284" s="129"/>
      <c r="BF284" s="129"/>
      <c r="BG284" s="129"/>
      <c r="BH284" s="129"/>
      <c r="BI284" s="129"/>
      <c r="BJ284" s="129"/>
      <c r="BK284" s="129"/>
      <c r="BL284" s="129"/>
      <c r="BM284" s="129"/>
      <c r="BN284" s="129"/>
      <c r="BO284" s="129"/>
      <c r="BP284" s="129"/>
      <c r="BQ284" s="129"/>
    </row>
    <row r="285" spans="1:69" s="139" customFormat="1" x14ac:dyDescent="0.25">
      <c r="A285" s="157"/>
      <c r="B285" s="137"/>
      <c r="C285" s="129"/>
      <c r="G285" s="140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28"/>
      <c r="AC285" s="128"/>
      <c r="AD285" s="128"/>
      <c r="AE285" s="128"/>
      <c r="AF285" s="128"/>
      <c r="AG285" s="129"/>
      <c r="AH285" s="129"/>
      <c r="AI285" s="129"/>
      <c r="AJ285" s="129"/>
      <c r="AK285" s="129"/>
      <c r="AL285" s="129"/>
      <c r="AM285" s="129"/>
      <c r="AN285" s="129"/>
      <c r="AO285" s="129"/>
      <c r="AP285" s="129"/>
      <c r="AQ285" s="130"/>
      <c r="AR285" s="130"/>
      <c r="AS285" s="129"/>
      <c r="AT285" s="129"/>
      <c r="AU285" s="129"/>
      <c r="AV285" s="129"/>
      <c r="AW285" s="129"/>
      <c r="AX285" s="129"/>
      <c r="AY285" s="129"/>
      <c r="AZ285" s="129"/>
      <c r="BA285" s="129"/>
      <c r="BB285" s="129"/>
      <c r="BC285" s="129"/>
      <c r="BD285" s="129"/>
      <c r="BE285" s="129"/>
      <c r="BF285" s="129"/>
      <c r="BG285" s="129"/>
      <c r="BH285" s="129"/>
      <c r="BI285" s="129"/>
      <c r="BJ285" s="129"/>
      <c r="BK285" s="129"/>
      <c r="BL285" s="129"/>
      <c r="BM285" s="129"/>
      <c r="BN285" s="129"/>
      <c r="BO285" s="129"/>
      <c r="BP285" s="129"/>
      <c r="BQ285" s="129"/>
    </row>
    <row r="286" spans="1:69" s="139" customFormat="1" x14ac:dyDescent="0.25">
      <c r="A286" s="157"/>
      <c r="B286" s="137"/>
      <c r="C286" s="129"/>
      <c r="G286" s="140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28"/>
      <c r="AC286" s="128"/>
      <c r="AD286" s="128"/>
      <c r="AE286" s="128"/>
      <c r="AF286" s="128"/>
      <c r="AG286" s="129"/>
      <c r="AH286" s="129"/>
      <c r="AI286" s="129"/>
      <c r="AJ286" s="129"/>
      <c r="AK286" s="129"/>
      <c r="AL286" s="129"/>
      <c r="AM286" s="129"/>
      <c r="AN286" s="129"/>
      <c r="AO286" s="129"/>
      <c r="AP286" s="129"/>
      <c r="AQ286" s="130"/>
      <c r="AR286" s="130"/>
      <c r="AS286" s="129"/>
      <c r="AT286" s="129"/>
      <c r="AU286" s="129"/>
      <c r="AV286" s="129"/>
      <c r="AW286" s="129"/>
      <c r="AX286" s="129"/>
      <c r="AY286" s="129"/>
      <c r="AZ286" s="129"/>
      <c r="BA286" s="129"/>
      <c r="BB286" s="129"/>
      <c r="BC286" s="129"/>
      <c r="BD286" s="129"/>
      <c r="BE286" s="129"/>
      <c r="BF286" s="129"/>
      <c r="BG286" s="129"/>
      <c r="BH286" s="129"/>
      <c r="BI286" s="129"/>
      <c r="BJ286" s="129"/>
      <c r="BK286" s="129"/>
      <c r="BL286" s="129"/>
      <c r="BM286" s="129"/>
      <c r="BN286" s="129"/>
      <c r="BO286" s="129"/>
      <c r="BP286" s="129"/>
      <c r="BQ286" s="129"/>
    </row>
    <row r="287" spans="1:69" s="139" customFormat="1" x14ac:dyDescent="0.25">
      <c r="A287" s="157"/>
      <c r="B287" s="137"/>
      <c r="C287" s="129"/>
      <c r="G287" s="140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28"/>
      <c r="AC287" s="128"/>
      <c r="AD287" s="128"/>
      <c r="AE287" s="128"/>
      <c r="AF287" s="128"/>
      <c r="AG287" s="129"/>
      <c r="AH287" s="129"/>
      <c r="AI287" s="129"/>
      <c r="AJ287" s="129"/>
      <c r="AK287" s="129"/>
      <c r="AL287" s="129"/>
      <c r="AM287" s="129"/>
      <c r="AN287" s="129"/>
      <c r="AO287" s="129"/>
      <c r="AP287" s="129"/>
      <c r="AQ287" s="130"/>
      <c r="AR287" s="130"/>
      <c r="AS287" s="129"/>
      <c r="AT287" s="129"/>
      <c r="AU287" s="129"/>
      <c r="AV287" s="129"/>
      <c r="AW287" s="129"/>
      <c r="AX287" s="129"/>
      <c r="AY287" s="129"/>
      <c r="AZ287" s="129"/>
      <c r="BA287" s="129"/>
      <c r="BB287" s="129"/>
      <c r="BC287" s="129"/>
      <c r="BD287" s="129"/>
      <c r="BE287" s="129"/>
      <c r="BF287" s="129"/>
      <c r="BG287" s="129"/>
      <c r="BH287" s="129"/>
      <c r="BI287" s="129"/>
      <c r="BJ287" s="129"/>
      <c r="BK287" s="129"/>
      <c r="BL287" s="129"/>
      <c r="BM287" s="129"/>
      <c r="BN287" s="129"/>
      <c r="BO287" s="129"/>
      <c r="BP287" s="129"/>
      <c r="BQ287" s="129"/>
    </row>
    <row r="288" spans="1:69" s="139" customFormat="1" x14ac:dyDescent="0.25">
      <c r="A288" s="157"/>
      <c r="B288" s="137"/>
      <c r="C288" s="129"/>
      <c r="G288" s="140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28"/>
      <c r="AC288" s="128"/>
      <c r="AD288" s="128"/>
      <c r="AE288" s="128"/>
      <c r="AF288" s="128"/>
      <c r="AG288" s="129"/>
      <c r="AH288" s="129"/>
      <c r="AI288" s="129"/>
      <c r="AJ288" s="129"/>
      <c r="AK288" s="129"/>
      <c r="AL288" s="129"/>
      <c r="AM288" s="129"/>
      <c r="AN288" s="129"/>
      <c r="AO288" s="129"/>
      <c r="AP288" s="129"/>
      <c r="AQ288" s="130"/>
      <c r="AR288" s="130"/>
      <c r="AS288" s="129"/>
      <c r="AT288" s="129"/>
      <c r="AU288" s="129"/>
      <c r="AV288" s="129"/>
      <c r="AW288" s="129"/>
      <c r="AX288" s="129"/>
      <c r="AY288" s="129"/>
      <c r="AZ288" s="129"/>
      <c r="BA288" s="129"/>
      <c r="BB288" s="129"/>
      <c r="BC288" s="129"/>
      <c r="BD288" s="129"/>
      <c r="BE288" s="129"/>
      <c r="BF288" s="129"/>
      <c r="BG288" s="129"/>
      <c r="BH288" s="129"/>
      <c r="BI288" s="129"/>
      <c r="BJ288" s="129"/>
      <c r="BK288" s="129"/>
      <c r="BL288" s="129"/>
      <c r="BM288" s="129"/>
      <c r="BN288" s="129"/>
      <c r="BO288" s="129"/>
      <c r="BP288" s="129"/>
      <c r="BQ288" s="129"/>
    </row>
    <row r="289" spans="1:69" s="139" customFormat="1" x14ac:dyDescent="0.25">
      <c r="A289" s="157"/>
      <c r="B289" s="137"/>
      <c r="C289" s="129"/>
      <c r="G289" s="140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28"/>
      <c r="AC289" s="128"/>
      <c r="AD289" s="128"/>
      <c r="AE289" s="128"/>
      <c r="AF289" s="128"/>
      <c r="AG289" s="129"/>
      <c r="AH289" s="129"/>
      <c r="AI289" s="129"/>
      <c r="AJ289" s="129"/>
      <c r="AK289" s="129"/>
      <c r="AL289" s="129"/>
      <c r="AM289" s="129"/>
      <c r="AN289" s="129"/>
      <c r="AO289" s="129"/>
      <c r="AP289" s="129"/>
      <c r="AQ289" s="130"/>
      <c r="AR289" s="130"/>
      <c r="AS289" s="129"/>
      <c r="AT289" s="129"/>
      <c r="AU289" s="129"/>
      <c r="AV289" s="129"/>
      <c r="AW289" s="129"/>
      <c r="AX289" s="129"/>
      <c r="AY289" s="129"/>
      <c r="AZ289" s="129"/>
      <c r="BA289" s="129"/>
      <c r="BB289" s="129"/>
      <c r="BC289" s="129"/>
      <c r="BD289" s="129"/>
      <c r="BE289" s="129"/>
      <c r="BF289" s="129"/>
      <c r="BG289" s="129"/>
      <c r="BH289" s="129"/>
      <c r="BI289" s="129"/>
      <c r="BJ289" s="129"/>
      <c r="BK289" s="129"/>
      <c r="BL289" s="129"/>
      <c r="BM289" s="129"/>
      <c r="BN289" s="129"/>
      <c r="BO289" s="129"/>
      <c r="BP289" s="129"/>
      <c r="BQ289" s="129"/>
    </row>
    <row r="290" spans="1:69" s="139" customFormat="1" x14ac:dyDescent="0.25">
      <c r="A290" s="157"/>
      <c r="B290" s="137"/>
      <c r="C290" s="129"/>
      <c r="G290" s="140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28"/>
      <c r="AC290" s="128"/>
      <c r="AD290" s="128"/>
      <c r="AE290" s="128"/>
      <c r="AF290" s="128"/>
      <c r="AG290" s="129"/>
      <c r="AH290" s="129"/>
      <c r="AI290" s="129"/>
      <c r="AJ290" s="129"/>
      <c r="AK290" s="129"/>
      <c r="AL290" s="129"/>
      <c r="AM290" s="129"/>
      <c r="AN290" s="129"/>
      <c r="AO290" s="129"/>
      <c r="AP290" s="129"/>
      <c r="AQ290" s="130"/>
      <c r="AR290" s="130"/>
      <c r="AS290" s="129"/>
      <c r="AT290" s="129"/>
      <c r="AU290" s="129"/>
      <c r="AV290" s="129"/>
      <c r="AW290" s="129"/>
      <c r="AX290" s="129"/>
      <c r="AY290" s="129"/>
      <c r="AZ290" s="129"/>
      <c r="BA290" s="129"/>
      <c r="BB290" s="129"/>
      <c r="BC290" s="129"/>
      <c r="BD290" s="129"/>
      <c r="BE290" s="129"/>
      <c r="BF290" s="129"/>
      <c r="BG290" s="129"/>
      <c r="BH290" s="129"/>
      <c r="BI290" s="129"/>
      <c r="BJ290" s="129"/>
      <c r="BK290" s="129"/>
      <c r="BL290" s="129"/>
      <c r="BM290" s="129"/>
      <c r="BN290" s="129"/>
      <c r="BO290" s="129"/>
      <c r="BP290" s="129"/>
      <c r="BQ290" s="129"/>
    </row>
    <row r="291" spans="1:69" s="139" customFormat="1" x14ac:dyDescent="0.25">
      <c r="A291" s="157"/>
      <c r="B291" s="137"/>
      <c r="C291" s="129"/>
      <c r="G291" s="140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28"/>
      <c r="AC291" s="128"/>
      <c r="AD291" s="128"/>
      <c r="AE291" s="128"/>
      <c r="AF291" s="128"/>
      <c r="AG291" s="129"/>
      <c r="AH291" s="129"/>
      <c r="AI291" s="129"/>
      <c r="AJ291" s="129"/>
      <c r="AK291" s="129"/>
      <c r="AL291" s="129"/>
      <c r="AM291" s="129"/>
      <c r="AN291" s="129"/>
      <c r="AO291" s="129"/>
      <c r="AP291" s="129"/>
      <c r="AQ291" s="130"/>
      <c r="AR291" s="130"/>
      <c r="AS291" s="129"/>
      <c r="AT291" s="129"/>
      <c r="AU291" s="129"/>
      <c r="AV291" s="129"/>
      <c r="AW291" s="129"/>
      <c r="AX291" s="129"/>
      <c r="AY291" s="129"/>
      <c r="AZ291" s="129"/>
      <c r="BA291" s="129"/>
      <c r="BB291" s="129"/>
      <c r="BC291" s="129"/>
      <c r="BD291" s="129"/>
      <c r="BE291" s="129"/>
      <c r="BF291" s="129"/>
      <c r="BG291" s="129"/>
      <c r="BH291" s="129"/>
      <c r="BI291" s="129"/>
      <c r="BJ291" s="129"/>
      <c r="BK291" s="129"/>
      <c r="BL291" s="129"/>
      <c r="BM291" s="129"/>
      <c r="BN291" s="129"/>
      <c r="BO291" s="129"/>
      <c r="BP291" s="129"/>
      <c r="BQ291" s="129"/>
    </row>
    <row r="292" spans="1:69" s="139" customFormat="1" x14ac:dyDescent="0.25">
      <c r="A292" s="157"/>
      <c r="B292" s="137"/>
      <c r="C292" s="129"/>
      <c r="G292" s="140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28"/>
      <c r="AC292" s="128"/>
      <c r="AD292" s="128"/>
      <c r="AE292" s="128"/>
      <c r="AF292" s="128"/>
      <c r="AG292" s="129"/>
      <c r="AH292" s="129"/>
      <c r="AI292" s="129"/>
      <c r="AJ292" s="129"/>
      <c r="AK292" s="129"/>
      <c r="AL292" s="129"/>
      <c r="AM292" s="129"/>
      <c r="AN292" s="129"/>
      <c r="AO292" s="129"/>
      <c r="AP292" s="129"/>
      <c r="AQ292" s="130"/>
      <c r="AR292" s="130"/>
      <c r="AS292" s="129"/>
      <c r="AT292" s="129"/>
      <c r="AU292" s="129"/>
      <c r="AV292" s="129"/>
      <c r="AW292" s="129"/>
      <c r="AX292" s="129"/>
      <c r="AY292" s="129"/>
      <c r="AZ292" s="129"/>
      <c r="BA292" s="129"/>
      <c r="BB292" s="129"/>
      <c r="BC292" s="129"/>
      <c r="BD292" s="129"/>
      <c r="BE292" s="129"/>
      <c r="BF292" s="129"/>
      <c r="BG292" s="129"/>
      <c r="BH292" s="129"/>
      <c r="BI292" s="129"/>
      <c r="BJ292" s="129"/>
      <c r="BK292" s="129"/>
      <c r="BL292" s="129"/>
      <c r="BM292" s="129"/>
      <c r="BN292" s="129"/>
      <c r="BO292" s="129"/>
      <c r="BP292" s="129"/>
      <c r="BQ292" s="129"/>
    </row>
    <row r="293" spans="1:69" s="139" customFormat="1" x14ac:dyDescent="0.25">
      <c r="A293" s="157"/>
      <c r="B293" s="137"/>
      <c r="C293" s="129"/>
      <c r="G293" s="140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28"/>
      <c r="AC293" s="128"/>
      <c r="AD293" s="128"/>
      <c r="AE293" s="128"/>
      <c r="AF293" s="128"/>
      <c r="AG293" s="129"/>
      <c r="AH293" s="129"/>
      <c r="AI293" s="129"/>
      <c r="AJ293" s="129"/>
      <c r="AK293" s="129"/>
      <c r="AL293" s="129"/>
      <c r="AM293" s="129"/>
      <c r="AN293" s="129"/>
      <c r="AO293" s="129"/>
      <c r="AP293" s="129"/>
      <c r="AQ293" s="130"/>
      <c r="AR293" s="130"/>
      <c r="AS293" s="129"/>
      <c r="AT293" s="129"/>
      <c r="AU293" s="129"/>
      <c r="AV293" s="129"/>
      <c r="AW293" s="129"/>
      <c r="AX293" s="129"/>
      <c r="AY293" s="129"/>
      <c r="AZ293" s="129"/>
      <c r="BA293" s="129"/>
      <c r="BB293" s="129"/>
      <c r="BC293" s="129"/>
      <c r="BD293" s="129"/>
      <c r="BE293" s="129"/>
      <c r="BF293" s="129"/>
      <c r="BG293" s="129"/>
      <c r="BH293" s="129"/>
      <c r="BI293" s="129"/>
      <c r="BJ293" s="129"/>
      <c r="BK293" s="129"/>
      <c r="BL293" s="129"/>
      <c r="BM293" s="129"/>
      <c r="BN293" s="129"/>
      <c r="BO293" s="129"/>
      <c r="BP293" s="129"/>
      <c r="BQ293" s="129"/>
    </row>
    <row r="294" spans="1:69" s="139" customFormat="1" x14ac:dyDescent="0.25">
      <c r="A294" s="157"/>
      <c r="B294" s="137"/>
      <c r="C294" s="129"/>
      <c r="G294" s="140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28"/>
      <c r="AC294" s="128"/>
      <c r="AD294" s="128"/>
      <c r="AE294" s="128"/>
      <c r="AF294" s="128"/>
      <c r="AG294" s="129"/>
      <c r="AH294" s="129"/>
      <c r="AI294" s="129"/>
      <c r="AJ294" s="129"/>
      <c r="AK294" s="129"/>
      <c r="AL294" s="129"/>
      <c r="AM294" s="129"/>
      <c r="AN294" s="129"/>
      <c r="AO294" s="129"/>
      <c r="AP294" s="129"/>
      <c r="AQ294" s="130"/>
      <c r="AR294" s="130"/>
      <c r="AS294" s="129"/>
      <c r="AT294" s="129"/>
      <c r="AU294" s="129"/>
      <c r="AV294" s="129"/>
      <c r="AW294" s="129"/>
      <c r="AX294" s="129"/>
      <c r="AY294" s="129"/>
      <c r="AZ294" s="129"/>
      <c r="BA294" s="129"/>
      <c r="BB294" s="129"/>
      <c r="BC294" s="129"/>
      <c r="BD294" s="129"/>
      <c r="BE294" s="129"/>
      <c r="BF294" s="129"/>
      <c r="BG294" s="129"/>
      <c r="BH294" s="129"/>
      <c r="BI294" s="129"/>
      <c r="BJ294" s="129"/>
      <c r="BK294" s="129"/>
      <c r="BL294" s="129"/>
      <c r="BM294" s="129"/>
      <c r="BN294" s="129"/>
      <c r="BO294" s="129"/>
      <c r="BP294" s="129"/>
      <c r="BQ294" s="129"/>
    </row>
    <row r="295" spans="1:69" s="139" customFormat="1" x14ac:dyDescent="0.25">
      <c r="A295" s="157"/>
      <c r="B295" s="137"/>
      <c r="C295" s="129"/>
      <c r="G295" s="140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28"/>
      <c r="AC295" s="128"/>
      <c r="AD295" s="128"/>
      <c r="AE295" s="128"/>
      <c r="AF295" s="128"/>
      <c r="AG295" s="129"/>
      <c r="AH295" s="129"/>
      <c r="AI295" s="129"/>
      <c r="AJ295" s="129"/>
      <c r="AK295" s="129"/>
      <c r="AL295" s="129"/>
      <c r="AM295" s="129"/>
      <c r="AN295" s="129"/>
      <c r="AO295" s="129"/>
      <c r="AP295" s="129"/>
      <c r="AQ295" s="130"/>
      <c r="AR295" s="130"/>
      <c r="AS295" s="129"/>
      <c r="AT295" s="129"/>
      <c r="AU295" s="129"/>
      <c r="AV295" s="129"/>
      <c r="AW295" s="129"/>
      <c r="AX295" s="129"/>
      <c r="AY295" s="129"/>
      <c r="AZ295" s="129"/>
      <c r="BA295" s="129"/>
      <c r="BB295" s="129"/>
      <c r="BC295" s="129"/>
      <c r="BD295" s="129"/>
      <c r="BE295" s="129"/>
      <c r="BF295" s="129"/>
      <c r="BG295" s="129"/>
      <c r="BH295" s="129"/>
      <c r="BI295" s="129"/>
      <c r="BJ295" s="129"/>
      <c r="BK295" s="129"/>
      <c r="BL295" s="129"/>
      <c r="BM295" s="129"/>
      <c r="BN295" s="129"/>
      <c r="BO295" s="129"/>
      <c r="BP295" s="129"/>
      <c r="BQ295" s="129"/>
    </row>
    <row r="296" spans="1:69" s="139" customFormat="1" x14ac:dyDescent="0.25">
      <c r="A296" s="157"/>
      <c r="B296" s="137"/>
      <c r="C296" s="129"/>
      <c r="G296" s="140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28"/>
      <c r="AC296" s="128"/>
      <c r="AD296" s="128"/>
      <c r="AE296" s="128"/>
      <c r="AF296" s="128"/>
      <c r="AG296" s="129"/>
      <c r="AH296" s="129"/>
      <c r="AI296" s="129"/>
      <c r="AJ296" s="129"/>
      <c r="AK296" s="129"/>
      <c r="AL296" s="129"/>
      <c r="AM296" s="129"/>
      <c r="AN296" s="129"/>
      <c r="AO296" s="129"/>
      <c r="AP296" s="129"/>
      <c r="AQ296" s="130"/>
      <c r="AR296" s="130"/>
      <c r="AS296" s="129"/>
      <c r="AT296" s="129"/>
      <c r="AU296" s="129"/>
      <c r="AV296" s="129"/>
      <c r="AW296" s="129"/>
      <c r="AX296" s="129"/>
      <c r="AY296" s="129"/>
      <c r="AZ296" s="129"/>
      <c r="BA296" s="129"/>
      <c r="BB296" s="129"/>
      <c r="BC296" s="129"/>
      <c r="BD296" s="129"/>
      <c r="BE296" s="129"/>
      <c r="BF296" s="129"/>
      <c r="BG296" s="129"/>
      <c r="BH296" s="129"/>
      <c r="BI296" s="129"/>
      <c r="BJ296" s="129"/>
      <c r="BK296" s="129"/>
      <c r="BL296" s="129"/>
      <c r="BM296" s="129"/>
      <c r="BN296" s="129"/>
      <c r="BO296" s="129"/>
      <c r="BP296" s="129"/>
      <c r="BQ296" s="129"/>
    </row>
    <row r="297" spans="1:69" s="139" customFormat="1" x14ac:dyDescent="0.25">
      <c r="A297" s="157"/>
      <c r="B297" s="137"/>
      <c r="C297" s="129"/>
      <c r="G297" s="140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28"/>
      <c r="AC297" s="128"/>
      <c r="AD297" s="128"/>
      <c r="AE297" s="128"/>
      <c r="AF297" s="128"/>
      <c r="AG297" s="129"/>
      <c r="AH297" s="129"/>
      <c r="AI297" s="129"/>
      <c r="AJ297" s="129"/>
      <c r="AK297" s="129"/>
      <c r="AL297" s="129"/>
      <c r="AM297" s="129"/>
      <c r="AN297" s="129"/>
      <c r="AO297" s="129"/>
      <c r="AP297" s="129"/>
      <c r="AQ297" s="130"/>
      <c r="AR297" s="130"/>
      <c r="AS297" s="129"/>
      <c r="AT297" s="129"/>
      <c r="AU297" s="129"/>
      <c r="AV297" s="129"/>
      <c r="AW297" s="129"/>
      <c r="AX297" s="129"/>
      <c r="AY297" s="129"/>
      <c r="AZ297" s="129"/>
      <c r="BA297" s="129"/>
      <c r="BB297" s="129"/>
      <c r="BC297" s="129"/>
      <c r="BD297" s="129"/>
      <c r="BE297" s="129"/>
      <c r="BF297" s="129"/>
      <c r="BG297" s="129"/>
      <c r="BH297" s="129"/>
      <c r="BI297" s="129"/>
      <c r="BJ297" s="129"/>
      <c r="BK297" s="129"/>
      <c r="BL297" s="129"/>
      <c r="BM297" s="129"/>
      <c r="BN297" s="129"/>
      <c r="BO297" s="129"/>
      <c r="BP297" s="129"/>
      <c r="BQ297" s="129"/>
    </row>
    <row r="298" spans="1:69" s="139" customFormat="1" x14ac:dyDescent="0.25">
      <c r="A298" s="157"/>
      <c r="B298" s="137"/>
      <c r="C298" s="129"/>
      <c r="G298" s="140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28"/>
      <c r="AC298" s="128"/>
      <c r="AD298" s="128"/>
      <c r="AE298" s="128"/>
      <c r="AF298" s="128"/>
      <c r="AG298" s="129"/>
      <c r="AH298" s="129"/>
      <c r="AI298" s="129"/>
      <c r="AJ298" s="129"/>
      <c r="AK298" s="129"/>
      <c r="AL298" s="129"/>
      <c r="AM298" s="129"/>
      <c r="AN298" s="129"/>
      <c r="AO298" s="129"/>
      <c r="AP298" s="129"/>
      <c r="AQ298" s="130"/>
      <c r="AR298" s="130"/>
      <c r="AS298" s="129"/>
      <c r="AT298" s="129"/>
      <c r="AU298" s="129"/>
      <c r="AV298" s="129"/>
      <c r="AW298" s="129"/>
      <c r="AX298" s="129"/>
      <c r="AY298" s="129"/>
      <c r="AZ298" s="129"/>
      <c r="BA298" s="129"/>
      <c r="BB298" s="129"/>
      <c r="BC298" s="129"/>
      <c r="BD298" s="129"/>
      <c r="BE298" s="129"/>
      <c r="BF298" s="129"/>
      <c r="BG298" s="129"/>
      <c r="BH298" s="129"/>
      <c r="BI298" s="129"/>
      <c r="BJ298" s="129"/>
      <c r="BK298" s="129"/>
      <c r="BL298" s="129"/>
      <c r="BM298" s="129"/>
      <c r="BN298" s="129"/>
      <c r="BO298" s="129"/>
      <c r="BP298" s="129"/>
      <c r="BQ298" s="129"/>
    </row>
    <row r="299" spans="1:69" s="139" customFormat="1" x14ac:dyDescent="0.25">
      <c r="A299" s="157"/>
      <c r="B299" s="137"/>
      <c r="C299" s="129"/>
      <c r="G299" s="140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28"/>
      <c r="AC299" s="128"/>
      <c r="AD299" s="128"/>
      <c r="AE299" s="128"/>
      <c r="AF299" s="128"/>
      <c r="AG299" s="129"/>
      <c r="AH299" s="129"/>
      <c r="AI299" s="129"/>
      <c r="AJ299" s="129"/>
      <c r="AK299" s="129"/>
      <c r="AL299" s="129"/>
      <c r="AM299" s="129"/>
      <c r="AN299" s="129"/>
      <c r="AO299" s="129"/>
      <c r="AP299" s="129"/>
      <c r="AQ299" s="130"/>
      <c r="AR299" s="130"/>
      <c r="AS299" s="129"/>
      <c r="AT299" s="129"/>
      <c r="AU299" s="129"/>
      <c r="AV299" s="129"/>
      <c r="AW299" s="129"/>
      <c r="AX299" s="129"/>
      <c r="AY299" s="129"/>
      <c r="AZ299" s="129"/>
      <c r="BA299" s="129"/>
      <c r="BB299" s="129"/>
      <c r="BC299" s="129"/>
      <c r="BD299" s="129"/>
      <c r="BE299" s="129"/>
      <c r="BF299" s="129"/>
      <c r="BG299" s="129"/>
      <c r="BH299" s="129"/>
      <c r="BI299" s="129"/>
      <c r="BJ299" s="129"/>
      <c r="BK299" s="129"/>
      <c r="BL299" s="129"/>
      <c r="BM299" s="129"/>
      <c r="BN299" s="129"/>
      <c r="BO299" s="129"/>
      <c r="BP299" s="129"/>
      <c r="BQ299" s="129"/>
    </row>
    <row r="300" spans="1:69" s="139" customFormat="1" x14ac:dyDescent="0.25">
      <c r="A300" s="157"/>
      <c r="B300" s="137"/>
      <c r="C300" s="129"/>
      <c r="G300" s="140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28"/>
      <c r="AC300" s="128"/>
      <c r="AD300" s="128"/>
      <c r="AE300" s="128"/>
      <c r="AF300" s="128"/>
      <c r="AG300" s="129"/>
      <c r="AH300" s="129"/>
      <c r="AI300" s="129"/>
      <c r="AJ300" s="129"/>
      <c r="AK300" s="129"/>
      <c r="AL300" s="129"/>
      <c r="AM300" s="129"/>
      <c r="AN300" s="129"/>
      <c r="AO300" s="129"/>
      <c r="AP300" s="129"/>
      <c r="AQ300" s="130"/>
      <c r="AR300" s="130"/>
      <c r="AS300" s="129"/>
      <c r="AT300" s="129"/>
      <c r="AU300" s="129"/>
      <c r="AV300" s="129"/>
      <c r="AW300" s="129"/>
      <c r="AX300" s="129"/>
      <c r="AY300" s="129"/>
      <c r="AZ300" s="129"/>
      <c r="BA300" s="129"/>
      <c r="BB300" s="129"/>
      <c r="BC300" s="129"/>
      <c r="BD300" s="129"/>
      <c r="BE300" s="129"/>
      <c r="BF300" s="129"/>
      <c r="BG300" s="129"/>
      <c r="BH300" s="129"/>
      <c r="BI300" s="129"/>
      <c r="BJ300" s="129"/>
      <c r="BK300" s="129"/>
      <c r="BL300" s="129"/>
      <c r="BM300" s="129"/>
      <c r="BN300" s="129"/>
      <c r="BO300" s="129"/>
      <c r="BP300" s="129"/>
      <c r="BQ300" s="129"/>
    </row>
    <row r="301" spans="1:69" s="139" customFormat="1" x14ac:dyDescent="0.25">
      <c r="A301" s="157"/>
      <c r="B301" s="137"/>
      <c r="C301" s="129"/>
      <c r="G301" s="140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28"/>
      <c r="AC301" s="128"/>
      <c r="AD301" s="128"/>
      <c r="AE301" s="128"/>
      <c r="AF301" s="128"/>
      <c r="AG301" s="129"/>
      <c r="AH301" s="129"/>
      <c r="AI301" s="129"/>
      <c r="AJ301" s="129"/>
      <c r="AK301" s="129"/>
      <c r="AL301" s="129"/>
      <c r="AM301" s="129"/>
      <c r="AN301" s="129"/>
      <c r="AO301" s="129"/>
      <c r="AP301" s="129"/>
      <c r="AQ301" s="130"/>
      <c r="AR301" s="130"/>
      <c r="AS301" s="129"/>
      <c r="AT301" s="129"/>
      <c r="AU301" s="129"/>
      <c r="AV301" s="129"/>
      <c r="AW301" s="129"/>
      <c r="AX301" s="129"/>
      <c r="AY301" s="129"/>
      <c r="AZ301" s="129"/>
      <c r="BA301" s="129"/>
      <c r="BB301" s="129"/>
      <c r="BC301" s="129"/>
      <c r="BD301" s="129"/>
      <c r="BE301" s="129"/>
      <c r="BF301" s="129"/>
      <c r="BG301" s="129"/>
      <c r="BH301" s="129"/>
      <c r="BI301" s="129"/>
      <c r="BJ301" s="129"/>
      <c r="BK301" s="129"/>
      <c r="BL301" s="129"/>
      <c r="BM301" s="129"/>
      <c r="BN301" s="129"/>
      <c r="BO301" s="129"/>
      <c r="BP301" s="129"/>
      <c r="BQ301" s="129"/>
    </row>
    <row r="302" spans="1:69" s="139" customFormat="1" x14ac:dyDescent="0.25">
      <c r="A302" s="157"/>
      <c r="B302" s="137"/>
      <c r="C302" s="129"/>
      <c r="G302" s="140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28"/>
      <c r="AC302" s="128"/>
      <c r="AD302" s="128"/>
      <c r="AE302" s="128"/>
      <c r="AF302" s="128"/>
      <c r="AG302" s="129"/>
      <c r="AH302" s="129"/>
      <c r="AI302" s="129"/>
      <c r="AJ302" s="129"/>
      <c r="AK302" s="129"/>
      <c r="AL302" s="129"/>
      <c r="AM302" s="129"/>
      <c r="AN302" s="129"/>
      <c r="AO302" s="129"/>
      <c r="AP302" s="129"/>
      <c r="AQ302" s="130"/>
      <c r="AR302" s="130"/>
      <c r="AS302" s="129"/>
      <c r="AT302" s="129"/>
      <c r="AU302" s="129"/>
      <c r="AV302" s="129"/>
      <c r="AW302" s="129"/>
      <c r="AX302" s="129"/>
      <c r="AY302" s="129"/>
      <c r="AZ302" s="129"/>
      <c r="BA302" s="129"/>
      <c r="BB302" s="129"/>
      <c r="BC302" s="129"/>
      <c r="BD302" s="129"/>
      <c r="BE302" s="129"/>
      <c r="BF302" s="129"/>
      <c r="BG302" s="129"/>
      <c r="BH302" s="129"/>
      <c r="BI302" s="129"/>
      <c r="BJ302" s="129"/>
      <c r="BK302" s="129"/>
      <c r="BL302" s="129"/>
      <c r="BM302" s="129"/>
      <c r="BN302" s="129"/>
      <c r="BO302" s="129"/>
      <c r="BP302" s="129"/>
      <c r="BQ302" s="129"/>
    </row>
    <row r="303" spans="1:69" s="139" customFormat="1" x14ac:dyDescent="0.25">
      <c r="A303" s="157"/>
      <c r="B303" s="137"/>
      <c r="C303" s="129"/>
      <c r="G303" s="140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28"/>
      <c r="AC303" s="128"/>
      <c r="AD303" s="128"/>
      <c r="AE303" s="128"/>
      <c r="AF303" s="128"/>
      <c r="AG303" s="129"/>
      <c r="AH303" s="129"/>
      <c r="AI303" s="129"/>
      <c r="AJ303" s="129"/>
      <c r="AK303" s="129"/>
      <c r="AL303" s="129"/>
      <c r="AM303" s="129"/>
      <c r="AN303" s="129"/>
      <c r="AO303" s="129"/>
      <c r="AP303" s="129"/>
      <c r="AQ303" s="130"/>
      <c r="AR303" s="130"/>
      <c r="AS303" s="129"/>
      <c r="AT303" s="129"/>
      <c r="AU303" s="129"/>
      <c r="AV303" s="129"/>
      <c r="AW303" s="129"/>
      <c r="AX303" s="129"/>
      <c r="AY303" s="129"/>
      <c r="AZ303" s="129"/>
      <c r="BA303" s="129"/>
      <c r="BB303" s="129"/>
      <c r="BC303" s="129"/>
      <c r="BD303" s="129"/>
      <c r="BE303" s="129"/>
      <c r="BF303" s="129"/>
      <c r="BG303" s="129"/>
      <c r="BH303" s="129"/>
      <c r="BI303" s="129"/>
      <c r="BJ303" s="129"/>
      <c r="BK303" s="129"/>
      <c r="BL303" s="129"/>
      <c r="BM303" s="129"/>
      <c r="BN303" s="129"/>
      <c r="BO303" s="129"/>
      <c r="BP303" s="129"/>
      <c r="BQ303" s="129"/>
    </row>
    <row r="304" spans="1:69" s="139" customFormat="1" x14ac:dyDescent="0.25">
      <c r="A304" s="157"/>
      <c r="B304" s="137"/>
      <c r="C304" s="129"/>
      <c r="G304" s="140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28"/>
      <c r="AC304" s="128"/>
      <c r="AD304" s="128"/>
      <c r="AE304" s="128"/>
      <c r="AF304" s="128"/>
      <c r="AG304" s="129"/>
      <c r="AH304" s="129"/>
      <c r="AI304" s="129"/>
      <c r="AJ304" s="129"/>
      <c r="AK304" s="129"/>
      <c r="AL304" s="129"/>
      <c r="AM304" s="129"/>
      <c r="AN304" s="129"/>
      <c r="AO304" s="129"/>
      <c r="AP304" s="129"/>
      <c r="AQ304" s="130"/>
      <c r="AR304" s="130"/>
      <c r="AS304" s="129"/>
      <c r="AT304" s="129"/>
      <c r="AU304" s="129"/>
      <c r="AV304" s="129"/>
      <c r="AW304" s="129"/>
      <c r="AX304" s="129"/>
      <c r="AY304" s="129"/>
      <c r="AZ304" s="129"/>
      <c r="BA304" s="129"/>
      <c r="BB304" s="129"/>
      <c r="BC304" s="129"/>
      <c r="BD304" s="129"/>
      <c r="BE304" s="129"/>
      <c r="BF304" s="129"/>
      <c r="BG304" s="129"/>
      <c r="BH304" s="129"/>
      <c r="BI304" s="129"/>
      <c r="BJ304" s="129"/>
      <c r="BK304" s="129"/>
      <c r="BL304" s="129"/>
      <c r="BM304" s="129"/>
      <c r="BN304" s="129"/>
      <c r="BO304" s="129"/>
      <c r="BP304" s="129"/>
      <c r="BQ304" s="129"/>
    </row>
    <row r="305" spans="1:69" s="139" customFormat="1" x14ac:dyDescent="0.25">
      <c r="A305" s="157"/>
      <c r="B305" s="137"/>
      <c r="C305" s="129"/>
      <c r="G305" s="140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28"/>
      <c r="AC305" s="128"/>
      <c r="AD305" s="128"/>
      <c r="AE305" s="128"/>
      <c r="AF305" s="128"/>
      <c r="AG305" s="129"/>
      <c r="AH305" s="129"/>
      <c r="AI305" s="129"/>
      <c r="AJ305" s="129"/>
      <c r="AK305" s="129"/>
      <c r="AL305" s="129"/>
      <c r="AM305" s="129"/>
      <c r="AN305" s="129"/>
      <c r="AO305" s="129"/>
      <c r="AP305" s="129"/>
      <c r="AQ305" s="130"/>
      <c r="AR305" s="130"/>
      <c r="AS305" s="129"/>
      <c r="AT305" s="129"/>
      <c r="AU305" s="129"/>
      <c r="AV305" s="129"/>
      <c r="AW305" s="129"/>
      <c r="AX305" s="129"/>
      <c r="AY305" s="129"/>
      <c r="AZ305" s="129"/>
      <c r="BA305" s="129"/>
      <c r="BB305" s="129"/>
      <c r="BC305" s="129"/>
      <c r="BD305" s="129"/>
      <c r="BE305" s="129"/>
      <c r="BF305" s="129"/>
      <c r="BG305" s="129"/>
      <c r="BH305" s="129"/>
      <c r="BI305" s="129"/>
      <c r="BJ305" s="129"/>
      <c r="BK305" s="129"/>
      <c r="BL305" s="129"/>
      <c r="BM305" s="129"/>
      <c r="BN305" s="129"/>
      <c r="BO305" s="129"/>
      <c r="BP305" s="129"/>
      <c r="BQ305" s="129"/>
    </row>
    <row r="306" spans="1:69" s="139" customFormat="1" x14ac:dyDescent="0.25">
      <c r="A306" s="157"/>
      <c r="B306" s="137"/>
      <c r="C306" s="129"/>
      <c r="G306" s="140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28"/>
      <c r="AC306" s="128"/>
      <c r="AD306" s="128"/>
      <c r="AE306" s="128"/>
      <c r="AF306" s="128"/>
      <c r="AG306" s="129"/>
      <c r="AH306" s="129"/>
      <c r="AI306" s="129"/>
      <c r="AJ306" s="129"/>
      <c r="AK306" s="129"/>
      <c r="AL306" s="129"/>
      <c r="AM306" s="129"/>
      <c r="AN306" s="129"/>
      <c r="AO306" s="129"/>
      <c r="AP306" s="129"/>
      <c r="AQ306" s="130"/>
      <c r="AR306" s="130"/>
      <c r="AS306" s="129"/>
      <c r="AT306" s="129"/>
      <c r="AU306" s="129"/>
      <c r="AV306" s="129"/>
      <c r="AW306" s="129"/>
      <c r="AX306" s="129"/>
      <c r="AY306" s="129"/>
      <c r="AZ306" s="129"/>
      <c r="BA306" s="129"/>
      <c r="BB306" s="129"/>
      <c r="BC306" s="129"/>
      <c r="BD306" s="129"/>
      <c r="BE306" s="129"/>
      <c r="BF306" s="129"/>
      <c r="BG306" s="129"/>
      <c r="BH306" s="129"/>
      <c r="BI306" s="129"/>
      <c r="BJ306" s="129"/>
      <c r="BK306" s="129"/>
      <c r="BL306" s="129"/>
      <c r="BM306" s="129"/>
      <c r="BN306" s="129"/>
      <c r="BO306" s="129"/>
      <c r="BP306" s="129"/>
      <c r="BQ306" s="129"/>
    </row>
    <row r="307" spans="1:69" s="139" customFormat="1" x14ac:dyDescent="0.25">
      <c r="A307" s="157"/>
      <c r="B307" s="137"/>
      <c r="C307" s="129"/>
      <c r="G307" s="140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28"/>
      <c r="AC307" s="128"/>
      <c r="AD307" s="128"/>
      <c r="AE307" s="128"/>
      <c r="AF307" s="128"/>
      <c r="AG307" s="129"/>
      <c r="AH307" s="129"/>
      <c r="AI307" s="129"/>
      <c r="AJ307" s="129"/>
      <c r="AK307" s="129"/>
      <c r="AL307" s="129"/>
      <c r="AM307" s="129"/>
      <c r="AN307" s="129"/>
      <c r="AO307" s="129"/>
      <c r="AP307" s="129"/>
      <c r="AQ307" s="130"/>
      <c r="AR307" s="130"/>
      <c r="AS307" s="129"/>
      <c r="AT307" s="129"/>
      <c r="AU307" s="129"/>
      <c r="AV307" s="129"/>
      <c r="AW307" s="129"/>
      <c r="AX307" s="129"/>
      <c r="AY307" s="129"/>
      <c r="AZ307" s="129"/>
      <c r="BA307" s="129"/>
      <c r="BB307" s="129"/>
      <c r="BC307" s="129"/>
      <c r="BD307" s="129"/>
      <c r="BE307" s="129"/>
      <c r="BF307" s="129"/>
      <c r="BG307" s="129"/>
      <c r="BH307" s="129"/>
      <c r="BI307" s="129"/>
      <c r="BJ307" s="129"/>
      <c r="BK307" s="129"/>
      <c r="BL307" s="129"/>
      <c r="BM307" s="129"/>
      <c r="BN307" s="129"/>
      <c r="BO307" s="129"/>
      <c r="BP307" s="129"/>
      <c r="BQ307" s="129"/>
    </row>
    <row r="308" spans="1:69" s="139" customFormat="1" x14ac:dyDescent="0.25">
      <c r="A308" s="157"/>
      <c r="B308" s="137"/>
      <c r="C308" s="129"/>
      <c r="G308" s="140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28"/>
      <c r="AC308" s="128"/>
      <c r="AD308" s="128"/>
      <c r="AE308" s="128"/>
      <c r="AF308" s="128"/>
      <c r="AG308" s="129"/>
      <c r="AH308" s="129"/>
      <c r="AI308" s="129"/>
      <c r="AJ308" s="129"/>
      <c r="AK308" s="129"/>
      <c r="AL308" s="129"/>
      <c r="AM308" s="129"/>
      <c r="AN308" s="129"/>
      <c r="AO308" s="129"/>
      <c r="AP308" s="129"/>
      <c r="AQ308" s="130"/>
      <c r="AR308" s="130"/>
      <c r="AS308" s="129"/>
      <c r="AT308" s="129"/>
      <c r="AU308" s="129"/>
      <c r="AV308" s="129"/>
      <c r="AW308" s="129"/>
      <c r="AX308" s="129"/>
      <c r="AY308" s="129"/>
      <c r="AZ308" s="129"/>
      <c r="BA308" s="129"/>
      <c r="BB308" s="129"/>
      <c r="BC308" s="129"/>
      <c r="BD308" s="129"/>
      <c r="BE308" s="129"/>
      <c r="BF308" s="129"/>
      <c r="BG308" s="129"/>
      <c r="BH308" s="129"/>
      <c r="BI308" s="129"/>
      <c r="BJ308" s="129"/>
      <c r="BK308" s="129"/>
      <c r="BL308" s="129"/>
      <c r="BM308" s="129"/>
      <c r="BN308" s="129"/>
      <c r="BO308" s="129"/>
      <c r="BP308" s="129"/>
      <c r="BQ308" s="129"/>
    </row>
    <row r="309" spans="1:69" s="139" customFormat="1" x14ac:dyDescent="0.25">
      <c r="A309" s="157"/>
      <c r="B309" s="137"/>
      <c r="C309" s="129"/>
      <c r="G309" s="140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28"/>
      <c r="AC309" s="128"/>
      <c r="AD309" s="128"/>
      <c r="AE309" s="128"/>
      <c r="AF309" s="128"/>
      <c r="AG309" s="129"/>
      <c r="AH309" s="129"/>
      <c r="AI309" s="129"/>
      <c r="AJ309" s="129"/>
      <c r="AK309" s="129"/>
      <c r="AL309" s="129"/>
      <c r="AM309" s="129"/>
      <c r="AN309" s="129"/>
      <c r="AO309" s="129"/>
      <c r="AP309" s="129"/>
      <c r="AQ309" s="130"/>
      <c r="AR309" s="130"/>
      <c r="AS309" s="129"/>
      <c r="AT309" s="129"/>
      <c r="AU309" s="129"/>
      <c r="AV309" s="129"/>
      <c r="AW309" s="129"/>
      <c r="AX309" s="129"/>
      <c r="AY309" s="129"/>
      <c r="AZ309" s="129"/>
      <c r="BA309" s="129"/>
      <c r="BB309" s="129"/>
      <c r="BC309" s="129"/>
      <c r="BD309" s="129"/>
      <c r="BE309" s="129"/>
      <c r="BF309" s="129"/>
      <c r="BG309" s="129"/>
      <c r="BH309" s="129"/>
      <c r="BI309" s="129"/>
      <c r="BJ309" s="129"/>
      <c r="BK309" s="129"/>
      <c r="BL309" s="129"/>
      <c r="BM309" s="129"/>
      <c r="BN309" s="129"/>
      <c r="BO309" s="129"/>
      <c r="BP309" s="129"/>
      <c r="BQ309" s="129"/>
    </row>
    <row r="310" spans="1:69" s="139" customFormat="1" x14ac:dyDescent="0.25">
      <c r="A310" s="157"/>
      <c r="B310" s="137"/>
      <c r="C310" s="129"/>
      <c r="G310" s="140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28"/>
      <c r="AC310" s="128"/>
      <c r="AD310" s="128"/>
      <c r="AE310" s="128"/>
      <c r="AF310" s="128"/>
      <c r="AG310" s="129"/>
      <c r="AH310" s="129"/>
      <c r="AI310" s="129"/>
      <c r="AJ310" s="129"/>
      <c r="AK310" s="129"/>
      <c r="AL310" s="129"/>
      <c r="AM310" s="129"/>
      <c r="AN310" s="129"/>
      <c r="AO310" s="129"/>
      <c r="AP310" s="129"/>
      <c r="AQ310" s="130"/>
      <c r="AR310" s="130"/>
      <c r="AS310" s="129"/>
      <c r="AT310" s="129"/>
      <c r="AU310" s="129"/>
      <c r="AV310" s="129"/>
      <c r="AW310" s="129"/>
      <c r="AX310" s="129"/>
      <c r="AY310" s="129"/>
      <c r="AZ310" s="129"/>
      <c r="BA310" s="129"/>
      <c r="BB310" s="129"/>
      <c r="BC310" s="129"/>
      <c r="BD310" s="129"/>
      <c r="BE310" s="129"/>
      <c r="BF310" s="129"/>
      <c r="BG310" s="129"/>
      <c r="BH310" s="129"/>
      <c r="BI310" s="129"/>
      <c r="BJ310" s="129"/>
      <c r="BK310" s="129"/>
      <c r="BL310" s="129"/>
      <c r="BM310" s="129"/>
      <c r="BN310" s="129"/>
      <c r="BO310" s="129"/>
      <c r="BP310" s="129"/>
      <c r="BQ310" s="129"/>
    </row>
    <row r="311" spans="1:69" s="139" customFormat="1" x14ac:dyDescent="0.25">
      <c r="A311" s="157"/>
      <c r="B311" s="137"/>
      <c r="C311" s="129"/>
      <c r="G311" s="140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28"/>
      <c r="AC311" s="128"/>
      <c r="AD311" s="128"/>
      <c r="AE311" s="128"/>
      <c r="AF311" s="128"/>
      <c r="AG311" s="129"/>
      <c r="AH311" s="129"/>
      <c r="AI311" s="129"/>
      <c r="AJ311" s="129"/>
      <c r="AK311" s="129"/>
      <c r="AL311" s="129"/>
      <c r="AM311" s="129"/>
      <c r="AN311" s="129"/>
      <c r="AO311" s="129"/>
      <c r="AP311" s="129"/>
      <c r="AQ311" s="130"/>
      <c r="AR311" s="130"/>
      <c r="AS311" s="129"/>
      <c r="AT311" s="129"/>
      <c r="AU311" s="129"/>
      <c r="AV311" s="129"/>
      <c r="AW311" s="129"/>
      <c r="AX311" s="129"/>
      <c r="AY311" s="129"/>
      <c r="AZ311" s="129"/>
      <c r="BA311" s="129"/>
      <c r="BB311" s="129"/>
      <c r="BC311" s="129"/>
      <c r="BD311" s="129"/>
      <c r="BE311" s="129"/>
      <c r="BF311" s="129"/>
      <c r="BG311" s="129"/>
      <c r="BH311" s="129"/>
      <c r="BI311" s="129"/>
      <c r="BJ311" s="129"/>
      <c r="BK311" s="129"/>
      <c r="BL311" s="129"/>
      <c r="BM311" s="129"/>
      <c r="BN311" s="129"/>
      <c r="BO311" s="129"/>
      <c r="BP311" s="129"/>
      <c r="BQ311" s="129"/>
    </row>
    <row r="312" spans="1:69" s="139" customFormat="1" x14ac:dyDescent="0.25">
      <c r="A312" s="157"/>
      <c r="B312" s="137"/>
      <c r="C312" s="129"/>
      <c r="G312" s="140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28"/>
      <c r="AC312" s="128"/>
      <c r="AD312" s="128"/>
      <c r="AE312" s="128"/>
      <c r="AF312" s="128"/>
      <c r="AG312" s="129"/>
      <c r="AH312" s="129"/>
      <c r="AI312" s="129"/>
      <c r="AJ312" s="129"/>
      <c r="AK312" s="129"/>
      <c r="AL312" s="129"/>
      <c r="AM312" s="129"/>
      <c r="AN312" s="129"/>
      <c r="AO312" s="129"/>
      <c r="AP312" s="129"/>
      <c r="AQ312" s="130"/>
      <c r="AR312" s="130"/>
      <c r="AS312" s="129"/>
      <c r="AT312" s="129"/>
      <c r="AU312" s="129"/>
      <c r="AV312" s="129"/>
      <c r="AW312" s="129"/>
      <c r="AX312" s="129"/>
      <c r="AY312" s="129"/>
      <c r="AZ312" s="129"/>
      <c r="BA312" s="129"/>
      <c r="BB312" s="129"/>
      <c r="BC312" s="129"/>
      <c r="BD312" s="129"/>
      <c r="BE312" s="129"/>
      <c r="BF312" s="129"/>
      <c r="BG312" s="129"/>
      <c r="BH312" s="129"/>
      <c r="BI312" s="129"/>
      <c r="BJ312" s="129"/>
      <c r="BK312" s="129"/>
      <c r="BL312" s="129"/>
      <c r="BM312" s="129"/>
      <c r="BN312" s="129"/>
      <c r="BO312" s="129"/>
      <c r="BP312" s="129"/>
      <c r="BQ312" s="129"/>
    </row>
    <row r="313" spans="1:69" s="139" customFormat="1" x14ac:dyDescent="0.25">
      <c r="A313" s="157"/>
      <c r="B313" s="137"/>
      <c r="C313" s="129"/>
      <c r="G313" s="140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28"/>
      <c r="AC313" s="128"/>
      <c r="AD313" s="128"/>
      <c r="AE313" s="128"/>
      <c r="AF313" s="128"/>
      <c r="AG313" s="129"/>
      <c r="AH313" s="129"/>
      <c r="AI313" s="129"/>
      <c r="AJ313" s="129"/>
      <c r="AK313" s="129"/>
      <c r="AL313" s="129"/>
      <c r="AM313" s="129"/>
      <c r="AN313" s="129"/>
      <c r="AO313" s="129"/>
      <c r="AP313" s="129"/>
      <c r="AQ313" s="130"/>
      <c r="AR313" s="130"/>
      <c r="AS313" s="129"/>
      <c r="AT313" s="129"/>
      <c r="AU313" s="129"/>
      <c r="AV313" s="129"/>
      <c r="AW313" s="129"/>
      <c r="AX313" s="129"/>
      <c r="AY313" s="129"/>
      <c r="AZ313" s="129"/>
      <c r="BA313" s="129"/>
      <c r="BB313" s="129"/>
      <c r="BC313" s="129"/>
      <c r="BD313" s="129"/>
      <c r="BE313" s="129"/>
      <c r="BF313" s="129"/>
      <c r="BG313" s="129"/>
      <c r="BH313" s="129"/>
      <c r="BI313" s="129"/>
      <c r="BJ313" s="129"/>
      <c r="BK313" s="129"/>
      <c r="BL313" s="129"/>
      <c r="BM313" s="129"/>
      <c r="BN313" s="129"/>
      <c r="BO313" s="129"/>
      <c r="BP313" s="129"/>
      <c r="BQ313" s="129"/>
    </row>
    <row r="314" spans="1:69" s="139" customFormat="1" x14ac:dyDescent="0.25">
      <c r="A314" s="157"/>
      <c r="B314" s="137"/>
      <c r="C314" s="129"/>
      <c r="G314" s="140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28"/>
      <c r="AC314" s="128"/>
      <c r="AD314" s="128"/>
      <c r="AE314" s="128"/>
      <c r="AF314" s="128"/>
      <c r="AG314" s="129"/>
      <c r="AH314" s="129"/>
      <c r="AI314" s="129"/>
      <c r="AJ314" s="129"/>
      <c r="AK314" s="129"/>
      <c r="AL314" s="129"/>
      <c r="AM314" s="129"/>
      <c r="AN314" s="129"/>
      <c r="AO314" s="129"/>
      <c r="AP314" s="129"/>
      <c r="AQ314" s="130"/>
      <c r="AR314" s="130"/>
      <c r="AS314" s="129"/>
      <c r="AT314" s="129"/>
      <c r="AU314" s="129"/>
      <c r="AV314" s="129"/>
      <c r="AW314" s="129"/>
      <c r="AX314" s="129"/>
      <c r="AY314" s="129"/>
      <c r="AZ314" s="129"/>
      <c r="BA314" s="129"/>
      <c r="BB314" s="129"/>
      <c r="BC314" s="129"/>
      <c r="BD314" s="129"/>
      <c r="BE314" s="129"/>
      <c r="BF314" s="129"/>
      <c r="BG314" s="129"/>
      <c r="BH314" s="129"/>
      <c r="BI314" s="129"/>
      <c r="BJ314" s="129"/>
      <c r="BK314" s="129"/>
      <c r="BL314" s="129"/>
      <c r="BM314" s="129"/>
      <c r="BN314" s="129"/>
      <c r="BO314" s="129"/>
      <c r="BP314" s="129"/>
      <c r="BQ314" s="129"/>
    </row>
    <row r="315" spans="1:69" s="139" customFormat="1" x14ac:dyDescent="0.25">
      <c r="A315" s="157"/>
      <c r="B315" s="137"/>
      <c r="C315" s="129"/>
      <c r="G315" s="140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28"/>
      <c r="AC315" s="128"/>
      <c r="AD315" s="128"/>
      <c r="AE315" s="128"/>
      <c r="AF315" s="128"/>
      <c r="AG315" s="129"/>
      <c r="AH315" s="129"/>
      <c r="AI315" s="129"/>
      <c r="AJ315" s="129"/>
      <c r="AK315" s="129"/>
      <c r="AL315" s="129"/>
      <c r="AM315" s="129"/>
      <c r="AN315" s="129"/>
      <c r="AO315" s="129"/>
      <c r="AP315" s="129"/>
      <c r="AQ315" s="130"/>
      <c r="AR315" s="130"/>
      <c r="AS315" s="129"/>
      <c r="AT315" s="129"/>
      <c r="AU315" s="129"/>
      <c r="AV315" s="129"/>
      <c r="AW315" s="129"/>
      <c r="AX315" s="129"/>
      <c r="AY315" s="129"/>
      <c r="AZ315" s="129"/>
      <c r="BA315" s="129"/>
      <c r="BB315" s="129"/>
      <c r="BC315" s="129"/>
      <c r="BD315" s="129"/>
      <c r="BE315" s="129"/>
      <c r="BF315" s="129"/>
      <c r="BG315" s="129"/>
      <c r="BH315" s="129"/>
      <c r="BI315" s="129"/>
      <c r="BJ315" s="129"/>
      <c r="BK315" s="129"/>
      <c r="BL315" s="129"/>
      <c r="BM315" s="129"/>
      <c r="BN315" s="129"/>
      <c r="BO315" s="129"/>
      <c r="BP315" s="129"/>
      <c r="BQ315" s="129"/>
    </row>
    <row r="316" spans="1:69" s="139" customFormat="1" x14ac:dyDescent="0.25">
      <c r="A316" s="157"/>
      <c r="B316" s="137"/>
      <c r="C316" s="129"/>
      <c r="G316" s="140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28"/>
      <c r="AC316" s="128"/>
      <c r="AD316" s="128"/>
      <c r="AE316" s="128"/>
      <c r="AF316" s="128"/>
      <c r="AG316" s="129"/>
      <c r="AH316" s="129"/>
      <c r="AI316" s="129"/>
      <c r="AJ316" s="129"/>
      <c r="AK316" s="129"/>
      <c r="AL316" s="129"/>
      <c r="AM316" s="129"/>
      <c r="AN316" s="129"/>
      <c r="AO316" s="129"/>
      <c r="AP316" s="129"/>
      <c r="AQ316" s="130"/>
      <c r="AR316" s="130"/>
      <c r="AS316" s="129"/>
      <c r="AT316" s="129"/>
      <c r="AU316" s="129"/>
      <c r="AV316" s="129"/>
      <c r="AW316" s="129"/>
      <c r="AX316" s="129"/>
      <c r="AY316" s="129"/>
      <c r="AZ316" s="129"/>
      <c r="BA316" s="129"/>
      <c r="BB316" s="129"/>
      <c r="BC316" s="129"/>
      <c r="BD316" s="129"/>
      <c r="BE316" s="129"/>
      <c r="BF316" s="129"/>
      <c r="BG316" s="129"/>
      <c r="BH316" s="129"/>
      <c r="BI316" s="129"/>
      <c r="BJ316" s="129"/>
      <c r="BK316" s="129"/>
      <c r="BL316" s="129"/>
      <c r="BM316" s="129"/>
      <c r="BN316" s="129"/>
      <c r="BO316" s="129"/>
      <c r="BP316" s="129"/>
      <c r="BQ316" s="129"/>
    </row>
    <row r="317" spans="1:69" s="139" customFormat="1" x14ac:dyDescent="0.25">
      <c r="A317" s="157"/>
      <c r="B317" s="137"/>
      <c r="C317" s="129"/>
      <c r="G317" s="140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28"/>
      <c r="AC317" s="128"/>
      <c r="AD317" s="128"/>
      <c r="AE317" s="128"/>
      <c r="AF317" s="128"/>
      <c r="AG317" s="129"/>
      <c r="AH317" s="129"/>
      <c r="AI317" s="129"/>
      <c r="AJ317" s="129"/>
      <c r="AK317" s="129"/>
      <c r="AL317" s="129"/>
      <c r="AM317" s="129"/>
      <c r="AN317" s="129"/>
      <c r="AO317" s="129"/>
      <c r="AP317" s="129"/>
      <c r="AQ317" s="130"/>
      <c r="AR317" s="130"/>
      <c r="AS317" s="129"/>
      <c r="AT317" s="129"/>
      <c r="AU317" s="129"/>
      <c r="AV317" s="129"/>
      <c r="AW317" s="129"/>
      <c r="AX317" s="129"/>
      <c r="AY317" s="129"/>
      <c r="AZ317" s="129"/>
      <c r="BA317" s="129"/>
      <c r="BB317" s="129"/>
      <c r="BC317" s="129"/>
      <c r="BD317" s="129"/>
      <c r="BE317" s="129"/>
      <c r="BF317" s="129"/>
      <c r="BG317" s="129"/>
      <c r="BH317" s="129"/>
      <c r="BI317" s="129"/>
      <c r="BJ317" s="129"/>
      <c r="BK317" s="129"/>
      <c r="BL317" s="129"/>
      <c r="BM317" s="129"/>
      <c r="BN317" s="129"/>
      <c r="BO317" s="129"/>
      <c r="BP317" s="129"/>
      <c r="BQ317" s="129"/>
    </row>
    <row r="318" spans="1:69" s="139" customFormat="1" x14ac:dyDescent="0.25">
      <c r="A318" s="157"/>
      <c r="B318" s="137"/>
      <c r="C318" s="129"/>
      <c r="G318" s="140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28"/>
      <c r="AC318" s="128"/>
      <c r="AD318" s="128"/>
      <c r="AE318" s="128"/>
      <c r="AF318" s="128"/>
      <c r="AG318" s="129"/>
      <c r="AH318" s="129"/>
      <c r="AI318" s="129"/>
      <c r="AJ318" s="129"/>
      <c r="AK318" s="129"/>
      <c r="AL318" s="129"/>
      <c r="AM318" s="129"/>
      <c r="AN318" s="129"/>
      <c r="AO318" s="129"/>
      <c r="AP318" s="129"/>
      <c r="AQ318" s="130"/>
      <c r="AR318" s="130"/>
      <c r="AS318" s="129"/>
      <c r="AT318" s="129"/>
      <c r="AU318" s="129"/>
      <c r="AV318" s="129"/>
      <c r="AW318" s="129"/>
      <c r="AX318" s="129"/>
      <c r="AY318" s="129"/>
      <c r="AZ318" s="129"/>
      <c r="BA318" s="129"/>
      <c r="BB318" s="129"/>
      <c r="BC318" s="129"/>
      <c r="BD318" s="129"/>
      <c r="BE318" s="129"/>
      <c r="BF318" s="129"/>
      <c r="BG318" s="129"/>
      <c r="BH318" s="129"/>
      <c r="BI318" s="129"/>
      <c r="BJ318" s="129"/>
      <c r="BK318" s="129"/>
      <c r="BL318" s="129"/>
      <c r="BM318" s="129"/>
      <c r="BN318" s="129"/>
      <c r="BO318" s="129"/>
      <c r="BP318" s="129"/>
      <c r="BQ318" s="129"/>
    </row>
    <row r="319" spans="1:69" s="139" customFormat="1" x14ac:dyDescent="0.25">
      <c r="A319" s="157"/>
      <c r="B319" s="137"/>
      <c r="C319" s="129"/>
      <c r="G319" s="140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28"/>
      <c r="AC319" s="128"/>
      <c r="AD319" s="128"/>
      <c r="AE319" s="128"/>
      <c r="AF319" s="128"/>
      <c r="AG319" s="129"/>
      <c r="AH319" s="129"/>
      <c r="AI319" s="129"/>
      <c r="AJ319" s="129"/>
      <c r="AK319" s="129"/>
      <c r="AL319" s="129"/>
      <c r="AM319" s="129"/>
      <c r="AN319" s="129"/>
      <c r="AO319" s="129"/>
      <c r="AP319" s="129"/>
      <c r="AQ319" s="130"/>
      <c r="AR319" s="130"/>
      <c r="AS319" s="129"/>
      <c r="AT319" s="129"/>
      <c r="AU319" s="129"/>
      <c r="AV319" s="129"/>
      <c r="AW319" s="129"/>
      <c r="AX319" s="129"/>
      <c r="AY319" s="129"/>
      <c r="AZ319" s="129"/>
      <c r="BA319" s="129"/>
      <c r="BB319" s="129"/>
      <c r="BC319" s="129"/>
      <c r="BD319" s="129"/>
      <c r="BE319" s="129"/>
      <c r="BF319" s="129"/>
      <c r="BG319" s="129"/>
      <c r="BH319" s="129"/>
      <c r="BI319" s="129"/>
      <c r="BJ319" s="129"/>
      <c r="BK319" s="129"/>
      <c r="BL319" s="129"/>
      <c r="BM319" s="129"/>
      <c r="BN319" s="129"/>
      <c r="BO319" s="129"/>
      <c r="BP319" s="129"/>
      <c r="BQ319" s="129"/>
    </row>
    <row r="320" spans="1:69" s="139" customFormat="1" x14ac:dyDescent="0.25">
      <c r="A320" s="157"/>
      <c r="B320" s="137"/>
      <c r="C320" s="129"/>
      <c r="G320" s="140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28"/>
      <c r="AC320" s="128"/>
      <c r="AD320" s="128"/>
      <c r="AE320" s="128"/>
      <c r="AF320" s="128"/>
      <c r="AG320" s="129"/>
      <c r="AH320" s="129"/>
      <c r="AI320" s="129"/>
      <c r="AJ320" s="129"/>
      <c r="AK320" s="129"/>
      <c r="AL320" s="129"/>
      <c r="AM320" s="129"/>
      <c r="AN320" s="129"/>
      <c r="AO320" s="129"/>
      <c r="AP320" s="129"/>
      <c r="AQ320" s="130"/>
      <c r="AR320" s="130"/>
      <c r="AS320" s="129"/>
      <c r="AT320" s="129"/>
      <c r="AU320" s="129"/>
      <c r="AV320" s="129"/>
      <c r="AW320" s="129"/>
      <c r="AX320" s="129"/>
      <c r="AY320" s="129"/>
      <c r="AZ320" s="129"/>
      <c r="BA320" s="129"/>
      <c r="BB320" s="129"/>
      <c r="BC320" s="129"/>
      <c r="BD320" s="129"/>
      <c r="BE320" s="129"/>
      <c r="BF320" s="129"/>
      <c r="BG320" s="129"/>
      <c r="BH320" s="129"/>
      <c r="BI320" s="129"/>
      <c r="BJ320" s="129"/>
      <c r="BK320" s="129"/>
      <c r="BL320" s="129"/>
      <c r="BM320" s="129"/>
      <c r="BN320" s="129"/>
      <c r="BO320" s="129"/>
      <c r="BP320" s="129"/>
      <c r="BQ320" s="129"/>
    </row>
    <row r="321" spans="1:69" s="139" customFormat="1" x14ac:dyDescent="0.25">
      <c r="A321" s="157"/>
      <c r="B321" s="137"/>
      <c r="C321" s="129"/>
      <c r="G321" s="140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28"/>
      <c r="AC321" s="128"/>
      <c r="AD321" s="128"/>
      <c r="AE321" s="128"/>
      <c r="AF321" s="128"/>
      <c r="AG321" s="129"/>
      <c r="AH321" s="129"/>
      <c r="AI321" s="129"/>
      <c r="AJ321" s="129"/>
      <c r="AK321" s="129"/>
      <c r="AL321" s="129"/>
      <c r="AM321" s="129"/>
      <c r="AN321" s="129"/>
      <c r="AO321" s="129"/>
      <c r="AP321" s="129"/>
      <c r="AQ321" s="130"/>
      <c r="AR321" s="130"/>
      <c r="AS321" s="129"/>
      <c r="AT321" s="129"/>
      <c r="AU321" s="129"/>
      <c r="AV321" s="129"/>
      <c r="AW321" s="129"/>
      <c r="AX321" s="129"/>
      <c r="AY321" s="129"/>
      <c r="AZ321" s="129"/>
      <c r="BA321" s="129"/>
      <c r="BB321" s="129"/>
      <c r="BC321" s="129"/>
      <c r="BD321" s="129"/>
      <c r="BE321" s="129"/>
      <c r="BF321" s="129"/>
      <c r="BG321" s="129"/>
      <c r="BH321" s="129"/>
      <c r="BI321" s="129"/>
      <c r="BJ321" s="129"/>
      <c r="BK321" s="129"/>
      <c r="BL321" s="129"/>
      <c r="BM321" s="129"/>
      <c r="BN321" s="129"/>
      <c r="BO321" s="129"/>
      <c r="BP321" s="129"/>
      <c r="BQ321" s="129"/>
    </row>
    <row r="322" spans="1:69" s="139" customFormat="1" x14ac:dyDescent="0.25">
      <c r="A322" s="157"/>
      <c r="B322" s="137"/>
      <c r="C322" s="129"/>
      <c r="G322" s="140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28"/>
      <c r="AC322" s="128"/>
      <c r="AD322" s="128"/>
      <c r="AE322" s="128"/>
      <c r="AF322" s="128"/>
      <c r="AG322" s="129"/>
      <c r="AH322" s="129"/>
      <c r="AI322" s="129"/>
      <c r="AJ322" s="129"/>
      <c r="AK322" s="129"/>
      <c r="AL322" s="129"/>
      <c r="AM322" s="129"/>
      <c r="AN322" s="129"/>
      <c r="AO322" s="129"/>
      <c r="AP322" s="129"/>
      <c r="AQ322" s="130"/>
      <c r="AR322" s="130"/>
      <c r="AS322" s="129"/>
      <c r="AT322" s="129"/>
      <c r="AU322" s="129"/>
      <c r="AV322" s="129"/>
      <c r="AW322" s="129"/>
      <c r="AX322" s="129"/>
      <c r="AY322" s="129"/>
      <c r="AZ322" s="129"/>
      <c r="BA322" s="129"/>
      <c r="BB322" s="129"/>
      <c r="BC322" s="129"/>
      <c r="BD322" s="129"/>
      <c r="BE322" s="129"/>
      <c r="BF322" s="129"/>
      <c r="BG322" s="129"/>
      <c r="BH322" s="129"/>
      <c r="BI322" s="129"/>
      <c r="BJ322" s="129"/>
      <c r="BK322" s="129"/>
      <c r="BL322" s="129"/>
      <c r="BM322" s="129"/>
      <c r="BN322" s="129"/>
      <c r="BO322" s="129"/>
      <c r="BP322" s="129"/>
      <c r="BQ322" s="129"/>
    </row>
    <row r="323" spans="1:69" s="139" customFormat="1" x14ac:dyDescent="0.25">
      <c r="A323" s="157"/>
      <c r="B323" s="137"/>
      <c r="C323" s="129"/>
      <c r="G323" s="140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28"/>
      <c r="AC323" s="128"/>
      <c r="AD323" s="128"/>
      <c r="AE323" s="128"/>
      <c r="AF323" s="128"/>
      <c r="AG323" s="129"/>
      <c r="AH323" s="129"/>
      <c r="AI323" s="129"/>
      <c r="AJ323" s="129"/>
      <c r="AK323" s="129"/>
      <c r="AL323" s="129"/>
      <c r="AM323" s="129"/>
      <c r="AN323" s="129"/>
      <c r="AO323" s="129"/>
      <c r="AP323" s="129"/>
      <c r="AQ323" s="130"/>
      <c r="AR323" s="130"/>
      <c r="AS323" s="129"/>
      <c r="AT323" s="129"/>
      <c r="AU323" s="129"/>
      <c r="AV323" s="129"/>
      <c r="AW323" s="129"/>
      <c r="AX323" s="129"/>
      <c r="AY323" s="129"/>
      <c r="AZ323" s="129"/>
      <c r="BA323" s="129"/>
      <c r="BB323" s="129"/>
      <c r="BC323" s="129"/>
      <c r="BD323" s="129"/>
      <c r="BE323" s="129"/>
      <c r="BF323" s="129"/>
      <c r="BG323" s="129"/>
      <c r="BH323" s="129"/>
      <c r="BI323" s="129"/>
      <c r="BJ323" s="129"/>
      <c r="BK323" s="129"/>
      <c r="BL323" s="129"/>
      <c r="BM323" s="129"/>
      <c r="BN323" s="129"/>
      <c r="BO323" s="129"/>
      <c r="BP323" s="129"/>
      <c r="BQ323" s="129"/>
    </row>
    <row r="324" spans="1:69" s="139" customFormat="1" x14ac:dyDescent="0.25">
      <c r="A324" s="157"/>
      <c r="B324" s="137"/>
      <c r="C324" s="129"/>
      <c r="G324" s="140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28"/>
      <c r="AC324" s="128"/>
      <c r="AD324" s="128"/>
      <c r="AE324" s="128"/>
      <c r="AF324" s="128"/>
      <c r="AG324" s="129"/>
      <c r="AH324" s="129"/>
      <c r="AI324" s="129"/>
      <c r="AJ324" s="129"/>
      <c r="AK324" s="129"/>
      <c r="AL324" s="129"/>
      <c r="AM324" s="129"/>
      <c r="AN324" s="129"/>
      <c r="AO324" s="129"/>
      <c r="AP324" s="129"/>
      <c r="AQ324" s="130"/>
      <c r="AR324" s="130"/>
      <c r="AS324" s="129"/>
      <c r="AT324" s="129"/>
      <c r="AU324" s="129"/>
      <c r="AV324" s="129"/>
      <c r="AW324" s="129"/>
      <c r="AX324" s="129"/>
      <c r="AY324" s="129"/>
      <c r="AZ324" s="129"/>
      <c r="BA324" s="129"/>
      <c r="BB324" s="129"/>
      <c r="BC324" s="129"/>
      <c r="BD324" s="129"/>
      <c r="BE324" s="129"/>
      <c r="BF324" s="129"/>
      <c r="BG324" s="129"/>
      <c r="BH324" s="129"/>
      <c r="BI324" s="129"/>
      <c r="BJ324" s="129"/>
      <c r="BK324" s="129"/>
      <c r="BL324" s="129"/>
      <c r="BM324" s="129"/>
      <c r="BN324" s="129"/>
      <c r="BO324" s="129"/>
      <c r="BP324" s="129"/>
      <c r="BQ324" s="129"/>
    </row>
    <row r="325" spans="1:69" s="139" customFormat="1" x14ac:dyDescent="0.25">
      <c r="A325" s="157"/>
      <c r="B325" s="137"/>
      <c r="C325" s="129"/>
      <c r="G325" s="140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28"/>
      <c r="AC325" s="128"/>
      <c r="AD325" s="128"/>
      <c r="AE325" s="128"/>
      <c r="AF325" s="128"/>
      <c r="AG325" s="129"/>
      <c r="AH325" s="129"/>
      <c r="AI325" s="129"/>
      <c r="AJ325" s="129"/>
      <c r="AK325" s="129"/>
      <c r="AL325" s="129"/>
      <c r="AM325" s="129"/>
      <c r="AN325" s="129"/>
      <c r="AO325" s="129"/>
      <c r="AP325" s="129"/>
      <c r="AQ325" s="130"/>
      <c r="AR325" s="130"/>
      <c r="AS325" s="129"/>
      <c r="AT325" s="129"/>
      <c r="AU325" s="129"/>
      <c r="AV325" s="129"/>
      <c r="AW325" s="129"/>
      <c r="AX325" s="129"/>
      <c r="AY325" s="129"/>
      <c r="AZ325" s="129"/>
      <c r="BA325" s="129"/>
      <c r="BB325" s="129"/>
      <c r="BC325" s="129"/>
      <c r="BD325" s="129"/>
      <c r="BE325" s="129"/>
      <c r="BF325" s="129"/>
      <c r="BG325" s="129"/>
      <c r="BH325" s="129"/>
      <c r="BI325" s="129"/>
      <c r="BJ325" s="129"/>
      <c r="BK325" s="129"/>
      <c r="BL325" s="129"/>
      <c r="BM325" s="129"/>
      <c r="BN325" s="129"/>
      <c r="BO325" s="129"/>
      <c r="BP325" s="129"/>
      <c r="BQ325" s="129"/>
    </row>
    <row r="326" spans="1:69" s="139" customFormat="1" x14ac:dyDescent="0.25">
      <c r="A326" s="157"/>
      <c r="B326" s="137"/>
      <c r="C326" s="129"/>
      <c r="G326" s="140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28"/>
      <c r="AC326" s="128"/>
      <c r="AD326" s="128"/>
      <c r="AE326" s="128"/>
      <c r="AF326" s="128"/>
      <c r="AG326" s="129"/>
      <c r="AH326" s="129"/>
      <c r="AI326" s="129"/>
      <c r="AJ326" s="129"/>
      <c r="AK326" s="129"/>
      <c r="AL326" s="129"/>
      <c r="AM326" s="129"/>
      <c r="AN326" s="129"/>
      <c r="AO326" s="129"/>
      <c r="AP326" s="129"/>
      <c r="AQ326" s="130"/>
      <c r="AR326" s="130"/>
      <c r="AS326" s="129"/>
      <c r="AT326" s="129"/>
      <c r="AU326" s="129"/>
      <c r="AV326" s="129"/>
      <c r="AW326" s="129"/>
      <c r="AX326" s="129"/>
      <c r="AY326" s="129"/>
      <c r="AZ326" s="129"/>
      <c r="BA326" s="129"/>
      <c r="BB326" s="129"/>
      <c r="BC326" s="129"/>
      <c r="BD326" s="129"/>
      <c r="BE326" s="129"/>
      <c r="BF326" s="129"/>
      <c r="BG326" s="129"/>
      <c r="BH326" s="129"/>
      <c r="BI326" s="129"/>
      <c r="BJ326" s="129"/>
      <c r="BK326" s="129"/>
      <c r="BL326" s="129"/>
      <c r="BM326" s="129"/>
      <c r="BN326" s="129"/>
      <c r="BO326" s="129"/>
      <c r="BP326" s="129"/>
      <c r="BQ326" s="129"/>
    </row>
    <row r="327" spans="1:69" s="139" customFormat="1" x14ac:dyDescent="0.25">
      <c r="A327" s="157"/>
      <c r="B327" s="137"/>
      <c r="C327" s="129"/>
      <c r="G327" s="140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28"/>
      <c r="AC327" s="128"/>
      <c r="AD327" s="128"/>
      <c r="AE327" s="128"/>
      <c r="AF327" s="128"/>
      <c r="AG327" s="129"/>
      <c r="AH327" s="129"/>
      <c r="AI327" s="129"/>
      <c r="AJ327" s="129"/>
      <c r="AK327" s="129"/>
      <c r="AL327" s="129"/>
      <c r="AM327" s="129"/>
      <c r="AN327" s="129"/>
      <c r="AO327" s="129"/>
      <c r="AP327" s="129"/>
      <c r="AQ327" s="130"/>
      <c r="AR327" s="130"/>
      <c r="AS327" s="129"/>
      <c r="AT327" s="129"/>
      <c r="AU327" s="129"/>
      <c r="AV327" s="129"/>
      <c r="AW327" s="129"/>
      <c r="AX327" s="129"/>
      <c r="AY327" s="129"/>
      <c r="AZ327" s="129"/>
      <c r="BA327" s="129"/>
      <c r="BB327" s="129"/>
      <c r="BC327" s="129"/>
      <c r="BD327" s="129"/>
      <c r="BE327" s="129"/>
      <c r="BF327" s="129"/>
      <c r="BG327" s="129"/>
      <c r="BH327" s="129"/>
      <c r="BI327" s="129"/>
      <c r="BJ327" s="129"/>
      <c r="BK327" s="129"/>
      <c r="BL327" s="129"/>
      <c r="BM327" s="129"/>
      <c r="BN327" s="129"/>
      <c r="BO327" s="129"/>
      <c r="BP327" s="129"/>
      <c r="BQ327" s="129"/>
    </row>
    <row r="328" spans="1:69" s="139" customFormat="1" x14ac:dyDescent="0.25">
      <c r="A328" s="157"/>
      <c r="B328" s="137"/>
      <c r="C328" s="129"/>
      <c r="G328" s="140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28"/>
      <c r="AC328" s="128"/>
      <c r="AD328" s="128"/>
      <c r="AE328" s="128"/>
      <c r="AF328" s="128"/>
      <c r="AG328" s="129"/>
      <c r="AH328" s="129"/>
      <c r="AI328" s="129"/>
      <c r="AJ328" s="129"/>
      <c r="AK328" s="129"/>
      <c r="AL328" s="129"/>
      <c r="AM328" s="129"/>
      <c r="AN328" s="129"/>
      <c r="AO328" s="129"/>
      <c r="AP328" s="129"/>
      <c r="AQ328" s="130"/>
      <c r="AR328" s="130"/>
      <c r="AS328" s="129"/>
      <c r="AT328" s="129"/>
      <c r="AU328" s="129"/>
      <c r="AV328" s="129"/>
      <c r="AW328" s="129"/>
      <c r="AX328" s="129"/>
      <c r="AY328" s="129"/>
      <c r="AZ328" s="129"/>
      <c r="BA328" s="129"/>
      <c r="BB328" s="129"/>
      <c r="BC328" s="129"/>
      <c r="BD328" s="129"/>
      <c r="BE328" s="129"/>
      <c r="BF328" s="129"/>
      <c r="BG328" s="129"/>
      <c r="BH328" s="129"/>
      <c r="BI328" s="129"/>
      <c r="BJ328" s="129"/>
      <c r="BK328" s="129"/>
      <c r="BL328" s="129"/>
      <c r="BM328" s="129"/>
      <c r="BN328" s="129"/>
      <c r="BO328" s="129"/>
      <c r="BP328" s="129"/>
      <c r="BQ328" s="129"/>
    </row>
    <row r="329" spans="1:69" s="139" customFormat="1" x14ac:dyDescent="0.25">
      <c r="A329" s="157"/>
      <c r="B329" s="137"/>
      <c r="C329" s="129"/>
      <c r="G329" s="140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28"/>
      <c r="AC329" s="128"/>
      <c r="AD329" s="128"/>
      <c r="AE329" s="128"/>
      <c r="AF329" s="128"/>
      <c r="AG329" s="129"/>
      <c r="AH329" s="129"/>
      <c r="AI329" s="129"/>
      <c r="AJ329" s="129"/>
      <c r="AK329" s="129"/>
      <c r="AL329" s="129"/>
      <c r="AM329" s="129"/>
      <c r="AN329" s="129"/>
      <c r="AO329" s="129"/>
      <c r="AP329" s="129"/>
      <c r="AQ329" s="130"/>
      <c r="AR329" s="130"/>
      <c r="AS329" s="129"/>
      <c r="AT329" s="129"/>
      <c r="AU329" s="129"/>
      <c r="AV329" s="129"/>
      <c r="AW329" s="129"/>
      <c r="AX329" s="129"/>
      <c r="AY329" s="129"/>
      <c r="AZ329" s="129"/>
      <c r="BA329" s="129"/>
      <c r="BB329" s="129"/>
      <c r="BC329" s="129"/>
      <c r="BD329" s="129"/>
      <c r="BE329" s="129"/>
      <c r="BF329" s="129"/>
      <c r="BG329" s="129"/>
      <c r="BH329" s="129"/>
      <c r="BI329" s="129"/>
      <c r="BJ329" s="129"/>
      <c r="BK329" s="129"/>
      <c r="BL329" s="129"/>
      <c r="BM329" s="129"/>
      <c r="BN329" s="129"/>
      <c r="BO329" s="129"/>
      <c r="BP329" s="129"/>
      <c r="BQ329" s="129"/>
    </row>
    <row r="330" spans="1:69" s="139" customFormat="1" x14ac:dyDescent="0.25">
      <c r="A330" s="157"/>
      <c r="B330" s="137"/>
      <c r="C330" s="129"/>
      <c r="G330" s="140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28"/>
      <c r="AC330" s="128"/>
      <c r="AD330" s="128"/>
      <c r="AE330" s="128"/>
      <c r="AF330" s="128"/>
      <c r="AG330" s="129"/>
      <c r="AH330" s="129"/>
      <c r="AI330" s="129"/>
      <c r="AJ330" s="129"/>
      <c r="AK330" s="129"/>
      <c r="AL330" s="129"/>
      <c r="AM330" s="129"/>
      <c r="AN330" s="129"/>
      <c r="AO330" s="129"/>
      <c r="AP330" s="129"/>
      <c r="AQ330" s="130"/>
      <c r="AR330" s="130"/>
      <c r="AS330" s="129"/>
      <c r="AT330" s="129"/>
      <c r="AU330" s="129"/>
      <c r="AV330" s="129"/>
      <c r="AW330" s="129"/>
      <c r="AX330" s="129"/>
      <c r="AY330" s="129"/>
      <c r="AZ330" s="129"/>
      <c r="BA330" s="129"/>
      <c r="BB330" s="129"/>
      <c r="BC330" s="129"/>
      <c r="BD330" s="129"/>
      <c r="BE330" s="129"/>
      <c r="BF330" s="129"/>
      <c r="BG330" s="129"/>
      <c r="BH330" s="129"/>
      <c r="BI330" s="129"/>
      <c r="BJ330" s="129"/>
      <c r="BK330" s="129"/>
      <c r="BL330" s="129"/>
      <c r="BM330" s="129"/>
      <c r="BN330" s="129"/>
      <c r="BO330" s="129"/>
      <c r="BP330" s="129"/>
      <c r="BQ330" s="129"/>
    </row>
    <row r="331" spans="1:69" s="139" customFormat="1" x14ac:dyDescent="0.25">
      <c r="A331" s="157"/>
      <c r="B331" s="137"/>
      <c r="C331" s="129"/>
      <c r="G331" s="140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28"/>
      <c r="AC331" s="128"/>
      <c r="AD331" s="128"/>
      <c r="AE331" s="128"/>
      <c r="AF331" s="128"/>
      <c r="AG331" s="129"/>
      <c r="AH331" s="129"/>
      <c r="AI331" s="129"/>
      <c r="AJ331" s="129"/>
      <c r="AK331" s="129"/>
      <c r="AL331" s="129"/>
      <c r="AM331" s="129"/>
      <c r="AN331" s="129"/>
      <c r="AO331" s="129"/>
      <c r="AP331" s="129"/>
      <c r="AQ331" s="130"/>
      <c r="AR331" s="130"/>
      <c r="AS331" s="129"/>
      <c r="AT331" s="129"/>
      <c r="AU331" s="129"/>
      <c r="AV331" s="129"/>
      <c r="AW331" s="129"/>
      <c r="AX331" s="129"/>
      <c r="AY331" s="129"/>
      <c r="AZ331" s="129"/>
      <c r="BA331" s="129"/>
      <c r="BB331" s="129"/>
      <c r="BC331" s="129"/>
      <c r="BD331" s="129"/>
      <c r="BE331" s="129"/>
      <c r="BF331" s="129"/>
      <c r="BG331" s="129"/>
      <c r="BH331" s="129"/>
      <c r="BI331" s="129"/>
      <c r="BJ331" s="129"/>
      <c r="BK331" s="129"/>
      <c r="BL331" s="129"/>
      <c r="BM331" s="129"/>
      <c r="BN331" s="129"/>
      <c r="BO331" s="129"/>
      <c r="BP331" s="129"/>
      <c r="BQ331" s="129"/>
    </row>
    <row r="332" spans="1:69" s="139" customFormat="1" x14ac:dyDescent="0.25">
      <c r="A332" s="157"/>
      <c r="B332" s="137"/>
      <c r="C332" s="129"/>
      <c r="G332" s="140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28"/>
      <c r="AC332" s="128"/>
      <c r="AD332" s="128"/>
      <c r="AE332" s="128"/>
      <c r="AF332" s="128"/>
      <c r="AG332" s="129"/>
      <c r="AH332" s="129"/>
      <c r="AI332" s="129"/>
      <c r="AJ332" s="129"/>
      <c r="AK332" s="129"/>
      <c r="AL332" s="129"/>
      <c r="AM332" s="129"/>
      <c r="AN332" s="129"/>
      <c r="AO332" s="129"/>
      <c r="AP332" s="129"/>
      <c r="AQ332" s="130"/>
      <c r="AR332" s="130"/>
      <c r="AS332" s="129"/>
      <c r="AT332" s="129"/>
      <c r="AU332" s="129"/>
      <c r="AV332" s="129"/>
      <c r="AW332" s="129"/>
      <c r="AX332" s="129"/>
      <c r="AY332" s="129"/>
      <c r="AZ332" s="129"/>
      <c r="BA332" s="129"/>
      <c r="BB332" s="129"/>
      <c r="BC332" s="129"/>
      <c r="BD332" s="129"/>
      <c r="BE332" s="129"/>
      <c r="BF332" s="129"/>
      <c r="BG332" s="129"/>
      <c r="BH332" s="129"/>
      <c r="BI332" s="129"/>
      <c r="BJ332" s="129"/>
      <c r="BK332" s="129"/>
      <c r="BL332" s="129"/>
      <c r="BM332" s="129"/>
      <c r="BN332" s="129"/>
      <c r="BO332" s="129"/>
      <c r="BP332" s="129"/>
      <c r="BQ332" s="129"/>
    </row>
    <row r="333" spans="1:69" s="139" customFormat="1" x14ac:dyDescent="0.25">
      <c r="A333" s="157"/>
      <c r="B333" s="137"/>
      <c r="C333" s="129"/>
      <c r="G333" s="140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28"/>
      <c r="AC333" s="128"/>
      <c r="AD333" s="128"/>
      <c r="AE333" s="128"/>
      <c r="AF333" s="128"/>
      <c r="AG333" s="129"/>
      <c r="AH333" s="129"/>
      <c r="AI333" s="129"/>
      <c r="AJ333" s="129"/>
      <c r="AK333" s="129"/>
      <c r="AL333" s="129"/>
      <c r="AM333" s="129"/>
      <c r="AN333" s="129"/>
      <c r="AO333" s="129"/>
      <c r="AP333" s="129"/>
      <c r="AQ333" s="130"/>
      <c r="AR333" s="130"/>
      <c r="AS333" s="129"/>
      <c r="AT333" s="129"/>
      <c r="AU333" s="129"/>
      <c r="AV333" s="129"/>
      <c r="AW333" s="129"/>
      <c r="AX333" s="129"/>
      <c r="AY333" s="129"/>
      <c r="AZ333" s="129"/>
      <c r="BA333" s="129"/>
      <c r="BB333" s="129"/>
      <c r="BC333" s="129"/>
      <c r="BD333" s="129"/>
      <c r="BE333" s="129"/>
      <c r="BF333" s="129"/>
      <c r="BG333" s="129"/>
      <c r="BH333" s="129"/>
      <c r="BI333" s="129"/>
      <c r="BJ333" s="129"/>
      <c r="BK333" s="129"/>
      <c r="BL333" s="129"/>
      <c r="BM333" s="129"/>
      <c r="BN333" s="129"/>
      <c r="BO333" s="129"/>
      <c r="BP333" s="129"/>
      <c r="BQ333" s="129"/>
    </row>
    <row r="334" spans="1:69" s="139" customFormat="1" x14ac:dyDescent="0.25">
      <c r="A334" s="157"/>
      <c r="B334" s="137"/>
      <c r="C334" s="129"/>
      <c r="G334" s="140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28"/>
      <c r="AC334" s="128"/>
      <c r="AD334" s="128"/>
      <c r="AE334" s="128"/>
      <c r="AF334" s="128"/>
      <c r="AG334" s="129"/>
      <c r="AH334" s="129"/>
      <c r="AI334" s="129"/>
      <c r="AJ334" s="129"/>
      <c r="AK334" s="129"/>
      <c r="AL334" s="129"/>
      <c r="AM334" s="129"/>
      <c r="AN334" s="129"/>
      <c r="AO334" s="129"/>
      <c r="AP334" s="129"/>
      <c r="AQ334" s="130"/>
      <c r="AR334" s="130"/>
      <c r="AS334" s="129"/>
      <c r="AT334" s="129"/>
      <c r="AU334" s="129"/>
      <c r="AV334" s="129"/>
      <c r="AW334" s="129"/>
      <c r="AX334" s="129"/>
      <c r="AY334" s="129"/>
      <c r="AZ334" s="129"/>
      <c r="BA334" s="129"/>
      <c r="BB334" s="129"/>
      <c r="BC334" s="129"/>
      <c r="BD334" s="129"/>
      <c r="BE334" s="129"/>
      <c r="BF334" s="129"/>
      <c r="BG334" s="129"/>
      <c r="BH334" s="129"/>
      <c r="BI334" s="129"/>
      <c r="BJ334" s="129"/>
      <c r="BK334" s="129"/>
      <c r="BL334" s="129"/>
      <c r="BM334" s="129"/>
      <c r="BN334" s="129"/>
      <c r="BO334" s="129"/>
      <c r="BP334" s="129"/>
      <c r="BQ334" s="129"/>
    </row>
    <row r="335" spans="1:69" s="139" customFormat="1" x14ac:dyDescent="0.25">
      <c r="A335" s="157"/>
      <c r="B335" s="137"/>
      <c r="C335" s="129"/>
      <c r="G335" s="140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28"/>
      <c r="AC335" s="128"/>
      <c r="AD335" s="128"/>
      <c r="AE335" s="128"/>
      <c r="AF335" s="128"/>
      <c r="AG335" s="129"/>
      <c r="AH335" s="129"/>
      <c r="AI335" s="129"/>
      <c r="AJ335" s="129"/>
      <c r="AK335" s="129"/>
      <c r="AL335" s="129"/>
      <c r="AM335" s="129"/>
      <c r="AN335" s="129"/>
      <c r="AO335" s="129"/>
      <c r="AP335" s="129"/>
      <c r="AQ335" s="130"/>
      <c r="AR335" s="130"/>
      <c r="AS335" s="129"/>
      <c r="AT335" s="129"/>
      <c r="AU335" s="129"/>
      <c r="AV335" s="129"/>
      <c r="AW335" s="129"/>
      <c r="AX335" s="129"/>
      <c r="AY335" s="129"/>
      <c r="AZ335" s="129"/>
      <c r="BA335" s="129"/>
      <c r="BB335" s="129"/>
      <c r="BC335" s="129"/>
      <c r="BD335" s="129"/>
      <c r="BE335" s="129"/>
      <c r="BF335" s="129"/>
      <c r="BG335" s="129"/>
      <c r="BH335" s="129"/>
      <c r="BI335" s="129"/>
      <c r="BJ335" s="129"/>
      <c r="BK335" s="129"/>
      <c r="BL335" s="129"/>
      <c r="BM335" s="129"/>
      <c r="BN335" s="129"/>
      <c r="BO335" s="129"/>
      <c r="BP335" s="129"/>
      <c r="BQ335" s="129"/>
    </row>
    <row r="336" spans="1:69" s="139" customFormat="1" x14ac:dyDescent="0.25">
      <c r="A336" s="157"/>
      <c r="B336" s="137"/>
      <c r="C336" s="129"/>
      <c r="G336" s="140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28"/>
      <c r="AC336" s="128"/>
      <c r="AD336" s="128"/>
      <c r="AE336" s="128"/>
      <c r="AF336" s="128"/>
      <c r="AG336" s="129"/>
      <c r="AH336" s="129"/>
      <c r="AI336" s="129"/>
      <c r="AJ336" s="129"/>
      <c r="AK336" s="129"/>
      <c r="AL336" s="129"/>
      <c r="AM336" s="129"/>
      <c r="AN336" s="129"/>
      <c r="AO336" s="129"/>
      <c r="AP336" s="129"/>
      <c r="AQ336" s="130"/>
      <c r="AR336" s="130"/>
      <c r="AS336" s="129"/>
      <c r="AT336" s="129"/>
      <c r="AU336" s="129"/>
      <c r="AV336" s="129"/>
      <c r="AW336" s="129"/>
      <c r="AX336" s="129"/>
      <c r="AY336" s="129"/>
      <c r="AZ336" s="129"/>
      <c r="BA336" s="129"/>
      <c r="BB336" s="129"/>
      <c r="BC336" s="129"/>
      <c r="BD336" s="129"/>
      <c r="BE336" s="129"/>
      <c r="BF336" s="129"/>
      <c r="BG336" s="129"/>
      <c r="BH336" s="129"/>
      <c r="BI336" s="129"/>
      <c r="BJ336" s="129"/>
      <c r="BK336" s="129"/>
      <c r="BL336" s="129"/>
      <c r="BM336" s="129"/>
      <c r="BN336" s="129"/>
      <c r="BO336" s="129"/>
      <c r="BP336" s="129"/>
      <c r="BQ336" s="129"/>
    </row>
    <row r="337" spans="1:69" s="139" customFormat="1" x14ac:dyDescent="0.25">
      <c r="A337" s="157"/>
      <c r="B337" s="137"/>
      <c r="C337" s="129"/>
      <c r="G337" s="140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28"/>
      <c r="AC337" s="128"/>
      <c r="AD337" s="128"/>
      <c r="AE337" s="128"/>
      <c r="AF337" s="128"/>
      <c r="AG337" s="129"/>
      <c r="AH337" s="129"/>
      <c r="AI337" s="129"/>
      <c r="AJ337" s="129"/>
      <c r="AK337" s="129"/>
      <c r="AL337" s="129"/>
      <c r="AM337" s="129"/>
      <c r="AN337" s="129"/>
      <c r="AO337" s="129"/>
      <c r="AP337" s="129"/>
      <c r="AQ337" s="130"/>
      <c r="AR337" s="130"/>
      <c r="AS337" s="129"/>
      <c r="AT337" s="129"/>
      <c r="AU337" s="129"/>
      <c r="AV337" s="129"/>
      <c r="AW337" s="129"/>
      <c r="AX337" s="129"/>
      <c r="AY337" s="129"/>
      <c r="AZ337" s="129"/>
      <c r="BA337" s="129"/>
      <c r="BB337" s="129"/>
      <c r="BC337" s="129"/>
      <c r="BD337" s="129"/>
      <c r="BE337" s="129"/>
      <c r="BF337" s="129"/>
      <c r="BG337" s="129"/>
      <c r="BH337" s="129"/>
      <c r="BI337" s="129"/>
      <c r="BJ337" s="129"/>
      <c r="BK337" s="129"/>
      <c r="BL337" s="129"/>
      <c r="BM337" s="129"/>
      <c r="BN337" s="129"/>
      <c r="BO337" s="129"/>
      <c r="BP337" s="129"/>
      <c r="BQ337" s="129"/>
    </row>
    <row r="338" spans="1:69" s="139" customFormat="1" x14ac:dyDescent="0.25">
      <c r="A338" s="157"/>
      <c r="B338" s="137"/>
      <c r="C338" s="129"/>
      <c r="G338" s="140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28"/>
      <c r="AC338" s="128"/>
      <c r="AD338" s="128"/>
      <c r="AE338" s="128"/>
      <c r="AF338" s="128"/>
      <c r="AG338" s="129"/>
      <c r="AH338" s="129"/>
      <c r="AI338" s="129"/>
      <c r="AJ338" s="129"/>
      <c r="AK338" s="129"/>
      <c r="AL338" s="129"/>
      <c r="AM338" s="129"/>
      <c r="AN338" s="129"/>
      <c r="AO338" s="129"/>
      <c r="AP338" s="129"/>
      <c r="AQ338" s="130"/>
      <c r="AR338" s="130"/>
      <c r="AS338" s="129"/>
      <c r="AT338" s="129"/>
      <c r="AU338" s="129"/>
      <c r="AV338" s="129"/>
      <c r="AW338" s="129"/>
      <c r="AX338" s="129"/>
      <c r="AY338" s="129"/>
      <c r="AZ338" s="129"/>
      <c r="BA338" s="129"/>
      <c r="BB338" s="129"/>
      <c r="BC338" s="129"/>
      <c r="BD338" s="129"/>
      <c r="BE338" s="129"/>
      <c r="BF338" s="129"/>
      <c r="BG338" s="129"/>
      <c r="BH338" s="129"/>
      <c r="BI338" s="129"/>
      <c r="BJ338" s="129"/>
      <c r="BK338" s="129"/>
      <c r="BL338" s="129"/>
      <c r="BM338" s="129"/>
      <c r="BN338" s="129"/>
      <c r="BO338" s="129"/>
      <c r="BP338" s="129"/>
      <c r="BQ338" s="129"/>
    </row>
    <row r="339" spans="1:69" s="139" customFormat="1" x14ac:dyDescent="0.25">
      <c r="A339" s="157"/>
      <c r="B339" s="137"/>
      <c r="C339" s="129"/>
      <c r="G339" s="140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28"/>
      <c r="AC339" s="128"/>
      <c r="AD339" s="128"/>
      <c r="AE339" s="128"/>
      <c r="AF339" s="128"/>
      <c r="AG339" s="129"/>
      <c r="AH339" s="129"/>
      <c r="AI339" s="129"/>
      <c r="AJ339" s="129"/>
      <c r="AK339" s="129"/>
      <c r="AL339" s="129"/>
      <c r="AM339" s="129"/>
      <c r="AN339" s="129"/>
      <c r="AO339" s="129"/>
      <c r="AP339" s="129"/>
      <c r="AQ339" s="130"/>
      <c r="AR339" s="130"/>
      <c r="AS339" s="129"/>
      <c r="AT339" s="129"/>
      <c r="AU339" s="129"/>
      <c r="AV339" s="129"/>
      <c r="AW339" s="129"/>
      <c r="AX339" s="129"/>
      <c r="AY339" s="129"/>
      <c r="AZ339" s="129"/>
      <c r="BA339" s="129"/>
      <c r="BB339" s="129"/>
      <c r="BC339" s="129"/>
      <c r="BD339" s="129"/>
      <c r="BE339" s="129"/>
      <c r="BF339" s="129"/>
      <c r="BG339" s="129"/>
      <c r="BH339" s="129"/>
      <c r="BI339" s="129"/>
      <c r="BJ339" s="129"/>
      <c r="BK339" s="129"/>
      <c r="BL339" s="129"/>
      <c r="BM339" s="129"/>
      <c r="BN339" s="129"/>
      <c r="BO339" s="129"/>
      <c r="BP339" s="129"/>
      <c r="BQ339" s="129"/>
    </row>
    <row r="340" spans="1:69" s="139" customFormat="1" x14ac:dyDescent="0.25">
      <c r="A340" s="157"/>
      <c r="B340" s="137"/>
      <c r="C340" s="129"/>
      <c r="G340" s="140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28"/>
      <c r="AC340" s="128"/>
      <c r="AD340" s="128"/>
      <c r="AE340" s="128"/>
      <c r="AF340" s="128"/>
      <c r="AG340" s="129"/>
      <c r="AH340" s="129"/>
      <c r="AI340" s="129"/>
      <c r="AJ340" s="129"/>
      <c r="AK340" s="129"/>
      <c r="AL340" s="129"/>
      <c r="AM340" s="129"/>
      <c r="AN340" s="129"/>
      <c r="AO340" s="129"/>
      <c r="AP340" s="129"/>
      <c r="AQ340" s="130"/>
      <c r="AR340" s="130"/>
      <c r="AS340" s="129"/>
      <c r="AT340" s="129"/>
      <c r="AU340" s="129"/>
      <c r="AV340" s="129"/>
      <c r="AW340" s="129"/>
      <c r="AX340" s="129"/>
      <c r="AY340" s="129"/>
      <c r="AZ340" s="129"/>
      <c r="BA340" s="129"/>
      <c r="BB340" s="129"/>
      <c r="BC340" s="129"/>
      <c r="BD340" s="129"/>
      <c r="BE340" s="129"/>
      <c r="BF340" s="129"/>
      <c r="BG340" s="129"/>
      <c r="BH340" s="129"/>
      <c r="BI340" s="129"/>
      <c r="BJ340" s="129"/>
      <c r="BK340" s="129"/>
      <c r="BL340" s="129"/>
      <c r="BM340" s="129"/>
      <c r="BN340" s="129"/>
      <c r="BO340" s="129"/>
      <c r="BP340" s="129"/>
      <c r="BQ340" s="129"/>
    </row>
    <row r="341" spans="1:69" s="139" customFormat="1" x14ac:dyDescent="0.25">
      <c r="A341" s="157"/>
      <c r="B341" s="137"/>
      <c r="C341" s="129"/>
      <c r="G341" s="140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28"/>
      <c r="AC341" s="128"/>
      <c r="AD341" s="128"/>
      <c r="AE341" s="128"/>
      <c r="AF341" s="128"/>
      <c r="AG341" s="129"/>
      <c r="AH341" s="129"/>
      <c r="AI341" s="129"/>
      <c r="AJ341" s="129"/>
      <c r="AK341" s="129"/>
      <c r="AL341" s="129"/>
      <c r="AM341" s="129"/>
      <c r="AN341" s="129"/>
      <c r="AO341" s="129"/>
      <c r="AP341" s="129"/>
      <c r="AQ341" s="130"/>
      <c r="AR341" s="130"/>
      <c r="AS341" s="129"/>
      <c r="AT341" s="129"/>
      <c r="AU341" s="129"/>
      <c r="AV341" s="129"/>
      <c r="AW341" s="129"/>
      <c r="AX341" s="129"/>
      <c r="AY341" s="129"/>
      <c r="AZ341" s="129"/>
      <c r="BA341" s="129"/>
      <c r="BB341" s="129"/>
      <c r="BC341" s="129"/>
      <c r="BD341" s="129"/>
      <c r="BE341" s="129"/>
      <c r="BF341" s="129"/>
      <c r="BG341" s="129"/>
      <c r="BH341" s="129"/>
      <c r="BI341" s="129"/>
      <c r="BJ341" s="129"/>
      <c r="BK341" s="129"/>
      <c r="BL341" s="129"/>
      <c r="BM341" s="129"/>
      <c r="BN341" s="129"/>
      <c r="BO341" s="129"/>
      <c r="BP341" s="129"/>
      <c r="BQ341" s="129"/>
    </row>
    <row r="342" spans="1:69" s="139" customFormat="1" x14ac:dyDescent="0.25">
      <c r="A342" s="157"/>
      <c r="B342" s="137"/>
      <c r="C342" s="129"/>
      <c r="G342" s="140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28"/>
      <c r="AC342" s="128"/>
      <c r="AD342" s="128"/>
      <c r="AE342" s="128"/>
      <c r="AF342" s="128"/>
      <c r="AG342" s="129"/>
      <c r="AH342" s="129"/>
      <c r="AI342" s="129"/>
      <c r="AJ342" s="129"/>
      <c r="AK342" s="129"/>
      <c r="AL342" s="129"/>
      <c r="AM342" s="129"/>
      <c r="AN342" s="129"/>
      <c r="AO342" s="129"/>
      <c r="AP342" s="129"/>
      <c r="AQ342" s="130"/>
      <c r="AR342" s="130"/>
      <c r="AS342" s="129"/>
      <c r="AT342" s="129"/>
      <c r="AU342" s="129"/>
      <c r="AV342" s="129"/>
      <c r="AW342" s="129"/>
      <c r="AX342" s="129"/>
      <c r="AY342" s="129"/>
      <c r="AZ342" s="129"/>
      <c r="BA342" s="129"/>
      <c r="BB342" s="129"/>
      <c r="BC342" s="129"/>
      <c r="BD342" s="129"/>
      <c r="BE342" s="129"/>
      <c r="BF342" s="129"/>
      <c r="BG342" s="129"/>
      <c r="BH342" s="129"/>
      <c r="BI342" s="129"/>
      <c r="BJ342" s="129"/>
      <c r="BK342" s="129"/>
      <c r="BL342" s="129"/>
      <c r="BM342" s="129"/>
      <c r="BN342" s="129"/>
      <c r="BO342" s="129"/>
      <c r="BP342" s="129"/>
      <c r="BQ342" s="129"/>
    </row>
    <row r="343" spans="1:69" s="139" customFormat="1" x14ac:dyDescent="0.25">
      <c r="A343" s="157"/>
      <c r="B343" s="137"/>
      <c r="C343" s="129"/>
      <c r="G343" s="140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28"/>
      <c r="AC343" s="128"/>
      <c r="AD343" s="128"/>
      <c r="AE343" s="128"/>
      <c r="AF343" s="128"/>
      <c r="AG343" s="129"/>
      <c r="AH343" s="129"/>
      <c r="AI343" s="129"/>
      <c r="AJ343" s="129"/>
      <c r="AK343" s="129"/>
      <c r="AL343" s="129"/>
      <c r="AM343" s="129"/>
      <c r="AN343" s="129"/>
      <c r="AO343" s="129"/>
      <c r="AP343" s="129"/>
      <c r="AQ343" s="130"/>
      <c r="AR343" s="130"/>
      <c r="AS343" s="129"/>
      <c r="AT343" s="129"/>
      <c r="AU343" s="129"/>
      <c r="AV343" s="129"/>
      <c r="AW343" s="129"/>
      <c r="AX343" s="129"/>
      <c r="AY343" s="129"/>
      <c r="AZ343" s="129"/>
      <c r="BA343" s="129"/>
      <c r="BB343" s="129"/>
      <c r="BC343" s="129"/>
      <c r="BD343" s="129"/>
      <c r="BE343" s="129"/>
      <c r="BF343" s="129"/>
      <c r="BG343" s="129"/>
      <c r="BH343" s="129"/>
      <c r="BI343" s="129"/>
      <c r="BJ343" s="129"/>
      <c r="BK343" s="129"/>
      <c r="BL343" s="129"/>
      <c r="BM343" s="129"/>
      <c r="BN343" s="129"/>
      <c r="BO343" s="129"/>
      <c r="BP343" s="129"/>
      <c r="BQ343" s="129"/>
    </row>
    <row r="344" spans="1:69" s="139" customFormat="1" x14ac:dyDescent="0.25">
      <c r="A344" s="157"/>
      <c r="B344" s="137"/>
      <c r="C344" s="129"/>
      <c r="G344" s="140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28"/>
      <c r="AC344" s="128"/>
      <c r="AD344" s="128"/>
      <c r="AE344" s="128"/>
      <c r="AF344" s="128"/>
      <c r="AG344" s="129"/>
      <c r="AH344" s="129"/>
      <c r="AI344" s="129"/>
      <c r="AJ344" s="129"/>
      <c r="AK344" s="129"/>
      <c r="AL344" s="129"/>
      <c r="AM344" s="129"/>
      <c r="AN344" s="129"/>
      <c r="AO344" s="129"/>
      <c r="AP344" s="129"/>
      <c r="AQ344" s="130"/>
      <c r="AR344" s="130"/>
      <c r="AS344" s="129"/>
      <c r="AT344" s="129"/>
      <c r="AU344" s="129"/>
      <c r="AV344" s="129"/>
      <c r="AW344" s="129"/>
      <c r="AX344" s="129"/>
      <c r="AY344" s="129"/>
      <c r="AZ344" s="129"/>
      <c r="BA344" s="129"/>
      <c r="BB344" s="129"/>
      <c r="BC344" s="129"/>
      <c r="BD344" s="129"/>
      <c r="BE344" s="129"/>
      <c r="BF344" s="129"/>
      <c r="BG344" s="129"/>
      <c r="BH344" s="129"/>
      <c r="BI344" s="129"/>
      <c r="BJ344" s="129"/>
      <c r="BK344" s="129"/>
      <c r="BL344" s="129"/>
      <c r="BM344" s="129"/>
      <c r="BN344" s="129"/>
      <c r="BO344" s="129"/>
      <c r="BP344" s="129"/>
      <c r="BQ344" s="129"/>
    </row>
    <row r="345" spans="1:69" s="139" customFormat="1" x14ac:dyDescent="0.25">
      <c r="A345" s="157"/>
      <c r="B345" s="137"/>
      <c r="C345" s="129"/>
      <c r="G345" s="140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28"/>
      <c r="AC345" s="128"/>
      <c r="AD345" s="128"/>
      <c r="AE345" s="128"/>
      <c r="AF345" s="128"/>
      <c r="AG345" s="129"/>
      <c r="AH345" s="129"/>
      <c r="AI345" s="129"/>
      <c r="AJ345" s="129"/>
      <c r="AK345" s="129"/>
      <c r="AL345" s="129"/>
      <c r="AM345" s="129"/>
      <c r="AN345" s="129"/>
      <c r="AO345" s="129"/>
      <c r="AP345" s="129"/>
      <c r="AQ345" s="130"/>
      <c r="AR345" s="130"/>
      <c r="AS345" s="129"/>
      <c r="AT345" s="129"/>
      <c r="AU345" s="129"/>
      <c r="AV345" s="129"/>
      <c r="AW345" s="129"/>
      <c r="AX345" s="129"/>
      <c r="AY345" s="129"/>
      <c r="AZ345" s="129"/>
      <c r="BA345" s="129"/>
      <c r="BB345" s="129"/>
      <c r="BC345" s="129"/>
      <c r="BD345" s="129"/>
      <c r="BE345" s="129"/>
      <c r="BF345" s="129"/>
      <c r="BG345" s="129"/>
      <c r="BH345" s="129"/>
      <c r="BI345" s="129"/>
      <c r="BJ345" s="129"/>
      <c r="BK345" s="129"/>
      <c r="BL345" s="129"/>
      <c r="BM345" s="129"/>
      <c r="BN345" s="129"/>
      <c r="BO345" s="129"/>
      <c r="BP345" s="129"/>
      <c r="BQ345" s="129"/>
    </row>
    <row r="346" spans="1:69" s="139" customFormat="1" x14ac:dyDescent="0.25">
      <c r="A346" s="157"/>
      <c r="B346" s="137"/>
      <c r="C346" s="129"/>
      <c r="G346" s="140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28"/>
      <c r="AC346" s="128"/>
      <c r="AD346" s="128"/>
      <c r="AE346" s="128"/>
      <c r="AF346" s="128"/>
      <c r="AG346" s="129"/>
      <c r="AH346" s="129"/>
      <c r="AI346" s="129"/>
      <c r="AJ346" s="129"/>
      <c r="AK346" s="129"/>
      <c r="AL346" s="129"/>
      <c r="AM346" s="129"/>
      <c r="AN346" s="129"/>
      <c r="AO346" s="129"/>
      <c r="AP346" s="129"/>
      <c r="AQ346" s="130"/>
      <c r="AR346" s="130"/>
      <c r="AS346" s="129"/>
      <c r="AT346" s="129"/>
      <c r="AU346" s="129"/>
      <c r="AV346" s="129"/>
      <c r="AW346" s="129"/>
      <c r="AX346" s="129"/>
      <c r="AY346" s="129"/>
      <c r="AZ346" s="129"/>
      <c r="BA346" s="129"/>
      <c r="BB346" s="129"/>
      <c r="BC346" s="129"/>
      <c r="BD346" s="129"/>
      <c r="BE346" s="129"/>
      <c r="BF346" s="129"/>
      <c r="BG346" s="129"/>
      <c r="BH346" s="129"/>
      <c r="BI346" s="129"/>
      <c r="BJ346" s="129"/>
      <c r="BK346" s="129"/>
      <c r="BL346" s="129"/>
      <c r="BM346" s="129"/>
      <c r="BN346" s="129"/>
      <c r="BO346" s="129"/>
      <c r="BP346" s="129"/>
      <c r="BQ346" s="129"/>
    </row>
    <row r="347" spans="1:69" s="139" customFormat="1" x14ac:dyDescent="0.25">
      <c r="A347" s="157"/>
      <c r="B347" s="137"/>
      <c r="C347" s="129"/>
      <c r="G347" s="140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28"/>
      <c r="AC347" s="128"/>
      <c r="AD347" s="128"/>
      <c r="AE347" s="128"/>
      <c r="AF347" s="128"/>
      <c r="AG347" s="129"/>
      <c r="AH347" s="129"/>
      <c r="AI347" s="129"/>
      <c r="AJ347" s="129"/>
      <c r="AK347" s="129"/>
      <c r="AL347" s="129"/>
      <c r="AM347" s="129"/>
      <c r="AN347" s="129"/>
      <c r="AO347" s="129"/>
      <c r="AP347" s="129"/>
      <c r="AQ347" s="130"/>
      <c r="AR347" s="130"/>
      <c r="AS347" s="129"/>
      <c r="AT347" s="129"/>
      <c r="AU347" s="129"/>
      <c r="AV347" s="129"/>
      <c r="AW347" s="129"/>
      <c r="AX347" s="129"/>
      <c r="AY347" s="129"/>
      <c r="AZ347" s="129"/>
      <c r="BA347" s="129"/>
      <c r="BB347" s="129"/>
      <c r="BC347" s="129"/>
      <c r="BD347" s="129"/>
      <c r="BE347" s="129"/>
      <c r="BF347" s="129"/>
      <c r="BG347" s="129"/>
      <c r="BH347" s="129"/>
      <c r="BI347" s="129"/>
      <c r="BJ347" s="129"/>
      <c r="BK347" s="129"/>
      <c r="BL347" s="129"/>
      <c r="BM347" s="129"/>
      <c r="BN347" s="129"/>
      <c r="BO347" s="129"/>
      <c r="BP347" s="129"/>
      <c r="BQ347" s="129"/>
    </row>
    <row r="348" spans="1:69" s="139" customFormat="1" x14ac:dyDescent="0.25">
      <c r="A348" s="157"/>
      <c r="B348" s="137"/>
      <c r="C348" s="129"/>
      <c r="G348" s="140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28"/>
      <c r="AC348" s="128"/>
      <c r="AD348" s="128"/>
      <c r="AE348" s="128"/>
      <c r="AF348" s="128"/>
      <c r="AG348" s="129"/>
      <c r="AH348" s="129"/>
      <c r="AI348" s="129"/>
      <c r="AJ348" s="129"/>
      <c r="AK348" s="129"/>
      <c r="AL348" s="129"/>
      <c r="AM348" s="129"/>
      <c r="AN348" s="129"/>
      <c r="AO348" s="129"/>
      <c r="AP348" s="129"/>
      <c r="AQ348" s="130"/>
      <c r="AR348" s="130"/>
      <c r="AS348" s="129"/>
      <c r="AT348" s="129"/>
      <c r="AU348" s="129"/>
      <c r="AV348" s="129"/>
      <c r="AW348" s="129"/>
      <c r="AX348" s="129"/>
      <c r="AY348" s="129"/>
      <c r="AZ348" s="129"/>
      <c r="BA348" s="129"/>
      <c r="BB348" s="129"/>
      <c r="BC348" s="129"/>
      <c r="BD348" s="129"/>
      <c r="BE348" s="129"/>
      <c r="BF348" s="129"/>
      <c r="BG348" s="129"/>
      <c r="BH348" s="129"/>
      <c r="BI348" s="129"/>
      <c r="BJ348" s="129"/>
      <c r="BK348" s="129"/>
      <c r="BL348" s="129"/>
      <c r="BM348" s="129"/>
      <c r="BN348" s="129"/>
      <c r="BO348" s="129"/>
      <c r="BP348" s="129"/>
      <c r="BQ348" s="129"/>
    </row>
    <row r="349" spans="1:69" s="139" customFormat="1" x14ac:dyDescent="0.25">
      <c r="A349" s="157"/>
      <c r="B349" s="137"/>
      <c r="C349" s="129"/>
      <c r="G349" s="140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28"/>
      <c r="AC349" s="128"/>
      <c r="AD349" s="128"/>
      <c r="AE349" s="128"/>
      <c r="AF349" s="128"/>
      <c r="AG349" s="129"/>
      <c r="AH349" s="129"/>
      <c r="AI349" s="129"/>
      <c r="AJ349" s="129"/>
      <c r="AK349" s="129"/>
      <c r="AL349" s="129"/>
      <c r="AM349" s="129"/>
      <c r="AN349" s="129"/>
      <c r="AO349" s="129"/>
      <c r="AP349" s="129"/>
      <c r="AQ349" s="130"/>
      <c r="AR349" s="130"/>
      <c r="AS349" s="129"/>
      <c r="AT349" s="129"/>
      <c r="AU349" s="129"/>
      <c r="AV349" s="129"/>
      <c r="AW349" s="129"/>
      <c r="AX349" s="129"/>
      <c r="AY349" s="129"/>
      <c r="AZ349" s="129"/>
      <c r="BA349" s="129"/>
      <c r="BB349" s="129"/>
      <c r="BC349" s="129"/>
      <c r="BD349" s="129"/>
      <c r="BE349" s="129"/>
      <c r="BF349" s="129"/>
      <c r="BG349" s="129"/>
      <c r="BH349" s="129"/>
      <c r="BI349" s="129"/>
      <c r="BJ349" s="129"/>
      <c r="BK349" s="129"/>
      <c r="BL349" s="129"/>
      <c r="BM349" s="129"/>
      <c r="BN349" s="129"/>
      <c r="BO349" s="129"/>
      <c r="BP349" s="129"/>
      <c r="BQ349" s="129"/>
    </row>
    <row r="350" spans="1:69" s="139" customFormat="1" x14ac:dyDescent="0.25">
      <c r="A350" s="157"/>
      <c r="B350" s="137"/>
      <c r="C350" s="129"/>
      <c r="G350" s="140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28"/>
      <c r="AC350" s="128"/>
      <c r="AD350" s="128"/>
      <c r="AE350" s="128"/>
      <c r="AF350" s="128"/>
      <c r="AG350" s="129"/>
      <c r="AH350" s="129"/>
      <c r="AI350" s="129"/>
      <c r="AJ350" s="129"/>
      <c r="AK350" s="129"/>
      <c r="AL350" s="129"/>
      <c r="AM350" s="129"/>
      <c r="AN350" s="129"/>
      <c r="AO350" s="129"/>
      <c r="AP350" s="129"/>
      <c r="AQ350" s="130"/>
      <c r="AR350" s="130"/>
      <c r="AS350" s="129"/>
      <c r="AT350" s="129"/>
      <c r="AU350" s="129"/>
      <c r="AV350" s="129"/>
      <c r="AW350" s="129"/>
      <c r="AX350" s="129"/>
      <c r="AY350" s="129"/>
      <c r="AZ350" s="129"/>
      <c r="BA350" s="129"/>
      <c r="BB350" s="129"/>
      <c r="BC350" s="129"/>
      <c r="BD350" s="129"/>
      <c r="BE350" s="129"/>
      <c r="BF350" s="129"/>
      <c r="BG350" s="129"/>
      <c r="BH350" s="129"/>
      <c r="BI350" s="129"/>
      <c r="BJ350" s="129"/>
      <c r="BK350" s="129"/>
      <c r="BL350" s="129"/>
      <c r="BM350" s="129"/>
      <c r="BN350" s="129"/>
      <c r="BO350" s="129"/>
      <c r="BP350" s="129"/>
      <c r="BQ350" s="129"/>
    </row>
    <row r="351" spans="1:69" s="139" customFormat="1" x14ac:dyDescent="0.25">
      <c r="A351" s="157"/>
      <c r="B351" s="137"/>
      <c r="C351" s="129"/>
      <c r="G351" s="140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28"/>
      <c r="AC351" s="128"/>
      <c r="AD351" s="128"/>
      <c r="AE351" s="128"/>
      <c r="AF351" s="128"/>
      <c r="AG351" s="129"/>
      <c r="AH351" s="129"/>
      <c r="AI351" s="129"/>
      <c r="AJ351" s="129"/>
      <c r="AK351" s="129"/>
      <c r="AL351" s="129"/>
      <c r="AM351" s="129"/>
      <c r="AN351" s="129"/>
      <c r="AO351" s="129"/>
      <c r="AP351" s="129"/>
      <c r="AQ351" s="130"/>
      <c r="AR351" s="130"/>
      <c r="AS351" s="129"/>
      <c r="AT351" s="129"/>
      <c r="AU351" s="129"/>
      <c r="AV351" s="129"/>
      <c r="AW351" s="129"/>
      <c r="AX351" s="129"/>
      <c r="AY351" s="129"/>
      <c r="AZ351" s="129"/>
      <c r="BA351" s="129"/>
      <c r="BB351" s="129"/>
      <c r="BC351" s="129"/>
      <c r="BD351" s="129"/>
      <c r="BE351" s="129"/>
      <c r="BF351" s="129"/>
      <c r="BG351" s="129"/>
      <c r="BH351" s="129"/>
      <c r="BI351" s="129"/>
      <c r="BJ351" s="129"/>
      <c r="BK351" s="129"/>
      <c r="BL351" s="129"/>
      <c r="BM351" s="129"/>
      <c r="BN351" s="129"/>
      <c r="BO351" s="129"/>
      <c r="BP351" s="129"/>
      <c r="BQ351" s="129"/>
    </row>
    <row r="352" spans="1:69" s="139" customFormat="1" x14ac:dyDescent="0.25">
      <c r="A352" s="157"/>
      <c r="B352" s="137"/>
      <c r="C352" s="129"/>
      <c r="G352" s="140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28"/>
      <c r="AC352" s="128"/>
      <c r="AD352" s="128"/>
      <c r="AE352" s="128"/>
      <c r="AF352" s="128"/>
      <c r="AG352" s="129"/>
      <c r="AH352" s="129"/>
      <c r="AI352" s="129"/>
      <c r="AJ352" s="129"/>
      <c r="AK352" s="129"/>
      <c r="AL352" s="129"/>
      <c r="AM352" s="129"/>
      <c r="AN352" s="129"/>
      <c r="AO352" s="129"/>
      <c r="AP352" s="129"/>
      <c r="AQ352" s="130"/>
      <c r="AR352" s="130"/>
      <c r="AS352" s="129"/>
      <c r="AT352" s="129"/>
      <c r="AU352" s="129"/>
      <c r="AV352" s="129"/>
      <c r="AW352" s="129"/>
      <c r="AX352" s="129"/>
      <c r="AY352" s="129"/>
      <c r="AZ352" s="129"/>
      <c r="BA352" s="129"/>
      <c r="BB352" s="129"/>
      <c r="BC352" s="129"/>
      <c r="BD352" s="129"/>
      <c r="BE352" s="129"/>
      <c r="BF352" s="129"/>
      <c r="BG352" s="129"/>
      <c r="BH352" s="129"/>
      <c r="BI352" s="129"/>
      <c r="BJ352" s="129"/>
      <c r="BK352" s="129"/>
      <c r="BL352" s="129"/>
      <c r="BM352" s="129"/>
      <c r="BN352" s="129"/>
      <c r="BO352" s="129"/>
      <c r="BP352" s="129"/>
      <c r="BQ352" s="129"/>
    </row>
    <row r="353" spans="1:69" s="139" customFormat="1" x14ac:dyDescent="0.25">
      <c r="A353" s="157"/>
      <c r="B353" s="137"/>
      <c r="C353" s="129"/>
      <c r="G353" s="140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28"/>
      <c r="AC353" s="128"/>
      <c r="AD353" s="128"/>
      <c r="AE353" s="128"/>
      <c r="AF353" s="128"/>
      <c r="AG353" s="129"/>
      <c r="AH353" s="129"/>
      <c r="AI353" s="129"/>
      <c r="AJ353" s="129"/>
      <c r="AK353" s="129"/>
      <c r="AL353" s="129"/>
      <c r="AM353" s="129"/>
      <c r="AN353" s="129"/>
      <c r="AO353" s="129"/>
      <c r="AP353" s="129"/>
      <c r="AQ353" s="130"/>
      <c r="AR353" s="130"/>
      <c r="AS353" s="129"/>
      <c r="AT353" s="129"/>
      <c r="AU353" s="129"/>
      <c r="AV353" s="129"/>
      <c r="AW353" s="129"/>
      <c r="AX353" s="129"/>
      <c r="AY353" s="129"/>
      <c r="AZ353" s="129"/>
      <c r="BA353" s="129"/>
      <c r="BB353" s="129"/>
      <c r="BC353" s="129"/>
      <c r="BD353" s="129"/>
      <c r="BE353" s="129"/>
      <c r="BF353" s="129"/>
      <c r="BG353" s="129"/>
      <c r="BH353" s="129"/>
      <c r="BI353" s="129"/>
      <c r="BJ353" s="129"/>
      <c r="BK353" s="129"/>
      <c r="BL353" s="129"/>
      <c r="BM353" s="129"/>
      <c r="BN353" s="129"/>
      <c r="BO353" s="129"/>
      <c r="BP353" s="129"/>
      <c r="BQ353" s="129"/>
    </row>
    <row r="354" spans="1:69" s="139" customFormat="1" x14ac:dyDescent="0.25">
      <c r="A354" s="157"/>
      <c r="B354" s="137"/>
      <c r="C354" s="129"/>
      <c r="G354" s="140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28"/>
      <c r="AC354" s="128"/>
      <c r="AD354" s="128"/>
      <c r="AE354" s="128"/>
      <c r="AF354" s="128"/>
      <c r="AG354" s="129"/>
      <c r="AH354" s="129"/>
      <c r="AI354" s="129"/>
      <c r="AJ354" s="129"/>
      <c r="AK354" s="129"/>
      <c r="AL354" s="129"/>
      <c r="AM354" s="129"/>
      <c r="AN354" s="129"/>
      <c r="AO354" s="129"/>
      <c r="AP354" s="129"/>
      <c r="AQ354" s="130"/>
      <c r="AR354" s="130"/>
      <c r="AS354" s="129"/>
      <c r="AT354" s="129"/>
      <c r="AU354" s="129"/>
      <c r="AV354" s="129"/>
      <c r="AW354" s="129"/>
      <c r="AX354" s="129"/>
      <c r="AY354" s="129"/>
      <c r="AZ354" s="129"/>
      <c r="BA354" s="129"/>
      <c r="BB354" s="129"/>
      <c r="BC354" s="129"/>
      <c r="BD354" s="129"/>
      <c r="BE354" s="129"/>
      <c r="BF354" s="129"/>
      <c r="BG354" s="129"/>
      <c r="BH354" s="129"/>
      <c r="BI354" s="129"/>
      <c r="BJ354" s="129"/>
      <c r="BK354" s="129"/>
      <c r="BL354" s="129"/>
      <c r="BM354" s="129"/>
      <c r="BN354" s="129"/>
      <c r="BO354" s="129"/>
      <c r="BP354" s="129"/>
      <c r="BQ354" s="129"/>
    </row>
    <row r="355" spans="1:69" s="139" customFormat="1" x14ac:dyDescent="0.25">
      <c r="A355" s="157"/>
      <c r="B355" s="137"/>
      <c r="C355" s="129"/>
      <c r="G355" s="140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28"/>
      <c r="AC355" s="128"/>
      <c r="AD355" s="128"/>
      <c r="AE355" s="128"/>
      <c r="AF355" s="128"/>
      <c r="AG355" s="129"/>
      <c r="AH355" s="129"/>
      <c r="AI355" s="129"/>
      <c r="AJ355" s="129"/>
      <c r="AK355" s="129"/>
      <c r="AL355" s="129"/>
      <c r="AM355" s="129"/>
      <c r="AN355" s="129"/>
      <c r="AO355" s="129"/>
      <c r="AP355" s="129"/>
      <c r="AQ355" s="130"/>
      <c r="AR355" s="130"/>
      <c r="AS355" s="129"/>
      <c r="AT355" s="129"/>
      <c r="AU355" s="129"/>
      <c r="AV355" s="129"/>
      <c r="AW355" s="129"/>
      <c r="AX355" s="129"/>
      <c r="AY355" s="129"/>
      <c r="AZ355" s="129"/>
      <c r="BA355" s="129"/>
      <c r="BB355" s="129"/>
      <c r="BC355" s="129"/>
      <c r="BD355" s="129"/>
      <c r="BE355" s="129"/>
      <c r="BF355" s="129"/>
      <c r="BG355" s="129"/>
      <c r="BH355" s="129"/>
      <c r="BI355" s="129"/>
      <c r="BJ355" s="129"/>
      <c r="BK355" s="129"/>
      <c r="BL355" s="129"/>
      <c r="BM355" s="129"/>
      <c r="BN355" s="129"/>
      <c r="BO355" s="129"/>
      <c r="BP355" s="129"/>
      <c r="BQ355" s="129"/>
    </row>
    <row r="356" spans="1:69" s="139" customFormat="1" x14ac:dyDescent="0.25">
      <c r="A356" s="157"/>
      <c r="B356" s="137"/>
      <c r="C356" s="129"/>
      <c r="G356" s="140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28"/>
      <c r="AC356" s="128"/>
      <c r="AD356" s="128"/>
      <c r="AE356" s="128"/>
      <c r="AF356" s="128"/>
      <c r="AG356" s="129"/>
      <c r="AH356" s="129"/>
      <c r="AI356" s="129"/>
      <c r="AJ356" s="129"/>
      <c r="AK356" s="129"/>
      <c r="AL356" s="129"/>
      <c r="AM356" s="129"/>
      <c r="AN356" s="129"/>
      <c r="AO356" s="129"/>
      <c r="AP356" s="129"/>
      <c r="AQ356" s="130"/>
      <c r="AR356" s="130"/>
      <c r="AS356" s="129"/>
      <c r="AT356" s="129"/>
      <c r="AU356" s="129"/>
      <c r="AV356" s="129"/>
      <c r="AW356" s="129"/>
      <c r="AX356" s="129"/>
      <c r="AY356" s="129"/>
      <c r="AZ356" s="129"/>
      <c r="BA356" s="129"/>
      <c r="BB356" s="129"/>
      <c r="BC356" s="129"/>
      <c r="BD356" s="129"/>
      <c r="BE356" s="129"/>
      <c r="BF356" s="129"/>
      <c r="BG356" s="129"/>
      <c r="BH356" s="129"/>
      <c r="BI356" s="129"/>
      <c r="BJ356" s="129"/>
      <c r="BK356" s="129"/>
      <c r="BL356" s="129"/>
      <c r="BM356" s="129"/>
      <c r="BN356" s="129"/>
      <c r="BO356" s="129"/>
      <c r="BP356" s="129"/>
      <c r="BQ356" s="129"/>
    </row>
    <row r="357" spans="1:69" s="139" customFormat="1" x14ac:dyDescent="0.25">
      <c r="A357" s="157"/>
      <c r="B357" s="137"/>
      <c r="C357" s="129"/>
      <c r="G357" s="140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28"/>
      <c r="AC357" s="128"/>
      <c r="AD357" s="128"/>
      <c r="AE357" s="128"/>
      <c r="AF357" s="128"/>
      <c r="AG357" s="129"/>
      <c r="AH357" s="129"/>
      <c r="AI357" s="129"/>
      <c r="AJ357" s="129"/>
      <c r="AK357" s="129"/>
      <c r="AL357" s="129"/>
      <c r="AM357" s="129"/>
      <c r="AN357" s="129"/>
      <c r="AO357" s="129"/>
      <c r="AP357" s="129"/>
      <c r="AQ357" s="130"/>
      <c r="AR357" s="130"/>
      <c r="AS357" s="129"/>
      <c r="AT357" s="129"/>
      <c r="AU357" s="129"/>
      <c r="AV357" s="129"/>
      <c r="AW357" s="129"/>
      <c r="AX357" s="129"/>
      <c r="AY357" s="129"/>
      <c r="AZ357" s="129"/>
      <c r="BA357" s="129"/>
      <c r="BB357" s="129"/>
      <c r="BC357" s="129"/>
      <c r="BD357" s="129"/>
      <c r="BE357" s="129"/>
      <c r="BF357" s="129"/>
      <c r="BG357" s="129"/>
      <c r="BH357" s="129"/>
      <c r="BI357" s="129"/>
      <c r="BJ357" s="129"/>
      <c r="BK357" s="129"/>
      <c r="BL357" s="129"/>
      <c r="BM357" s="129"/>
      <c r="BN357" s="129"/>
      <c r="BO357" s="129"/>
      <c r="BP357" s="129"/>
      <c r="BQ357" s="129"/>
    </row>
    <row r="358" spans="1:69" s="139" customFormat="1" x14ac:dyDescent="0.25">
      <c r="A358" s="157"/>
      <c r="B358" s="137"/>
      <c r="C358" s="129"/>
      <c r="G358" s="140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28"/>
      <c r="AC358" s="128"/>
      <c r="AD358" s="128"/>
      <c r="AE358" s="128"/>
      <c r="AF358" s="128"/>
      <c r="AG358" s="129"/>
      <c r="AH358" s="129"/>
      <c r="AI358" s="129"/>
      <c r="AJ358" s="129"/>
      <c r="AK358" s="129"/>
      <c r="AL358" s="129"/>
      <c r="AM358" s="129"/>
      <c r="AN358" s="129"/>
      <c r="AO358" s="129"/>
      <c r="AP358" s="129"/>
      <c r="AQ358" s="130"/>
      <c r="AR358" s="130"/>
      <c r="AS358" s="129"/>
      <c r="AT358" s="129"/>
      <c r="AU358" s="129"/>
      <c r="AV358" s="129"/>
      <c r="AW358" s="129"/>
      <c r="AX358" s="129"/>
      <c r="AY358" s="129"/>
      <c r="AZ358" s="129"/>
      <c r="BA358" s="129"/>
      <c r="BB358" s="129"/>
      <c r="BC358" s="129"/>
      <c r="BD358" s="129"/>
      <c r="BE358" s="129"/>
      <c r="BF358" s="129"/>
      <c r="BG358" s="129"/>
      <c r="BH358" s="129"/>
      <c r="BI358" s="129"/>
      <c r="BJ358" s="129"/>
      <c r="BK358" s="129"/>
      <c r="BL358" s="129"/>
      <c r="BM358" s="129"/>
      <c r="BN358" s="129"/>
      <c r="BO358" s="129"/>
      <c r="BP358" s="129"/>
      <c r="BQ358" s="129"/>
    </row>
    <row r="359" spans="1:69" s="139" customFormat="1" x14ac:dyDescent="0.25">
      <c r="A359" s="157"/>
      <c r="B359" s="137"/>
      <c r="C359" s="129"/>
      <c r="G359" s="140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28"/>
      <c r="AC359" s="128"/>
      <c r="AD359" s="128"/>
      <c r="AE359" s="128"/>
      <c r="AF359" s="128"/>
      <c r="AG359" s="129"/>
      <c r="AH359" s="129"/>
      <c r="AI359" s="129"/>
      <c r="AJ359" s="129"/>
      <c r="AK359" s="129"/>
      <c r="AL359" s="129"/>
      <c r="AM359" s="129"/>
      <c r="AN359" s="129"/>
      <c r="AO359" s="129"/>
      <c r="AP359" s="129"/>
      <c r="AQ359" s="130"/>
      <c r="AR359" s="130"/>
      <c r="AS359" s="129"/>
      <c r="AT359" s="129"/>
      <c r="AU359" s="129"/>
      <c r="AV359" s="129"/>
      <c r="AW359" s="129"/>
      <c r="AX359" s="129"/>
      <c r="AY359" s="129"/>
      <c r="AZ359" s="129"/>
      <c r="BA359" s="129"/>
      <c r="BB359" s="129"/>
      <c r="BC359" s="129"/>
      <c r="BD359" s="129"/>
      <c r="BE359" s="129"/>
      <c r="BF359" s="129"/>
      <c r="BG359" s="129"/>
      <c r="BH359" s="129"/>
      <c r="BI359" s="129"/>
      <c r="BJ359" s="129"/>
      <c r="BK359" s="129"/>
      <c r="BL359" s="129"/>
      <c r="BM359" s="129"/>
      <c r="BN359" s="129"/>
      <c r="BO359" s="129"/>
      <c r="BP359" s="129"/>
      <c r="BQ359" s="129"/>
    </row>
    <row r="360" spans="1:69" s="139" customFormat="1" x14ac:dyDescent="0.25">
      <c r="A360" s="157"/>
      <c r="B360" s="137"/>
      <c r="C360" s="129"/>
      <c r="G360" s="140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28"/>
      <c r="AC360" s="128"/>
      <c r="AD360" s="128"/>
      <c r="AE360" s="128"/>
      <c r="AF360" s="128"/>
      <c r="AG360" s="129"/>
      <c r="AH360" s="129"/>
      <c r="AI360" s="129"/>
      <c r="AJ360" s="129"/>
      <c r="AK360" s="129"/>
      <c r="AL360" s="129"/>
      <c r="AM360" s="129"/>
      <c r="AN360" s="129"/>
      <c r="AO360" s="129"/>
      <c r="AP360" s="129"/>
      <c r="AQ360" s="130"/>
      <c r="AR360" s="130"/>
      <c r="AS360" s="129"/>
      <c r="AT360" s="129"/>
      <c r="AU360" s="129"/>
      <c r="AV360" s="129"/>
      <c r="AW360" s="129"/>
      <c r="AX360" s="129"/>
      <c r="AY360" s="129"/>
      <c r="AZ360" s="129"/>
      <c r="BA360" s="129"/>
      <c r="BB360" s="129"/>
      <c r="BC360" s="129"/>
      <c r="BD360" s="129"/>
      <c r="BE360" s="129"/>
      <c r="BF360" s="129"/>
      <c r="BG360" s="129"/>
      <c r="BH360" s="129"/>
      <c r="BI360" s="129"/>
      <c r="BJ360" s="129"/>
      <c r="BK360" s="129"/>
      <c r="BL360" s="129"/>
      <c r="BM360" s="129"/>
      <c r="BN360" s="129"/>
      <c r="BO360" s="129"/>
      <c r="BP360" s="129"/>
      <c r="BQ360" s="129"/>
    </row>
    <row r="361" spans="1:69" s="139" customFormat="1" x14ac:dyDescent="0.25">
      <c r="A361" s="157"/>
      <c r="B361" s="137"/>
      <c r="C361" s="129"/>
      <c r="G361" s="140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28"/>
      <c r="AC361" s="128"/>
      <c r="AD361" s="128"/>
      <c r="AE361" s="128"/>
      <c r="AF361" s="128"/>
      <c r="AG361" s="129"/>
      <c r="AH361" s="129"/>
      <c r="AI361" s="129"/>
      <c r="AJ361" s="129"/>
      <c r="AK361" s="129"/>
      <c r="AL361" s="129"/>
      <c r="AM361" s="129"/>
      <c r="AN361" s="129"/>
      <c r="AO361" s="129"/>
      <c r="AP361" s="129"/>
      <c r="AQ361" s="130"/>
      <c r="AR361" s="130"/>
      <c r="AS361" s="129"/>
      <c r="AT361" s="129"/>
      <c r="AU361" s="129"/>
      <c r="AV361" s="129"/>
      <c r="AW361" s="129"/>
      <c r="AX361" s="129"/>
      <c r="AY361" s="129"/>
      <c r="AZ361" s="129"/>
      <c r="BA361" s="129"/>
      <c r="BB361" s="129"/>
      <c r="BC361" s="129"/>
      <c r="BD361" s="129"/>
      <c r="BE361" s="129"/>
      <c r="BF361" s="129"/>
      <c r="BG361" s="129"/>
      <c r="BH361" s="129"/>
      <c r="BI361" s="129"/>
      <c r="BJ361" s="129"/>
      <c r="BK361" s="129"/>
      <c r="BL361" s="129"/>
      <c r="BM361" s="129"/>
      <c r="BN361" s="129"/>
      <c r="BO361" s="129"/>
      <c r="BP361" s="129"/>
      <c r="BQ361" s="129"/>
    </row>
    <row r="362" spans="1:69" s="139" customFormat="1" x14ac:dyDescent="0.25">
      <c r="A362" s="157"/>
      <c r="B362" s="137"/>
      <c r="C362" s="129"/>
      <c r="G362" s="140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28"/>
      <c r="AC362" s="128"/>
      <c r="AD362" s="128"/>
      <c r="AE362" s="128"/>
      <c r="AF362" s="128"/>
      <c r="AG362" s="129"/>
      <c r="AH362" s="129"/>
      <c r="AI362" s="129"/>
      <c r="AJ362" s="129"/>
      <c r="AK362" s="129"/>
      <c r="AL362" s="129"/>
      <c r="AM362" s="129"/>
      <c r="AN362" s="129"/>
      <c r="AO362" s="129"/>
      <c r="AP362" s="129"/>
      <c r="AQ362" s="130"/>
      <c r="AR362" s="130"/>
      <c r="AS362" s="129"/>
      <c r="AT362" s="129"/>
      <c r="AU362" s="129"/>
      <c r="AV362" s="129"/>
      <c r="AW362" s="129"/>
      <c r="AX362" s="129"/>
      <c r="AY362" s="129"/>
      <c r="AZ362" s="129"/>
      <c r="BA362" s="129"/>
      <c r="BB362" s="129"/>
      <c r="BC362" s="129"/>
      <c r="BD362" s="129"/>
      <c r="BE362" s="129"/>
      <c r="BF362" s="129"/>
      <c r="BG362" s="129"/>
      <c r="BH362" s="129"/>
      <c r="BI362" s="129"/>
      <c r="BJ362" s="129"/>
      <c r="BK362" s="129"/>
      <c r="BL362" s="129"/>
      <c r="BM362" s="129"/>
      <c r="BN362" s="129"/>
      <c r="BO362" s="129"/>
      <c r="BP362" s="129"/>
      <c r="BQ362" s="129"/>
    </row>
    <row r="363" spans="1:69" s="139" customFormat="1" x14ac:dyDescent="0.25">
      <c r="A363" s="157"/>
      <c r="B363" s="137"/>
      <c r="C363" s="129"/>
      <c r="G363" s="140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28"/>
      <c r="AC363" s="128"/>
      <c r="AD363" s="128"/>
      <c r="AE363" s="128"/>
      <c r="AF363" s="128"/>
      <c r="AG363" s="129"/>
      <c r="AH363" s="129"/>
      <c r="AI363" s="129"/>
      <c r="AJ363" s="129"/>
      <c r="AK363" s="129"/>
      <c r="AL363" s="129"/>
      <c r="AM363" s="129"/>
      <c r="AN363" s="129"/>
      <c r="AO363" s="129"/>
      <c r="AP363" s="129"/>
      <c r="AQ363" s="130"/>
      <c r="AR363" s="130"/>
      <c r="AS363" s="129"/>
      <c r="AT363" s="129"/>
      <c r="AU363" s="129"/>
      <c r="AV363" s="129"/>
      <c r="AW363" s="129"/>
      <c r="AX363" s="129"/>
      <c r="AY363" s="129"/>
      <c r="AZ363" s="129"/>
      <c r="BA363" s="129"/>
      <c r="BB363" s="129"/>
      <c r="BC363" s="129"/>
      <c r="BD363" s="129"/>
      <c r="BE363" s="129"/>
      <c r="BF363" s="129"/>
      <c r="BG363" s="129"/>
      <c r="BH363" s="129"/>
      <c r="BI363" s="129"/>
      <c r="BJ363" s="129"/>
      <c r="BK363" s="129"/>
      <c r="BL363" s="129"/>
      <c r="BM363" s="129"/>
      <c r="BN363" s="129"/>
      <c r="BO363" s="129"/>
      <c r="BP363" s="129"/>
      <c r="BQ363" s="129"/>
    </row>
    <row r="364" spans="1:69" s="139" customFormat="1" x14ac:dyDescent="0.25">
      <c r="A364" s="157"/>
      <c r="B364" s="137"/>
      <c r="C364" s="129"/>
      <c r="G364" s="140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28"/>
      <c r="AC364" s="128"/>
      <c r="AD364" s="128"/>
      <c r="AE364" s="128"/>
      <c r="AF364" s="128"/>
      <c r="AG364" s="129"/>
      <c r="AH364" s="129"/>
      <c r="AI364" s="129"/>
      <c r="AJ364" s="129"/>
      <c r="AK364" s="129"/>
      <c r="AL364" s="129"/>
      <c r="AM364" s="129"/>
      <c r="AN364" s="129"/>
      <c r="AO364" s="129"/>
      <c r="AP364" s="129"/>
      <c r="AQ364" s="130"/>
      <c r="AR364" s="130"/>
      <c r="AS364" s="129"/>
      <c r="AT364" s="129"/>
      <c r="AU364" s="129"/>
      <c r="AV364" s="129"/>
      <c r="AW364" s="129"/>
      <c r="AX364" s="129"/>
      <c r="AY364" s="129"/>
      <c r="AZ364" s="129"/>
      <c r="BA364" s="129"/>
      <c r="BB364" s="129"/>
      <c r="BC364" s="129"/>
      <c r="BD364" s="129"/>
      <c r="BE364" s="129"/>
      <c r="BF364" s="129"/>
      <c r="BG364" s="129"/>
      <c r="BH364" s="129"/>
      <c r="BI364" s="129"/>
      <c r="BJ364" s="129"/>
      <c r="BK364" s="129"/>
      <c r="BL364" s="129"/>
      <c r="BM364" s="129"/>
      <c r="BN364" s="129"/>
      <c r="BO364" s="129"/>
      <c r="BP364" s="129"/>
      <c r="BQ364" s="129"/>
    </row>
    <row r="365" spans="1:69" s="139" customFormat="1" x14ac:dyDescent="0.25">
      <c r="A365" s="157"/>
      <c r="B365" s="137"/>
      <c r="C365" s="129"/>
      <c r="G365" s="140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28"/>
      <c r="AC365" s="128"/>
      <c r="AD365" s="128"/>
      <c r="AE365" s="128"/>
      <c r="AF365" s="128"/>
      <c r="AG365" s="129"/>
      <c r="AH365" s="129"/>
      <c r="AI365" s="129"/>
      <c r="AJ365" s="129"/>
      <c r="AK365" s="129"/>
      <c r="AL365" s="129"/>
      <c r="AM365" s="129"/>
      <c r="AN365" s="129"/>
      <c r="AO365" s="129"/>
      <c r="AP365" s="129"/>
      <c r="AQ365" s="130"/>
      <c r="AR365" s="130"/>
      <c r="AS365" s="129"/>
      <c r="AT365" s="129"/>
      <c r="AU365" s="129"/>
      <c r="AV365" s="129"/>
      <c r="AW365" s="129"/>
      <c r="AX365" s="129"/>
      <c r="AY365" s="129"/>
      <c r="AZ365" s="129"/>
      <c r="BA365" s="129"/>
      <c r="BB365" s="129"/>
      <c r="BC365" s="129"/>
      <c r="BD365" s="129"/>
      <c r="BE365" s="129"/>
      <c r="BF365" s="129"/>
      <c r="BG365" s="129"/>
      <c r="BH365" s="129"/>
      <c r="BI365" s="129"/>
      <c r="BJ365" s="129"/>
      <c r="BK365" s="129"/>
      <c r="BL365" s="129"/>
      <c r="BM365" s="129"/>
      <c r="BN365" s="129"/>
      <c r="BO365" s="129"/>
      <c r="BP365" s="129"/>
      <c r="BQ365" s="129"/>
    </row>
    <row r="366" spans="1:69" s="139" customFormat="1" x14ac:dyDescent="0.25">
      <c r="A366" s="157"/>
      <c r="B366" s="137"/>
      <c r="C366" s="129"/>
      <c r="G366" s="140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28"/>
      <c r="AC366" s="128"/>
      <c r="AD366" s="128"/>
      <c r="AE366" s="128"/>
      <c r="AF366" s="128"/>
      <c r="AG366" s="129"/>
      <c r="AH366" s="129"/>
      <c r="AI366" s="129"/>
      <c r="AJ366" s="129"/>
      <c r="AK366" s="129"/>
      <c r="AL366" s="129"/>
      <c r="AM366" s="129"/>
      <c r="AN366" s="129"/>
      <c r="AO366" s="129"/>
      <c r="AP366" s="129"/>
      <c r="AQ366" s="130"/>
      <c r="AR366" s="130"/>
      <c r="AS366" s="129"/>
      <c r="AT366" s="129"/>
      <c r="AU366" s="129"/>
      <c r="AV366" s="129"/>
      <c r="AW366" s="129"/>
      <c r="AX366" s="129"/>
      <c r="AY366" s="129"/>
      <c r="AZ366" s="129"/>
      <c r="BA366" s="129"/>
      <c r="BB366" s="129"/>
      <c r="BC366" s="129"/>
      <c r="BD366" s="129"/>
      <c r="BE366" s="129"/>
      <c r="BF366" s="129"/>
      <c r="BG366" s="129"/>
      <c r="BH366" s="129"/>
      <c r="BI366" s="129"/>
      <c r="BJ366" s="129"/>
      <c r="BK366" s="129"/>
      <c r="BL366" s="129"/>
      <c r="BM366" s="129"/>
      <c r="BN366" s="129"/>
      <c r="BO366" s="129"/>
      <c r="BP366" s="129"/>
      <c r="BQ366" s="129"/>
    </row>
    <row r="367" spans="1:69" s="139" customFormat="1" x14ac:dyDescent="0.25">
      <c r="A367" s="157"/>
      <c r="B367" s="137"/>
      <c r="C367" s="129"/>
      <c r="G367" s="140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28"/>
      <c r="AC367" s="128"/>
      <c r="AD367" s="128"/>
      <c r="AE367" s="128"/>
      <c r="AF367" s="128"/>
      <c r="AG367" s="129"/>
      <c r="AH367" s="129"/>
      <c r="AI367" s="129"/>
      <c r="AJ367" s="129"/>
      <c r="AK367" s="129"/>
      <c r="AL367" s="129"/>
      <c r="AM367" s="129"/>
      <c r="AN367" s="129"/>
      <c r="AO367" s="129"/>
      <c r="AP367" s="129"/>
      <c r="AQ367" s="130"/>
      <c r="AR367" s="130"/>
      <c r="AS367" s="129"/>
      <c r="AT367" s="129"/>
      <c r="AU367" s="129"/>
      <c r="AV367" s="129"/>
      <c r="AW367" s="129"/>
      <c r="AX367" s="129"/>
      <c r="AY367" s="129"/>
      <c r="AZ367" s="129"/>
      <c r="BA367" s="129"/>
      <c r="BB367" s="129"/>
      <c r="BC367" s="129"/>
      <c r="BD367" s="129"/>
      <c r="BE367" s="129"/>
      <c r="BF367" s="129"/>
      <c r="BG367" s="129"/>
      <c r="BH367" s="129"/>
      <c r="BI367" s="129"/>
      <c r="BJ367" s="129"/>
      <c r="BK367" s="129"/>
      <c r="BL367" s="129"/>
      <c r="BM367" s="129"/>
      <c r="BN367" s="129"/>
      <c r="BO367" s="129"/>
      <c r="BP367" s="129"/>
      <c r="BQ367" s="129"/>
    </row>
    <row r="368" spans="1:69" s="139" customFormat="1" x14ac:dyDescent="0.25">
      <c r="A368" s="157"/>
      <c r="B368" s="137"/>
      <c r="C368" s="129"/>
      <c r="G368" s="140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28"/>
      <c r="AC368" s="128"/>
      <c r="AD368" s="128"/>
      <c r="AE368" s="128"/>
      <c r="AF368" s="128"/>
      <c r="AG368" s="129"/>
      <c r="AH368" s="129"/>
      <c r="AI368" s="129"/>
      <c r="AJ368" s="129"/>
      <c r="AK368" s="129"/>
      <c r="AL368" s="129"/>
      <c r="AM368" s="129"/>
      <c r="AN368" s="129"/>
      <c r="AO368" s="129"/>
      <c r="AP368" s="129"/>
      <c r="AQ368" s="130"/>
      <c r="AR368" s="130"/>
      <c r="AS368" s="129"/>
      <c r="AT368" s="129"/>
      <c r="AU368" s="129"/>
      <c r="AV368" s="129"/>
      <c r="AW368" s="129"/>
      <c r="AX368" s="129"/>
      <c r="AY368" s="129"/>
      <c r="AZ368" s="129"/>
      <c r="BA368" s="129"/>
      <c r="BB368" s="129"/>
      <c r="BC368" s="129"/>
      <c r="BD368" s="129"/>
      <c r="BE368" s="129"/>
      <c r="BF368" s="129"/>
      <c r="BG368" s="129"/>
      <c r="BH368" s="129"/>
      <c r="BI368" s="129"/>
      <c r="BJ368" s="129"/>
      <c r="BK368" s="129"/>
      <c r="BL368" s="129"/>
      <c r="BM368" s="129"/>
      <c r="BN368" s="129"/>
      <c r="BO368" s="129"/>
      <c r="BP368" s="129"/>
      <c r="BQ368" s="129"/>
    </row>
    <row r="369" spans="1:69" s="139" customFormat="1" x14ac:dyDescent="0.25">
      <c r="A369" s="157"/>
      <c r="B369" s="137"/>
      <c r="C369" s="129"/>
      <c r="G369" s="140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28"/>
      <c r="AC369" s="128"/>
      <c r="AD369" s="128"/>
      <c r="AE369" s="128"/>
      <c r="AF369" s="128"/>
      <c r="AG369" s="129"/>
      <c r="AH369" s="129"/>
      <c r="AI369" s="129"/>
      <c r="AJ369" s="129"/>
      <c r="AK369" s="129"/>
      <c r="AL369" s="129"/>
      <c r="AM369" s="129"/>
      <c r="AN369" s="129"/>
      <c r="AO369" s="129"/>
      <c r="AP369" s="129"/>
      <c r="AQ369" s="130"/>
      <c r="AR369" s="130"/>
      <c r="AS369" s="129"/>
      <c r="AT369" s="129"/>
      <c r="AU369" s="129"/>
      <c r="AV369" s="129"/>
      <c r="AW369" s="129"/>
      <c r="AX369" s="129"/>
      <c r="AY369" s="129"/>
      <c r="AZ369" s="129"/>
      <c r="BA369" s="129"/>
      <c r="BB369" s="129"/>
      <c r="BC369" s="129"/>
      <c r="BD369" s="129"/>
      <c r="BE369" s="129"/>
      <c r="BF369" s="129"/>
      <c r="BG369" s="129"/>
      <c r="BH369" s="129"/>
      <c r="BI369" s="129"/>
      <c r="BJ369" s="129"/>
      <c r="BK369" s="129"/>
      <c r="BL369" s="129"/>
      <c r="BM369" s="129"/>
      <c r="BN369" s="129"/>
      <c r="BO369" s="129"/>
      <c r="BP369" s="129"/>
      <c r="BQ369" s="129"/>
    </row>
    <row r="370" spans="1:69" s="139" customFormat="1" x14ac:dyDescent="0.25">
      <c r="A370" s="157"/>
      <c r="B370" s="137"/>
      <c r="C370" s="129"/>
      <c r="G370" s="140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28"/>
      <c r="AC370" s="128"/>
      <c r="AD370" s="128"/>
      <c r="AE370" s="128"/>
      <c r="AF370" s="128"/>
      <c r="AG370" s="129"/>
      <c r="AH370" s="129"/>
      <c r="AI370" s="129"/>
      <c r="AJ370" s="129"/>
      <c r="AK370" s="129"/>
      <c r="AL370" s="129"/>
      <c r="AM370" s="129"/>
      <c r="AN370" s="129"/>
      <c r="AO370" s="129"/>
      <c r="AP370" s="129"/>
      <c r="AQ370" s="130"/>
      <c r="AR370" s="130"/>
      <c r="AS370" s="129"/>
      <c r="AT370" s="129"/>
      <c r="AU370" s="129"/>
      <c r="AV370" s="129"/>
      <c r="AW370" s="129"/>
      <c r="AX370" s="129"/>
      <c r="AY370" s="129"/>
      <c r="AZ370" s="129"/>
      <c r="BA370" s="129"/>
      <c r="BB370" s="129"/>
      <c r="BC370" s="129"/>
      <c r="BD370" s="129"/>
      <c r="BE370" s="129"/>
      <c r="BF370" s="129"/>
      <c r="BG370" s="129"/>
      <c r="BH370" s="129"/>
      <c r="BI370" s="129"/>
      <c r="BJ370" s="129"/>
      <c r="BK370" s="129"/>
      <c r="BL370" s="129"/>
      <c r="BM370" s="129"/>
      <c r="BN370" s="129"/>
      <c r="BO370" s="129"/>
      <c r="BP370" s="129"/>
      <c r="BQ370" s="129"/>
    </row>
    <row r="371" spans="1:69" s="139" customFormat="1" x14ac:dyDescent="0.25">
      <c r="A371" s="157"/>
      <c r="B371" s="137"/>
      <c r="C371" s="129"/>
      <c r="G371" s="140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28"/>
      <c r="AC371" s="128"/>
      <c r="AD371" s="128"/>
      <c r="AE371" s="128"/>
      <c r="AF371" s="128"/>
      <c r="AG371" s="129"/>
      <c r="AH371" s="129"/>
      <c r="AI371" s="129"/>
      <c r="AJ371" s="129"/>
      <c r="AK371" s="129"/>
      <c r="AL371" s="129"/>
      <c r="AM371" s="129"/>
      <c r="AN371" s="129"/>
      <c r="AO371" s="129"/>
      <c r="AP371" s="129"/>
      <c r="AQ371" s="130"/>
      <c r="AR371" s="130"/>
      <c r="AS371" s="129"/>
      <c r="AT371" s="129"/>
      <c r="AU371" s="129"/>
      <c r="AV371" s="129"/>
      <c r="AW371" s="129"/>
      <c r="AX371" s="129"/>
      <c r="AY371" s="129"/>
      <c r="AZ371" s="129"/>
      <c r="BA371" s="129"/>
      <c r="BB371" s="129"/>
      <c r="BC371" s="129"/>
      <c r="BD371" s="129"/>
      <c r="BE371" s="129"/>
      <c r="BF371" s="129"/>
      <c r="BG371" s="129"/>
      <c r="BH371" s="129"/>
      <c r="BI371" s="129"/>
      <c r="BJ371" s="129"/>
      <c r="BK371" s="129"/>
      <c r="BL371" s="129"/>
      <c r="BM371" s="129"/>
      <c r="BN371" s="129"/>
      <c r="BO371" s="129"/>
      <c r="BP371" s="129"/>
      <c r="BQ371" s="129"/>
    </row>
    <row r="372" spans="1:69" s="139" customFormat="1" x14ac:dyDescent="0.25">
      <c r="A372" s="157"/>
      <c r="B372" s="137"/>
      <c r="C372" s="129"/>
      <c r="G372" s="140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28"/>
      <c r="AC372" s="128"/>
      <c r="AD372" s="128"/>
      <c r="AE372" s="128"/>
      <c r="AF372" s="128"/>
      <c r="AG372" s="129"/>
      <c r="AH372" s="129"/>
      <c r="AI372" s="129"/>
      <c r="AJ372" s="129"/>
      <c r="AK372" s="129"/>
      <c r="AL372" s="129"/>
      <c r="AM372" s="129"/>
      <c r="AN372" s="129"/>
      <c r="AO372" s="129"/>
      <c r="AP372" s="129"/>
      <c r="AQ372" s="130"/>
      <c r="AR372" s="130"/>
      <c r="AS372" s="129"/>
      <c r="AT372" s="129"/>
      <c r="AU372" s="129"/>
      <c r="AV372" s="129"/>
      <c r="AW372" s="129"/>
      <c r="AX372" s="129"/>
      <c r="AY372" s="129"/>
      <c r="AZ372" s="129"/>
      <c r="BA372" s="129"/>
      <c r="BB372" s="129"/>
      <c r="BC372" s="129"/>
      <c r="BD372" s="129"/>
      <c r="BE372" s="129"/>
      <c r="BF372" s="129"/>
      <c r="BG372" s="129"/>
      <c r="BH372" s="129"/>
      <c r="BI372" s="129"/>
      <c r="BJ372" s="129"/>
      <c r="BK372" s="129"/>
      <c r="BL372" s="129"/>
      <c r="BM372" s="129"/>
      <c r="BN372" s="129"/>
      <c r="BO372" s="129"/>
      <c r="BP372" s="129"/>
      <c r="BQ372" s="129"/>
    </row>
    <row r="373" spans="1:69" s="139" customFormat="1" x14ac:dyDescent="0.25">
      <c r="A373" s="157"/>
      <c r="B373" s="137"/>
      <c r="C373" s="129"/>
      <c r="G373" s="140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28"/>
      <c r="AC373" s="128"/>
      <c r="AD373" s="128"/>
      <c r="AE373" s="128"/>
      <c r="AF373" s="128"/>
      <c r="AG373" s="129"/>
      <c r="AH373" s="129"/>
      <c r="AI373" s="129"/>
      <c r="AJ373" s="129"/>
      <c r="AK373" s="129"/>
      <c r="AL373" s="129"/>
      <c r="AM373" s="129"/>
      <c r="AN373" s="129"/>
      <c r="AO373" s="129"/>
      <c r="AP373" s="129"/>
      <c r="AQ373" s="130"/>
      <c r="AR373" s="130"/>
      <c r="AS373" s="129"/>
      <c r="AT373" s="129"/>
      <c r="AU373" s="129"/>
      <c r="AV373" s="129"/>
      <c r="AW373" s="129"/>
      <c r="AX373" s="129"/>
      <c r="AY373" s="129"/>
      <c r="AZ373" s="129"/>
      <c r="BA373" s="129"/>
      <c r="BB373" s="129"/>
      <c r="BC373" s="129"/>
      <c r="BD373" s="129"/>
      <c r="BE373" s="129"/>
      <c r="BF373" s="129"/>
      <c r="BG373" s="129"/>
      <c r="BH373" s="129"/>
      <c r="BI373" s="129"/>
      <c r="BJ373" s="129"/>
      <c r="BK373" s="129"/>
      <c r="BL373" s="129"/>
      <c r="BM373" s="129"/>
      <c r="BN373" s="129"/>
      <c r="BO373" s="129"/>
      <c r="BP373" s="129"/>
      <c r="BQ373" s="129"/>
    </row>
    <row r="374" spans="1:69" s="139" customFormat="1" x14ac:dyDescent="0.25">
      <c r="A374" s="157"/>
      <c r="B374" s="137"/>
      <c r="C374" s="129"/>
      <c r="G374" s="140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28"/>
      <c r="AC374" s="128"/>
      <c r="AD374" s="128"/>
      <c r="AE374" s="128"/>
      <c r="AF374" s="128"/>
      <c r="AG374" s="129"/>
      <c r="AH374" s="129"/>
      <c r="AI374" s="129"/>
      <c r="AJ374" s="129"/>
      <c r="AK374" s="129"/>
      <c r="AL374" s="129"/>
      <c r="AM374" s="129"/>
      <c r="AN374" s="129"/>
      <c r="AO374" s="129"/>
      <c r="AP374" s="129"/>
      <c r="AQ374" s="130"/>
      <c r="AR374" s="130"/>
      <c r="AS374" s="129"/>
      <c r="AT374" s="129"/>
      <c r="AU374" s="129"/>
      <c r="AV374" s="129"/>
      <c r="AW374" s="129"/>
      <c r="AX374" s="129"/>
      <c r="AY374" s="129"/>
      <c r="AZ374" s="129"/>
      <c r="BA374" s="129"/>
      <c r="BB374" s="129"/>
      <c r="BC374" s="129"/>
      <c r="BD374" s="129"/>
      <c r="BE374" s="129"/>
      <c r="BF374" s="129"/>
      <c r="BG374" s="129"/>
      <c r="BH374" s="129"/>
      <c r="BI374" s="129"/>
      <c r="BJ374" s="129"/>
      <c r="BK374" s="129"/>
      <c r="BL374" s="129"/>
      <c r="BM374" s="129"/>
      <c r="BN374" s="129"/>
      <c r="BO374" s="129"/>
      <c r="BP374" s="129"/>
      <c r="BQ374" s="129"/>
    </row>
    <row r="375" spans="1:69" s="139" customFormat="1" x14ac:dyDescent="0.25">
      <c r="A375" s="157"/>
      <c r="B375" s="137"/>
      <c r="C375" s="129"/>
      <c r="G375" s="140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28"/>
      <c r="AC375" s="128"/>
      <c r="AD375" s="128"/>
      <c r="AE375" s="128"/>
      <c r="AF375" s="128"/>
      <c r="AG375" s="129"/>
      <c r="AH375" s="129"/>
      <c r="AI375" s="129"/>
      <c r="AJ375" s="129"/>
      <c r="AK375" s="129"/>
      <c r="AL375" s="129"/>
      <c r="AM375" s="129"/>
      <c r="AN375" s="129"/>
      <c r="AO375" s="129"/>
      <c r="AP375" s="129"/>
      <c r="AQ375" s="130"/>
      <c r="AR375" s="130"/>
      <c r="AS375" s="129"/>
      <c r="AT375" s="129"/>
      <c r="AU375" s="129"/>
      <c r="AV375" s="129"/>
      <c r="AW375" s="129"/>
      <c r="AX375" s="129"/>
      <c r="AY375" s="129"/>
      <c r="AZ375" s="129"/>
      <c r="BA375" s="129"/>
      <c r="BB375" s="129"/>
      <c r="BC375" s="129"/>
      <c r="BD375" s="129"/>
      <c r="BE375" s="129"/>
      <c r="BF375" s="129"/>
      <c r="BG375" s="129"/>
      <c r="BH375" s="129"/>
      <c r="BI375" s="129"/>
      <c r="BJ375" s="129"/>
      <c r="BK375" s="129"/>
      <c r="BL375" s="129"/>
      <c r="BM375" s="129"/>
      <c r="BN375" s="129"/>
      <c r="BO375" s="129"/>
      <c r="BP375" s="129"/>
      <c r="BQ375" s="129"/>
    </row>
    <row r="376" spans="1:69" s="139" customFormat="1" x14ac:dyDescent="0.25">
      <c r="A376" s="157"/>
      <c r="B376" s="137"/>
      <c r="C376" s="129"/>
      <c r="G376" s="140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28"/>
      <c r="AC376" s="128"/>
      <c r="AD376" s="128"/>
      <c r="AE376" s="128"/>
      <c r="AF376" s="128"/>
      <c r="AG376" s="129"/>
      <c r="AH376" s="129"/>
      <c r="AI376" s="129"/>
      <c r="AJ376" s="129"/>
      <c r="AK376" s="129"/>
      <c r="AL376" s="129"/>
      <c r="AM376" s="129"/>
      <c r="AN376" s="129"/>
      <c r="AO376" s="129"/>
      <c r="AP376" s="129"/>
      <c r="AQ376" s="130"/>
      <c r="AR376" s="130"/>
      <c r="AS376" s="129"/>
      <c r="AT376" s="129"/>
      <c r="AU376" s="129"/>
      <c r="AV376" s="129"/>
      <c r="AW376" s="129"/>
      <c r="AX376" s="129"/>
      <c r="AY376" s="129"/>
      <c r="AZ376" s="129"/>
      <c r="BA376" s="129"/>
      <c r="BB376" s="129"/>
      <c r="BC376" s="129"/>
      <c r="BD376" s="129"/>
      <c r="BE376" s="129"/>
      <c r="BF376" s="129"/>
      <c r="BG376" s="129"/>
      <c r="BH376" s="129"/>
      <c r="BI376" s="129"/>
      <c r="BJ376" s="129"/>
      <c r="BK376" s="129"/>
      <c r="BL376" s="129"/>
      <c r="BM376" s="129"/>
      <c r="BN376" s="129"/>
      <c r="BO376" s="129"/>
      <c r="BP376" s="129"/>
      <c r="BQ376" s="129"/>
    </row>
    <row r="377" spans="1:69" s="139" customFormat="1" x14ac:dyDescent="0.25">
      <c r="A377" s="157"/>
      <c r="B377" s="137"/>
      <c r="C377" s="129"/>
      <c r="G377" s="140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28"/>
      <c r="AC377" s="128"/>
      <c r="AD377" s="128"/>
      <c r="AE377" s="128"/>
      <c r="AF377" s="128"/>
      <c r="AG377" s="129"/>
      <c r="AH377" s="129"/>
      <c r="AI377" s="129"/>
      <c r="AJ377" s="129"/>
      <c r="AK377" s="129"/>
      <c r="AL377" s="129"/>
      <c r="AM377" s="129"/>
      <c r="AN377" s="129"/>
      <c r="AO377" s="129"/>
      <c r="AP377" s="129"/>
      <c r="AQ377" s="130"/>
      <c r="AR377" s="130"/>
      <c r="AS377" s="129"/>
      <c r="AT377" s="129"/>
      <c r="AU377" s="129"/>
      <c r="AV377" s="129"/>
      <c r="AW377" s="129"/>
      <c r="AX377" s="129"/>
      <c r="AY377" s="129"/>
      <c r="AZ377" s="129"/>
      <c r="BA377" s="129"/>
      <c r="BB377" s="129"/>
      <c r="BC377" s="129"/>
      <c r="BD377" s="129"/>
      <c r="BE377" s="129"/>
      <c r="BF377" s="129"/>
      <c r="BG377" s="129"/>
      <c r="BH377" s="129"/>
      <c r="BI377" s="129"/>
      <c r="BJ377" s="129"/>
      <c r="BK377" s="129"/>
      <c r="BL377" s="129"/>
      <c r="BM377" s="129"/>
      <c r="BN377" s="129"/>
      <c r="BO377" s="129"/>
      <c r="BP377" s="129"/>
      <c r="BQ377" s="129"/>
    </row>
    <row r="378" spans="1:69" s="139" customFormat="1" x14ac:dyDescent="0.25">
      <c r="A378" s="157"/>
      <c r="B378" s="137"/>
      <c r="C378" s="129"/>
      <c r="G378" s="140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28"/>
      <c r="AC378" s="128"/>
      <c r="AD378" s="128"/>
      <c r="AE378" s="128"/>
      <c r="AF378" s="128"/>
      <c r="AG378" s="129"/>
      <c r="AH378" s="129"/>
      <c r="AI378" s="129"/>
      <c r="AJ378" s="129"/>
      <c r="AK378" s="129"/>
      <c r="AL378" s="129"/>
      <c r="AM378" s="129"/>
      <c r="AN378" s="129"/>
      <c r="AO378" s="129"/>
      <c r="AP378" s="129"/>
      <c r="AQ378" s="130"/>
      <c r="AR378" s="130"/>
      <c r="AS378" s="129"/>
      <c r="AT378" s="129"/>
      <c r="AU378" s="129"/>
      <c r="AV378" s="129"/>
      <c r="AW378" s="129"/>
      <c r="AX378" s="129"/>
      <c r="AY378" s="129"/>
      <c r="AZ378" s="129"/>
      <c r="BA378" s="129"/>
      <c r="BB378" s="129"/>
      <c r="BC378" s="129"/>
      <c r="BD378" s="129"/>
      <c r="BE378" s="129"/>
      <c r="BF378" s="129"/>
      <c r="BG378" s="129"/>
      <c r="BH378" s="129"/>
      <c r="BI378" s="129"/>
      <c r="BJ378" s="129"/>
      <c r="BK378" s="129"/>
      <c r="BL378" s="129"/>
      <c r="BM378" s="129"/>
      <c r="BN378" s="129"/>
      <c r="BO378" s="129"/>
      <c r="BP378" s="129"/>
      <c r="BQ378" s="129"/>
    </row>
    <row r="379" spans="1:69" s="139" customFormat="1" x14ac:dyDescent="0.25">
      <c r="A379" s="157"/>
      <c r="B379" s="137"/>
      <c r="C379" s="129"/>
      <c r="G379" s="140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28"/>
      <c r="AC379" s="128"/>
      <c r="AD379" s="128"/>
      <c r="AE379" s="128"/>
      <c r="AF379" s="128"/>
      <c r="AG379" s="129"/>
      <c r="AH379" s="129"/>
      <c r="AI379" s="129"/>
      <c r="AJ379" s="129"/>
      <c r="AK379" s="129"/>
      <c r="AL379" s="129"/>
      <c r="AM379" s="129"/>
      <c r="AN379" s="129"/>
      <c r="AO379" s="129"/>
      <c r="AP379" s="129"/>
      <c r="AQ379" s="130"/>
      <c r="AR379" s="130"/>
      <c r="AS379" s="129"/>
      <c r="AT379" s="129"/>
      <c r="AU379" s="129"/>
      <c r="AV379" s="129"/>
      <c r="AW379" s="129"/>
      <c r="AX379" s="129"/>
      <c r="AY379" s="129"/>
      <c r="AZ379" s="129"/>
      <c r="BA379" s="129"/>
      <c r="BB379" s="129"/>
      <c r="BC379" s="129"/>
      <c r="BD379" s="129"/>
      <c r="BE379" s="129"/>
      <c r="BF379" s="129"/>
      <c r="BG379" s="129"/>
      <c r="BH379" s="129"/>
      <c r="BI379" s="129"/>
      <c r="BJ379" s="129"/>
      <c r="BK379" s="129"/>
      <c r="BL379" s="129"/>
      <c r="BM379" s="129"/>
      <c r="BN379" s="129"/>
      <c r="BO379" s="129"/>
      <c r="BP379" s="129"/>
      <c r="BQ379" s="129"/>
    </row>
    <row r="380" spans="1:69" s="139" customFormat="1" x14ac:dyDescent="0.25">
      <c r="A380" s="157"/>
      <c r="B380" s="137"/>
      <c r="C380" s="129"/>
      <c r="G380" s="140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28"/>
      <c r="AC380" s="128"/>
      <c r="AD380" s="128"/>
      <c r="AE380" s="128"/>
      <c r="AF380" s="128"/>
      <c r="AG380" s="129"/>
      <c r="AH380" s="129"/>
      <c r="AI380" s="129"/>
      <c r="AJ380" s="129"/>
      <c r="AK380" s="129"/>
      <c r="AL380" s="129"/>
      <c r="AM380" s="129"/>
      <c r="AN380" s="129"/>
      <c r="AO380" s="129"/>
      <c r="AP380" s="129"/>
      <c r="AQ380" s="130"/>
      <c r="AR380" s="130"/>
      <c r="AS380" s="129"/>
      <c r="AT380" s="129"/>
      <c r="AU380" s="129"/>
      <c r="AV380" s="129"/>
      <c r="AW380" s="129"/>
      <c r="AX380" s="129"/>
      <c r="AY380" s="129"/>
      <c r="AZ380" s="129"/>
      <c r="BA380" s="129"/>
      <c r="BB380" s="129"/>
      <c r="BC380" s="129"/>
      <c r="BD380" s="129"/>
      <c r="BE380" s="129"/>
      <c r="BF380" s="129"/>
      <c r="BG380" s="129"/>
      <c r="BH380" s="129"/>
      <c r="BI380" s="129"/>
      <c r="BJ380" s="129"/>
      <c r="BK380" s="129"/>
      <c r="BL380" s="129"/>
      <c r="BM380" s="129"/>
      <c r="BN380" s="129"/>
      <c r="BO380" s="129"/>
      <c r="BP380" s="129"/>
      <c r="BQ380" s="129"/>
    </row>
    <row r="381" spans="1:69" s="139" customFormat="1" x14ac:dyDescent="0.25">
      <c r="A381" s="157"/>
      <c r="B381" s="137"/>
      <c r="C381" s="129"/>
      <c r="G381" s="140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28"/>
      <c r="AC381" s="128"/>
      <c r="AD381" s="128"/>
      <c r="AE381" s="128"/>
      <c r="AF381" s="128"/>
      <c r="AG381" s="129"/>
      <c r="AH381" s="129"/>
      <c r="AI381" s="129"/>
      <c r="AJ381" s="129"/>
      <c r="AK381" s="129"/>
      <c r="AL381" s="129"/>
      <c r="AM381" s="129"/>
      <c r="AN381" s="129"/>
      <c r="AO381" s="129"/>
      <c r="AP381" s="129"/>
      <c r="AQ381" s="130"/>
      <c r="AR381" s="130"/>
      <c r="AS381" s="129"/>
      <c r="AT381" s="129"/>
      <c r="AU381" s="129"/>
      <c r="AV381" s="129"/>
      <c r="AW381" s="129"/>
      <c r="AX381" s="129"/>
      <c r="AY381" s="129"/>
      <c r="AZ381" s="129"/>
      <c r="BA381" s="129"/>
      <c r="BB381" s="129"/>
      <c r="BC381" s="129"/>
      <c r="BD381" s="129"/>
      <c r="BE381" s="129"/>
      <c r="BF381" s="129"/>
      <c r="BG381" s="129"/>
      <c r="BH381" s="129"/>
      <c r="BI381" s="129"/>
      <c r="BJ381" s="129"/>
      <c r="BK381" s="129"/>
      <c r="BL381" s="129"/>
      <c r="BM381" s="129"/>
      <c r="BN381" s="129"/>
      <c r="BO381" s="129"/>
      <c r="BP381" s="129"/>
      <c r="BQ381" s="129"/>
    </row>
    <row r="382" spans="1:69" s="139" customFormat="1" x14ac:dyDescent="0.25">
      <c r="A382" s="157"/>
      <c r="B382" s="137"/>
      <c r="C382" s="129"/>
      <c r="G382" s="140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28"/>
      <c r="AC382" s="128"/>
      <c r="AD382" s="128"/>
      <c r="AE382" s="128"/>
      <c r="AF382" s="128"/>
      <c r="AG382" s="129"/>
      <c r="AH382" s="129"/>
      <c r="AI382" s="129"/>
      <c r="AJ382" s="129"/>
      <c r="AK382" s="129"/>
      <c r="AL382" s="129"/>
      <c r="AM382" s="129"/>
      <c r="AN382" s="129"/>
      <c r="AO382" s="129"/>
      <c r="AP382" s="129"/>
      <c r="AQ382" s="130"/>
      <c r="AR382" s="130"/>
      <c r="AS382" s="129"/>
      <c r="AT382" s="129"/>
      <c r="AU382" s="129"/>
      <c r="AV382" s="129"/>
      <c r="AW382" s="129"/>
      <c r="AX382" s="129"/>
      <c r="AY382" s="129"/>
      <c r="AZ382" s="129"/>
      <c r="BA382" s="129"/>
      <c r="BB382" s="129"/>
      <c r="BC382" s="129"/>
      <c r="BD382" s="129"/>
      <c r="BE382" s="129"/>
      <c r="BF382" s="129"/>
      <c r="BG382" s="129"/>
      <c r="BH382" s="129"/>
      <c r="BI382" s="129"/>
      <c r="BJ382" s="129"/>
      <c r="BK382" s="129"/>
      <c r="BL382" s="129"/>
      <c r="BM382" s="129"/>
      <c r="BN382" s="129"/>
      <c r="BO382" s="129"/>
      <c r="BP382" s="129"/>
      <c r="BQ382" s="129"/>
    </row>
    <row r="383" spans="1:69" s="139" customFormat="1" x14ac:dyDescent="0.25">
      <c r="A383" s="157"/>
      <c r="B383" s="137"/>
      <c r="C383" s="129"/>
      <c r="G383" s="140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28"/>
      <c r="AC383" s="128"/>
      <c r="AD383" s="128"/>
      <c r="AE383" s="128"/>
      <c r="AF383" s="128"/>
      <c r="AG383" s="129"/>
      <c r="AH383" s="129"/>
      <c r="AI383" s="129"/>
      <c r="AJ383" s="129"/>
      <c r="AK383" s="129"/>
      <c r="AL383" s="129"/>
      <c r="AM383" s="129"/>
      <c r="AN383" s="129"/>
      <c r="AO383" s="129"/>
      <c r="AP383" s="129"/>
      <c r="AQ383" s="130"/>
      <c r="AR383" s="130"/>
      <c r="AS383" s="129"/>
      <c r="AT383" s="129"/>
      <c r="AU383" s="129"/>
      <c r="AV383" s="129"/>
      <c r="AW383" s="129"/>
      <c r="AX383" s="129"/>
      <c r="AY383" s="129"/>
      <c r="AZ383" s="129"/>
      <c r="BA383" s="129"/>
      <c r="BB383" s="129"/>
      <c r="BC383" s="129"/>
      <c r="BD383" s="129"/>
      <c r="BE383" s="129"/>
      <c r="BF383" s="129"/>
      <c r="BG383" s="129"/>
      <c r="BH383" s="129"/>
      <c r="BI383" s="129"/>
      <c r="BJ383" s="129"/>
      <c r="BK383" s="129"/>
      <c r="BL383" s="129"/>
      <c r="BM383" s="129"/>
      <c r="BN383" s="129"/>
      <c r="BO383" s="129"/>
      <c r="BP383" s="129"/>
      <c r="BQ383" s="129"/>
    </row>
    <row r="384" spans="1:69" s="139" customFormat="1" x14ac:dyDescent="0.25">
      <c r="A384" s="157"/>
      <c r="B384" s="137"/>
      <c r="C384" s="129"/>
      <c r="G384" s="140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28"/>
      <c r="AC384" s="128"/>
      <c r="AD384" s="128"/>
      <c r="AE384" s="128"/>
      <c r="AF384" s="128"/>
      <c r="AG384" s="129"/>
      <c r="AH384" s="129"/>
      <c r="AI384" s="129"/>
      <c r="AJ384" s="129"/>
      <c r="AK384" s="129"/>
      <c r="AL384" s="129"/>
      <c r="AM384" s="129"/>
      <c r="AN384" s="129"/>
      <c r="AO384" s="129"/>
      <c r="AP384" s="129"/>
      <c r="AQ384" s="130"/>
      <c r="AR384" s="130"/>
      <c r="AS384" s="129"/>
      <c r="AT384" s="129"/>
      <c r="AU384" s="129"/>
      <c r="AV384" s="129"/>
      <c r="AW384" s="129"/>
      <c r="AX384" s="129"/>
      <c r="AY384" s="129"/>
      <c r="AZ384" s="129"/>
      <c r="BA384" s="129"/>
      <c r="BB384" s="129"/>
      <c r="BC384" s="129"/>
      <c r="BD384" s="129"/>
      <c r="BE384" s="129"/>
      <c r="BF384" s="129"/>
      <c r="BG384" s="129"/>
      <c r="BH384" s="129"/>
      <c r="BI384" s="129"/>
      <c r="BJ384" s="129"/>
      <c r="BK384" s="129"/>
      <c r="BL384" s="129"/>
      <c r="BM384" s="129"/>
      <c r="BN384" s="129"/>
      <c r="BO384" s="129"/>
      <c r="BP384" s="129"/>
      <c r="BQ384" s="129"/>
    </row>
    <row r="385" spans="1:69" s="139" customFormat="1" x14ac:dyDescent="0.25">
      <c r="A385" s="157"/>
      <c r="B385" s="137"/>
      <c r="C385" s="129"/>
      <c r="G385" s="140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28"/>
      <c r="AC385" s="128"/>
      <c r="AD385" s="128"/>
      <c r="AE385" s="128"/>
      <c r="AF385" s="128"/>
      <c r="AG385" s="129"/>
      <c r="AH385" s="129"/>
      <c r="AI385" s="129"/>
      <c r="AJ385" s="129"/>
      <c r="AK385" s="129"/>
      <c r="AL385" s="129"/>
      <c r="AM385" s="129"/>
      <c r="AN385" s="129"/>
      <c r="AO385" s="129"/>
      <c r="AP385" s="129"/>
      <c r="AQ385" s="130"/>
      <c r="AR385" s="130"/>
      <c r="AS385" s="129"/>
      <c r="AT385" s="129"/>
      <c r="AU385" s="129"/>
      <c r="AV385" s="129"/>
      <c r="AW385" s="129"/>
      <c r="AX385" s="129"/>
      <c r="AY385" s="129"/>
      <c r="AZ385" s="129"/>
      <c r="BA385" s="129"/>
      <c r="BB385" s="129"/>
      <c r="BC385" s="129"/>
      <c r="BD385" s="129"/>
      <c r="BE385" s="129"/>
      <c r="BF385" s="129"/>
      <c r="BG385" s="129"/>
      <c r="BH385" s="129"/>
      <c r="BI385" s="129"/>
      <c r="BJ385" s="129"/>
      <c r="BK385" s="129"/>
      <c r="BL385" s="129"/>
      <c r="BM385" s="129"/>
      <c r="BN385" s="129"/>
      <c r="BO385" s="129"/>
      <c r="BP385" s="129"/>
      <c r="BQ385" s="129"/>
    </row>
    <row r="386" spans="1:69" s="139" customFormat="1" x14ac:dyDescent="0.25">
      <c r="A386" s="157"/>
      <c r="B386" s="137"/>
      <c r="C386" s="129"/>
      <c r="G386" s="140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28"/>
      <c r="AC386" s="128"/>
      <c r="AD386" s="128"/>
      <c r="AE386" s="128"/>
      <c r="AF386" s="128"/>
      <c r="AG386" s="129"/>
      <c r="AH386" s="129"/>
      <c r="AI386" s="129"/>
      <c r="AJ386" s="129"/>
      <c r="AK386" s="129"/>
      <c r="AL386" s="129"/>
      <c r="AM386" s="129"/>
      <c r="AN386" s="129"/>
      <c r="AO386" s="129"/>
      <c r="AP386" s="129"/>
      <c r="AQ386" s="130"/>
      <c r="AR386" s="130"/>
      <c r="AS386" s="129"/>
      <c r="AT386" s="129"/>
      <c r="AU386" s="129"/>
      <c r="AV386" s="129"/>
      <c r="AW386" s="129"/>
      <c r="AX386" s="129"/>
      <c r="AY386" s="129"/>
      <c r="AZ386" s="129"/>
      <c r="BA386" s="129"/>
      <c r="BB386" s="129"/>
      <c r="BC386" s="129"/>
      <c r="BD386" s="129"/>
      <c r="BE386" s="129"/>
      <c r="BF386" s="129"/>
      <c r="BG386" s="129"/>
      <c r="BH386" s="129"/>
      <c r="BI386" s="129"/>
      <c r="BJ386" s="129"/>
      <c r="BK386" s="129"/>
      <c r="BL386" s="129"/>
      <c r="BM386" s="129"/>
      <c r="BN386" s="129"/>
      <c r="BO386" s="129"/>
      <c r="BP386" s="129"/>
      <c r="BQ386" s="129"/>
    </row>
    <row r="387" spans="1:69" s="139" customFormat="1" x14ac:dyDescent="0.25">
      <c r="A387" s="157"/>
      <c r="B387" s="137"/>
      <c r="C387" s="129"/>
      <c r="G387" s="140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28"/>
      <c r="AC387" s="128"/>
      <c r="AD387" s="128"/>
      <c r="AE387" s="128"/>
      <c r="AF387" s="128"/>
      <c r="AG387" s="129"/>
      <c r="AH387" s="129"/>
      <c r="AI387" s="129"/>
      <c r="AJ387" s="129"/>
      <c r="AK387" s="129"/>
      <c r="AL387" s="129"/>
      <c r="AM387" s="129"/>
      <c r="AN387" s="129"/>
      <c r="AO387" s="129"/>
      <c r="AP387" s="129"/>
      <c r="AQ387" s="130"/>
      <c r="AR387" s="130"/>
      <c r="AS387" s="129"/>
      <c r="AT387" s="129"/>
      <c r="AU387" s="129"/>
      <c r="AV387" s="129"/>
      <c r="AW387" s="129"/>
      <c r="AX387" s="129"/>
      <c r="AY387" s="129"/>
      <c r="AZ387" s="129"/>
      <c r="BA387" s="129"/>
      <c r="BB387" s="129"/>
      <c r="BC387" s="129"/>
      <c r="BD387" s="129"/>
      <c r="BE387" s="129"/>
      <c r="BF387" s="129"/>
      <c r="BG387" s="129"/>
      <c r="BH387" s="129"/>
      <c r="BI387" s="129"/>
      <c r="BJ387" s="129"/>
      <c r="BK387" s="129"/>
      <c r="BL387" s="129"/>
      <c r="BM387" s="129"/>
      <c r="BN387" s="129"/>
      <c r="BO387" s="129"/>
      <c r="BP387" s="129"/>
      <c r="BQ387" s="129"/>
    </row>
    <row r="388" spans="1:69" s="139" customFormat="1" x14ac:dyDescent="0.25">
      <c r="A388" s="157"/>
      <c r="B388" s="137"/>
      <c r="C388" s="129"/>
      <c r="G388" s="140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28"/>
      <c r="AC388" s="128"/>
      <c r="AD388" s="128"/>
      <c r="AE388" s="128"/>
      <c r="AF388" s="128"/>
      <c r="AG388" s="129"/>
      <c r="AH388" s="129"/>
      <c r="AI388" s="129"/>
      <c r="AJ388" s="129"/>
      <c r="AK388" s="129"/>
      <c r="AL388" s="129"/>
      <c r="AM388" s="129"/>
      <c r="AN388" s="129"/>
      <c r="AO388" s="129"/>
      <c r="AP388" s="129"/>
      <c r="AQ388" s="130"/>
      <c r="AR388" s="130"/>
      <c r="AS388" s="129"/>
      <c r="AT388" s="129"/>
      <c r="AU388" s="129"/>
      <c r="AV388" s="129"/>
      <c r="AW388" s="129"/>
      <c r="AX388" s="129"/>
      <c r="AY388" s="129"/>
      <c r="AZ388" s="129"/>
      <c r="BA388" s="129"/>
      <c r="BB388" s="129"/>
      <c r="BC388" s="129"/>
      <c r="BD388" s="129"/>
      <c r="BE388" s="129"/>
      <c r="BF388" s="129"/>
      <c r="BG388" s="129"/>
      <c r="BH388" s="129"/>
      <c r="BI388" s="129"/>
      <c r="BJ388" s="129"/>
      <c r="BK388" s="129"/>
      <c r="BL388" s="129"/>
      <c r="BM388" s="129"/>
      <c r="BN388" s="129"/>
      <c r="BO388" s="129"/>
      <c r="BP388" s="129"/>
      <c r="BQ388" s="129"/>
    </row>
    <row r="389" spans="1:69" s="139" customFormat="1" x14ac:dyDescent="0.25">
      <c r="A389" s="157"/>
      <c r="B389" s="137"/>
      <c r="C389" s="129"/>
      <c r="G389" s="140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28"/>
      <c r="AC389" s="128"/>
      <c r="AD389" s="128"/>
      <c r="AE389" s="128"/>
      <c r="AF389" s="128"/>
      <c r="AG389" s="129"/>
      <c r="AH389" s="129"/>
      <c r="AI389" s="129"/>
      <c r="AJ389" s="129"/>
      <c r="AK389" s="129"/>
      <c r="AL389" s="129"/>
      <c r="AM389" s="129"/>
      <c r="AN389" s="129"/>
      <c r="AO389" s="129"/>
      <c r="AP389" s="129"/>
      <c r="AQ389" s="130"/>
      <c r="AR389" s="130"/>
      <c r="AS389" s="129"/>
      <c r="AT389" s="129"/>
      <c r="AU389" s="129"/>
      <c r="AV389" s="129"/>
      <c r="AW389" s="129"/>
      <c r="AX389" s="129"/>
      <c r="AY389" s="129"/>
      <c r="AZ389" s="129"/>
      <c r="BA389" s="129"/>
      <c r="BB389" s="129"/>
      <c r="BC389" s="129"/>
      <c r="BD389" s="129"/>
      <c r="BE389" s="129"/>
      <c r="BF389" s="129"/>
      <c r="BG389" s="129"/>
      <c r="BH389" s="129"/>
      <c r="BI389" s="129"/>
      <c r="BJ389" s="129"/>
      <c r="BK389" s="129"/>
      <c r="BL389" s="129"/>
      <c r="BM389" s="129"/>
      <c r="BN389" s="129"/>
      <c r="BO389" s="129"/>
      <c r="BP389" s="129"/>
      <c r="BQ389" s="129"/>
    </row>
    <row r="390" spans="1:69" s="139" customFormat="1" x14ac:dyDescent="0.25">
      <c r="A390" s="157"/>
      <c r="B390" s="137"/>
      <c r="C390" s="129"/>
      <c r="G390" s="140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28"/>
      <c r="AC390" s="128"/>
      <c r="AD390" s="128"/>
      <c r="AE390" s="128"/>
      <c r="AF390" s="128"/>
      <c r="AG390" s="129"/>
      <c r="AH390" s="129"/>
      <c r="AI390" s="129"/>
      <c r="AJ390" s="129"/>
      <c r="AK390" s="129"/>
      <c r="AL390" s="129"/>
      <c r="AM390" s="129"/>
      <c r="AN390" s="129"/>
      <c r="AO390" s="129"/>
      <c r="AP390" s="129"/>
      <c r="AQ390" s="130"/>
      <c r="AR390" s="130"/>
      <c r="AS390" s="129"/>
      <c r="AT390" s="129"/>
      <c r="AU390" s="129"/>
      <c r="AV390" s="129"/>
      <c r="AW390" s="129"/>
      <c r="AX390" s="129"/>
      <c r="AY390" s="129"/>
      <c r="AZ390" s="129"/>
      <c r="BA390" s="129"/>
      <c r="BB390" s="129"/>
      <c r="BC390" s="129"/>
      <c r="BD390" s="129"/>
      <c r="BE390" s="129"/>
      <c r="BF390" s="129"/>
      <c r="BG390" s="129"/>
      <c r="BH390" s="129"/>
      <c r="BI390" s="129"/>
      <c r="BJ390" s="129"/>
      <c r="BK390" s="129"/>
      <c r="BL390" s="129"/>
      <c r="BM390" s="129"/>
      <c r="BN390" s="129"/>
      <c r="BO390" s="129"/>
      <c r="BP390" s="129"/>
      <c r="BQ390" s="129"/>
    </row>
    <row r="391" spans="1:69" s="139" customFormat="1" x14ac:dyDescent="0.25">
      <c r="A391" s="157"/>
      <c r="B391" s="137"/>
      <c r="C391" s="129"/>
      <c r="G391" s="140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28"/>
      <c r="AC391" s="128"/>
      <c r="AD391" s="128"/>
      <c r="AE391" s="128"/>
      <c r="AF391" s="128"/>
      <c r="AG391" s="129"/>
      <c r="AH391" s="129"/>
      <c r="AI391" s="129"/>
      <c r="AJ391" s="129"/>
      <c r="AK391" s="129"/>
      <c r="AL391" s="129"/>
      <c r="AM391" s="129"/>
      <c r="AN391" s="129"/>
      <c r="AO391" s="129"/>
      <c r="AP391" s="129"/>
      <c r="AQ391" s="130"/>
      <c r="AR391" s="130"/>
      <c r="AS391" s="129"/>
      <c r="AT391" s="129"/>
      <c r="AU391" s="129"/>
      <c r="AV391" s="129"/>
      <c r="AW391" s="129"/>
      <c r="AX391" s="129"/>
      <c r="AY391" s="129"/>
      <c r="AZ391" s="129"/>
      <c r="BA391" s="129"/>
      <c r="BB391" s="129"/>
      <c r="BC391" s="129"/>
      <c r="BD391" s="129"/>
      <c r="BE391" s="129"/>
      <c r="BF391" s="129"/>
      <c r="BG391" s="129"/>
      <c r="BH391" s="129"/>
      <c r="BI391" s="129"/>
      <c r="BJ391" s="129"/>
      <c r="BK391" s="129"/>
      <c r="BL391" s="129"/>
      <c r="BM391" s="129"/>
      <c r="BN391" s="129"/>
      <c r="BO391" s="129"/>
      <c r="BP391" s="129"/>
      <c r="BQ391" s="129"/>
    </row>
    <row r="392" spans="1:69" s="139" customFormat="1" x14ac:dyDescent="0.25">
      <c r="A392" s="157"/>
      <c r="B392" s="137"/>
      <c r="C392" s="129"/>
      <c r="G392" s="140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28"/>
      <c r="AC392" s="128"/>
      <c r="AD392" s="128"/>
      <c r="AE392" s="128"/>
      <c r="AF392" s="128"/>
      <c r="AG392" s="129"/>
      <c r="AH392" s="129"/>
      <c r="AI392" s="129"/>
      <c r="AJ392" s="129"/>
      <c r="AK392" s="129"/>
      <c r="AL392" s="129"/>
      <c r="AM392" s="129"/>
      <c r="AN392" s="129"/>
      <c r="AO392" s="129"/>
      <c r="AP392" s="129"/>
      <c r="AQ392" s="130"/>
      <c r="AR392" s="130"/>
      <c r="AS392" s="129"/>
      <c r="AT392" s="129"/>
      <c r="AU392" s="129"/>
      <c r="AV392" s="129"/>
      <c r="AW392" s="129"/>
      <c r="AX392" s="129"/>
      <c r="AY392" s="129"/>
      <c r="AZ392" s="129"/>
      <c r="BA392" s="129"/>
      <c r="BB392" s="129"/>
      <c r="BC392" s="129"/>
      <c r="BD392" s="129"/>
      <c r="BE392" s="129"/>
      <c r="BF392" s="129"/>
      <c r="BG392" s="129"/>
      <c r="BH392" s="129"/>
      <c r="BI392" s="129"/>
      <c r="BJ392" s="129"/>
      <c r="BK392" s="129"/>
      <c r="BL392" s="129"/>
      <c r="BM392" s="129"/>
      <c r="BN392" s="129"/>
      <c r="BO392" s="129"/>
      <c r="BP392" s="129"/>
      <c r="BQ392" s="129"/>
    </row>
    <row r="393" spans="1:69" s="139" customFormat="1" x14ac:dyDescent="0.25">
      <c r="A393" s="157"/>
      <c r="B393" s="137"/>
      <c r="C393" s="129"/>
      <c r="G393" s="140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28"/>
      <c r="AC393" s="128"/>
      <c r="AD393" s="128"/>
      <c r="AE393" s="128"/>
      <c r="AF393" s="128"/>
      <c r="AG393" s="129"/>
      <c r="AH393" s="129"/>
      <c r="AI393" s="129"/>
      <c r="AJ393" s="129"/>
      <c r="AK393" s="129"/>
      <c r="AL393" s="129"/>
      <c r="AM393" s="129"/>
      <c r="AN393" s="129"/>
      <c r="AO393" s="129"/>
      <c r="AP393" s="129"/>
      <c r="AQ393" s="130"/>
      <c r="AR393" s="130"/>
      <c r="AS393" s="129"/>
      <c r="AT393" s="129"/>
      <c r="AU393" s="129"/>
      <c r="AV393" s="129"/>
      <c r="AW393" s="129"/>
      <c r="AX393" s="129"/>
      <c r="AY393" s="129"/>
      <c r="AZ393" s="129"/>
      <c r="BA393" s="129"/>
      <c r="BB393" s="129"/>
      <c r="BC393" s="129"/>
      <c r="BD393" s="129"/>
      <c r="BE393" s="129"/>
      <c r="BF393" s="129"/>
      <c r="BG393" s="129"/>
      <c r="BH393" s="129"/>
      <c r="BI393" s="129"/>
      <c r="BJ393" s="129"/>
      <c r="BK393" s="129"/>
      <c r="BL393" s="129"/>
      <c r="BM393" s="129"/>
      <c r="BN393" s="129"/>
      <c r="BO393" s="129"/>
      <c r="BP393" s="129"/>
      <c r="BQ393" s="129"/>
    </row>
    <row r="394" spans="1:69" s="139" customFormat="1" x14ac:dyDescent="0.25">
      <c r="A394" s="157"/>
      <c r="B394" s="137"/>
      <c r="C394" s="129"/>
      <c r="G394" s="140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28"/>
      <c r="AC394" s="128"/>
      <c r="AD394" s="128"/>
      <c r="AE394" s="128"/>
      <c r="AF394" s="128"/>
      <c r="AG394" s="129"/>
      <c r="AH394" s="129"/>
      <c r="AI394" s="129"/>
      <c r="AJ394" s="129"/>
      <c r="AK394" s="129"/>
      <c r="AL394" s="129"/>
      <c r="AM394" s="129"/>
      <c r="AN394" s="129"/>
      <c r="AO394" s="129"/>
      <c r="AP394" s="129"/>
      <c r="AQ394" s="130"/>
      <c r="AR394" s="130"/>
      <c r="AS394" s="129"/>
      <c r="AT394" s="129"/>
      <c r="AU394" s="129"/>
      <c r="AV394" s="129"/>
      <c r="AW394" s="129"/>
      <c r="AX394" s="129"/>
      <c r="AY394" s="129"/>
      <c r="AZ394" s="129"/>
      <c r="BA394" s="129"/>
      <c r="BB394" s="129"/>
      <c r="BC394" s="129"/>
      <c r="BD394" s="129"/>
      <c r="BE394" s="129"/>
      <c r="BF394" s="129"/>
      <c r="BG394" s="129"/>
      <c r="BH394" s="129"/>
      <c r="BI394" s="129"/>
      <c r="BJ394" s="129"/>
      <c r="BK394" s="129"/>
      <c r="BL394" s="129"/>
      <c r="BM394" s="129"/>
      <c r="BN394" s="129"/>
      <c r="BO394" s="129"/>
      <c r="BP394" s="129"/>
      <c r="BQ394" s="129"/>
    </row>
    <row r="395" spans="1:69" s="139" customFormat="1" x14ac:dyDescent="0.25">
      <c r="A395" s="157"/>
      <c r="B395" s="137"/>
      <c r="C395" s="129"/>
      <c r="G395" s="140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28"/>
      <c r="AC395" s="128"/>
      <c r="AD395" s="128"/>
      <c r="AE395" s="128"/>
      <c r="AF395" s="128"/>
      <c r="AG395" s="129"/>
      <c r="AH395" s="129"/>
      <c r="AI395" s="129"/>
      <c r="AJ395" s="129"/>
      <c r="AK395" s="129"/>
      <c r="AL395" s="129"/>
      <c r="AM395" s="129"/>
      <c r="AN395" s="129"/>
      <c r="AO395" s="129"/>
      <c r="AP395" s="129"/>
      <c r="AQ395" s="130"/>
      <c r="AR395" s="130"/>
      <c r="AS395" s="129"/>
      <c r="AT395" s="129"/>
      <c r="AU395" s="129"/>
      <c r="AV395" s="129"/>
      <c r="AW395" s="129"/>
      <c r="AX395" s="129"/>
      <c r="AY395" s="129"/>
      <c r="AZ395" s="129"/>
      <c r="BA395" s="129"/>
      <c r="BB395" s="129"/>
      <c r="BC395" s="129"/>
      <c r="BD395" s="129"/>
      <c r="BE395" s="129"/>
      <c r="BF395" s="129"/>
      <c r="BG395" s="129"/>
      <c r="BH395" s="129"/>
      <c r="BI395" s="129"/>
      <c r="BJ395" s="129"/>
      <c r="BK395" s="129"/>
      <c r="BL395" s="129"/>
      <c r="BM395" s="129"/>
      <c r="BN395" s="129"/>
      <c r="BO395" s="129"/>
      <c r="BP395" s="129"/>
      <c r="BQ395" s="129"/>
    </row>
    <row r="396" spans="1:69" s="139" customFormat="1" x14ac:dyDescent="0.25">
      <c r="A396" s="157"/>
      <c r="B396" s="137"/>
      <c r="C396" s="129"/>
      <c r="G396" s="140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28"/>
      <c r="AC396" s="128"/>
      <c r="AD396" s="128"/>
      <c r="AE396" s="128"/>
      <c r="AF396" s="128"/>
      <c r="AG396" s="129"/>
      <c r="AH396" s="129"/>
      <c r="AI396" s="129"/>
      <c r="AJ396" s="129"/>
      <c r="AK396" s="129"/>
      <c r="AL396" s="129"/>
      <c r="AM396" s="129"/>
      <c r="AN396" s="129"/>
      <c r="AO396" s="129"/>
      <c r="AP396" s="129"/>
      <c r="AQ396" s="130"/>
      <c r="AR396" s="130"/>
      <c r="AS396" s="129"/>
      <c r="AT396" s="129"/>
      <c r="AU396" s="129"/>
      <c r="AV396" s="129"/>
      <c r="AW396" s="129"/>
      <c r="AX396" s="129"/>
      <c r="AY396" s="129"/>
      <c r="AZ396" s="129"/>
      <c r="BA396" s="129"/>
      <c r="BB396" s="129"/>
      <c r="BC396" s="129"/>
      <c r="BD396" s="129"/>
      <c r="BE396" s="129"/>
      <c r="BF396" s="129"/>
      <c r="BG396" s="129"/>
      <c r="BH396" s="129"/>
      <c r="BI396" s="129"/>
      <c r="BJ396" s="129"/>
      <c r="BK396" s="129"/>
      <c r="BL396" s="129"/>
      <c r="BM396" s="129"/>
      <c r="BN396" s="129"/>
      <c r="BO396" s="129"/>
      <c r="BP396" s="129"/>
      <c r="BQ396" s="129"/>
    </row>
    <row r="397" spans="1:69" s="139" customFormat="1" x14ac:dyDescent="0.25">
      <c r="A397" s="157"/>
      <c r="B397" s="137"/>
      <c r="C397" s="129"/>
      <c r="G397" s="140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28"/>
      <c r="AC397" s="128"/>
      <c r="AD397" s="128"/>
      <c r="AE397" s="128"/>
      <c r="AF397" s="128"/>
      <c r="AG397" s="129"/>
      <c r="AH397" s="129"/>
      <c r="AI397" s="129"/>
      <c r="AJ397" s="129"/>
      <c r="AK397" s="129"/>
      <c r="AL397" s="129"/>
      <c r="AM397" s="129"/>
      <c r="AN397" s="129"/>
      <c r="AO397" s="129"/>
      <c r="AP397" s="129"/>
      <c r="AQ397" s="130"/>
      <c r="AR397" s="130"/>
      <c r="AS397" s="129"/>
      <c r="AT397" s="129"/>
      <c r="AU397" s="129"/>
      <c r="AV397" s="129"/>
      <c r="AW397" s="129"/>
      <c r="AX397" s="129"/>
      <c r="AY397" s="129"/>
      <c r="AZ397" s="129"/>
      <c r="BA397" s="129"/>
      <c r="BB397" s="129"/>
      <c r="BC397" s="129"/>
      <c r="BD397" s="129"/>
      <c r="BE397" s="129"/>
      <c r="BF397" s="129"/>
      <c r="BG397" s="129"/>
      <c r="BH397" s="129"/>
      <c r="BI397" s="129"/>
      <c r="BJ397" s="129"/>
      <c r="BK397" s="129"/>
      <c r="BL397" s="129"/>
      <c r="BM397" s="129"/>
      <c r="BN397" s="129"/>
      <c r="BO397" s="129"/>
      <c r="BP397" s="129"/>
      <c r="BQ397" s="129"/>
    </row>
    <row r="398" spans="1:69" s="139" customFormat="1" x14ac:dyDescent="0.25">
      <c r="A398" s="157"/>
      <c r="B398" s="137"/>
      <c r="C398" s="129"/>
      <c r="G398" s="140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28"/>
      <c r="AC398" s="128"/>
      <c r="AD398" s="128"/>
      <c r="AE398" s="128"/>
      <c r="AF398" s="128"/>
      <c r="AG398" s="129"/>
      <c r="AH398" s="129"/>
      <c r="AI398" s="129"/>
      <c r="AJ398" s="129"/>
      <c r="AK398" s="129"/>
      <c r="AL398" s="129"/>
      <c r="AM398" s="129"/>
      <c r="AN398" s="129"/>
      <c r="AO398" s="129"/>
      <c r="AP398" s="129"/>
      <c r="AQ398" s="130"/>
      <c r="AR398" s="130"/>
      <c r="AS398" s="129"/>
      <c r="AT398" s="129"/>
      <c r="AU398" s="129"/>
      <c r="AV398" s="129"/>
      <c r="AW398" s="129"/>
      <c r="AX398" s="129"/>
      <c r="AY398" s="129"/>
      <c r="AZ398" s="129"/>
      <c r="BA398" s="129"/>
      <c r="BB398" s="129"/>
      <c r="BC398" s="129"/>
      <c r="BD398" s="129"/>
      <c r="BE398" s="129"/>
      <c r="BF398" s="129"/>
      <c r="BG398" s="129"/>
      <c r="BH398" s="129"/>
      <c r="BI398" s="129"/>
      <c r="BJ398" s="129"/>
      <c r="BK398" s="129"/>
      <c r="BL398" s="129"/>
      <c r="BM398" s="129"/>
      <c r="BN398" s="129"/>
      <c r="BO398" s="129"/>
      <c r="BP398" s="129"/>
      <c r="BQ398" s="129"/>
    </row>
    <row r="399" spans="1:69" s="139" customFormat="1" x14ac:dyDescent="0.25">
      <c r="A399" s="157"/>
      <c r="B399" s="137"/>
      <c r="C399" s="129"/>
      <c r="G399" s="140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28"/>
      <c r="AC399" s="128"/>
      <c r="AD399" s="128"/>
      <c r="AE399" s="128"/>
      <c r="AF399" s="128"/>
      <c r="AG399" s="129"/>
      <c r="AH399" s="129"/>
      <c r="AI399" s="129"/>
      <c r="AJ399" s="129"/>
      <c r="AK399" s="129"/>
      <c r="AL399" s="129"/>
      <c r="AM399" s="129"/>
      <c r="AN399" s="129"/>
      <c r="AO399" s="129"/>
      <c r="AP399" s="129"/>
      <c r="AQ399" s="130"/>
      <c r="AR399" s="130"/>
      <c r="AS399" s="129"/>
      <c r="AT399" s="129"/>
      <c r="AU399" s="129"/>
      <c r="AV399" s="129"/>
      <c r="AW399" s="129"/>
      <c r="AX399" s="129"/>
      <c r="AY399" s="129"/>
      <c r="AZ399" s="129"/>
      <c r="BA399" s="129"/>
      <c r="BB399" s="129"/>
      <c r="BC399" s="129"/>
      <c r="BD399" s="129"/>
      <c r="BE399" s="129"/>
      <c r="BF399" s="129"/>
      <c r="BG399" s="129"/>
      <c r="BH399" s="129"/>
      <c r="BI399" s="129"/>
      <c r="BJ399" s="129"/>
      <c r="BK399" s="129"/>
      <c r="BL399" s="129"/>
      <c r="BM399" s="129"/>
      <c r="BN399" s="129"/>
      <c r="BO399" s="129"/>
      <c r="BP399" s="129"/>
      <c r="BQ399" s="129"/>
    </row>
    <row r="400" spans="1:69" s="139" customFormat="1" x14ac:dyDescent="0.25">
      <c r="A400" s="157"/>
      <c r="B400" s="137"/>
      <c r="C400" s="129"/>
      <c r="G400" s="140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28"/>
      <c r="AC400" s="128"/>
      <c r="AD400" s="128"/>
      <c r="AE400" s="128"/>
      <c r="AF400" s="128"/>
      <c r="AG400" s="129"/>
      <c r="AH400" s="129"/>
      <c r="AI400" s="129"/>
      <c r="AJ400" s="129"/>
      <c r="AK400" s="129"/>
      <c r="AL400" s="129"/>
      <c r="AM400" s="129"/>
      <c r="AN400" s="129"/>
      <c r="AO400" s="129"/>
      <c r="AP400" s="129"/>
      <c r="AQ400" s="130"/>
      <c r="AR400" s="130"/>
      <c r="AS400" s="129"/>
      <c r="AT400" s="129"/>
      <c r="AU400" s="129"/>
      <c r="AV400" s="129"/>
      <c r="AW400" s="129"/>
      <c r="AX400" s="129"/>
      <c r="AY400" s="129"/>
      <c r="AZ400" s="129"/>
      <c r="BA400" s="129"/>
      <c r="BB400" s="129"/>
      <c r="BC400" s="129"/>
      <c r="BD400" s="129"/>
      <c r="BE400" s="129"/>
      <c r="BF400" s="129"/>
      <c r="BG400" s="129"/>
      <c r="BH400" s="129"/>
      <c r="BI400" s="129"/>
      <c r="BJ400" s="129"/>
      <c r="BK400" s="129"/>
      <c r="BL400" s="129"/>
      <c r="BM400" s="129"/>
      <c r="BN400" s="129"/>
      <c r="BO400" s="129"/>
      <c r="BP400" s="129"/>
      <c r="BQ400" s="129"/>
    </row>
    <row r="401" spans="1:69" s="139" customFormat="1" x14ac:dyDescent="0.25">
      <c r="A401" s="157"/>
      <c r="B401" s="137"/>
      <c r="C401" s="129"/>
      <c r="G401" s="140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28"/>
      <c r="AC401" s="128"/>
      <c r="AD401" s="128"/>
      <c r="AE401" s="128"/>
      <c r="AF401" s="128"/>
      <c r="AG401" s="129"/>
      <c r="AH401" s="129"/>
      <c r="AI401" s="129"/>
      <c r="AJ401" s="129"/>
      <c r="AK401" s="129"/>
      <c r="AL401" s="129"/>
      <c r="AM401" s="129"/>
      <c r="AN401" s="129"/>
      <c r="AO401" s="129"/>
      <c r="AP401" s="129"/>
      <c r="AQ401" s="130"/>
      <c r="AR401" s="130"/>
      <c r="AS401" s="129"/>
      <c r="AT401" s="129"/>
      <c r="AU401" s="129"/>
      <c r="AV401" s="129"/>
      <c r="AW401" s="129"/>
      <c r="AX401" s="129"/>
      <c r="AY401" s="129"/>
      <c r="AZ401" s="129"/>
      <c r="BA401" s="129"/>
      <c r="BB401" s="129"/>
      <c r="BC401" s="129"/>
      <c r="BD401" s="129"/>
      <c r="BE401" s="129"/>
      <c r="BF401" s="129"/>
      <c r="BG401" s="129"/>
      <c r="BH401" s="129"/>
      <c r="BI401" s="129"/>
      <c r="BJ401" s="129"/>
      <c r="BK401" s="129"/>
      <c r="BL401" s="129"/>
      <c r="BM401" s="129"/>
      <c r="BN401" s="129"/>
      <c r="BO401" s="129"/>
      <c r="BP401" s="129"/>
      <c r="BQ401" s="129"/>
    </row>
    <row r="402" spans="1:69" s="139" customFormat="1" x14ac:dyDescent="0.25">
      <c r="A402" s="157"/>
      <c r="B402" s="137"/>
      <c r="C402" s="129"/>
      <c r="G402" s="140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28"/>
      <c r="AC402" s="128"/>
      <c r="AD402" s="128"/>
      <c r="AE402" s="128"/>
      <c r="AF402" s="128"/>
      <c r="AG402" s="129"/>
      <c r="AH402" s="129"/>
      <c r="AI402" s="129"/>
      <c r="AJ402" s="129"/>
      <c r="AK402" s="129"/>
      <c r="AL402" s="129"/>
      <c r="AM402" s="129"/>
      <c r="AN402" s="129"/>
      <c r="AO402" s="129"/>
      <c r="AP402" s="129"/>
      <c r="AQ402" s="130"/>
      <c r="AR402" s="130"/>
      <c r="AS402" s="129"/>
      <c r="AT402" s="129"/>
      <c r="AU402" s="129"/>
      <c r="AV402" s="129"/>
      <c r="AW402" s="129"/>
      <c r="AX402" s="129"/>
      <c r="AY402" s="129"/>
      <c r="AZ402" s="129"/>
      <c r="BA402" s="129"/>
      <c r="BB402" s="129"/>
      <c r="BC402" s="129"/>
      <c r="BD402" s="129"/>
      <c r="BE402" s="129"/>
      <c r="BF402" s="129"/>
      <c r="BG402" s="129"/>
      <c r="BH402" s="129"/>
      <c r="BI402" s="129"/>
      <c r="BJ402" s="129"/>
      <c r="BK402" s="129"/>
      <c r="BL402" s="129"/>
      <c r="BM402" s="129"/>
      <c r="BN402" s="129"/>
      <c r="BO402" s="129"/>
      <c r="BP402" s="129"/>
      <c r="BQ402" s="129"/>
    </row>
    <row r="403" spans="1:69" s="139" customFormat="1" x14ac:dyDescent="0.25">
      <c r="A403" s="157"/>
      <c r="B403" s="137"/>
      <c r="C403" s="129"/>
      <c r="G403" s="140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28"/>
      <c r="AC403" s="128"/>
      <c r="AD403" s="128"/>
      <c r="AE403" s="128"/>
      <c r="AF403" s="128"/>
      <c r="AG403" s="129"/>
      <c r="AH403" s="129"/>
      <c r="AI403" s="129"/>
      <c r="AJ403" s="129"/>
      <c r="AK403" s="129"/>
      <c r="AL403" s="129"/>
      <c r="AM403" s="129"/>
      <c r="AN403" s="129"/>
      <c r="AO403" s="129"/>
      <c r="AP403" s="129"/>
      <c r="AQ403" s="130"/>
      <c r="AR403" s="130"/>
      <c r="AS403" s="129"/>
      <c r="AT403" s="129"/>
      <c r="AU403" s="129"/>
      <c r="AV403" s="129"/>
      <c r="AW403" s="129"/>
      <c r="AX403" s="129"/>
      <c r="AY403" s="129"/>
      <c r="AZ403" s="129"/>
      <c r="BA403" s="129"/>
      <c r="BB403" s="129"/>
      <c r="BC403" s="129"/>
      <c r="BD403" s="129"/>
      <c r="BE403" s="129"/>
      <c r="BF403" s="129"/>
      <c r="BG403" s="129"/>
      <c r="BH403" s="129"/>
      <c r="BI403" s="129"/>
      <c r="BJ403" s="129"/>
      <c r="BK403" s="129"/>
      <c r="BL403" s="129"/>
      <c r="BM403" s="129"/>
      <c r="BN403" s="129"/>
      <c r="BO403" s="129"/>
      <c r="BP403" s="129"/>
      <c r="BQ403" s="129"/>
    </row>
    <row r="404" spans="1:69" s="139" customFormat="1" x14ac:dyDescent="0.25">
      <c r="A404" s="157"/>
      <c r="B404" s="137"/>
      <c r="C404" s="129"/>
      <c r="G404" s="140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28"/>
      <c r="AC404" s="128"/>
      <c r="AD404" s="128"/>
      <c r="AE404" s="128"/>
      <c r="AF404" s="128"/>
      <c r="AG404" s="129"/>
      <c r="AH404" s="129"/>
      <c r="AI404" s="129"/>
      <c r="AJ404" s="129"/>
      <c r="AK404" s="129"/>
      <c r="AL404" s="129"/>
      <c r="AM404" s="129"/>
      <c r="AN404" s="129"/>
      <c r="AO404" s="129"/>
      <c r="AP404" s="129"/>
      <c r="AQ404" s="130"/>
      <c r="AR404" s="130"/>
      <c r="AS404" s="129"/>
      <c r="AT404" s="129"/>
      <c r="AU404" s="129"/>
      <c r="AV404" s="129"/>
      <c r="AW404" s="129"/>
      <c r="AX404" s="129"/>
      <c r="AY404" s="129"/>
      <c r="AZ404" s="129"/>
      <c r="BA404" s="129"/>
      <c r="BB404" s="129"/>
      <c r="BC404" s="129"/>
      <c r="BD404" s="129"/>
      <c r="BE404" s="129"/>
      <c r="BF404" s="129"/>
      <c r="BG404" s="129"/>
      <c r="BH404" s="129"/>
      <c r="BI404" s="129"/>
      <c r="BJ404" s="129"/>
      <c r="BK404" s="129"/>
      <c r="BL404" s="129"/>
      <c r="BM404" s="129"/>
      <c r="BN404" s="129"/>
      <c r="BO404" s="129"/>
      <c r="BP404" s="129"/>
      <c r="BQ404" s="129"/>
    </row>
    <row r="405" spans="1:69" s="139" customFormat="1" x14ac:dyDescent="0.25">
      <c r="A405" s="157"/>
      <c r="B405" s="137"/>
      <c r="C405" s="129"/>
      <c r="G405" s="140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28"/>
      <c r="AC405" s="128"/>
      <c r="AD405" s="128"/>
      <c r="AE405" s="128"/>
      <c r="AF405" s="128"/>
      <c r="AG405" s="129"/>
      <c r="AH405" s="129"/>
      <c r="AI405" s="129"/>
      <c r="AJ405" s="129"/>
      <c r="AK405" s="129"/>
      <c r="AL405" s="129"/>
      <c r="AM405" s="129"/>
      <c r="AN405" s="129"/>
      <c r="AO405" s="129"/>
      <c r="AP405" s="129"/>
      <c r="AQ405" s="130"/>
      <c r="AR405" s="130"/>
      <c r="AS405" s="129"/>
      <c r="AT405" s="129"/>
      <c r="AU405" s="129"/>
      <c r="AV405" s="129"/>
      <c r="AW405" s="129"/>
      <c r="AX405" s="129"/>
      <c r="AY405" s="129"/>
      <c r="AZ405" s="129"/>
      <c r="BA405" s="129"/>
      <c r="BB405" s="129"/>
      <c r="BC405" s="129"/>
      <c r="BD405" s="129"/>
      <c r="BE405" s="129"/>
      <c r="BF405" s="129"/>
      <c r="BG405" s="129"/>
      <c r="BH405" s="129"/>
      <c r="BI405" s="129"/>
      <c r="BJ405" s="129"/>
      <c r="BK405" s="129"/>
      <c r="BL405" s="129"/>
      <c r="BM405" s="129"/>
      <c r="BN405" s="129"/>
      <c r="BO405" s="129"/>
      <c r="BP405" s="129"/>
      <c r="BQ405" s="129"/>
    </row>
    <row r="406" spans="1:69" s="139" customFormat="1" x14ac:dyDescent="0.25">
      <c r="A406" s="157"/>
      <c r="B406" s="137"/>
      <c r="C406" s="129"/>
      <c r="G406" s="140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28"/>
      <c r="AC406" s="128"/>
      <c r="AD406" s="128"/>
      <c r="AE406" s="128"/>
      <c r="AF406" s="128"/>
      <c r="AG406" s="129"/>
      <c r="AH406" s="129"/>
      <c r="AI406" s="129"/>
      <c r="AJ406" s="129"/>
      <c r="AK406" s="129"/>
      <c r="AL406" s="129"/>
      <c r="AM406" s="129"/>
      <c r="AN406" s="129"/>
      <c r="AO406" s="129"/>
      <c r="AP406" s="129"/>
      <c r="AQ406" s="130"/>
      <c r="AR406" s="130"/>
      <c r="AS406" s="129"/>
      <c r="AT406" s="129"/>
      <c r="AU406" s="129"/>
      <c r="AV406" s="129"/>
      <c r="AW406" s="129"/>
      <c r="AX406" s="129"/>
      <c r="AY406" s="129"/>
      <c r="AZ406" s="129"/>
      <c r="BA406" s="129"/>
      <c r="BB406" s="129"/>
      <c r="BC406" s="129"/>
      <c r="BD406" s="129"/>
      <c r="BE406" s="129"/>
      <c r="BF406" s="129"/>
      <c r="BG406" s="129"/>
      <c r="BH406" s="129"/>
      <c r="BI406" s="129"/>
      <c r="BJ406" s="129"/>
      <c r="BK406" s="129"/>
      <c r="BL406" s="129"/>
      <c r="BM406" s="129"/>
      <c r="BN406" s="129"/>
      <c r="BO406" s="129"/>
      <c r="BP406" s="129"/>
      <c r="BQ406" s="129"/>
    </row>
    <row r="407" spans="1:69" s="139" customFormat="1" x14ac:dyDescent="0.25">
      <c r="A407" s="157"/>
      <c r="B407" s="137"/>
      <c r="C407" s="129"/>
      <c r="G407" s="140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28"/>
      <c r="AC407" s="128"/>
      <c r="AD407" s="128"/>
      <c r="AE407" s="128"/>
      <c r="AF407" s="128"/>
      <c r="AG407" s="129"/>
      <c r="AH407" s="129"/>
      <c r="AI407" s="129"/>
      <c r="AJ407" s="129"/>
      <c r="AK407" s="129"/>
      <c r="AL407" s="129"/>
      <c r="AM407" s="129"/>
      <c r="AN407" s="129"/>
      <c r="AO407" s="129"/>
      <c r="AP407" s="129"/>
      <c r="AQ407" s="130"/>
      <c r="AR407" s="130"/>
      <c r="AS407" s="129"/>
      <c r="AT407" s="129"/>
      <c r="AU407" s="129"/>
      <c r="AV407" s="129"/>
      <c r="AW407" s="129"/>
      <c r="AX407" s="129"/>
      <c r="AY407" s="129"/>
      <c r="AZ407" s="129"/>
      <c r="BA407" s="129"/>
      <c r="BB407" s="129"/>
      <c r="BC407" s="129"/>
      <c r="BD407" s="129"/>
      <c r="BE407" s="129"/>
      <c r="BF407" s="129"/>
      <c r="BG407" s="129"/>
      <c r="BH407" s="129"/>
      <c r="BI407" s="129"/>
      <c r="BJ407" s="129"/>
      <c r="BK407" s="129"/>
      <c r="BL407" s="129"/>
      <c r="BM407" s="129"/>
      <c r="BN407" s="129"/>
      <c r="BO407" s="129"/>
      <c r="BP407" s="129"/>
      <c r="BQ407" s="129"/>
    </row>
    <row r="408" spans="1:69" s="139" customFormat="1" x14ac:dyDescent="0.25">
      <c r="A408" s="157"/>
      <c r="B408" s="137"/>
      <c r="C408" s="129"/>
      <c r="G408" s="140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28"/>
      <c r="AC408" s="128"/>
      <c r="AD408" s="128"/>
      <c r="AE408" s="128"/>
      <c r="AF408" s="128"/>
      <c r="AG408" s="129"/>
      <c r="AH408" s="129"/>
      <c r="AI408" s="129"/>
      <c r="AJ408" s="129"/>
      <c r="AK408" s="129"/>
      <c r="AL408" s="129"/>
      <c r="AM408" s="129"/>
      <c r="AN408" s="129"/>
      <c r="AO408" s="129"/>
      <c r="AP408" s="129"/>
      <c r="AQ408" s="130"/>
      <c r="AR408" s="130"/>
      <c r="AS408" s="129"/>
      <c r="AT408" s="129"/>
      <c r="AU408" s="129"/>
      <c r="AV408" s="129"/>
      <c r="AW408" s="129"/>
      <c r="AX408" s="129"/>
      <c r="AY408" s="129"/>
      <c r="AZ408" s="129"/>
      <c r="BA408" s="129"/>
      <c r="BB408" s="129"/>
      <c r="BC408" s="129"/>
      <c r="BD408" s="129"/>
      <c r="BE408" s="129"/>
      <c r="BF408" s="129"/>
      <c r="BG408" s="129"/>
      <c r="BH408" s="129"/>
      <c r="BI408" s="129"/>
      <c r="BJ408" s="129"/>
      <c r="BK408" s="129"/>
      <c r="BL408" s="129"/>
      <c r="BM408" s="129"/>
      <c r="BN408" s="129"/>
      <c r="BO408" s="129"/>
      <c r="BP408" s="129"/>
      <c r="BQ408" s="129"/>
    </row>
    <row r="409" spans="1:69" s="139" customFormat="1" x14ac:dyDescent="0.25">
      <c r="A409" s="157"/>
      <c r="B409" s="137"/>
      <c r="C409" s="129"/>
      <c r="G409" s="140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28"/>
      <c r="AC409" s="128"/>
      <c r="AD409" s="128"/>
      <c r="AE409" s="128"/>
      <c r="AF409" s="128"/>
      <c r="AG409" s="129"/>
      <c r="AH409" s="129"/>
      <c r="AI409" s="129"/>
      <c r="AJ409" s="129"/>
      <c r="AK409" s="129"/>
      <c r="AL409" s="129"/>
      <c r="AM409" s="129"/>
      <c r="AN409" s="129"/>
      <c r="AO409" s="129"/>
      <c r="AP409" s="129"/>
      <c r="AQ409" s="130"/>
      <c r="AR409" s="130"/>
      <c r="AS409" s="129"/>
      <c r="AT409" s="129"/>
      <c r="AU409" s="129"/>
      <c r="AV409" s="129"/>
      <c r="AW409" s="129"/>
      <c r="AX409" s="129"/>
      <c r="AY409" s="129"/>
      <c r="AZ409" s="129"/>
      <c r="BA409" s="129"/>
      <c r="BB409" s="129"/>
      <c r="BC409" s="129"/>
      <c r="BD409" s="129"/>
      <c r="BE409" s="129"/>
      <c r="BF409" s="129"/>
      <c r="BG409" s="129"/>
      <c r="BH409" s="129"/>
      <c r="BI409" s="129"/>
      <c r="BJ409" s="129"/>
      <c r="BK409" s="129"/>
      <c r="BL409" s="129"/>
      <c r="BM409" s="129"/>
      <c r="BN409" s="129"/>
      <c r="BO409" s="129"/>
      <c r="BP409" s="129"/>
      <c r="BQ409" s="129"/>
    </row>
    <row r="410" spans="1:69" s="139" customFormat="1" x14ac:dyDescent="0.25">
      <c r="A410" s="157"/>
      <c r="B410" s="137"/>
      <c r="C410" s="129"/>
      <c r="G410" s="140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28"/>
      <c r="AC410" s="128"/>
      <c r="AD410" s="128"/>
      <c r="AE410" s="128"/>
      <c r="AF410" s="128"/>
      <c r="AG410" s="129"/>
      <c r="AH410" s="129"/>
      <c r="AI410" s="129"/>
      <c r="AJ410" s="129"/>
      <c r="AK410" s="129"/>
      <c r="AL410" s="129"/>
      <c r="AM410" s="129"/>
      <c r="AN410" s="129"/>
      <c r="AO410" s="129"/>
      <c r="AP410" s="129"/>
      <c r="AQ410" s="130"/>
      <c r="AR410" s="130"/>
      <c r="AS410" s="129"/>
      <c r="AT410" s="129"/>
      <c r="AU410" s="129"/>
      <c r="AV410" s="129"/>
      <c r="AW410" s="129"/>
      <c r="AX410" s="129"/>
      <c r="AY410" s="129"/>
      <c r="AZ410" s="129"/>
      <c r="BA410" s="129"/>
      <c r="BB410" s="129"/>
      <c r="BC410" s="129"/>
      <c r="BD410" s="129"/>
      <c r="BE410" s="129"/>
      <c r="BF410" s="129"/>
      <c r="BG410" s="129"/>
      <c r="BH410" s="129"/>
      <c r="BI410" s="129"/>
      <c r="BJ410" s="129"/>
      <c r="BK410" s="129"/>
      <c r="BL410" s="129"/>
      <c r="BM410" s="129"/>
      <c r="BN410" s="129"/>
      <c r="BO410" s="129"/>
      <c r="BP410" s="129"/>
      <c r="BQ410" s="129"/>
    </row>
    <row r="411" spans="1:69" s="139" customFormat="1" x14ac:dyDescent="0.25">
      <c r="A411" s="157"/>
      <c r="B411" s="137"/>
      <c r="C411" s="129"/>
      <c r="G411" s="140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28"/>
      <c r="AC411" s="128"/>
      <c r="AD411" s="128"/>
      <c r="AE411" s="128"/>
      <c r="AF411" s="128"/>
      <c r="AG411" s="129"/>
      <c r="AH411" s="129"/>
      <c r="AI411" s="129"/>
      <c r="AJ411" s="129"/>
      <c r="AK411" s="129"/>
      <c r="AL411" s="129"/>
      <c r="AM411" s="129"/>
      <c r="AN411" s="129"/>
      <c r="AO411" s="129"/>
      <c r="AP411" s="129"/>
      <c r="AQ411" s="130"/>
      <c r="AR411" s="130"/>
      <c r="AS411" s="129"/>
      <c r="AT411" s="129"/>
      <c r="AU411" s="129"/>
      <c r="AV411" s="129"/>
      <c r="AW411" s="129"/>
      <c r="AX411" s="129"/>
      <c r="AY411" s="129"/>
      <c r="AZ411" s="129"/>
      <c r="BA411" s="129"/>
      <c r="BB411" s="129"/>
      <c r="BC411" s="129"/>
      <c r="BD411" s="129"/>
      <c r="BE411" s="129"/>
      <c r="BF411" s="129"/>
      <c r="BG411" s="129"/>
      <c r="BH411" s="129"/>
      <c r="BI411" s="129"/>
      <c r="BJ411" s="129"/>
      <c r="BK411" s="129"/>
      <c r="BL411" s="129"/>
      <c r="BM411" s="129"/>
      <c r="BN411" s="129"/>
      <c r="BO411" s="129"/>
      <c r="BP411" s="129"/>
      <c r="BQ411" s="129"/>
    </row>
    <row r="412" spans="1:69" s="139" customFormat="1" x14ac:dyDescent="0.25">
      <c r="A412" s="157"/>
      <c r="B412" s="137"/>
      <c r="C412" s="129"/>
      <c r="G412" s="140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28"/>
      <c r="AC412" s="128"/>
      <c r="AD412" s="128"/>
      <c r="AE412" s="128"/>
      <c r="AF412" s="128"/>
      <c r="AG412" s="129"/>
      <c r="AH412" s="129"/>
      <c r="AI412" s="129"/>
      <c r="AJ412" s="129"/>
      <c r="AK412" s="129"/>
      <c r="AL412" s="129"/>
      <c r="AM412" s="129"/>
      <c r="AN412" s="129"/>
      <c r="AO412" s="129"/>
      <c r="AP412" s="129"/>
      <c r="AQ412" s="130"/>
      <c r="AR412" s="130"/>
      <c r="AS412" s="129"/>
      <c r="AT412" s="129"/>
      <c r="AU412" s="129"/>
      <c r="AV412" s="129"/>
      <c r="AW412" s="129"/>
      <c r="AX412" s="129"/>
      <c r="AY412" s="129"/>
      <c r="AZ412" s="129"/>
      <c r="BA412" s="129"/>
      <c r="BB412" s="129"/>
      <c r="BC412" s="129"/>
      <c r="BD412" s="129"/>
      <c r="BE412" s="129"/>
      <c r="BF412" s="129"/>
      <c r="BG412" s="129"/>
      <c r="BH412" s="129"/>
      <c r="BI412" s="129"/>
      <c r="BJ412" s="129"/>
      <c r="BK412" s="129"/>
      <c r="BL412" s="129"/>
      <c r="BM412" s="129"/>
      <c r="BN412" s="129"/>
      <c r="BO412" s="129"/>
      <c r="BP412" s="129"/>
      <c r="BQ412" s="129"/>
    </row>
    <row r="413" spans="1:69" s="139" customFormat="1" x14ac:dyDescent="0.25">
      <c r="A413" s="157"/>
      <c r="B413" s="137"/>
      <c r="C413" s="129"/>
      <c r="G413" s="140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28"/>
      <c r="AC413" s="128"/>
      <c r="AD413" s="128"/>
      <c r="AE413" s="128"/>
      <c r="AF413" s="128"/>
      <c r="AG413" s="129"/>
      <c r="AH413" s="129"/>
      <c r="AI413" s="129"/>
      <c r="AJ413" s="129"/>
      <c r="AK413" s="129"/>
      <c r="AL413" s="129"/>
      <c r="AM413" s="129"/>
      <c r="AN413" s="129"/>
      <c r="AO413" s="129"/>
      <c r="AP413" s="129"/>
      <c r="AQ413" s="130"/>
      <c r="AR413" s="130"/>
      <c r="AS413" s="129"/>
      <c r="AT413" s="129"/>
      <c r="AU413" s="129"/>
      <c r="AV413" s="129"/>
      <c r="AW413" s="129"/>
      <c r="AX413" s="129"/>
      <c r="AY413" s="129"/>
      <c r="AZ413" s="129"/>
      <c r="BA413" s="129"/>
      <c r="BB413" s="129"/>
      <c r="BC413" s="129"/>
      <c r="BD413" s="129"/>
      <c r="BE413" s="129"/>
      <c r="BF413" s="129"/>
      <c r="BG413" s="129"/>
      <c r="BH413" s="129"/>
      <c r="BI413" s="129"/>
      <c r="BJ413" s="129"/>
      <c r="BK413" s="129"/>
      <c r="BL413" s="129"/>
      <c r="BM413" s="129"/>
      <c r="BN413" s="129"/>
      <c r="BO413" s="129"/>
      <c r="BP413" s="129"/>
      <c r="BQ413" s="129"/>
    </row>
    <row r="414" spans="1:69" s="139" customFormat="1" x14ac:dyDescent="0.25">
      <c r="A414" s="157"/>
      <c r="B414" s="137"/>
      <c r="C414" s="129"/>
      <c r="G414" s="140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28"/>
      <c r="AC414" s="128"/>
      <c r="AD414" s="128"/>
      <c r="AE414" s="128"/>
      <c r="AF414" s="128"/>
      <c r="AG414" s="129"/>
      <c r="AH414" s="129"/>
      <c r="AI414" s="129"/>
      <c r="AJ414" s="129"/>
      <c r="AK414" s="129"/>
      <c r="AL414" s="129"/>
      <c r="AM414" s="129"/>
      <c r="AN414" s="129"/>
      <c r="AO414" s="129"/>
      <c r="AP414" s="129"/>
      <c r="AQ414" s="130"/>
      <c r="AR414" s="130"/>
      <c r="AS414" s="129"/>
      <c r="AT414" s="129"/>
      <c r="AU414" s="129"/>
      <c r="AV414" s="129"/>
      <c r="AW414" s="129"/>
      <c r="AX414" s="129"/>
      <c r="AY414" s="129"/>
      <c r="AZ414" s="129"/>
      <c r="BA414" s="129"/>
      <c r="BB414" s="129"/>
      <c r="BC414" s="129"/>
      <c r="BD414" s="129"/>
      <c r="BE414" s="129"/>
      <c r="BF414" s="129"/>
      <c r="BG414" s="129"/>
      <c r="BH414" s="129"/>
      <c r="BI414" s="129"/>
      <c r="BJ414" s="129"/>
      <c r="BK414" s="129"/>
      <c r="BL414" s="129"/>
      <c r="BM414" s="129"/>
      <c r="BN414" s="129"/>
      <c r="BO414" s="129"/>
      <c r="BP414" s="129"/>
      <c r="BQ414" s="129"/>
    </row>
    <row r="415" spans="1:69" s="139" customFormat="1" x14ac:dyDescent="0.25">
      <c r="A415" s="157"/>
      <c r="B415" s="137"/>
      <c r="C415" s="129"/>
      <c r="G415" s="140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28"/>
      <c r="AC415" s="128"/>
      <c r="AD415" s="128"/>
      <c r="AE415" s="128"/>
      <c r="AF415" s="128"/>
      <c r="AG415" s="129"/>
      <c r="AH415" s="129"/>
      <c r="AI415" s="129"/>
      <c r="AJ415" s="129"/>
      <c r="AK415" s="129"/>
      <c r="AL415" s="129"/>
      <c r="AM415" s="129"/>
      <c r="AN415" s="129"/>
      <c r="AO415" s="129"/>
      <c r="AP415" s="129"/>
      <c r="AQ415" s="130"/>
      <c r="AR415" s="130"/>
      <c r="AS415" s="129"/>
      <c r="AT415" s="129"/>
      <c r="AU415" s="129"/>
      <c r="AV415" s="129"/>
      <c r="AW415" s="129"/>
      <c r="AX415" s="129"/>
      <c r="AY415" s="129"/>
      <c r="AZ415" s="129"/>
      <c r="BA415" s="129"/>
      <c r="BB415" s="129"/>
      <c r="BC415" s="129"/>
      <c r="BD415" s="129"/>
      <c r="BE415" s="129"/>
      <c r="BF415" s="129"/>
      <c r="BG415" s="129"/>
      <c r="BH415" s="129"/>
      <c r="BI415" s="129"/>
      <c r="BJ415" s="129"/>
      <c r="BK415" s="129"/>
      <c r="BL415" s="129"/>
      <c r="BM415" s="129"/>
      <c r="BN415" s="129"/>
      <c r="BO415" s="129"/>
      <c r="BP415" s="129"/>
      <c r="BQ415" s="129"/>
    </row>
    <row r="416" spans="1:69" s="139" customFormat="1" x14ac:dyDescent="0.25">
      <c r="A416" s="157"/>
      <c r="B416" s="137"/>
      <c r="C416" s="129"/>
      <c r="G416" s="140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28"/>
      <c r="AC416" s="128"/>
      <c r="AD416" s="128"/>
      <c r="AE416" s="128"/>
      <c r="AF416" s="128"/>
      <c r="AG416" s="129"/>
      <c r="AH416" s="129"/>
      <c r="AI416" s="129"/>
      <c r="AJ416" s="129"/>
      <c r="AK416" s="129"/>
      <c r="AL416" s="129"/>
      <c r="AM416" s="129"/>
      <c r="AN416" s="129"/>
      <c r="AO416" s="129"/>
      <c r="AP416" s="129"/>
      <c r="AQ416" s="130"/>
      <c r="AR416" s="130"/>
      <c r="AS416" s="129"/>
      <c r="AT416" s="129"/>
      <c r="AU416" s="129"/>
      <c r="AV416" s="129"/>
      <c r="AW416" s="129"/>
      <c r="AX416" s="129"/>
      <c r="AY416" s="129"/>
      <c r="AZ416" s="129"/>
      <c r="BA416" s="129"/>
      <c r="BB416" s="129"/>
      <c r="BC416" s="129"/>
      <c r="BD416" s="129"/>
      <c r="BE416" s="129"/>
      <c r="BF416" s="129"/>
      <c r="BG416" s="129"/>
      <c r="BH416" s="129"/>
      <c r="BI416" s="129"/>
      <c r="BJ416" s="129"/>
      <c r="BK416" s="129"/>
      <c r="BL416" s="129"/>
      <c r="BM416" s="129"/>
      <c r="BN416" s="129"/>
      <c r="BO416" s="129"/>
      <c r="BP416" s="129"/>
      <c r="BQ416" s="129"/>
    </row>
    <row r="417" spans="1:69" s="139" customFormat="1" x14ac:dyDescent="0.25">
      <c r="A417" s="157"/>
      <c r="B417" s="137"/>
      <c r="C417" s="129"/>
      <c r="G417" s="140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28"/>
      <c r="AC417" s="128"/>
      <c r="AD417" s="128"/>
      <c r="AE417" s="128"/>
      <c r="AF417" s="128"/>
      <c r="AG417" s="129"/>
      <c r="AH417" s="129"/>
      <c r="AI417" s="129"/>
      <c r="AJ417" s="129"/>
      <c r="AK417" s="129"/>
      <c r="AL417" s="129"/>
      <c r="AM417" s="129"/>
      <c r="AN417" s="129"/>
      <c r="AO417" s="129"/>
      <c r="AP417" s="129"/>
      <c r="AQ417" s="130"/>
      <c r="AR417" s="130"/>
      <c r="AS417" s="129"/>
      <c r="AT417" s="129"/>
      <c r="AU417" s="129"/>
      <c r="AV417" s="129"/>
      <c r="AW417" s="129"/>
      <c r="AX417" s="129"/>
      <c r="AY417" s="129"/>
      <c r="AZ417" s="129"/>
      <c r="BA417" s="129"/>
      <c r="BB417" s="129"/>
      <c r="BC417" s="129"/>
      <c r="BD417" s="129"/>
      <c r="BE417" s="129"/>
      <c r="BF417" s="129"/>
      <c r="BG417" s="129"/>
      <c r="BH417" s="129"/>
      <c r="BI417" s="129"/>
      <c r="BJ417" s="129"/>
      <c r="BK417" s="129"/>
      <c r="BL417" s="129"/>
      <c r="BM417" s="129"/>
      <c r="BN417" s="129"/>
      <c r="BO417" s="129"/>
      <c r="BP417" s="129"/>
      <c r="BQ417" s="129"/>
    </row>
    <row r="418" spans="1:69" s="139" customFormat="1" x14ac:dyDescent="0.25">
      <c r="A418" s="157"/>
      <c r="B418" s="137"/>
      <c r="C418" s="129"/>
      <c r="G418" s="140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28"/>
      <c r="AC418" s="128"/>
      <c r="AD418" s="128"/>
      <c r="AE418" s="128"/>
      <c r="AF418" s="128"/>
      <c r="AG418" s="129"/>
      <c r="AH418" s="129"/>
      <c r="AI418" s="129"/>
      <c r="AJ418" s="129"/>
      <c r="AK418" s="129"/>
      <c r="AL418" s="129"/>
      <c r="AM418" s="129"/>
      <c r="AN418" s="129"/>
      <c r="AO418" s="129"/>
      <c r="AP418" s="129"/>
      <c r="AQ418" s="130"/>
      <c r="AR418" s="130"/>
      <c r="AS418" s="129"/>
      <c r="AT418" s="129"/>
      <c r="AU418" s="129"/>
      <c r="AV418" s="129"/>
      <c r="AW418" s="129"/>
      <c r="AX418" s="129"/>
      <c r="AY418" s="129"/>
      <c r="AZ418" s="129"/>
      <c r="BA418" s="129"/>
      <c r="BB418" s="129"/>
      <c r="BC418" s="129"/>
      <c r="BD418" s="129"/>
      <c r="BE418" s="129"/>
      <c r="BF418" s="129"/>
      <c r="BG418" s="129"/>
      <c r="BH418" s="129"/>
      <c r="BI418" s="129"/>
      <c r="BJ418" s="129"/>
      <c r="BK418" s="129"/>
      <c r="BL418" s="129"/>
      <c r="BM418" s="129"/>
      <c r="BN418" s="129"/>
      <c r="BO418" s="129"/>
      <c r="BP418" s="129"/>
      <c r="BQ418" s="129"/>
    </row>
    <row r="419" spans="1:69" s="139" customFormat="1" x14ac:dyDescent="0.25">
      <c r="A419" s="157"/>
      <c r="B419" s="137"/>
      <c r="C419" s="129"/>
      <c r="G419" s="140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28"/>
      <c r="AC419" s="128"/>
      <c r="AD419" s="128"/>
      <c r="AE419" s="128"/>
      <c r="AF419" s="128"/>
      <c r="AG419" s="129"/>
      <c r="AH419" s="129"/>
      <c r="AI419" s="129"/>
      <c r="AJ419" s="129"/>
      <c r="AK419" s="129"/>
      <c r="AL419" s="129"/>
      <c r="AM419" s="129"/>
      <c r="AN419" s="129"/>
      <c r="AO419" s="129"/>
      <c r="AP419" s="129"/>
      <c r="AQ419" s="130"/>
      <c r="AR419" s="130"/>
      <c r="AS419" s="129"/>
      <c r="AT419" s="129"/>
      <c r="AU419" s="129"/>
      <c r="AV419" s="129"/>
      <c r="AW419" s="129"/>
      <c r="AX419" s="129"/>
      <c r="AY419" s="129"/>
      <c r="AZ419" s="129"/>
      <c r="BA419" s="129"/>
      <c r="BB419" s="129"/>
      <c r="BC419" s="129"/>
      <c r="BD419" s="129"/>
      <c r="BE419" s="129"/>
      <c r="BF419" s="129"/>
      <c r="BG419" s="129"/>
      <c r="BH419" s="129"/>
      <c r="BI419" s="129"/>
      <c r="BJ419" s="129"/>
      <c r="BK419" s="129"/>
      <c r="BL419" s="129"/>
      <c r="BM419" s="129"/>
      <c r="BN419" s="129"/>
      <c r="BO419" s="129"/>
      <c r="BP419" s="129"/>
      <c r="BQ419" s="129"/>
    </row>
    <row r="420" spans="1:69" s="139" customFormat="1" x14ac:dyDescent="0.25">
      <c r="A420" s="157"/>
      <c r="B420" s="137"/>
      <c r="C420" s="129"/>
      <c r="G420" s="140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28"/>
      <c r="AC420" s="128"/>
      <c r="AD420" s="128"/>
      <c r="AE420" s="128"/>
      <c r="AF420" s="128"/>
      <c r="AG420" s="129"/>
      <c r="AH420" s="129"/>
      <c r="AI420" s="129"/>
      <c r="AJ420" s="129"/>
      <c r="AK420" s="129"/>
      <c r="AL420" s="129"/>
      <c r="AM420" s="129"/>
      <c r="AN420" s="129"/>
      <c r="AO420" s="129"/>
      <c r="AP420" s="129"/>
      <c r="AQ420" s="130"/>
      <c r="AR420" s="130"/>
      <c r="AS420" s="129"/>
      <c r="AT420" s="129"/>
      <c r="AU420" s="129"/>
      <c r="AV420" s="129"/>
      <c r="AW420" s="129"/>
      <c r="AX420" s="129"/>
      <c r="AY420" s="129"/>
      <c r="AZ420" s="129"/>
      <c r="BA420" s="129"/>
      <c r="BB420" s="129"/>
      <c r="BC420" s="129"/>
      <c r="BD420" s="129"/>
      <c r="BE420" s="129"/>
      <c r="BF420" s="129"/>
      <c r="BG420" s="129"/>
      <c r="BH420" s="129"/>
      <c r="BI420" s="129"/>
      <c r="BJ420" s="129"/>
      <c r="BK420" s="129"/>
      <c r="BL420" s="129"/>
      <c r="BM420" s="129"/>
      <c r="BN420" s="129"/>
      <c r="BO420" s="129"/>
      <c r="BP420" s="129"/>
      <c r="BQ420" s="129"/>
    </row>
    <row r="421" spans="1:69" s="139" customFormat="1" x14ac:dyDescent="0.25">
      <c r="A421" s="157"/>
      <c r="B421" s="137"/>
      <c r="C421" s="129"/>
      <c r="G421" s="140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28"/>
      <c r="AC421" s="128"/>
      <c r="AD421" s="128"/>
      <c r="AE421" s="128"/>
      <c r="AF421" s="128"/>
      <c r="AG421" s="129"/>
      <c r="AH421" s="129"/>
      <c r="AI421" s="129"/>
      <c r="AJ421" s="129"/>
      <c r="AK421" s="129"/>
      <c r="AL421" s="129"/>
      <c r="AM421" s="129"/>
      <c r="AN421" s="129"/>
      <c r="AO421" s="129"/>
      <c r="AP421" s="129"/>
      <c r="AQ421" s="130"/>
      <c r="AR421" s="130"/>
      <c r="AS421" s="129"/>
      <c r="AT421" s="129"/>
      <c r="AU421" s="129"/>
      <c r="AV421" s="129"/>
      <c r="AW421" s="129"/>
      <c r="AX421" s="129"/>
      <c r="AY421" s="129"/>
      <c r="AZ421" s="129"/>
      <c r="BA421" s="129"/>
      <c r="BB421" s="129"/>
      <c r="BC421" s="129"/>
      <c r="BD421" s="129"/>
      <c r="BE421" s="129"/>
      <c r="BF421" s="129"/>
      <c r="BG421" s="129"/>
      <c r="BH421" s="129"/>
      <c r="BI421" s="129"/>
      <c r="BJ421" s="129"/>
      <c r="BK421" s="129"/>
      <c r="BL421" s="129"/>
      <c r="BM421" s="129"/>
      <c r="BN421" s="129"/>
      <c r="BO421" s="129"/>
      <c r="BP421" s="129"/>
      <c r="BQ421" s="129"/>
    </row>
    <row r="422" spans="1:69" s="139" customFormat="1" x14ac:dyDescent="0.25">
      <c r="A422" s="157"/>
      <c r="B422" s="137"/>
      <c r="C422" s="129"/>
      <c r="G422" s="140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28"/>
      <c r="AC422" s="128"/>
      <c r="AD422" s="128"/>
      <c r="AE422" s="128"/>
      <c r="AF422" s="128"/>
      <c r="AG422" s="129"/>
      <c r="AH422" s="129"/>
      <c r="AI422" s="129"/>
      <c r="AJ422" s="129"/>
      <c r="AK422" s="129"/>
      <c r="AL422" s="129"/>
      <c r="AM422" s="129"/>
      <c r="AN422" s="129"/>
      <c r="AO422" s="129"/>
      <c r="AP422" s="129"/>
      <c r="AQ422" s="130"/>
      <c r="AR422" s="130"/>
      <c r="AS422" s="129"/>
      <c r="AT422" s="129"/>
      <c r="AU422" s="129"/>
      <c r="AV422" s="129"/>
      <c r="AW422" s="129"/>
      <c r="AX422" s="129"/>
      <c r="AY422" s="129"/>
      <c r="AZ422" s="129"/>
      <c r="BA422" s="129"/>
      <c r="BB422" s="129"/>
      <c r="BC422" s="129"/>
      <c r="BD422" s="129"/>
      <c r="BE422" s="129"/>
      <c r="BF422" s="129"/>
      <c r="BG422" s="129"/>
      <c r="BH422" s="129"/>
      <c r="BI422" s="129"/>
      <c r="BJ422" s="129"/>
      <c r="BK422" s="129"/>
      <c r="BL422" s="129"/>
      <c r="BM422" s="129"/>
      <c r="BN422" s="129"/>
      <c r="BO422" s="129"/>
      <c r="BP422" s="129"/>
      <c r="BQ422" s="129"/>
    </row>
    <row r="423" spans="1:69" s="139" customFormat="1" x14ac:dyDescent="0.25">
      <c r="A423" s="157"/>
      <c r="B423" s="137"/>
      <c r="C423" s="129"/>
      <c r="G423" s="140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28"/>
      <c r="AC423" s="128"/>
      <c r="AD423" s="128"/>
      <c r="AE423" s="128"/>
      <c r="AF423" s="128"/>
      <c r="AG423" s="129"/>
      <c r="AH423" s="129"/>
      <c r="AI423" s="129"/>
      <c r="AJ423" s="129"/>
      <c r="AK423" s="129"/>
      <c r="AL423" s="129"/>
      <c r="AM423" s="129"/>
      <c r="AN423" s="129"/>
      <c r="AO423" s="129"/>
      <c r="AP423" s="129"/>
      <c r="AQ423" s="130"/>
      <c r="AR423" s="130"/>
      <c r="AS423" s="129"/>
      <c r="AT423" s="129"/>
      <c r="AU423" s="129"/>
      <c r="AV423" s="129"/>
      <c r="AW423" s="129"/>
      <c r="AX423" s="129"/>
      <c r="AY423" s="129"/>
      <c r="AZ423" s="129"/>
      <c r="BA423" s="129"/>
      <c r="BB423" s="129"/>
      <c r="BC423" s="129"/>
      <c r="BD423" s="129"/>
      <c r="BE423" s="129"/>
      <c r="BF423" s="129"/>
      <c r="BG423" s="129"/>
      <c r="BH423" s="129"/>
      <c r="BI423" s="129"/>
      <c r="BJ423" s="129"/>
      <c r="BK423" s="129"/>
      <c r="BL423" s="129"/>
      <c r="BM423" s="129"/>
      <c r="BN423" s="129"/>
      <c r="BO423" s="129"/>
      <c r="BP423" s="129"/>
      <c r="BQ423" s="129"/>
    </row>
    <row r="424" spans="1:69" s="139" customFormat="1" x14ac:dyDescent="0.25">
      <c r="A424" s="157"/>
      <c r="B424" s="137"/>
      <c r="C424" s="129"/>
      <c r="G424" s="140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28"/>
      <c r="AC424" s="128"/>
      <c r="AD424" s="128"/>
      <c r="AE424" s="128"/>
      <c r="AF424" s="128"/>
      <c r="AG424" s="129"/>
      <c r="AH424" s="129"/>
      <c r="AI424" s="129"/>
      <c r="AJ424" s="129"/>
      <c r="AK424" s="129"/>
      <c r="AL424" s="129"/>
      <c r="AM424" s="129"/>
      <c r="AN424" s="129"/>
      <c r="AO424" s="129"/>
      <c r="AP424" s="129"/>
      <c r="AQ424" s="130"/>
      <c r="AR424" s="130"/>
      <c r="AS424" s="129"/>
      <c r="AT424" s="129"/>
      <c r="AU424" s="129"/>
      <c r="AV424" s="129"/>
      <c r="AW424" s="129"/>
      <c r="AX424" s="129"/>
      <c r="AY424" s="129"/>
      <c r="AZ424" s="129"/>
      <c r="BA424" s="129"/>
      <c r="BB424" s="129"/>
      <c r="BC424" s="129"/>
      <c r="BD424" s="129"/>
      <c r="BE424" s="129"/>
      <c r="BF424" s="129"/>
      <c r="BG424" s="129"/>
      <c r="BH424" s="129"/>
      <c r="BI424" s="129"/>
      <c r="BJ424" s="129"/>
      <c r="BK424" s="129"/>
      <c r="BL424" s="129"/>
      <c r="BM424" s="129"/>
      <c r="BN424" s="129"/>
      <c r="BO424" s="129"/>
      <c r="BP424" s="129"/>
      <c r="BQ424" s="129"/>
    </row>
    <row r="425" spans="1:69" s="139" customFormat="1" x14ac:dyDescent="0.25">
      <c r="A425" s="157"/>
      <c r="B425" s="137"/>
      <c r="C425" s="129"/>
      <c r="G425" s="140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28"/>
      <c r="AC425" s="128"/>
      <c r="AD425" s="128"/>
      <c r="AE425" s="128"/>
      <c r="AF425" s="128"/>
      <c r="AG425" s="129"/>
      <c r="AH425" s="129"/>
      <c r="AI425" s="129"/>
      <c r="AJ425" s="129"/>
      <c r="AK425" s="129"/>
      <c r="AL425" s="129"/>
      <c r="AM425" s="129"/>
      <c r="AN425" s="129"/>
      <c r="AO425" s="129"/>
      <c r="AP425" s="129"/>
      <c r="AQ425" s="130"/>
      <c r="AR425" s="130"/>
      <c r="AS425" s="129"/>
      <c r="AT425" s="129"/>
      <c r="AU425" s="129"/>
      <c r="AV425" s="129"/>
      <c r="AW425" s="129"/>
      <c r="AX425" s="129"/>
      <c r="AY425" s="129"/>
      <c r="AZ425" s="129"/>
      <c r="BA425" s="129"/>
      <c r="BB425" s="129"/>
      <c r="BC425" s="129"/>
      <c r="BD425" s="129"/>
      <c r="BE425" s="129"/>
      <c r="BF425" s="129"/>
      <c r="BG425" s="129"/>
      <c r="BH425" s="129"/>
      <c r="BI425" s="129"/>
      <c r="BJ425" s="129"/>
      <c r="BK425" s="129"/>
      <c r="BL425" s="129"/>
      <c r="BM425" s="129"/>
      <c r="BN425" s="129"/>
      <c r="BO425" s="129"/>
      <c r="BP425" s="129"/>
      <c r="BQ425" s="129"/>
    </row>
    <row r="426" spans="1:69" s="139" customFormat="1" x14ac:dyDescent="0.25">
      <c r="A426" s="157"/>
      <c r="B426" s="137"/>
      <c r="C426" s="129"/>
      <c r="G426" s="140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28"/>
      <c r="AC426" s="128"/>
      <c r="AD426" s="128"/>
      <c r="AE426" s="128"/>
      <c r="AF426" s="128"/>
      <c r="AG426" s="129"/>
      <c r="AH426" s="129"/>
      <c r="AI426" s="129"/>
      <c r="AJ426" s="129"/>
      <c r="AK426" s="129"/>
      <c r="AL426" s="129"/>
      <c r="AM426" s="129"/>
      <c r="AN426" s="129"/>
      <c r="AO426" s="129"/>
      <c r="AP426" s="129"/>
      <c r="AQ426" s="130"/>
      <c r="AR426" s="130"/>
      <c r="AS426" s="129"/>
      <c r="AT426" s="129"/>
      <c r="AU426" s="129"/>
      <c r="AV426" s="129"/>
      <c r="AW426" s="129"/>
      <c r="AX426" s="129"/>
      <c r="AY426" s="129"/>
      <c r="AZ426" s="129"/>
      <c r="BA426" s="129"/>
      <c r="BB426" s="129"/>
      <c r="BC426" s="129"/>
      <c r="BD426" s="129"/>
      <c r="BE426" s="129"/>
      <c r="BF426" s="129"/>
      <c r="BG426" s="129"/>
      <c r="BH426" s="129"/>
      <c r="BI426" s="129"/>
      <c r="BJ426" s="129"/>
      <c r="BK426" s="129"/>
      <c r="BL426" s="129"/>
      <c r="BM426" s="129"/>
      <c r="BN426" s="129"/>
      <c r="BO426" s="129"/>
      <c r="BP426" s="129"/>
      <c r="BQ426" s="129"/>
    </row>
    <row r="427" spans="1:69" s="139" customFormat="1" x14ac:dyDescent="0.25">
      <c r="A427" s="157"/>
      <c r="B427" s="137"/>
      <c r="C427" s="129"/>
      <c r="G427" s="140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28"/>
      <c r="AC427" s="128"/>
      <c r="AD427" s="128"/>
      <c r="AE427" s="128"/>
      <c r="AF427" s="128"/>
      <c r="AG427" s="129"/>
      <c r="AH427" s="129"/>
      <c r="AI427" s="129"/>
      <c r="AJ427" s="129"/>
      <c r="AK427" s="129"/>
      <c r="AL427" s="129"/>
      <c r="AM427" s="129"/>
      <c r="AN427" s="129"/>
      <c r="AO427" s="129"/>
      <c r="AP427" s="129"/>
      <c r="AQ427" s="130"/>
      <c r="AR427" s="130"/>
      <c r="AS427" s="129"/>
      <c r="AT427" s="129"/>
      <c r="AU427" s="129"/>
      <c r="AV427" s="129"/>
      <c r="AW427" s="129"/>
      <c r="AX427" s="129"/>
      <c r="AY427" s="129"/>
      <c r="AZ427" s="129"/>
      <c r="BA427" s="129"/>
      <c r="BB427" s="129"/>
      <c r="BC427" s="129"/>
      <c r="BD427" s="129"/>
      <c r="BE427" s="129"/>
      <c r="BF427" s="129"/>
      <c r="BG427" s="129"/>
      <c r="BH427" s="129"/>
      <c r="BI427" s="129"/>
      <c r="BJ427" s="129"/>
      <c r="BK427" s="129"/>
      <c r="BL427" s="129"/>
      <c r="BM427" s="129"/>
      <c r="BN427" s="129"/>
      <c r="BO427" s="129"/>
      <c r="BP427" s="129"/>
      <c r="BQ427" s="129"/>
    </row>
    <row r="428" spans="1:69" s="139" customFormat="1" x14ac:dyDescent="0.25">
      <c r="A428" s="157"/>
      <c r="B428" s="137"/>
      <c r="C428" s="129"/>
      <c r="G428" s="140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28"/>
      <c r="AC428" s="128"/>
      <c r="AD428" s="128"/>
      <c r="AE428" s="128"/>
      <c r="AF428" s="128"/>
      <c r="AG428" s="129"/>
      <c r="AH428" s="129"/>
      <c r="AI428" s="129"/>
      <c r="AJ428" s="129"/>
      <c r="AK428" s="129"/>
      <c r="AL428" s="129"/>
      <c r="AM428" s="129"/>
      <c r="AN428" s="129"/>
      <c r="AO428" s="129"/>
      <c r="AP428" s="129"/>
      <c r="AQ428" s="130"/>
      <c r="AR428" s="130"/>
      <c r="AS428" s="129"/>
      <c r="AT428" s="129"/>
      <c r="AU428" s="129"/>
      <c r="AV428" s="129"/>
      <c r="AW428" s="129"/>
      <c r="AX428" s="129"/>
      <c r="AY428" s="129"/>
      <c r="AZ428" s="129"/>
      <c r="BA428" s="129"/>
      <c r="BB428" s="129"/>
      <c r="BC428" s="129"/>
      <c r="BD428" s="129"/>
      <c r="BE428" s="129"/>
      <c r="BF428" s="129"/>
      <c r="BG428" s="129"/>
      <c r="BH428" s="129"/>
      <c r="BI428" s="129"/>
      <c r="BJ428" s="129"/>
      <c r="BK428" s="129"/>
      <c r="BL428" s="129"/>
      <c r="BM428" s="129"/>
      <c r="BN428" s="129"/>
      <c r="BO428" s="129"/>
      <c r="BP428" s="129"/>
      <c r="BQ428" s="129"/>
    </row>
    <row r="429" spans="1:69" s="139" customFormat="1" x14ac:dyDescent="0.25">
      <c r="A429" s="157"/>
      <c r="B429" s="137"/>
      <c r="C429" s="129"/>
      <c r="G429" s="140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28"/>
      <c r="AC429" s="128"/>
      <c r="AD429" s="128"/>
      <c r="AE429" s="128"/>
      <c r="AF429" s="128"/>
      <c r="AG429" s="129"/>
      <c r="AH429" s="129"/>
      <c r="AI429" s="129"/>
      <c r="AJ429" s="129"/>
      <c r="AK429" s="129"/>
      <c r="AL429" s="129"/>
      <c r="AM429" s="129"/>
      <c r="AN429" s="129"/>
      <c r="AO429" s="129"/>
      <c r="AP429" s="129"/>
      <c r="AQ429" s="130"/>
      <c r="AR429" s="130"/>
      <c r="AS429" s="129"/>
      <c r="AT429" s="129"/>
      <c r="AU429" s="129"/>
      <c r="AV429" s="129"/>
      <c r="AW429" s="129"/>
      <c r="AX429" s="129"/>
      <c r="AY429" s="129"/>
      <c r="AZ429" s="129"/>
      <c r="BA429" s="129"/>
      <c r="BB429" s="129"/>
      <c r="BC429" s="129"/>
      <c r="BD429" s="129"/>
      <c r="BE429" s="129"/>
      <c r="BF429" s="129"/>
      <c r="BG429" s="129"/>
      <c r="BH429" s="129"/>
      <c r="BI429" s="129"/>
      <c r="BJ429" s="129"/>
      <c r="BK429" s="129"/>
      <c r="BL429" s="129"/>
      <c r="BM429" s="129"/>
      <c r="BN429" s="129"/>
      <c r="BO429" s="129"/>
      <c r="BP429" s="129"/>
      <c r="BQ429" s="129"/>
    </row>
    <row r="430" spans="1:69" s="139" customFormat="1" x14ac:dyDescent="0.25">
      <c r="A430" s="157"/>
      <c r="B430" s="137"/>
      <c r="C430" s="129"/>
      <c r="G430" s="140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28"/>
      <c r="AC430" s="128"/>
      <c r="AD430" s="128"/>
      <c r="AE430" s="128"/>
      <c r="AF430" s="128"/>
      <c r="AG430" s="129"/>
      <c r="AH430" s="129"/>
      <c r="AI430" s="129"/>
      <c r="AJ430" s="129"/>
      <c r="AK430" s="129"/>
      <c r="AL430" s="129"/>
      <c r="AM430" s="129"/>
      <c r="AN430" s="129"/>
      <c r="AO430" s="129"/>
      <c r="AP430" s="129"/>
      <c r="AQ430" s="130"/>
      <c r="AR430" s="130"/>
      <c r="AS430" s="129"/>
      <c r="AT430" s="129"/>
      <c r="AU430" s="129"/>
      <c r="AV430" s="129"/>
      <c r="AW430" s="129"/>
      <c r="AX430" s="129"/>
      <c r="AY430" s="129"/>
      <c r="AZ430" s="129"/>
      <c r="BA430" s="129"/>
      <c r="BB430" s="129"/>
      <c r="BC430" s="129"/>
      <c r="BD430" s="129"/>
      <c r="BE430" s="129"/>
      <c r="BF430" s="129"/>
      <c r="BG430" s="129"/>
      <c r="BH430" s="129"/>
      <c r="BI430" s="129"/>
      <c r="BJ430" s="129"/>
      <c r="BK430" s="129"/>
      <c r="BL430" s="129"/>
      <c r="BM430" s="129"/>
      <c r="BN430" s="129"/>
      <c r="BO430" s="129"/>
      <c r="BP430" s="129"/>
      <c r="BQ430" s="129"/>
    </row>
    <row r="431" spans="1:69" s="139" customFormat="1" x14ac:dyDescent="0.25">
      <c r="A431" s="157"/>
      <c r="B431" s="137"/>
      <c r="C431" s="129"/>
      <c r="G431" s="140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28"/>
      <c r="AC431" s="128"/>
      <c r="AD431" s="128"/>
      <c r="AE431" s="128"/>
      <c r="AF431" s="128"/>
      <c r="AG431" s="129"/>
      <c r="AH431" s="129"/>
      <c r="AI431" s="129"/>
      <c r="AJ431" s="129"/>
      <c r="AK431" s="129"/>
      <c r="AL431" s="129"/>
      <c r="AM431" s="129"/>
      <c r="AN431" s="129"/>
      <c r="AO431" s="129"/>
      <c r="AP431" s="129"/>
      <c r="AQ431" s="130"/>
      <c r="AR431" s="130"/>
      <c r="AS431" s="129"/>
      <c r="AT431" s="129"/>
      <c r="AU431" s="129"/>
      <c r="AV431" s="129"/>
      <c r="AW431" s="129"/>
      <c r="AX431" s="129"/>
      <c r="AY431" s="129"/>
      <c r="AZ431" s="129"/>
      <c r="BA431" s="129"/>
      <c r="BB431" s="129"/>
      <c r="BC431" s="129"/>
      <c r="BD431" s="129"/>
      <c r="BE431" s="129"/>
      <c r="BF431" s="129"/>
      <c r="BG431" s="129"/>
      <c r="BH431" s="129"/>
      <c r="BI431" s="129"/>
      <c r="BJ431" s="129"/>
      <c r="BK431" s="129"/>
      <c r="BL431" s="129"/>
      <c r="BM431" s="129"/>
      <c r="BN431" s="129"/>
      <c r="BO431" s="129"/>
      <c r="BP431" s="129"/>
      <c r="BQ431" s="129"/>
    </row>
    <row r="432" spans="1:69" s="139" customFormat="1" x14ac:dyDescent="0.25">
      <c r="A432" s="157"/>
      <c r="B432" s="137"/>
      <c r="C432" s="129"/>
      <c r="G432" s="140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28"/>
      <c r="AC432" s="128"/>
      <c r="AD432" s="128"/>
      <c r="AE432" s="128"/>
      <c r="AF432" s="128"/>
      <c r="AG432" s="129"/>
      <c r="AH432" s="129"/>
      <c r="AI432" s="129"/>
      <c r="AJ432" s="129"/>
      <c r="AK432" s="129"/>
      <c r="AL432" s="129"/>
      <c r="AM432" s="129"/>
      <c r="AN432" s="129"/>
      <c r="AO432" s="129"/>
      <c r="AP432" s="129"/>
      <c r="AQ432" s="130"/>
      <c r="AR432" s="130"/>
      <c r="AS432" s="129"/>
      <c r="AT432" s="129"/>
      <c r="AU432" s="129"/>
      <c r="AV432" s="129"/>
      <c r="AW432" s="129"/>
      <c r="AX432" s="129"/>
      <c r="AY432" s="129"/>
      <c r="AZ432" s="129"/>
      <c r="BA432" s="129"/>
      <c r="BB432" s="129"/>
      <c r="BC432" s="129"/>
      <c r="BD432" s="129"/>
      <c r="BE432" s="129"/>
      <c r="BF432" s="129"/>
      <c r="BG432" s="129"/>
      <c r="BH432" s="129"/>
      <c r="BI432" s="129"/>
      <c r="BJ432" s="129"/>
      <c r="BK432" s="129"/>
      <c r="BL432" s="129"/>
      <c r="BM432" s="129"/>
      <c r="BN432" s="129"/>
      <c r="BO432" s="129"/>
      <c r="BP432" s="129"/>
      <c r="BQ432" s="129"/>
    </row>
    <row r="433" spans="1:69" s="139" customFormat="1" x14ac:dyDescent="0.25">
      <c r="A433" s="157"/>
      <c r="B433" s="137"/>
      <c r="C433" s="129"/>
      <c r="G433" s="140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28"/>
      <c r="AC433" s="128"/>
      <c r="AD433" s="128"/>
      <c r="AE433" s="128"/>
      <c r="AF433" s="128"/>
      <c r="AG433" s="129"/>
      <c r="AH433" s="129"/>
      <c r="AI433" s="129"/>
      <c r="AJ433" s="129"/>
      <c r="AK433" s="129"/>
      <c r="AL433" s="129"/>
      <c r="AM433" s="129"/>
      <c r="AN433" s="129"/>
      <c r="AO433" s="129"/>
      <c r="AP433" s="129"/>
      <c r="AQ433" s="130"/>
      <c r="AR433" s="130"/>
      <c r="AS433" s="129"/>
      <c r="AT433" s="129"/>
      <c r="AU433" s="129"/>
      <c r="AV433" s="129"/>
      <c r="AW433" s="129"/>
      <c r="AX433" s="129"/>
      <c r="AY433" s="129"/>
      <c r="AZ433" s="129"/>
      <c r="BA433" s="129"/>
      <c r="BB433" s="129"/>
      <c r="BC433" s="129"/>
      <c r="BD433" s="129"/>
      <c r="BE433" s="129"/>
      <c r="BF433" s="129"/>
      <c r="BG433" s="129"/>
      <c r="BH433" s="129"/>
      <c r="BI433" s="129"/>
      <c r="BJ433" s="129"/>
      <c r="BK433" s="129"/>
      <c r="BL433" s="129"/>
      <c r="BM433" s="129"/>
      <c r="BN433" s="129"/>
      <c r="BO433" s="129"/>
      <c r="BP433" s="129"/>
      <c r="BQ433" s="129"/>
    </row>
    <row r="434" spans="1:69" s="139" customFormat="1" x14ac:dyDescent="0.25">
      <c r="A434" s="157"/>
      <c r="B434" s="137"/>
      <c r="C434" s="129"/>
      <c r="G434" s="140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28"/>
      <c r="AC434" s="128"/>
      <c r="AD434" s="128"/>
      <c r="AE434" s="128"/>
      <c r="AF434" s="128"/>
      <c r="AG434" s="129"/>
      <c r="AH434" s="129"/>
      <c r="AI434" s="129"/>
      <c r="AJ434" s="129"/>
      <c r="AK434" s="129"/>
      <c r="AL434" s="129"/>
      <c r="AM434" s="129"/>
      <c r="AN434" s="129"/>
      <c r="AO434" s="129"/>
      <c r="AP434" s="129"/>
      <c r="AQ434" s="130"/>
      <c r="AR434" s="130"/>
      <c r="AS434" s="129"/>
      <c r="AT434" s="129"/>
      <c r="AU434" s="129"/>
      <c r="AV434" s="129"/>
      <c r="AW434" s="129"/>
      <c r="AX434" s="129"/>
      <c r="AY434" s="129"/>
      <c r="AZ434" s="129"/>
      <c r="BA434" s="129"/>
      <c r="BB434" s="129"/>
      <c r="BC434" s="129"/>
      <c r="BD434" s="129"/>
      <c r="BE434" s="129"/>
      <c r="BF434" s="129"/>
      <c r="BG434" s="129"/>
      <c r="BH434" s="129"/>
      <c r="BI434" s="129"/>
      <c r="BJ434" s="129"/>
      <c r="BK434" s="129"/>
      <c r="BL434" s="129"/>
      <c r="BM434" s="129"/>
      <c r="BN434" s="129"/>
      <c r="BO434" s="129"/>
      <c r="BP434" s="129"/>
      <c r="BQ434" s="129"/>
    </row>
    <row r="435" spans="1:69" s="139" customFormat="1" x14ac:dyDescent="0.25">
      <c r="A435" s="157"/>
      <c r="B435" s="137"/>
      <c r="C435" s="129"/>
      <c r="G435" s="140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28"/>
      <c r="AC435" s="128"/>
      <c r="AD435" s="128"/>
      <c r="AE435" s="128"/>
      <c r="AF435" s="128"/>
      <c r="AG435" s="129"/>
      <c r="AH435" s="129"/>
      <c r="AI435" s="129"/>
      <c r="AJ435" s="129"/>
      <c r="AK435" s="129"/>
      <c r="AL435" s="129"/>
      <c r="AM435" s="129"/>
      <c r="AN435" s="129"/>
      <c r="AO435" s="129"/>
      <c r="AP435" s="129"/>
      <c r="AQ435" s="130"/>
      <c r="AR435" s="130"/>
      <c r="AS435" s="129"/>
      <c r="AT435" s="129"/>
      <c r="AU435" s="129"/>
      <c r="AV435" s="129"/>
      <c r="AW435" s="129"/>
      <c r="AX435" s="129"/>
      <c r="AY435" s="129"/>
      <c r="AZ435" s="129"/>
      <c r="BA435" s="129"/>
      <c r="BB435" s="129"/>
      <c r="BC435" s="129"/>
      <c r="BD435" s="129"/>
      <c r="BE435" s="129"/>
      <c r="BF435" s="129"/>
      <c r="BG435" s="129"/>
      <c r="BH435" s="129"/>
      <c r="BI435" s="129"/>
      <c r="BJ435" s="129"/>
      <c r="BK435" s="129"/>
      <c r="BL435" s="129"/>
      <c r="BM435" s="129"/>
      <c r="BN435" s="129"/>
      <c r="BO435" s="129"/>
      <c r="BP435" s="129"/>
      <c r="BQ435" s="129"/>
    </row>
    <row r="436" spans="1:69" s="139" customFormat="1" x14ac:dyDescent="0.25">
      <c r="A436" s="157"/>
      <c r="B436" s="137"/>
      <c r="C436" s="129"/>
      <c r="G436" s="140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28"/>
      <c r="AC436" s="128"/>
      <c r="AD436" s="128"/>
      <c r="AE436" s="128"/>
      <c r="AF436" s="128"/>
      <c r="AG436" s="129"/>
      <c r="AH436" s="129"/>
      <c r="AI436" s="129"/>
      <c r="AJ436" s="129"/>
      <c r="AK436" s="129"/>
      <c r="AL436" s="129"/>
      <c r="AM436" s="129"/>
      <c r="AN436" s="129"/>
      <c r="AO436" s="129"/>
      <c r="AP436" s="129"/>
      <c r="AQ436" s="130"/>
      <c r="AR436" s="130"/>
      <c r="AS436" s="129"/>
      <c r="AT436" s="129"/>
      <c r="AU436" s="129"/>
      <c r="AV436" s="129"/>
      <c r="AW436" s="129"/>
      <c r="AX436" s="129"/>
      <c r="AY436" s="129"/>
      <c r="AZ436" s="129"/>
      <c r="BA436" s="129"/>
      <c r="BB436" s="129"/>
      <c r="BC436" s="129"/>
      <c r="BD436" s="129"/>
      <c r="BE436" s="129"/>
      <c r="BF436" s="129"/>
      <c r="BG436" s="129"/>
      <c r="BH436" s="129"/>
      <c r="BI436" s="129"/>
      <c r="BJ436" s="129"/>
      <c r="BK436" s="129"/>
      <c r="BL436" s="129"/>
      <c r="BM436" s="129"/>
      <c r="BN436" s="129"/>
      <c r="BO436" s="129"/>
      <c r="BP436" s="129"/>
      <c r="BQ436" s="129"/>
    </row>
    <row r="437" spans="1:69" s="139" customFormat="1" x14ac:dyDescent="0.25">
      <c r="A437" s="157"/>
      <c r="B437" s="137"/>
      <c r="C437" s="129"/>
      <c r="G437" s="140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28"/>
      <c r="AC437" s="128"/>
      <c r="AD437" s="128"/>
      <c r="AE437" s="128"/>
      <c r="AF437" s="128"/>
      <c r="AG437" s="129"/>
      <c r="AH437" s="129"/>
      <c r="AI437" s="129"/>
      <c r="AJ437" s="129"/>
      <c r="AK437" s="129"/>
      <c r="AL437" s="129"/>
      <c r="AM437" s="129"/>
      <c r="AN437" s="129"/>
      <c r="AO437" s="129"/>
      <c r="AP437" s="129"/>
      <c r="AQ437" s="130"/>
      <c r="AR437" s="130"/>
      <c r="AS437" s="129"/>
      <c r="AT437" s="129"/>
      <c r="AU437" s="129"/>
      <c r="AV437" s="129"/>
      <c r="AW437" s="129"/>
      <c r="AX437" s="129"/>
      <c r="AY437" s="129"/>
      <c r="AZ437" s="129"/>
      <c r="BA437" s="129"/>
      <c r="BB437" s="129"/>
      <c r="BC437" s="129"/>
      <c r="BD437" s="129"/>
      <c r="BE437" s="129"/>
      <c r="BF437" s="129"/>
      <c r="BG437" s="129"/>
      <c r="BH437" s="129"/>
      <c r="BI437" s="129"/>
      <c r="BJ437" s="129"/>
      <c r="BK437" s="129"/>
      <c r="BL437" s="129"/>
      <c r="BM437" s="129"/>
      <c r="BN437" s="129"/>
      <c r="BO437" s="129"/>
      <c r="BP437" s="129"/>
      <c r="BQ437" s="129"/>
    </row>
    <row r="438" spans="1:69" s="139" customFormat="1" x14ac:dyDescent="0.25">
      <c r="A438" s="157"/>
      <c r="B438" s="137"/>
      <c r="C438" s="129"/>
      <c r="G438" s="140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28"/>
      <c r="AC438" s="128"/>
      <c r="AD438" s="128"/>
      <c r="AE438" s="128"/>
      <c r="AF438" s="128"/>
      <c r="AG438" s="129"/>
      <c r="AH438" s="129"/>
      <c r="AI438" s="129"/>
      <c r="AJ438" s="129"/>
      <c r="AK438" s="129"/>
      <c r="AL438" s="129"/>
      <c r="AM438" s="129"/>
      <c r="AN438" s="129"/>
      <c r="AO438" s="129"/>
      <c r="AP438" s="129"/>
      <c r="AQ438" s="130"/>
      <c r="AR438" s="130"/>
      <c r="AS438" s="129"/>
      <c r="AT438" s="129"/>
      <c r="AU438" s="129"/>
      <c r="AV438" s="129"/>
      <c r="AW438" s="129"/>
      <c r="AX438" s="129"/>
      <c r="AY438" s="129"/>
      <c r="AZ438" s="129"/>
      <c r="BA438" s="129"/>
      <c r="BB438" s="129"/>
      <c r="BC438" s="129"/>
      <c r="BD438" s="129"/>
      <c r="BE438" s="129"/>
      <c r="BF438" s="129"/>
      <c r="BG438" s="129"/>
      <c r="BH438" s="129"/>
      <c r="BI438" s="129"/>
      <c r="BJ438" s="129"/>
      <c r="BK438" s="129"/>
      <c r="BL438" s="129"/>
      <c r="BM438" s="129"/>
      <c r="BN438" s="129"/>
      <c r="BO438" s="129"/>
      <c r="BP438" s="129"/>
      <c r="BQ438" s="129"/>
    </row>
    <row r="439" spans="1:69" s="139" customFormat="1" x14ac:dyDescent="0.25">
      <c r="A439" s="157"/>
      <c r="B439" s="137"/>
      <c r="C439" s="129"/>
      <c r="G439" s="140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28"/>
      <c r="AC439" s="128"/>
      <c r="AD439" s="128"/>
      <c r="AE439" s="128"/>
      <c r="AF439" s="128"/>
      <c r="AG439" s="129"/>
      <c r="AH439" s="129"/>
      <c r="AI439" s="129"/>
      <c r="AJ439" s="129"/>
      <c r="AK439" s="129"/>
      <c r="AL439" s="129"/>
      <c r="AM439" s="129"/>
      <c r="AN439" s="129"/>
      <c r="AO439" s="129"/>
      <c r="AP439" s="129"/>
      <c r="AQ439" s="130"/>
      <c r="AR439" s="130"/>
      <c r="AS439" s="129"/>
      <c r="AT439" s="129"/>
      <c r="AU439" s="129"/>
      <c r="AV439" s="129"/>
      <c r="AW439" s="129"/>
      <c r="AX439" s="129"/>
      <c r="AY439" s="129"/>
      <c r="AZ439" s="129"/>
      <c r="BA439" s="129"/>
      <c r="BB439" s="129"/>
      <c r="BC439" s="129"/>
      <c r="BD439" s="129"/>
      <c r="BE439" s="129"/>
      <c r="BF439" s="129"/>
      <c r="BG439" s="129"/>
      <c r="BH439" s="129"/>
      <c r="BI439" s="129"/>
      <c r="BJ439" s="129"/>
      <c r="BK439" s="129"/>
      <c r="BL439" s="129"/>
      <c r="BM439" s="129"/>
      <c r="BN439" s="129"/>
      <c r="BO439" s="129"/>
      <c r="BP439" s="129"/>
      <c r="BQ439" s="129"/>
    </row>
    <row r="440" spans="1:69" s="139" customFormat="1" x14ac:dyDescent="0.25">
      <c r="A440" s="157"/>
      <c r="B440" s="137"/>
      <c r="C440" s="129"/>
      <c r="G440" s="140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28"/>
      <c r="AC440" s="128"/>
      <c r="AD440" s="128"/>
      <c r="AE440" s="128"/>
      <c r="AF440" s="128"/>
      <c r="AG440" s="129"/>
      <c r="AH440" s="129"/>
      <c r="AI440" s="129"/>
      <c r="AJ440" s="129"/>
      <c r="AK440" s="129"/>
      <c r="AL440" s="129"/>
      <c r="AM440" s="129"/>
      <c r="AN440" s="129"/>
      <c r="AO440" s="129"/>
      <c r="AP440" s="129"/>
      <c r="AQ440" s="130"/>
      <c r="AR440" s="130"/>
      <c r="AS440" s="129"/>
      <c r="AT440" s="129"/>
      <c r="AU440" s="129"/>
      <c r="AV440" s="129"/>
      <c r="AW440" s="129"/>
      <c r="AX440" s="129"/>
      <c r="AY440" s="129"/>
      <c r="AZ440" s="129"/>
      <c r="BA440" s="129"/>
      <c r="BB440" s="129"/>
      <c r="BC440" s="129"/>
      <c r="BD440" s="129"/>
      <c r="BE440" s="129"/>
      <c r="BF440" s="129"/>
      <c r="BG440" s="129"/>
      <c r="BH440" s="129"/>
      <c r="BI440" s="129"/>
      <c r="BJ440" s="129"/>
      <c r="BK440" s="129"/>
      <c r="BL440" s="129"/>
      <c r="BM440" s="129"/>
      <c r="BN440" s="129"/>
      <c r="BO440" s="129"/>
      <c r="BP440" s="129"/>
      <c r="BQ440" s="129"/>
    </row>
    <row r="441" spans="1:69" s="139" customFormat="1" x14ac:dyDescent="0.25">
      <c r="A441" s="157"/>
      <c r="B441" s="137"/>
      <c r="C441" s="129"/>
      <c r="G441" s="140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28"/>
      <c r="AC441" s="128"/>
      <c r="AD441" s="128"/>
      <c r="AE441" s="128"/>
      <c r="AF441" s="128"/>
      <c r="AG441" s="129"/>
      <c r="AH441" s="129"/>
      <c r="AI441" s="129"/>
      <c r="AJ441" s="129"/>
      <c r="AK441" s="129"/>
      <c r="AL441" s="129"/>
      <c r="AM441" s="129"/>
      <c r="AN441" s="129"/>
      <c r="AO441" s="129"/>
      <c r="AP441" s="129"/>
      <c r="AQ441" s="130"/>
      <c r="AR441" s="130"/>
      <c r="AS441" s="129"/>
      <c r="AT441" s="129"/>
      <c r="AU441" s="129"/>
      <c r="AV441" s="129"/>
      <c r="AW441" s="129"/>
      <c r="AX441" s="129"/>
      <c r="AY441" s="129"/>
      <c r="AZ441" s="129"/>
      <c r="BA441" s="129"/>
      <c r="BB441" s="129"/>
      <c r="BC441" s="129"/>
      <c r="BD441" s="129"/>
      <c r="BE441" s="129"/>
      <c r="BF441" s="129"/>
      <c r="BG441" s="129"/>
      <c r="BH441" s="129"/>
      <c r="BI441" s="129"/>
      <c r="BJ441" s="129"/>
      <c r="BK441" s="129"/>
      <c r="BL441" s="129"/>
      <c r="BM441" s="129"/>
      <c r="BN441" s="129"/>
      <c r="BO441" s="129"/>
      <c r="BP441" s="129"/>
      <c r="BQ441" s="129"/>
    </row>
    <row r="442" spans="1:69" s="139" customFormat="1" x14ac:dyDescent="0.25">
      <c r="A442" s="157"/>
      <c r="B442" s="137"/>
      <c r="C442" s="129"/>
      <c r="G442" s="140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28"/>
      <c r="AC442" s="128"/>
      <c r="AD442" s="128"/>
      <c r="AE442" s="128"/>
      <c r="AF442" s="128"/>
      <c r="AG442" s="129"/>
      <c r="AH442" s="129"/>
      <c r="AI442" s="129"/>
      <c r="AJ442" s="129"/>
      <c r="AK442" s="129"/>
      <c r="AL442" s="129"/>
      <c r="AM442" s="129"/>
      <c r="AN442" s="129"/>
      <c r="AO442" s="129"/>
      <c r="AP442" s="129"/>
      <c r="AQ442" s="130"/>
      <c r="AR442" s="130"/>
      <c r="AS442" s="129"/>
      <c r="AT442" s="129"/>
      <c r="AU442" s="129"/>
      <c r="AV442" s="129"/>
      <c r="AW442" s="129"/>
      <c r="AX442" s="129"/>
      <c r="AY442" s="129"/>
      <c r="AZ442" s="129"/>
      <c r="BA442" s="129"/>
      <c r="BB442" s="129"/>
      <c r="BC442" s="129"/>
      <c r="BD442" s="129"/>
      <c r="BE442" s="129"/>
      <c r="BF442" s="129"/>
      <c r="BG442" s="129"/>
      <c r="BH442" s="129"/>
      <c r="BI442" s="129"/>
      <c r="BJ442" s="129"/>
      <c r="BK442" s="129"/>
      <c r="BL442" s="129"/>
      <c r="BM442" s="129"/>
      <c r="BN442" s="129"/>
      <c r="BO442" s="129"/>
      <c r="BP442" s="129"/>
      <c r="BQ442" s="129"/>
    </row>
    <row r="443" spans="1:69" s="139" customFormat="1" x14ac:dyDescent="0.25">
      <c r="A443" s="157"/>
      <c r="B443" s="137"/>
      <c r="C443" s="129"/>
      <c r="G443" s="140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28"/>
      <c r="AC443" s="128"/>
      <c r="AD443" s="128"/>
      <c r="AE443" s="128"/>
      <c r="AF443" s="128"/>
      <c r="AG443" s="129"/>
      <c r="AH443" s="129"/>
      <c r="AI443" s="129"/>
      <c r="AJ443" s="129"/>
      <c r="AK443" s="129"/>
      <c r="AL443" s="129"/>
      <c r="AM443" s="129"/>
      <c r="AN443" s="129"/>
      <c r="AO443" s="129"/>
      <c r="AP443" s="129"/>
      <c r="AQ443" s="130"/>
      <c r="AR443" s="130"/>
      <c r="AS443" s="129"/>
      <c r="AT443" s="129"/>
      <c r="AU443" s="129"/>
      <c r="AV443" s="129"/>
      <c r="AW443" s="129"/>
      <c r="AX443" s="129"/>
      <c r="AY443" s="129"/>
      <c r="AZ443" s="129"/>
      <c r="BA443" s="129"/>
      <c r="BB443" s="129"/>
      <c r="BC443" s="129"/>
      <c r="BD443" s="129"/>
      <c r="BE443" s="129"/>
      <c r="BF443" s="129"/>
      <c r="BG443" s="129"/>
      <c r="BH443" s="129"/>
      <c r="BI443" s="129"/>
      <c r="BJ443" s="129"/>
      <c r="BK443" s="129"/>
      <c r="BL443" s="129"/>
      <c r="BM443" s="129"/>
      <c r="BN443" s="129"/>
      <c r="BO443" s="129"/>
      <c r="BP443" s="129"/>
      <c r="BQ443" s="129"/>
    </row>
    <row r="444" spans="1:69" s="139" customFormat="1" x14ac:dyDescent="0.25">
      <c r="A444" s="157"/>
      <c r="B444" s="137"/>
      <c r="C444" s="129"/>
      <c r="G444" s="140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28"/>
      <c r="AC444" s="128"/>
      <c r="AD444" s="128"/>
      <c r="AE444" s="128"/>
      <c r="AF444" s="128"/>
      <c r="AG444" s="129"/>
      <c r="AH444" s="129"/>
      <c r="AI444" s="129"/>
      <c r="AJ444" s="129"/>
      <c r="AK444" s="129"/>
      <c r="AL444" s="129"/>
      <c r="AM444" s="129"/>
      <c r="AN444" s="129"/>
      <c r="AO444" s="129"/>
      <c r="AP444" s="129"/>
      <c r="AQ444" s="130"/>
      <c r="AR444" s="130"/>
      <c r="AS444" s="129"/>
      <c r="AT444" s="129"/>
      <c r="AU444" s="129"/>
      <c r="AV444" s="129"/>
      <c r="AW444" s="129"/>
      <c r="AX444" s="129"/>
      <c r="AY444" s="129"/>
      <c r="AZ444" s="129"/>
      <c r="BA444" s="129"/>
      <c r="BB444" s="129"/>
      <c r="BC444" s="129"/>
      <c r="BD444" s="129"/>
      <c r="BE444" s="129"/>
      <c r="BF444" s="129"/>
      <c r="BG444" s="129"/>
      <c r="BH444" s="129"/>
      <c r="BI444" s="129"/>
      <c r="BJ444" s="129"/>
      <c r="BK444" s="129"/>
      <c r="BL444" s="129"/>
      <c r="BM444" s="129"/>
      <c r="BN444" s="129"/>
      <c r="BO444" s="129"/>
      <c r="BP444" s="129"/>
      <c r="BQ444" s="129"/>
    </row>
    <row r="445" spans="1:69" s="139" customFormat="1" x14ac:dyDescent="0.25">
      <c r="A445" s="157"/>
      <c r="B445" s="137"/>
      <c r="C445" s="129"/>
      <c r="G445" s="140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28"/>
      <c r="AC445" s="128"/>
      <c r="AD445" s="128"/>
      <c r="AE445" s="128"/>
      <c r="AF445" s="128"/>
      <c r="AG445" s="129"/>
      <c r="AH445" s="129"/>
      <c r="AI445" s="129"/>
      <c r="AJ445" s="129"/>
      <c r="AK445" s="129"/>
      <c r="AL445" s="129"/>
      <c r="AM445" s="129"/>
      <c r="AN445" s="129"/>
      <c r="AO445" s="129"/>
      <c r="AP445" s="129"/>
      <c r="AQ445" s="130"/>
      <c r="AR445" s="130"/>
      <c r="AS445" s="129"/>
      <c r="AT445" s="129"/>
      <c r="AU445" s="129"/>
      <c r="AV445" s="129"/>
      <c r="AW445" s="129"/>
      <c r="AX445" s="129"/>
      <c r="AY445" s="129"/>
      <c r="AZ445" s="129"/>
      <c r="BA445" s="129"/>
      <c r="BB445" s="129"/>
      <c r="BC445" s="129"/>
      <c r="BD445" s="129"/>
      <c r="BE445" s="129"/>
      <c r="BF445" s="129"/>
      <c r="BG445" s="129"/>
      <c r="BH445" s="129"/>
      <c r="BI445" s="129"/>
      <c r="BJ445" s="129"/>
      <c r="BK445" s="129"/>
      <c r="BL445" s="129"/>
      <c r="BM445" s="129"/>
      <c r="BN445" s="129"/>
      <c r="BO445" s="129"/>
      <c r="BP445" s="129"/>
      <c r="BQ445" s="129"/>
    </row>
    <row r="446" spans="1:69" s="139" customFormat="1" x14ac:dyDescent="0.25">
      <c r="A446" s="157"/>
      <c r="B446" s="137"/>
      <c r="C446" s="129"/>
      <c r="G446" s="140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28"/>
      <c r="AC446" s="128"/>
      <c r="AD446" s="128"/>
      <c r="AE446" s="128"/>
      <c r="AF446" s="128"/>
      <c r="AG446" s="129"/>
      <c r="AH446" s="129"/>
      <c r="AI446" s="129"/>
      <c r="AJ446" s="129"/>
      <c r="AK446" s="129"/>
      <c r="AL446" s="129"/>
      <c r="AM446" s="129"/>
      <c r="AN446" s="129"/>
      <c r="AO446" s="129"/>
      <c r="AP446" s="129"/>
      <c r="AQ446" s="130"/>
      <c r="AR446" s="130"/>
      <c r="AS446" s="129"/>
      <c r="AT446" s="129"/>
      <c r="AU446" s="129"/>
      <c r="AV446" s="129"/>
      <c r="AW446" s="129"/>
      <c r="AX446" s="129"/>
      <c r="AY446" s="129"/>
      <c r="AZ446" s="129"/>
      <c r="BA446" s="129"/>
      <c r="BB446" s="129"/>
      <c r="BC446" s="129"/>
      <c r="BD446" s="129"/>
      <c r="BE446" s="129"/>
      <c r="BF446" s="129"/>
      <c r="BG446" s="129"/>
      <c r="BH446" s="129"/>
      <c r="BI446" s="129"/>
      <c r="BJ446" s="129"/>
      <c r="BK446" s="129"/>
      <c r="BL446" s="129"/>
      <c r="BM446" s="129"/>
      <c r="BN446" s="129"/>
      <c r="BO446" s="129"/>
      <c r="BP446" s="129"/>
      <c r="BQ446" s="129"/>
    </row>
    <row r="447" spans="1:69" s="139" customFormat="1" x14ac:dyDescent="0.25">
      <c r="A447" s="157"/>
      <c r="B447" s="137"/>
      <c r="C447" s="129"/>
      <c r="G447" s="140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28"/>
      <c r="AC447" s="128"/>
      <c r="AD447" s="128"/>
      <c r="AE447" s="128"/>
      <c r="AF447" s="128"/>
      <c r="AG447" s="129"/>
      <c r="AH447" s="129"/>
      <c r="AI447" s="129"/>
      <c r="AJ447" s="129"/>
      <c r="AK447" s="129"/>
      <c r="AL447" s="129"/>
      <c r="AM447" s="129"/>
      <c r="AN447" s="129"/>
      <c r="AO447" s="129"/>
      <c r="AP447" s="129"/>
      <c r="AQ447" s="130"/>
      <c r="AR447" s="130"/>
      <c r="AS447" s="129"/>
      <c r="AT447" s="129"/>
      <c r="AU447" s="129"/>
      <c r="AV447" s="129"/>
      <c r="AW447" s="129"/>
      <c r="AX447" s="129"/>
      <c r="AY447" s="129"/>
      <c r="AZ447" s="129"/>
      <c r="BA447" s="129"/>
      <c r="BB447" s="129"/>
      <c r="BC447" s="129"/>
      <c r="BD447" s="129"/>
      <c r="BE447" s="129"/>
      <c r="BF447" s="129"/>
      <c r="BG447" s="129"/>
      <c r="BH447" s="129"/>
      <c r="BI447" s="129"/>
      <c r="BJ447" s="129"/>
      <c r="BK447" s="129"/>
      <c r="BL447" s="129"/>
      <c r="BM447" s="129"/>
      <c r="BN447" s="129"/>
      <c r="BO447" s="129"/>
      <c r="BP447" s="129"/>
      <c r="BQ447" s="129"/>
    </row>
    <row r="448" spans="1:69" s="139" customFormat="1" x14ac:dyDescent="0.25">
      <c r="A448" s="157"/>
      <c r="B448" s="137"/>
      <c r="C448" s="129"/>
      <c r="G448" s="140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28"/>
      <c r="AC448" s="128"/>
      <c r="AD448" s="128"/>
      <c r="AE448" s="128"/>
      <c r="AF448" s="128"/>
      <c r="AG448" s="129"/>
      <c r="AH448" s="129"/>
      <c r="AI448" s="129"/>
      <c r="AJ448" s="129"/>
      <c r="AK448" s="129"/>
      <c r="AL448" s="129"/>
      <c r="AM448" s="129"/>
      <c r="AN448" s="129"/>
      <c r="AO448" s="129"/>
      <c r="AP448" s="129"/>
      <c r="AQ448" s="130"/>
      <c r="AR448" s="130"/>
      <c r="AS448" s="129"/>
      <c r="AT448" s="129"/>
      <c r="AU448" s="129"/>
      <c r="AV448" s="129"/>
      <c r="AW448" s="129"/>
      <c r="AX448" s="129"/>
      <c r="AY448" s="129"/>
      <c r="AZ448" s="129"/>
      <c r="BA448" s="129"/>
      <c r="BB448" s="129"/>
      <c r="BC448" s="129"/>
      <c r="BD448" s="129"/>
      <c r="BE448" s="129"/>
      <c r="BF448" s="129"/>
      <c r="BG448" s="129"/>
      <c r="BH448" s="129"/>
      <c r="BI448" s="129"/>
      <c r="BJ448" s="129"/>
      <c r="BK448" s="129"/>
      <c r="BL448" s="129"/>
      <c r="BM448" s="129"/>
      <c r="BN448" s="129"/>
      <c r="BO448" s="129"/>
      <c r="BP448" s="129"/>
      <c r="BQ448" s="129"/>
    </row>
    <row r="449" spans="1:69" s="139" customFormat="1" x14ac:dyDescent="0.25">
      <c r="A449" s="157"/>
      <c r="B449" s="137"/>
      <c r="C449" s="129"/>
      <c r="G449" s="140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28"/>
      <c r="AC449" s="128"/>
      <c r="AD449" s="128"/>
      <c r="AE449" s="128"/>
      <c r="AF449" s="128"/>
      <c r="AG449" s="129"/>
      <c r="AH449" s="129"/>
      <c r="AI449" s="129"/>
      <c r="AJ449" s="129"/>
      <c r="AK449" s="129"/>
      <c r="AL449" s="129"/>
      <c r="AM449" s="129"/>
      <c r="AN449" s="129"/>
      <c r="AO449" s="129"/>
      <c r="AP449" s="129"/>
      <c r="AQ449" s="130"/>
      <c r="AR449" s="130"/>
      <c r="AS449" s="129"/>
      <c r="AT449" s="129"/>
      <c r="AU449" s="129"/>
      <c r="AV449" s="129"/>
      <c r="AW449" s="129"/>
      <c r="AX449" s="129"/>
      <c r="AY449" s="129"/>
      <c r="AZ449" s="129"/>
      <c r="BA449" s="129"/>
      <c r="BB449" s="129"/>
      <c r="BC449" s="129"/>
      <c r="BD449" s="129"/>
      <c r="BE449" s="129"/>
      <c r="BF449" s="129"/>
      <c r="BG449" s="129"/>
      <c r="BH449" s="129"/>
      <c r="BI449" s="129"/>
      <c r="BJ449" s="129"/>
      <c r="BK449" s="129"/>
      <c r="BL449" s="129"/>
      <c r="BM449" s="129"/>
      <c r="BN449" s="129"/>
      <c r="BO449" s="129"/>
      <c r="BP449" s="129"/>
      <c r="BQ449" s="129"/>
    </row>
    <row r="450" spans="1:69" s="139" customFormat="1" x14ac:dyDescent="0.25">
      <c r="A450" s="157"/>
      <c r="B450" s="137"/>
      <c r="C450" s="129"/>
      <c r="G450" s="140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28"/>
      <c r="AC450" s="128"/>
      <c r="AD450" s="128"/>
      <c r="AE450" s="128"/>
      <c r="AF450" s="128"/>
      <c r="AG450" s="129"/>
      <c r="AH450" s="129"/>
      <c r="AI450" s="129"/>
      <c r="AJ450" s="129"/>
      <c r="AK450" s="129"/>
      <c r="AL450" s="129"/>
      <c r="AM450" s="129"/>
      <c r="AN450" s="129"/>
      <c r="AO450" s="129"/>
      <c r="AP450" s="129"/>
      <c r="AQ450" s="130"/>
      <c r="AR450" s="130"/>
      <c r="AS450" s="129"/>
      <c r="AT450" s="129"/>
      <c r="AU450" s="129"/>
      <c r="AV450" s="129"/>
      <c r="AW450" s="129"/>
      <c r="AX450" s="129"/>
      <c r="AY450" s="129"/>
      <c r="AZ450" s="129"/>
      <c r="BA450" s="129"/>
      <c r="BB450" s="129"/>
      <c r="BC450" s="129"/>
      <c r="BD450" s="129"/>
      <c r="BE450" s="129"/>
      <c r="BF450" s="129"/>
      <c r="BG450" s="129"/>
      <c r="BH450" s="129"/>
      <c r="BI450" s="129"/>
      <c r="BJ450" s="129"/>
      <c r="BK450" s="129"/>
      <c r="BL450" s="129"/>
      <c r="BM450" s="129"/>
      <c r="BN450" s="129"/>
      <c r="BO450" s="129"/>
      <c r="BP450" s="129"/>
      <c r="BQ450" s="129"/>
    </row>
    <row r="451" spans="1:69" s="139" customFormat="1" x14ac:dyDescent="0.25">
      <c r="A451" s="157"/>
      <c r="B451" s="137"/>
      <c r="C451" s="129"/>
      <c r="G451" s="140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28"/>
      <c r="AC451" s="128"/>
      <c r="AD451" s="128"/>
      <c r="AE451" s="128"/>
      <c r="AF451" s="128"/>
      <c r="AG451" s="129"/>
      <c r="AH451" s="129"/>
      <c r="AI451" s="129"/>
      <c r="AJ451" s="129"/>
      <c r="AK451" s="129"/>
      <c r="AL451" s="129"/>
      <c r="AM451" s="129"/>
      <c r="AN451" s="129"/>
      <c r="AO451" s="129"/>
      <c r="AP451" s="129"/>
      <c r="AQ451" s="130"/>
      <c r="AR451" s="130"/>
      <c r="AS451" s="129"/>
      <c r="AT451" s="129"/>
      <c r="AU451" s="129"/>
      <c r="AV451" s="129"/>
      <c r="AW451" s="129"/>
      <c r="AX451" s="129"/>
      <c r="AY451" s="129"/>
      <c r="AZ451" s="129"/>
      <c r="BA451" s="129"/>
      <c r="BB451" s="129"/>
      <c r="BC451" s="129"/>
      <c r="BD451" s="129"/>
      <c r="BE451" s="129"/>
      <c r="BF451" s="129"/>
      <c r="BG451" s="129"/>
      <c r="BH451" s="129"/>
      <c r="BI451" s="129"/>
      <c r="BJ451" s="129"/>
      <c r="BK451" s="129"/>
      <c r="BL451" s="129"/>
      <c r="BM451" s="129"/>
      <c r="BN451" s="129"/>
      <c r="BO451" s="129"/>
      <c r="BP451" s="129"/>
      <c r="BQ451" s="129"/>
    </row>
    <row r="452" spans="1:69" s="139" customFormat="1" x14ac:dyDescent="0.25">
      <c r="A452" s="157"/>
      <c r="B452" s="137"/>
      <c r="C452" s="129"/>
      <c r="G452" s="140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28"/>
      <c r="AC452" s="128"/>
      <c r="AD452" s="128"/>
      <c r="AE452" s="128"/>
      <c r="AF452" s="128"/>
      <c r="AG452" s="129"/>
      <c r="AH452" s="129"/>
      <c r="AI452" s="129"/>
      <c r="AJ452" s="129"/>
      <c r="AK452" s="129"/>
      <c r="AL452" s="129"/>
      <c r="AM452" s="129"/>
      <c r="AN452" s="129"/>
      <c r="AO452" s="129"/>
      <c r="AP452" s="129"/>
      <c r="AQ452" s="130"/>
      <c r="AR452" s="130"/>
      <c r="AS452" s="129"/>
      <c r="AT452" s="129"/>
      <c r="AU452" s="129"/>
      <c r="AV452" s="129"/>
      <c r="AW452" s="129"/>
      <c r="AX452" s="129"/>
      <c r="AY452" s="129"/>
      <c r="AZ452" s="129"/>
      <c r="BA452" s="129"/>
      <c r="BB452" s="129"/>
      <c r="BC452" s="129"/>
      <c r="BD452" s="129"/>
      <c r="BE452" s="129"/>
      <c r="BF452" s="129"/>
      <c r="BG452" s="129"/>
      <c r="BH452" s="129"/>
      <c r="BI452" s="129"/>
      <c r="BJ452" s="129"/>
      <c r="BK452" s="129"/>
      <c r="BL452" s="129"/>
      <c r="BM452" s="129"/>
      <c r="BN452" s="129"/>
      <c r="BO452" s="129"/>
      <c r="BP452" s="129"/>
      <c r="BQ452" s="129"/>
    </row>
    <row r="453" spans="1:69" s="139" customFormat="1" x14ac:dyDescent="0.25">
      <c r="A453" s="157"/>
      <c r="B453" s="137"/>
      <c r="C453" s="129"/>
      <c r="G453" s="140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28"/>
      <c r="AC453" s="128"/>
      <c r="AD453" s="128"/>
      <c r="AE453" s="128"/>
      <c r="AF453" s="128"/>
      <c r="AG453" s="129"/>
      <c r="AH453" s="129"/>
      <c r="AI453" s="129"/>
      <c r="AJ453" s="129"/>
      <c r="AK453" s="129"/>
      <c r="AL453" s="129"/>
      <c r="AM453" s="129"/>
      <c r="AN453" s="129"/>
      <c r="AO453" s="129"/>
      <c r="AP453" s="129"/>
      <c r="AQ453" s="130"/>
      <c r="AR453" s="130"/>
      <c r="AS453" s="129"/>
      <c r="AT453" s="129"/>
      <c r="AU453" s="129"/>
      <c r="AV453" s="129"/>
      <c r="AW453" s="129"/>
      <c r="AX453" s="129"/>
      <c r="AY453" s="129"/>
      <c r="AZ453" s="129"/>
      <c r="BA453" s="129"/>
      <c r="BB453" s="129"/>
      <c r="BC453" s="129"/>
      <c r="BD453" s="129"/>
      <c r="BE453" s="129"/>
      <c r="BF453" s="129"/>
      <c r="BG453" s="129"/>
      <c r="BH453" s="129"/>
      <c r="BI453" s="129"/>
      <c r="BJ453" s="129"/>
      <c r="BK453" s="129"/>
      <c r="BL453" s="129"/>
      <c r="BM453" s="129"/>
      <c r="BN453" s="129"/>
      <c r="BO453" s="129"/>
      <c r="BP453" s="129"/>
      <c r="BQ453" s="129"/>
    </row>
    <row r="454" spans="1:69" s="139" customFormat="1" x14ac:dyDescent="0.25">
      <c r="A454" s="157"/>
      <c r="B454" s="137"/>
      <c r="C454" s="129"/>
      <c r="G454" s="140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28"/>
      <c r="AC454" s="128"/>
      <c r="AD454" s="128"/>
      <c r="AE454" s="128"/>
      <c r="AF454" s="128"/>
      <c r="AG454" s="129"/>
      <c r="AH454" s="129"/>
      <c r="AI454" s="129"/>
      <c r="AJ454" s="129"/>
      <c r="AK454" s="129"/>
      <c r="AL454" s="129"/>
      <c r="AM454" s="129"/>
      <c r="AN454" s="129"/>
      <c r="AO454" s="129"/>
      <c r="AP454" s="129"/>
      <c r="AQ454" s="130"/>
      <c r="AR454" s="130"/>
      <c r="AS454" s="129"/>
      <c r="AT454" s="129"/>
      <c r="AU454" s="129"/>
      <c r="AV454" s="129"/>
      <c r="AW454" s="129"/>
      <c r="AX454" s="129"/>
      <c r="AY454" s="129"/>
      <c r="AZ454" s="129"/>
      <c r="BA454" s="129"/>
      <c r="BB454" s="129"/>
      <c r="BC454" s="129"/>
      <c r="BD454" s="129"/>
      <c r="BE454" s="129"/>
      <c r="BF454" s="129"/>
      <c r="BG454" s="129"/>
      <c r="BH454" s="129"/>
      <c r="BI454" s="129"/>
      <c r="BJ454" s="129"/>
      <c r="BK454" s="129"/>
      <c r="BL454" s="129"/>
      <c r="BM454" s="129"/>
      <c r="BN454" s="129"/>
      <c r="BO454" s="129"/>
      <c r="BP454" s="129"/>
      <c r="BQ454" s="129"/>
    </row>
    <row r="455" spans="1:69" s="139" customFormat="1" x14ac:dyDescent="0.25">
      <c r="A455" s="157"/>
      <c r="B455" s="137"/>
      <c r="C455" s="129"/>
      <c r="G455" s="140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28"/>
      <c r="AC455" s="128"/>
      <c r="AD455" s="128"/>
      <c r="AE455" s="128"/>
      <c r="AF455" s="128"/>
      <c r="AG455" s="129"/>
      <c r="AH455" s="129"/>
      <c r="AI455" s="129"/>
      <c r="AJ455" s="129"/>
      <c r="AK455" s="129"/>
      <c r="AL455" s="129"/>
      <c r="AM455" s="129"/>
      <c r="AN455" s="129"/>
      <c r="AO455" s="129"/>
      <c r="AP455" s="129"/>
      <c r="AQ455" s="130"/>
      <c r="AR455" s="130"/>
      <c r="AS455" s="129"/>
      <c r="AT455" s="129"/>
      <c r="AU455" s="129"/>
      <c r="AV455" s="129"/>
      <c r="AW455" s="129"/>
      <c r="AX455" s="129"/>
      <c r="AY455" s="129"/>
      <c r="AZ455" s="129"/>
      <c r="BA455" s="129"/>
      <c r="BB455" s="129"/>
      <c r="BC455" s="129"/>
      <c r="BD455" s="129"/>
      <c r="BE455" s="129"/>
      <c r="BF455" s="129"/>
      <c r="BG455" s="129"/>
      <c r="BH455" s="129"/>
      <c r="BI455" s="129"/>
      <c r="BJ455" s="129"/>
      <c r="BK455" s="129"/>
      <c r="BL455" s="129"/>
      <c r="BM455" s="129"/>
      <c r="BN455" s="129"/>
      <c r="BO455" s="129"/>
      <c r="BP455" s="129"/>
      <c r="BQ455" s="129"/>
    </row>
    <row r="456" spans="1:69" s="139" customFormat="1" x14ac:dyDescent="0.25">
      <c r="A456" s="157"/>
      <c r="B456" s="137"/>
      <c r="C456" s="129"/>
      <c r="G456" s="140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28"/>
      <c r="AC456" s="128"/>
      <c r="AD456" s="128"/>
      <c r="AE456" s="128"/>
      <c r="AF456" s="128"/>
      <c r="AG456" s="129"/>
      <c r="AH456" s="129"/>
      <c r="AI456" s="129"/>
      <c r="AJ456" s="129"/>
      <c r="AK456" s="129"/>
      <c r="AL456" s="129"/>
      <c r="AM456" s="129"/>
      <c r="AN456" s="129"/>
      <c r="AO456" s="129"/>
      <c r="AP456" s="129"/>
      <c r="AQ456" s="130"/>
      <c r="AR456" s="130"/>
      <c r="AS456" s="129"/>
      <c r="AT456" s="129"/>
      <c r="AU456" s="129"/>
      <c r="AV456" s="129"/>
      <c r="AW456" s="129"/>
      <c r="AX456" s="129"/>
      <c r="AY456" s="129"/>
      <c r="AZ456" s="129"/>
      <c r="BA456" s="129"/>
      <c r="BB456" s="129"/>
      <c r="BC456" s="129"/>
      <c r="BD456" s="129"/>
      <c r="BE456" s="129"/>
      <c r="BF456" s="129"/>
      <c r="BG456" s="129"/>
      <c r="BH456" s="129"/>
      <c r="BI456" s="129"/>
      <c r="BJ456" s="129"/>
      <c r="BK456" s="129"/>
      <c r="BL456" s="129"/>
      <c r="BM456" s="129"/>
      <c r="BN456" s="129"/>
      <c r="BO456" s="129"/>
      <c r="BP456" s="129"/>
      <c r="BQ456" s="129"/>
    </row>
    <row r="457" spans="1:69" s="139" customFormat="1" x14ac:dyDescent="0.25">
      <c r="A457" s="157"/>
      <c r="B457" s="137"/>
      <c r="C457" s="129"/>
      <c r="G457" s="140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28"/>
      <c r="AC457" s="128"/>
      <c r="AD457" s="128"/>
      <c r="AE457" s="128"/>
      <c r="AF457" s="128"/>
      <c r="AG457" s="129"/>
      <c r="AH457" s="129"/>
      <c r="AI457" s="129"/>
      <c r="AJ457" s="129"/>
      <c r="AK457" s="129"/>
      <c r="AL457" s="129"/>
      <c r="AM457" s="129"/>
      <c r="AN457" s="129"/>
      <c r="AO457" s="129"/>
      <c r="AP457" s="129"/>
      <c r="AQ457" s="130"/>
      <c r="AR457" s="130"/>
      <c r="AS457" s="129"/>
      <c r="AT457" s="129"/>
      <c r="AU457" s="129"/>
      <c r="AV457" s="129"/>
      <c r="AW457" s="129"/>
      <c r="AX457" s="129"/>
      <c r="AY457" s="129"/>
      <c r="AZ457" s="129"/>
      <c r="BA457" s="129"/>
      <c r="BB457" s="129"/>
      <c r="BC457" s="129"/>
      <c r="BD457" s="129"/>
      <c r="BE457" s="129"/>
      <c r="BF457" s="129"/>
      <c r="BG457" s="129"/>
      <c r="BH457" s="129"/>
      <c r="BI457" s="129"/>
      <c r="BJ457" s="129"/>
      <c r="BK457" s="129"/>
      <c r="BL457" s="129"/>
      <c r="BM457" s="129"/>
      <c r="BN457" s="129"/>
      <c r="BO457" s="129"/>
      <c r="BP457" s="129"/>
      <c r="BQ457" s="129"/>
    </row>
    <row r="458" spans="1:69" s="139" customFormat="1" x14ac:dyDescent="0.25">
      <c r="A458" s="157"/>
      <c r="B458" s="137"/>
      <c r="C458" s="129"/>
      <c r="G458" s="140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28"/>
      <c r="AC458" s="128"/>
      <c r="AD458" s="128"/>
      <c r="AE458" s="128"/>
      <c r="AF458" s="128"/>
      <c r="AG458" s="129"/>
      <c r="AH458" s="129"/>
      <c r="AI458" s="129"/>
      <c r="AJ458" s="129"/>
      <c r="AK458" s="129"/>
      <c r="AL458" s="129"/>
      <c r="AM458" s="129"/>
      <c r="AN458" s="129"/>
      <c r="AO458" s="129"/>
      <c r="AP458" s="129"/>
      <c r="AQ458" s="130"/>
      <c r="AR458" s="130"/>
      <c r="AS458" s="129"/>
      <c r="AT458" s="129"/>
      <c r="AU458" s="129"/>
      <c r="AV458" s="129"/>
      <c r="AW458" s="129"/>
      <c r="AX458" s="129"/>
      <c r="AY458" s="129"/>
      <c r="AZ458" s="129"/>
      <c r="BA458" s="129"/>
      <c r="BB458" s="129"/>
      <c r="BC458" s="129"/>
      <c r="BD458" s="129"/>
      <c r="BE458" s="129"/>
      <c r="BF458" s="129"/>
      <c r="BG458" s="129"/>
      <c r="BH458" s="129"/>
      <c r="BI458" s="129"/>
      <c r="BJ458" s="129"/>
      <c r="BK458" s="129"/>
      <c r="BL458" s="129"/>
      <c r="BM458" s="129"/>
      <c r="BN458" s="129"/>
      <c r="BO458" s="129"/>
      <c r="BP458" s="129"/>
      <c r="BQ458" s="129"/>
    </row>
    <row r="459" spans="1:69" s="139" customFormat="1" x14ac:dyDescent="0.25">
      <c r="A459" s="157"/>
      <c r="B459" s="137"/>
      <c r="C459" s="129"/>
      <c r="G459" s="140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28"/>
      <c r="AC459" s="128"/>
      <c r="AD459" s="128"/>
      <c r="AE459" s="128"/>
      <c r="AF459" s="128"/>
      <c r="AG459" s="129"/>
      <c r="AH459" s="129"/>
      <c r="AI459" s="129"/>
      <c r="AJ459" s="129"/>
      <c r="AK459" s="129"/>
      <c r="AL459" s="129"/>
      <c r="AM459" s="129"/>
      <c r="AN459" s="129"/>
      <c r="AO459" s="129"/>
      <c r="AP459" s="129"/>
      <c r="AQ459" s="130"/>
      <c r="AR459" s="130"/>
      <c r="AS459" s="129"/>
      <c r="AT459" s="129"/>
      <c r="AU459" s="129"/>
      <c r="AV459" s="129"/>
      <c r="AW459" s="129"/>
      <c r="AX459" s="129"/>
      <c r="AY459" s="129"/>
      <c r="AZ459" s="129"/>
      <c r="BA459" s="129"/>
      <c r="BB459" s="129"/>
      <c r="BC459" s="129"/>
      <c r="BD459" s="129"/>
      <c r="BE459" s="129"/>
      <c r="BF459" s="129"/>
      <c r="BG459" s="129"/>
      <c r="BH459" s="129"/>
      <c r="BI459" s="129"/>
      <c r="BJ459" s="129"/>
      <c r="BK459" s="129"/>
      <c r="BL459" s="129"/>
      <c r="BM459" s="129"/>
      <c r="BN459" s="129"/>
      <c r="BO459" s="129"/>
      <c r="BP459" s="129"/>
      <c r="BQ459" s="129"/>
    </row>
    <row r="460" spans="1:69" s="139" customFormat="1" x14ac:dyDescent="0.25">
      <c r="A460" s="157"/>
      <c r="B460" s="137"/>
      <c r="C460" s="129"/>
      <c r="G460" s="140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28"/>
      <c r="AC460" s="128"/>
      <c r="AD460" s="128"/>
      <c r="AE460" s="128"/>
      <c r="AF460" s="128"/>
      <c r="AG460" s="129"/>
      <c r="AH460" s="129"/>
      <c r="AI460" s="129"/>
      <c r="AJ460" s="129"/>
      <c r="AK460" s="129"/>
      <c r="AL460" s="129"/>
      <c r="AM460" s="129"/>
      <c r="AN460" s="129"/>
      <c r="AO460" s="129"/>
      <c r="AP460" s="129"/>
      <c r="AQ460" s="130"/>
      <c r="AR460" s="130"/>
      <c r="AS460" s="129"/>
      <c r="AT460" s="129"/>
      <c r="AU460" s="129"/>
      <c r="AV460" s="129"/>
      <c r="AW460" s="129"/>
      <c r="AX460" s="129"/>
      <c r="AY460" s="129"/>
      <c r="AZ460" s="129"/>
      <c r="BA460" s="129"/>
      <c r="BB460" s="129"/>
      <c r="BC460" s="129"/>
      <c r="BD460" s="129"/>
      <c r="BE460" s="129"/>
      <c r="BF460" s="129"/>
      <c r="BG460" s="129"/>
      <c r="BH460" s="129"/>
      <c r="BI460" s="129"/>
      <c r="BJ460" s="129"/>
      <c r="BK460" s="129"/>
      <c r="BL460" s="129"/>
      <c r="BM460" s="129"/>
      <c r="BN460" s="129"/>
      <c r="BO460" s="129"/>
      <c r="BP460" s="129"/>
      <c r="BQ460" s="129"/>
    </row>
    <row r="461" spans="1:69" s="139" customFormat="1" x14ac:dyDescent="0.25">
      <c r="A461" s="157"/>
      <c r="B461" s="137"/>
      <c r="C461" s="129"/>
      <c r="G461" s="140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28"/>
      <c r="AC461" s="128"/>
      <c r="AD461" s="128"/>
      <c r="AE461" s="128"/>
      <c r="AF461" s="128"/>
      <c r="AG461" s="129"/>
      <c r="AH461" s="129"/>
      <c r="AI461" s="129"/>
      <c r="AJ461" s="129"/>
      <c r="AK461" s="129"/>
      <c r="AL461" s="129"/>
      <c r="AM461" s="129"/>
      <c r="AN461" s="129"/>
      <c r="AO461" s="129"/>
      <c r="AP461" s="129"/>
      <c r="AQ461" s="130"/>
      <c r="AR461" s="130"/>
      <c r="AS461" s="129"/>
      <c r="AT461" s="129"/>
      <c r="AU461" s="129"/>
      <c r="AV461" s="129"/>
      <c r="AW461" s="129"/>
      <c r="AX461" s="129"/>
      <c r="AY461" s="129"/>
      <c r="AZ461" s="129"/>
      <c r="BA461" s="129"/>
      <c r="BB461" s="129"/>
      <c r="BC461" s="129"/>
      <c r="BD461" s="129"/>
      <c r="BE461" s="129"/>
      <c r="BF461" s="129"/>
      <c r="BG461" s="129"/>
      <c r="BH461" s="129"/>
      <c r="BI461" s="129"/>
      <c r="BJ461" s="129"/>
      <c r="BK461" s="129"/>
      <c r="BL461" s="129"/>
      <c r="BM461" s="129"/>
      <c r="BN461" s="129"/>
      <c r="BO461" s="129"/>
      <c r="BP461" s="129"/>
      <c r="BQ461" s="129"/>
    </row>
    <row r="462" spans="1:69" s="139" customFormat="1" x14ac:dyDescent="0.25">
      <c r="A462" s="157"/>
      <c r="B462" s="137"/>
      <c r="C462" s="129"/>
      <c r="G462" s="140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28"/>
      <c r="AC462" s="128"/>
      <c r="AD462" s="128"/>
      <c r="AE462" s="128"/>
      <c r="AF462" s="128"/>
      <c r="AG462" s="129"/>
      <c r="AH462" s="129"/>
      <c r="AI462" s="129"/>
      <c r="AJ462" s="129"/>
      <c r="AK462" s="129"/>
      <c r="AL462" s="129"/>
      <c r="AM462" s="129"/>
      <c r="AN462" s="129"/>
      <c r="AO462" s="129"/>
      <c r="AP462" s="129"/>
      <c r="AQ462" s="130"/>
      <c r="AR462" s="130"/>
      <c r="AS462" s="129"/>
      <c r="AT462" s="129"/>
      <c r="AU462" s="129"/>
      <c r="AV462" s="129"/>
      <c r="AW462" s="129"/>
      <c r="AX462" s="129"/>
      <c r="AY462" s="129"/>
      <c r="AZ462" s="129"/>
      <c r="BA462" s="129"/>
      <c r="BB462" s="129"/>
      <c r="BC462" s="129"/>
      <c r="BD462" s="129"/>
      <c r="BE462" s="129"/>
      <c r="BF462" s="129"/>
      <c r="BG462" s="129"/>
      <c r="BH462" s="129"/>
      <c r="BI462" s="129"/>
      <c r="BJ462" s="129"/>
      <c r="BK462" s="129"/>
      <c r="BL462" s="129"/>
      <c r="BM462" s="129"/>
      <c r="BN462" s="129"/>
      <c r="BO462" s="129"/>
      <c r="BP462" s="129"/>
      <c r="BQ462" s="129"/>
    </row>
    <row r="463" spans="1:69" s="139" customFormat="1" x14ac:dyDescent="0.25">
      <c r="A463" s="157"/>
      <c r="B463" s="137"/>
      <c r="C463" s="129"/>
      <c r="G463" s="140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28"/>
      <c r="AC463" s="128"/>
      <c r="AD463" s="128"/>
      <c r="AE463" s="128"/>
      <c r="AF463" s="128"/>
      <c r="AG463" s="129"/>
      <c r="AH463" s="129"/>
      <c r="AI463" s="129"/>
      <c r="AJ463" s="129"/>
      <c r="AK463" s="129"/>
      <c r="AL463" s="129"/>
      <c r="AM463" s="129"/>
      <c r="AN463" s="129"/>
      <c r="AO463" s="129"/>
      <c r="AP463" s="129"/>
      <c r="AQ463" s="130"/>
      <c r="AR463" s="130"/>
      <c r="AS463" s="129"/>
      <c r="AT463" s="129"/>
      <c r="AU463" s="129"/>
      <c r="AV463" s="129"/>
      <c r="AW463" s="129"/>
      <c r="AX463" s="129"/>
      <c r="AY463" s="129"/>
      <c r="AZ463" s="129"/>
      <c r="BA463" s="129"/>
      <c r="BB463" s="129"/>
      <c r="BC463" s="129"/>
      <c r="BD463" s="129"/>
      <c r="BE463" s="129"/>
      <c r="BF463" s="129"/>
      <c r="BG463" s="129"/>
      <c r="BH463" s="129"/>
      <c r="BI463" s="129"/>
      <c r="BJ463" s="129"/>
      <c r="BK463" s="129"/>
      <c r="BL463" s="129"/>
      <c r="BM463" s="129"/>
      <c r="BN463" s="129"/>
      <c r="BO463" s="129"/>
      <c r="BP463" s="129"/>
      <c r="BQ463" s="129"/>
    </row>
    <row r="464" spans="1:69" s="139" customFormat="1" x14ac:dyDescent="0.25">
      <c r="A464" s="157"/>
      <c r="B464" s="137"/>
      <c r="C464" s="129"/>
      <c r="G464" s="140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28"/>
      <c r="AC464" s="128"/>
      <c r="AD464" s="128"/>
      <c r="AE464" s="128"/>
      <c r="AF464" s="128"/>
      <c r="AG464" s="129"/>
      <c r="AH464" s="129"/>
      <c r="AI464" s="129"/>
      <c r="AJ464" s="129"/>
      <c r="AK464" s="129"/>
      <c r="AL464" s="129"/>
      <c r="AM464" s="129"/>
      <c r="AN464" s="129"/>
      <c r="AO464" s="129"/>
      <c r="AP464" s="129"/>
      <c r="AQ464" s="130"/>
      <c r="AR464" s="130"/>
      <c r="AS464" s="129"/>
      <c r="AT464" s="129"/>
      <c r="AU464" s="129"/>
      <c r="AV464" s="129"/>
      <c r="AW464" s="129"/>
      <c r="AX464" s="129"/>
      <c r="AY464" s="129"/>
      <c r="AZ464" s="129"/>
      <c r="BA464" s="129"/>
      <c r="BB464" s="129"/>
      <c r="BC464" s="129"/>
      <c r="BD464" s="129"/>
      <c r="BE464" s="129"/>
      <c r="BF464" s="129"/>
      <c r="BG464" s="129"/>
      <c r="BH464" s="129"/>
      <c r="BI464" s="129"/>
      <c r="BJ464" s="129"/>
      <c r="BK464" s="129"/>
      <c r="BL464" s="129"/>
      <c r="BM464" s="129"/>
      <c r="BN464" s="129"/>
      <c r="BO464" s="129"/>
      <c r="BP464" s="129"/>
      <c r="BQ464" s="129"/>
    </row>
    <row r="465" spans="1:69" s="139" customFormat="1" x14ac:dyDescent="0.25">
      <c r="A465" s="157"/>
      <c r="B465" s="137"/>
      <c r="C465" s="129"/>
      <c r="G465" s="140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28"/>
      <c r="AC465" s="128"/>
      <c r="AD465" s="128"/>
      <c r="AE465" s="128"/>
      <c r="AF465" s="128"/>
      <c r="AG465" s="129"/>
      <c r="AH465" s="129"/>
      <c r="AI465" s="129"/>
      <c r="AJ465" s="129"/>
      <c r="AK465" s="129"/>
      <c r="AL465" s="129"/>
      <c r="AM465" s="129"/>
      <c r="AN465" s="129"/>
      <c r="AO465" s="129"/>
      <c r="AP465" s="129"/>
      <c r="AQ465" s="130"/>
      <c r="AR465" s="130"/>
      <c r="AS465" s="129"/>
      <c r="AT465" s="129"/>
      <c r="AU465" s="129"/>
      <c r="AV465" s="129"/>
      <c r="AW465" s="129"/>
      <c r="AX465" s="129"/>
      <c r="AY465" s="129"/>
      <c r="AZ465" s="129"/>
      <c r="BA465" s="129"/>
      <c r="BB465" s="129"/>
      <c r="BC465" s="129"/>
      <c r="BD465" s="129"/>
      <c r="BE465" s="129"/>
      <c r="BF465" s="129"/>
      <c r="BG465" s="129"/>
      <c r="BH465" s="129"/>
      <c r="BI465" s="129"/>
      <c r="BJ465" s="129"/>
      <c r="BK465" s="129"/>
      <c r="BL465" s="129"/>
      <c r="BM465" s="129"/>
      <c r="BN465" s="129"/>
      <c r="BO465" s="129"/>
      <c r="BP465" s="129"/>
      <c r="BQ465" s="129"/>
    </row>
    <row r="466" spans="1:69" s="139" customFormat="1" x14ac:dyDescent="0.25">
      <c r="A466" s="157"/>
      <c r="B466" s="137"/>
      <c r="C466" s="129"/>
      <c r="G466" s="140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28"/>
      <c r="AC466" s="128"/>
      <c r="AD466" s="128"/>
      <c r="AE466" s="128"/>
      <c r="AF466" s="128"/>
      <c r="AG466" s="129"/>
      <c r="AH466" s="129"/>
      <c r="AI466" s="129"/>
      <c r="AJ466" s="129"/>
      <c r="AK466" s="129"/>
      <c r="AL466" s="129"/>
      <c r="AM466" s="129"/>
      <c r="AN466" s="129"/>
      <c r="AO466" s="129"/>
      <c r="AP466" s="129"/>
      <c r="AQ466" s="130"/>
      <c r="AR466" s="130"/>
      <c r="AS466" s="129"/>
      <c r="AT466" s="129"/>
      <c r="AU466" s="129"/>
      <c r="AV466" s="129"/>
      <c r="AW466" s="129"/>
      <c r="AX466" s="129"/>
      <c r="AY466" s="129"/>
      <c r="AZ466" s="129"/>
      <c r="BA466" s="129"/>
      <c r="BB466" s="129"/>
      <c r="BC466" s="129"/>
      <c r="BD466" s="129"/>
      <c r="BE466" s="129"/>
      <c r="BF466" s="129"/>
      <c r="BG466" s="129"/>
      <c r="BH466" s="129"/>
      <c r="BI466" s="129"/>
      <c r="BJ466" s="129"/>
      <c r="BK466" s="129"/>
      <c r="BL466" s="129"/>
      <c r="BM466" s="129"/>
      <c r="BN466" s="129"/>
      <c r="BO466" s="129"/>
      <c r="BP466" s="129"/>
      <c r="BQ466" s="129"/>
    </row>
    <row r="467" spans="1:69" s="139" customFormat="1" x14ac:dyDescent="0.25">
      <c r="A467" s="157"/>
      <c r="B467" s="137"/>
      <c r="C467" s="129"/>
      <c r="G467" s="140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28"/>
      <c r="AC467" s="128"/>
      <c r="AD467" s="128"/>
      <c r="AE467" s="128"/>
      <c r="AF467" s="128"/>
      <c r="AG467" s="129"/>
      <c r="AH467" s="129"/>
      <c r="AI467" s="129"/>
      <c r="AJ467" s="129"/>
      <c r="AK467" s="129"/>
      <c r="AL467" s="129"/>
      <c r="AM467" s="129"/>
      <c r="AN467" s="129"/>
      <c r="AO467" s="129"/>
      <c r="AP467" s="129"/>
      <c r="AQ467" s="130"/>
      <c r="AR467" s="130"/>
      <c r="AS467" s="129"/>
      <c r="AT467" s="129"/>
      <c r="AU467" s="129"/>
      <c r="AV467" s="129"/>
      <c r="AW467" s="129"/>
      <c r="AX467" s="129"/>
      <c r="AY467" s="129"/>
      <c r="AZ467" s="129"/>
      <c r="BA467" s="129"/>
      <c r="BB467" s="129"/>
      <c r="BC467" s="129"/>
      <c r="BD467" s="129"/>
      <c r="BE467" s="129"/>
      <c r="BF467" s="129"/>
      <c r="BG467" s="129"/>
      <c r="BH467" s="129"/>
      <c r="BI467" s="129"/>
      <c r="BJ467" s="129"/>
      <c r="BK467" s="129"/>
      <c r="BL467" s="129"/>
      <c r="BM467" s="129"/>
      <c r="BN467" s="129"/>
      <c r="BO467" s="129"/>
      <c r="BP467" s="129"/>
      <c r="BQ467" s="129"/>
    </row>
    <row r="468" spans="1:69" s="139" customFormat="1" x14ac:dyDescent="0.25">
      <c r="A468" s="157"/>
      <c r="B468" s="137"/>
      <c r="C468" s="129"/>
      <c r="G468" s="140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28"/>
      <c r="AC468" s="128"/>
      <c r="AD468" s="128"/>
      <c r="AE468" s="128"/>
      <c r="AF468" s="128"/>
      <c r="AG468" s="129"/>
      <c r="AH468" s="129"/>
      <c r="AI468" s="129"/>
      <c r="AJ468" s="129"/>
      <c r="AK468" s="129"/>
      <c r="AL468" s="129"/>
      <c r="AM468" s="129"/>
      <c r="AN468" s="129"/>
      <c r="AO468" s="129"/>
      <c r="AP468" s="129"/>
      <c r="AQ468" s="130"/>
      <c r="AR468" s="130"/>
      <c r="AS468" s="129"/>
      <c r="AT468" s="129"/>
      <c r="AU468" s="129"/>
      <c r="AV468" s="129"/>
      <c r="AW468" s="129"/>
      <c r="AX468" s="129"/>
      <c r="AY468" s="129"/>
      <c r="AZ468" s="129"/>
      <c r="BA468" s="129"/>
      <c r="BB468" s="129"/>
      <c r="BC468" s="129"/>
      <c r="BD468" s="129"/>
      <c r="BE468" s="129"/>
      <c r="BF468" s="129"/>
      <c r="BG468" s="129"/>
      <c r="BH468" s="129"/>
      <c r="BI468" s="129"/>
      <c r="BJ468" s="129"/>
      <c r="BK468" s="129"/>
      <c r="BL468" s="129"/>
      <c r="BM468" s="129"/>
      <c r="BN468" s="129"/>
      <c r="BO468" s="129"/>
      <c r="BP468" s="129"/>
      <c r="BQ468" s="129"/>
    </row>
    <row r="469" spans="1:69" s="139" customFormat="1" x14ac:dyDescent="0.25">
      <c r="A469" s="157"/>
      <c r="B469" s="137"/>
      <c r="C469" s="129"/>
      <c r="G469" s="140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28"/>
      <c r="AC469" s="128"/>
      <c r="AD469" s="128"/>
      <c r="AE469" s="128"/>
      <c r="AF469" s="128"/>
      <c r="AG469" s="129"/>
      <c r="AH469" s="129"/>
      <c r="AI469" s="129"/>
      <c r="AJ469" s="129"/>
      <c r="AK469" s="129"/>
      <c r="AL469" s="129"/>
      <c r="AM469" s="129"/>
      <c r="AN469" s="129"/>
      <c r="AO469" s="129"/>
      <c r="AP469" s="129"/>
      <c r="AQ469" s="130"/>
      <c r="AR469" s="130"/>
      <c r="AS469" s="129"/>
      <c r="AT469" s="129"/>
      <c r="AU469" s="129"/>
      <c r="AV469" s="129"/>
      <c r="AW469" s="129"/>
      <c r="AX469" s="129"/>
      <c r="AY469" s="129"/>
      <c r="AZ469" s="129"/>
      <c r="BA469" s="129"/>
      <c r="BB469" s="129"/>
      <c r="BC469" s="129"/>
      <c r="BD469" s="129"/>
      <c r="BE469" s="129"/>
      <c r="BF469" s="129"/>
      <c r="BG469" s="129"/>
      <c r="BH469" s="129"/>
      <c r="BI469" s="129"/>
      <c r="BJ469" s="129"/>
      <c r="BK469" s="129"/>
      <c r="BL469" s="129"/>
      <c r="BM469" s="129"/>
      <c r="BN469" s="129"/>
      <c r="BO469" s="129"/>
      <c r="BP469" s="129"/>
      <c r="BQ469" s="129"/>
    </row>
    <row r="470" spans="1:69" s="139" customFormat="1" x14ac:dyDescent="0.25">
      <c r="A470" s="157"/>
      <c r="B470" s="137"/>
      <c r="C470" s="129"/>
      <c r="G470" s="140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28"/>
      <c r="AC470" s="128"/>
      <c r="AD470" s="128"/>
      <c r="AE470" s="128"/>
      <c r="AF470" s="128"/>
      <c r="AG470" s="129"/>
      <c r="AH470" s="129"/>
      <c r="AI470" s="129"/>
      <c r="AJ470" s="129"/>
      <c r="AK470" s="129"/>
      <c r="AL470" s="129"/>
      <c r="AM470" s="129"/>
      <c r="AN470" s="129"/>
      <c r="AO470" s="129"/>
      <c r="AP470" s="129"/>
      <c r="AQ470" s="130"/>
      <c r="AR470" s="130"/>
      <c r="AS470" s="129"/>
      <c r="AT470" s="129"/>
      <c r="AU470" s="129"/>
      <c r="AV470" s="129"/>
      <c r="AW470" s="129"/>
      <c r="AX470" s="129"/>
      <c r="AY470" s="129"/>
      <c r="AZ470" s="129"/>
      <c r="BA470" s="129"/>
      <c r="BB470" s="129"/>
      <c r="BC470" s="129"/>
      <c r="BD470" s="129"/>
      <c r="BE470" s="129"/>
      <c r="BF470" s="129"/>
      <c r="BG470" s="129"/>
      <c r="BH470" s="129"/>
      <c r="BI470" s="129"/>
      <c r="BJ470" s="129"/>
      <c r="BK470" s="129"/>
      <c r="BL470" s="129"/>
      <c r="BM470" s="129"/>
      <c r="BN470" s="129"/>
      <c r="BO470" s="129"/>
      <c r="BP470" s="129"/>
      <c r="BQ470" s="129"/>
    </row>
    <row r="471" spans="1:69" s="139" customFormat="1" x14ac:dyDescent="0.25">
      <c r="A471" s="157"/>
      <c r="B471" s="137"/>
      <c r="C471" s="129"/>
      <c r="G471" s="140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28"/>
      <c r="AC471" s="128"/>
      <c r="AD471" s="128"/>
      <c r="AE471" s="128"/>
      <c r="AF471" s="128"/>
      <c r="AG471" s="129"/>
      <c r="AH471" s="129"/>
      <c r="AI471" s="129"/>
      <c r="AJ471" s="129"/>
      <c r="AK471" s="129"/>
      <c r="AL471" s="129"/>
      <c r="AM471" s="129"/>
      <c r="AN471" s="129"/>
      <c r="AO471" s="129"/>
      <c r="AP471" s="129"/>
      <c r="AQ471" s="130"/>
      <c r="AR471" s="130"/>
      <c r="AS471" s="129"/>
      <c r="AT471" s="129"/>
      <c r="AU471" s="129"/>
      <c r="AV471" s="129"/>
      <c r="AW471" s="129"/>
      <c r="AX471" s="129"/>
      <c r="AY471" s="129"/>
      <c r="AZ471" s="129"/>
      <c r="BA471" s="129"/>
      <c r="BB471" s="129"/>
      <c r="BC471" s="129"/>
      <c r="BD471" s="129"/>
      <c r="BE471" s="129"/>
      <c r="BF471" s="129"/>
      <c r="BG471" s="129"/>
      <c r="BH471" s="129"/>
      <c r="BI471" s="129"/>
      <c r="BJ471" s="129"/>
      <c r="BK471" s="129"/>
      <c r="BL471" s="129"/>
      <c r="BM471" s="129"/>
      <c r="BN471" s="129"/>
      <c r="BO471" s="129"/>
      <c r="BP471" s="129"/>
      <c r="BQ471" s="129"/>
    </row>
    <row r="472" spans="1:69" s="139" customFormat="1" x14ac:dyDescent="0.25">
      <c r="A472" s="157"/>
      <c r="B472" s="137"/>
      <c r="C472" s="129"/>
      <c r="G472" s="140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28"/>
      <c r="AC472" s="128"/>
      <c r="AD472" s="128"/>
      <c r="AE472" s="128"/>
      <c r="AF472" s="128"/>
      <c r="AG472" s="129"/>
      <c r="AH472" s="129"/>
      <c r="AI472" s="129"/>
      <c r="AJ472" s="129"/>
      <c r="AK472" s="129"/>
      <c r="AL472" s="129"/>
      <c r="AM472" s="129"/>
      <c r="AN472" s="129"/>
      <c r="AO472" s="129"/>
      <c r="AP472" s="129"/>
      <c r="AQ472" s="130"/>
      <c r="AR472" s="130"/>
      <c r="AS472" s="129"/>
      <c r="AT472" s="129"/>
      <c r="AU472" s="129"/>
      <c r="AV472" s="129"/>
      <c r="AW472" s="129"/>
      <c r="AX472" s="129"/>
      <c r="AY472" s="129"/>
      <c r="AZ472" s="129"/>
      <c r="BA472" s="129"/>
      <c r="BB472" s="129"/>
      <c r="BC472" s="129"/>
      <c r="BD472" s="129"/>
      <c r="BE472" s="129"/>
      <c r="BF472" s="129"/>
      <c r="BG472" s="129"/>
      <c r="BH472" s="129"/>
      <c r="BI472" s="129"/>
      <c r="BJ472" s="129"/>
      <c r="BK472" s="129"/>
      <c r="BL472" s="129"/>
      <c r="BM472" s="129"/>
      <c r="BN472" s="129"/>
      <c r="BO472" s="129"/>
      <c r="BP472" s="129"/>
      <c r="BQ472" s="129"/>
    </row>
    <row r="473" spans="1:69" s="139" customFormat="1" x14ac:dyDescent="0.25">
      <c r="A473" s="157"/>
      <c r="B473" s="137"/>
      <c r="C473" s="129"/>
      <c r="G473" s="140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28"/>
      <c r="AC473" s="128"/>
      <c r="AD473" s="128"/>
      <c r="AE473" s="128"/>
      <c r="AF473" s="128"/>
      <c r="AG473" s="129"/>
      <c r="AH473" s="129"/>
      <c r="AI473" s="129"/>
      <c r="AJ473" s="129"/>
      <c r="AK473" s="129"/>
      <c r="AL473" s="129"/>
      <c r="AM473" s="129"/>
      <c r="AN473" s="129"/>
      <c r="AO473" s="129"/>
      <c r="AP473" s="129"/>
      <c r="AQ473" s="130"/>
      <c r="AR473" s="130"/>
      <c r="AS473" s="129"/>
      <c r="AT473" s="129"/>
      <c r="AU473" s="129"/>
      <c r="AV473" s="129"/>
      <c r="AW473" s="129"/>
      <c r="AX473" s="129"/>
      <c r="AY473" s="129"/>
      <c r="AZ473" s="129"/>
      <c r="BA473" s="129"/>
      <c r="BB473" s="129"/>
      <c r="BC473" s="129"/>
      <c r="BD473" s="129"/>
      <c r="BE473" s="129"/>
      <c r="BF473" s="129"/>
      <c r="BG473" s="129"/>
      <c r="BH473" s="129"/>
      <c r="BI473" s="129"/>
      <c r="BJ473" s="129"/>
      <c r="BK473" s="129"/>
      <c r="BL473" s="129"/>
      <c r="BM473" s="129"/>
      <c r="BN473" s="129"/>
      <c r="BO473" s="129"/>
      <c r="BP473" s="129"/>
      <c r="BQ473" s="129"/>
    </row>
    <row r="474" spans="1:69" s="139" customFormat="1" x14ac:dyDescent="0.25">
      <c r="A474" s="157"/>
      <c r="B474" s="137"/>
      <c r="C474" s="129"/>
      <c r="G474" s="140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28"/>
      <c r="AC474" s="128"/>
      <c r="AD474" s="128"/>
      <c r="AE474" s="128"/>
      <c r="AF474" s="128"/>
      <c r="AG474" s="129"/>
      <c r="AH474" s="129"/>
      <c r="AI474" s="129"/>
      <c r="AJ474" s="129"/>
      <c r="AK474" s="129"/>
      <c r="AL474" s="129"/>
      <c r="AM474" s="129"/>
      <c r="AN474" s="129"/>
      <c r="AO474" s="129"/>
      <c r="AP474" s="129"/>
      <c r="AQ474" s="130"/>
      <c r="AR474" s="130"/>
      <c r="AS474" s="129"/>
      <c r="AT474" s="129"/>
      <c r="AU474" s="129"/>
      <c r="AV474" s="129"/>
      <c r="AW474" s="129"/>
      <c r="AX474" s="129"/>
      <c r="AY474" s="129"/>
      <c r="AZ474" s="129"/>
      <c r="BA474" s="129"/>
      <c r="BB474" s="129"/>
      <c r="BC474" s="129"/>
      <c r="BD474" s="129"/>
      <c r="BE474" s="129"/>
      <c r="BF474" s="129"/>
      <c r="BG474" s="129"/>
      <c r="BH474" s="129"/>
      <c r="BI474" s="129"/>
      <c r="BJ474" s="129"/>
      <c r="BK474" s="129"/>
      <c r="BL474" s="129"/>
      <c r="BM474" s="129"/>
      <c r="BN474" s="129"/>
      <c r="BO474" s="129"/>
      <c r="BP474" s="129"/>
      <c r="BQ474" s="129"/>
    </row>
    <row r="475" spans="1:69" s="139" customFormat="1" x14ac:dyDescent="0.25">
      <c r="A475" s="157"/>
      <c r="B475" s="137"/>
      <c r="C475" s="129"/>
      <c r="G475" s="140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28"/>
      <c r="AC475" s="128"/>
      <c r="AD475" s="128"/>
      <c r="AE475" s="128"/>
      <c r="AF475" s="128"/>
      <c r="AG475" s="129"/>
      <c r="AH475" s="129"/>
      <c r="AI475" s="129"/>
      <c r="AJ475" s="129"/>
      <c r="AK475" s="129"/>
      <c r="AL475" s="129"/>
      <c r="AM475" s="129"/>
      <c r="AN475" s="129"/>
      <c r="AO475" s="129"/>
      <c r="AP475" s="129"/>
      <c r="AQ475" s="130"/>
      <c r="AR475" s="130"/>
      <c r="AS475" s="129"/>
      <c r="AT475" s="129"/>
      <c r="AU475" s="129"/>
      <c r="AV475" s="129"/>
      <c r="AW475" s="129"/>
      <c r="AX475" s="129"/>
      <c r="AY475" s="129"/>
      <c r="AZ475" s="129"/>
      <c r="BA475" s="129"/>
      <c r="BB475" s="129"/>
      <c r="BC475" s="129"/>
      <c r="BD475" s="129"/>
      <c r="BE475" s="129"/>
      <c r="BF475" s="129"/>
      <c r="BG475" s="129"/>
      <c r="BH475" s="129"/>
      <c r="BI475" s="129"/>
      <c r="BJ475" s="129"/>
      <c r="BK475" s="129"/>
      <c r="BL475" s="129"/>
      <c r="BM475" s="129"/>
      <c r="BN475" s="129"/>
      <c r="BO475" s="129"/>
      <c r="BP475" s="129"/>
      <c r="BQ475" s="129"/>
    </row>
    <row r="476" spans="1:69" s="139" customFormat="1" x14ac:dyDescent="0.25">
      <c r="A476" s="157"/>
      <c r="B476" s="137"/>
      <c r="C476" s="129"/>
      <c r="G476" s="140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28"/>
      <c r="AC476" s="128"/>
      <c r="AD476" s="128"/>
      <c r="AE476" s="128"/>
      <c r="AF476" s="128"/>
      <c r="AG476" s="129"/>
      <c r="AH476" s="129"/>
      <c r="AI476" s="129"/>
      <c r="AJ476" s="129"/>
      <c r="AK476" s="129"/>
      <c r="AL476" s="129"/>
      <c r="AM476" s="129"/>
      <c r="AN476" s="129"/>
      <c r="AO476" s="129"/>
      <c r="AP476" s="129"/>
      <c r="AQ476" s="130"/>
      <c r="AR476" s="130"/>
      <c r="AS476" s="129"/>
      <c r="AT476" s="129"/>
      <c r="AU476" s="129"/>
      <c r="AV476" s="129"/>
      <c r="AW476" s="129"/>
      <c r="AX476" s="129"/>
      <c r="AY476" s="129"/>
      <c r="AZ476" s="129"/>
      <c r="BA476" s="129"/>
      <c r="BB476" s="129"/>
      <c r="BC476" s="129"/>
      <c r="BD476" s="129"/>
      <c r="BE476" s="129"/>
      <c r="BF476" s="129"/>
      <c r="BG476" s="129"/>
      <c r="BH476" s="129"/>
      <c r="BI476" s="129"/>
      <c r="BJ476" s="129"/>
      <c r="BK476" s="129"/>
      <c r="BL476" s="129"/>
      <c r="BM476" s="129"/>
      <c r="BN476" s="129"/>
      <c r="BO476" s="129"/>
      <c r="BP476" s="129"/>
      <c r="BQ476" s="129"/>
    </row>
    <row r="477" spans="1:69" s="139" customFormat="1" x14ac:dyDescent="0.25">
      <c r="A477" s="157"/>
      <c r="B477" s="137"/>
      <c r="C477" s="129"/>
      <c r="G477" s="140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28"/>
      <c r="AC477" s="128"/>
      <c r="AD477" s="128"/>
      <c r="AE477" s="128"/>
      <c r="AF477" s="128"/>
      <c r="AG477" s="129"/>
      <c r="AH477" s="129"/>
      <c r="AI477" s="129"/>
      <c r="AJ477" s="129"/>
      <c r="AK477" s="129"/>
      <c r="AL477" s="129"/>
      <c r="AM477" s="129"/>
      <c r="AN477" s="129"/>
      <c r="AO477" s="129"/>
      <c r="AP477" s="129"/>
      <c r="AQ477" s="130"/>
      <c r="AR477" s="130"/>
      <c r="AS477" s="129"/>
      <c r="AT477" s="129"/>
      <c r="AU477" s="129"/>
      <c r="AV477" s="129"/>
      <c r="AW477" s="129"/>
      <c r="AX477" s="129"/>
      <c r="AY477" s="129"/>
      <c r="AZ477" s="129"/>
      <c r="BA477" s="129"/>
      <c r="BB477" s="129"/>
      <c r="BC477" s="129"/>
      <c r="BD477" s="129"/>
      <c r="BE477" s="129"/>
      <c r="BF477" s="129"/>
      <c r="BG477" s="129"/>
      <c r="BH477" s="129"/>
      <c r="BI477" s="129"/>
      <c r="BJ477" s="129"/>
      <c r="BK477" s="129"/>
      <c r="BL477" s="129"/>
      <c r="BM477" s="129"/>
      <c r="BN477" s="129"/>
      <c r="BO477" s="129"/>
      <c r="BP477" s="129"/>
      <c r="BQ477" s="129"/>
    </row>
    <row r="478" spans="1:69" s="139" customFormat="1" x14ac:dyDescent="0.25">
      <c r="A478" s="157"/>
      <c r="B478" s="137"/>
      <c r="C478" s="129"/>
      <c r="G478" s="140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28"/>
      <c r="AC478" s="128"/>
      <c r="AD478" s="128"/>
      <c r="AE478" s="128"/>
      <c r="AF478" s="128"/>
      <c r="AG478" s="129"/>
      <c r="AH478" s="129"/>
      <c r="AI478" s="129"/>
      <c r="AJ478" s="129"/>
      <c r="AK478" s="129"/>
      <c r="AL478" s="129"/>
      <c r="AM478" s="129"/>
      <c r="AN478" s="129"/>
      <c r="AO478" s="129"/>
      <c r="AP478" s="129"/>
      <c r="AQ478" s="130"/>
      <c r="AR478" s="130"/>
      <c r="AS478" s="129"/>
      <c r="AT478" s="129"/>
      <c r="AU478" s="129"/>
      <c r="AV478" s="129"/>
      <c r="AW478" s="129"/>
      <c r="AX478" s="129"/>
      <c r="AY478" s="129"/>
      <c r="AZ478" s="129"/>
      <c r="BA478" s="129"/>
      <c r="BB478" s="129"/>
      <c r="BC478" s="129"/>
      <c r="BD478" s="129"/>
      <c r="BE478" s="129"/>
      <c r="BF478" s="129"/>
      <c r="BG478" s="129"/>
      <c r="BH478" s="129"/>
      <c r="BI478" s="129"/>
      <c r="BJ478" s="129"/>
      <c r="BK478" s="129"/>
      <c r="BL478" s="129"/>
      <c r="BM478" s="129"/>
      <c r="BN478" s="129"/>
      <c r="BO478" s="129"/>
      <c r="BP478" s="129"/>
      <c r="BQ478" s="129"/>
    </row>
    <row r="479" spans="1:69" s="139" customFormat="1" x14ac:dyDescent="0.25">
      <c r="A479" s="157"/>
      <c r="B479" s="137"/>
      <c r="C479" s="129"/>
      <c r="G479" s="140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28"/>
      <c r="AC479" s="128"/>
      <c r="AD479" s="128"/>
      <c r="AE479" s="128"/>
      <c r="AF479" s="128"/>
      <c r="AG479" s="129"/>
      <c r="AH479" s="129"/>
      <c r="AI479" s="129"/>
      <c r="AJ479" s="129"/>
      <c r="AK479" s="129"/>
      <c r="AL479" s="129"/>
      <c r="AM479" s="129"/>
      <c r="AN479" s="129"/>
      <c r="AO479" s="129"/>
      <c r="AP479" s="129"/>
      <c r="AQ479" s="130"/>
      <c r="AR479" s="130"/>
      <c r="AS479" s="129"/>
      <c r="AT479" s="129"/>
      <c r="AU479" s="129"/>
      <c r="AV479" s="129"/>
      <c r="AW479" s="129"/>
      <c r="AX479" s="129"/>
      <c r="AY479" s="129"/>
      <c r="AZ479" s="129"/>
      <c r="BA479" s="129"/>
      <c r="BB479" s="129"/>
      <c r="BC479" s="129"/>
      <c r="BD479" s="129"/>
      <c r="BE479" s="129"/>
      <c r="BF479" s="129"/>
      <c r="BG479" s="129"/>
      <c r="BH479" s="129"/>
      <c r="BI479" s="129"/>
      <c r="BJ479" s="129"/>
      <c r="BK479" s="129"/>
      <c r="BL479" s="129"/>
      <c r="BM479" s="129"/>
      <c r="BN479" s="129"/>
      <c r="BO479" s="129"/>
      <c r="BP479" s="129"/>
      <c r="BQ479" s="129"/>
    </row>
    <row r="480" spans="1:69" s="139" customFormat="1" x14ac:dyDescent="0.25">
      <c r="A480" s="157"/>
      <c r="B480" s="137"/>
      <c r="C480" s="129"/>
      <c r="G480" s="140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28"/>
      <c r="AC480" s="128"/>
      <c r="AD480" s="128"/>
      <c r="AE480" s="128"/>
      <c r="AF480" s="128"/>
      <c r="AG480" s="129"/>
      <c r="AH480" s="129"/>
      <c r="AI480" s="129"/>
      <c r="AJ480" s="129"/>
      <c r="AK480" s="129"/>
      <c r="AL480" s="129"/>
      <c r="AM480" s="129"/>
      <c r="AN480" s="129"/>
      <c r="AO480" s="129"/>
      <c r="AP480" s="129"/>
      <c r="AQ480" s="130"/>
      <c r="AR480" s="130"/>
      <c r="AS480" s="129"/>
      <c r="AT480" s="129"/>
      <c r="AU480" s="129"/>
      <c r="AV480" s="129"/>
      <c r="AW480" s="129"/>
      <c r="AX480" s="129"/>
      <c r="AY480" s="129"/>
      <c r="AZ480" s="129"/>
      <c r="BA480" s="129"/>
      <c r="BB480" s="129"/>
      <c r="BC480" s="129"/>
      <c r="BD480" s="129"/>
      <c r="BE480" s="129"/>
      <c r="BF480" s="129"/>
      <c r="BG480" s="129"/>
      <c r="BH480" s="129"/>
      <c r="BI480" s="129"/>
      <c r="BJ480" s="129"/>
      <c r="BK480" s="129"/>
      <c r="BL480" s="129"/>
      <c r="BM480" s="129"/>
      <c r="BN480" s="129"/>
      <c r="BO480" s="129"/>
      <c r="BP480" s="129"/>
      <c r="BQ480" s="129"/>
    </row>
    <row r="481" spans="1:69" s="139" customFormat="1" x14ac:dyDescent="0.25">
      <c r="A481" s="157"/>
      <c r="B481" s="137"/>
      <c r="C481" s="129"/>
      <c r="G481" s="140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28"/>
      <c r="AC481" s="128"/>
      <c r="AD481" s="128"/>
      <c r="AE481" s="128"/>
      <c r="AF481" s="128"/>
      <c r="AG481" s="129"/>
      <c r="AH481" s="129"/>
      <c r="AI481" s="129"/>
      <c r="AJ481" s="129"/>
      <c r="AK481" s="129"/>
      <c r="AL481" s="129"/>
      <c r="AM481" s="129"/>
      <c r="AN481" s="129"/>
      <c r="AO481" s="129"/>
      <c r="AP481" s="129"/>
      <c r="AQ481" s="130"/>
      <c r="AR481" s="130"/>
      <c r="AS481" s="129"/>
      <c r="AT481" s="129"/>
      <c r="AU481" s="129"/>
      <c r="AV481" s="129"/>
      <c r="AW481" s="129"/>
      <c r="AX481" s="129"/>
      <c r="AY481" s="129"/>
      <c r="AZ481" s="129"/>
      <c r="BA481" s="129"/>
      <c r="BB481" s="129"/>
      <c r="BC481" s="129"/>
      <c r="BD481" s="129"/>
      <c r="BE481" s="129"/>
      <c r="BF481" s="129"/>
      <c r="BG481" s="129"/>
      <c r="BH481" s="129"/>
      <c r="BI481" s="129"/>
      <c r="BJ481" s="129"/>
      <c r="BK481" s="129"/>
      <c r="BL481" s="129"/>
      <c r="BM481" s="129"/>
      <c r="BN481" s="129"/>
      <c r="BO481" s="129"/>
      <c r="BP481" s="129"/>
      <c r="BQ481" s="129"/>
    </row>
    <row r="482" spans="1:69" s="139" customFormat="1" x14ac:dyDescent="0.25">
      <c r="A482" s="157"/>
      <c r="B482" s="137"/>
      <c r="C482" s="129"/>
      <c r="G482" s="140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28"/>
      <c r="AC482" s="128"/>
      <c r="AD482" s="128"/>
      <c r="AE482" s="128"/>
      <c r="AF482" s="128"/>
      <c r="AG482" s="129"/>
      <c r="AH482" s="129"/>
      <c r="AI482" s="129"/>
      <c r="AJ482" s="129"/>
      <c r="AK482" s="129"/>
      <c r="AL482" s="129"/>
      <c r="AM482" s="129"/>
      <c r="AN482" s="129"/>
      <c r="AO482" s="129"/>
      <c r="AP482" s="129"/>
      <c r="AQ482" s="130"/>
      <c r="AR482" s="130"/>
      <c r="AS482" s="129"/>
      <c r="AT482" s="129"/>
      <c r="AU482" s="129"/>
      <c r="AV482" s="129"/>
      <c r="AW482" s="129"/>
      <c r="AX482" s="129"/>
      <c r="AY482" s="129"/>
      <c r="AZ482" s="129"/>
      <c r="BA482" s="129"/>
      <c r="BB482" s="129"/>
      <c r="BC482" s="129"/>
      <c r="BD482" s="129"/>
      <c r="BE482" s="129"/>
      <c r="BF482" s="129"/>
      <c r="BG482" s="129"/>
      <c r="BH482" s="129"/>
      <c r="BI482" s="129"/>
      <c r="BJ482" s="129"/>
      <c r="BK482" s="129"/>
      <c r="BL482" s="129"/>
      <c r="BM482" s="129"/>
      <c r="BN482" s="129"/>
      <c r="BO482" s="129"/>
      <c r="BP482" s="129"/>
      <c r="BQ482" s="129"/>
    </row>
    <row r="483" spans="1:69" s="139" customFormat="1" x14ac:dyDescent="0.25">
      <c r="A483" s="157"/>
      <c r="B483" s="137"/>
      <c r="C483" s="129"/>
      <c r="G483" s="140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28"/>
      <c r="AC483" s="128"/>
      <c r="AD483" s="128"/>
      <c r="AE483" s="128"/>
      <c r="AF483" s="128"/>
      <c r="AG483" s="129"/>
      <c r="AH483" s="129"/>
      <c r="AI483" s="129"/>
      <c r="AJ483" s="129"/>
      <c r="AK483" s="129"/>
      <c r="AL483" s="129"/>
      <c r="AM483" s="129"/>
      <c r="AN483" s="129"/>
      <c r="AO483" s="129"/>
      <c r="AP483" s="129"/>
      <c r="AQ483" s="130"/>
      <c r="AR483" s="130"/>
      <c r="AS483" s="129"/>
      <c r="AT483" s="129"/>
      <c r="AU483" s="129"/>
      <c r="AV483" s="129"/>
      <c r="AW483" s="129"/>
      <c r="AX483" s="129"/>
      <c r="AY483" s="129"/>
      <c r="AZ483" s="129"/>
      <c r="BA483" s="129"/>
      <c r="BB483" s="129"/>
      <c r="BC483" s="129"/>
      <c r="BD483" s="129"/>
      <c r="BE483" s="129"/>
      <c r="BF483" s="129"/>
      <c r="BG483" s="129"/>
      <c r="BH483" s="129"/>
      <c r="BI483" s="129"/>
      <c r="BJ483" s="129"/>
      <c r="BK483" s="129"/>
      <c r="BL483" s="129"/>
      <c r="BM483" s="129"/>
      <c r="BN483" s="129"/>
      <c r="BO483" s="129"/>
      <c r="BP483" s="129"/>
      <c r="BQ483" s="129"/>
    </row>
    <row r="484" spans="1:69" s="139" customFormat="1" x14ac:dyDescent="0.25">
      <c r="A484" s="157"/>
      <c r="B484" s="137"/>
      <c r="C484" s="129"/>
      <c r="G484" s="140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28"/>
      <c r="AC484" s="128"/>
      <c r="AD484" s="128"/>
      <c r="AE484" s="128"/>
      <c r="AF484" s="128"/>
      <c r="AG484" s="129"/>
      <c r="AH484" s="129"/>
      <c r="AI484" s="129"/>
      <c r="AJ484" s="129"/>
      <c r="AK484" s="129"/>
      <c r="AL484" s="129"/>
      <c r="AM484" s="129"/>
      <c r="AN484" s="129"/>
      <c r="AO484" s="129"/>
      <c r="AP484" s="129"/>
      <c r="AQ484" s="130"/>
      <c r="AR484" s="130"/>
      <c r="AS484" s="129"/>
      <c r="AT484" s="129"/>
      <c r="AU484" s="129"/>
      <c r="AV484" s="129"/>
      <c r="AW484" s="129"/>
      <c r="AX484" s="129"/>
      <c r="AY484" s="129"/>
      <c r="AZ484" s="129"/>
      <c r="BA484" s="129"/>
      <c r="BB484" s="129"/>
      <c r="BC484" s="129"/>
      <c r="BD484" s="129"/>
      <c r="BE484" s="129"/>
      <c r="BF484" s="129"/>
      <c r="BG484" s="129"/>
      <c r="BH484" s="129"/>
      <c r="BI484" s="129"/>
      <c r="BJ484" s="129"/>
      <c r="BK484" s="129"/>
      <c r="BL484" s="129"/>
      <c r="BM484" s="129"/>
      <c r="BN484" s="129"/>
      <c r="BO484" s="129"/>
      <c r="BP484" s="129"/>
      <c r="BQ484" s="129"/>
    </row>
    <row r="485" spans="1:69" s="139" customFormat="1" x14ac:dyDescent="0.25">
      <c r="A485" s="157"/>
      <c r="B485" s="137"/>
      <c r="C485" s="129"/>
      <c r="G485" s="140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28"/>
      <c r="AC485" s="128"/>
      <c r="AD485" s="128"/>
      <c r="AE485" s="128"/>
      <c r="AF485" s="128"/>
      <c r="AG485" s="129"/>
      <c r="AH485" s="129"/>
      <c r="AI485" s="129"/>
      <c r="AJ485" s="129"/>
      <c r="AK485" s="129"/>
      <c r="AL485" s="129"/>
      <c r="AM485" s="129"/>
      <c r="AN485" s="129"/>
      <c r="AO485" s="129"/>
      <c r="AP485" s="129"/>
      <c r="AQ485" s="130"/>
      <c r="AR485" s="130"/>
      <c r="AS485" s="129"/>
      <c r="AT485" s="129"/>
      <c r="AU485" s="129"/>
      <c r="AV485" s="129"/>
      <c r="AW485" s="129"/>
      <c r="AX485" s="129"/>
      <c r="AY485" s="129"/>
      <c r="AZ485" s="129"/>
      <c r="BA485" s="129"/>
      <c r="BB485" s="129"/>
      <c r="BC485" s="129"/>
      <c r="BD485" s="129"/>
      <c r="BE485" s="129"/>
      <c r="BF485" s="129"/>
      <c r="BG485" s="129"/>
      <c r="BH485" s="129"/>
      <c r="BI485" s="129"/>
      <c r="BJ485" s="129"/>
      <c r="BK485" s="129"/>
      <c r="BL485" s="129"/>
      <c r="BM485" s="129"/>
      <c r="BN485" s="129"/>
      <c r="BO485" s="129"/>
      <c r="BP485" s="129"/>
      <c r="BQ485" s="129"/>
    </row>
    <row r="486" spans="1:69" s="139" customFormat="1" x14ac:dyDescent="0.25">
      <c r="A486" s="157"/>
      <c r="B486" s="137"/>
      <c r="C486" s="129"/>
      <c r="G486" s="140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28"/>
      <c r="AC486" s="128"/>
      <c r="AD486" s="128"/>
      <c r="AE486" s="128"/>
      <c r="AF486" s="128"/>
      <c r="AG486" s="129"/>
      <c r="AH486" s="129"/>
      <c r="AI486" s="129"/>
      <c r="AJ486" s="129"/>
      <c r="AK486" s="129"/>
      <c r="AL486" s="129"/>
      <c r="AM486" s="129"/>
      <c r="AN486" s="129"/>
      <c r="AO486" s="129"/>
      <c r="AP486" s="129"/>
      <c r="AQ486" s="130"/>
      <c r="AR486" s="130"/>
      <c r="AS486" s="129"/>
      <c r="AT486" s="129"/>
      <c r="AU486" s="129"/>
      <c r="AV486" s="129"/>
      <c r="AW486" s="129"/>
      <c r="AX486" s="129"/>
      <c r="AY486" s="129"/>
      <c r="AZ486" s="129"/>
      <c r="BA486" s="129"/>
      <c r="BB486" s="129"/>
      <c r="BC486" s="129"/>
      <c r="BD486" s="129"/>
      <c r="BE486" s="129"/>
      <c r="BF486" s="129"/>
      <c r="BG486" s="129"/>
      <c r="BH486" s="129"/>
      <c r="BI486" s="129"/>
      <c r="BJ486" s="129"/>
      <c r="BK486" s="129"/>
      <c r="BL486" s="129"/>
      <c r="BM486" s="129"/>
      <c r="BN486" s="129"/>
      <c r="BO486" s="129"/>
      <c r="BP486" s="129"/>
      <c r="BQ486" s="129"/>
    </row>
    <row r="487" spans="1:69" s="139" customFormat="1" x14ac:dyDescent="0.25">
      <c r="A487" s="157"/>
      <c r="B487" s="137"/>
      <c r="C487" s="129"/>
      <c r="G487" s="140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28"/>
      <c r="AC487" s="128"/>
      <c r="AD487" s="128"/>
      <c r="AE487" s="128"/>
      <c r="AF487" s="128"/>
      <c r="AG487" s="129"/>
      <c r="AH487" s="129"/>
      <c r="AI487" s="129"/>
      <c r="AJ487" s="129"/>
      <c r="AK487" s="129"/>
      <c r="AL487" s="129"/>
      <c r="AM487" s="129"/>
      <c r="AN487" s="129"/>
      <c r="AO487" s="129"/>
      <c r="AP487" s="129"/>
      <c r="AQ487" s="130"/>
      <c r="AR487" s="130"/>
      <c r="AS487" s="129"/>
      <c r="AT487" s="129"/>
      <c r="AU487" s="129"/>
      <c r="AV487" s="129"/>
      <c r="AW487" s="129"/>
      <c r="AX487" s="129"/>
      <c r="AY487" s="129"/>
      <c r="AZ487" s="129"/>
      <c r="BA487" s="129"/>
      <c r="BB487" s="129"/>
      <c r="BC487" s="129"/>
      <c r="BD487" s="129"/>
      <c r="BE487" s="129"/>
      <c r="BF487" s="129"/>
      <c r="BG487" s="129"/>
      <c r="BH487" s="129"/>
      <c r="BI487" s="129"/>
      <c r="BJ487" s="129"/>
      <c r="BK487" s="129"/>
      <c r="BL487" s="129"/>
      <c r="BM487" s="129"/>
      <c r="BN487" s="129"/>
      <c r="BO487" s="129"/>
      <c r="BP487" s="129"/>
      <c r="BQ487" s="129"/>
    </row>
    <row r="488" spans="1:69" s="139" customFormat="1" x14ac:dyDescent="0.25">
      <c r="A488" s="157"/>
      <c r="B488" s="137"/>
      <c r="C488" s="129"/>
      <c r="G488" s="140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28"/>
      <c r="AC488" s="128"/>
      <c r="AD488" s="128"/>
      <c r="AE488" s="128"/>
      <c r="AF488" s="128"/>
      <c r="AG488" s="129"/>
      <c r="AH488" s="129"/>
      <c r="AI488" s="129"/>
      <c r="AJ488" s="129"/>
      <c r="AK488" s="129"/>
      <c r="AL488" s="129"/>
      <c r="AM488" s="129"/>
      <c r="AN488" s="129"/>
      <c r="AO488" s="129"/>
      <c r="AP488" s="129"/>
      <c r="AQ488" s="130"/>
      <c r="AR488" s="130"/>
      <c r="AS488" s="129"/>
      <c r="AT488" s="129"/>
      <c r="AU488" s="129"/>
      <c r="AV488" s="129"/>
      <c r="AW488" s="129"/>
      <c r="AX488" s="129"/>
      <c r="AY488" s="129"/>
      <c r="AZ488" s="129"/>
      <c r="BA488" s="129"/>
      <c r="BB488" s="129"/>
      <c r="BC488" s="129"/>
      <c r="BD488" s="129"/>
      <c r="BE488" s="129"/>
      <c r="BF488" s="129"/>
      <c r="BG488" s="129"/>
      <c r="BH488" s="129"/>
      <c r="BI488" s="129"/>
      <c r="BJ488" s="129"/>
      <c r="BK488" s="129"/>
      <c r="BL488" s="129"/>
      <c r="BM488" s="129"/>
      <c r="BN488" s="129"/>
      <c r="BO488" s="129"/>
      <c r="BP488" s="129"/>
      <c r="BQ488" s="129"/>
    </row>
    <row r="489" spans="1:69" s="139" customFormat="1" x14ac:dyDescent="0.25">
      <c r="A489" s="157"/>
      <c r="B489" s="137"/>
      <c r="C489" s="129"/>
      <c r="G489" s="140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28"/>
      <c r="AC489" s="128"/>
      <c r="AD489" s="128"/>
      <c r="AE489" s="128"/>
      <c r="AF489" s="128"/>
      <c r="AG489" s="129"/>
      <c r="AH489" s="129"/>
      <c r="AI489" s="129"/>
      <c r="AJ489" s="129"/>
      <c r="AK489" s="129"/>
      <c r="AL489" s="129"/>
      <c r="AM489" s="129"/>
      <c r="AN489" s="129"/>
      <c r="AO489" s="129"/>
      <c r="AP489" s="129"/>
      <c r="AQ489" s="130"/>
      <c r="AR489" s="130"/>
      <c r="AS489" s="129"/>
      <c r="AT489" s="129"/>
      <c r="AU489" s="129"/>
      <c r="AV489" s="129"/>
      <c r="AW489" s="129"/>
      <c r="AX489" s="129"/>
      <c r="AY489" s="129"/>
      <c r="AZ489" s="129"/>
      <c r="BA489" s="129"/>
      <c r="BB489" s="129"/>
      <c r="BC489" s="129"/>
      <c r="BD489" s="129"/>
      <c r="BE489" s="129"/>
      <c r="BF489" s="129"/>
      <c r="BG489" s="129"/>
      <c r="BH489" s="129"/>
      <c r="BI489" s="129"/>
      <c r="BJ489" s="129"/>
      <c r="BK489" s="129"/>
      <c r="BL489" s="129"/>
      <c r="BM489" s="129"/>
      <c r="BN489" s="129"/>
      <c r="BO489" s="129"/>
      <c r="BP489" s="129"/>
      <c r="BQ489" s="129"/>
    </row>
    <row r="490" spans="1:69" s="139" customFormat="1" x14ac:dyDescent="0.25">
      <c r="A490" s="157"/>
      <c r="B490" s="137"/>
      <c r="C490" s="129"/>
      <c r="G490" s="140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28"/>
      <c r="AC490" s="128"/>
      <c r="AD490" s="128"/>
      <c r="AE490" s="128"/>
      <c r="AF490" s="128"/>
      <c r="AG490" s="129"/>
      <c r="AH490" s="129"/>
      <c r="AI490" s="129"/>
      <c r="AJ490" s="129"/>
      <c r="AK490" s="129"/>
      <c r="AL490" s="129"/>
      <c r="AM490" s="129"/>
      <c r="AN490" s="129"/>
      <c r="AO490" s="129"/>
      <c r="AP490" s="129"/>
      <c r="AQ490" s="130"/>
      <c r="AR490" s="130"/>
      <c r="AS490" s="129"/>
      <c r="AT490" s="129"/>
      <c r="AU490" s="129"/>
      <c r="AV490" s="129"/>
      <c r="AW490" s="129"/>
      <c r="AX490" s="129"/>
      <c r="AY490" s="129"/>
      <c r="AZ490" s="129"/>
      <c r="BA490" s="129"/>
      <c r="BB490" s="129"/>
      <c r="BC490" s="129"/>
      <c r="BD490" s="129"/>
      <c r="BE490" s="129"/>
      <c r="BF490" s="129"/>
      <c r="BG490" s="129"/>
      <c r="BH490" s="129"/>
      <c r="BI490" s="129"/>
      <c r="BJ490" s="129"/>
      <c r="BK490" s="129"/>
      <c r="BL490" s="129"/>
      <c r="BM490" s="129"/>
      <c r="BN490" s="129"/>
      <c r="BO490" s="129"/>
      <c r="BP490" s="129"/>
      <c r="BQ490" s="129"/>
    </row>
    <row r="491" spans="1:69" s="139" customFormat="1" x14ac:dyDescent="0.25">
      <c r="A491" s="157"/>
      <c r="B491" s="137"/>
      <c r="C491" s="129"/>
      <c r="G491" s="140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28"/>
      <c r="AC491" s="128"/>
      <c r="AD491" s="128"/>
      <c r="AE491" s="128"/>
      <c r="AF491" s="128"/>
      <c r="AG491" s="129"/>
      <c r="AH491" s="129"/>
      <c r="AI491" s="129"/>
      <c r="AJ491" s="129"/>
      <c r="AK491" s="129"/>
      <c r="AL491" s="129"/>
      <c r="AM491" s="129"/>
      <c r="AN491" s="129"/>
      <c r="AO491" s="129"/>
      <c r="AP491" s="129"/>
      <c r="AQ491" s="130"/>
      <c r="AR491" s="130"/>
      <c r="AS491" s="129"/>
      <c r="AT491" s="129"/>
      <c r="AU491" s="129"/>
      <c r="AV491" s="129"/>
      <c r="AW491" s="129"/>
      <c r="AX491" s="129"/>
      <c r="AY491" s="129"/>
      <c r="AZ491" s="129"/>
      <c r="BA491" s="129"/>
      <c r="BB491" s="129"/>
      <c r="BC491" s="129"/>
      <c r="BD491" s="129"/>
      <c r="BE491" s="129"/>
      <c r="BF491" s="129"/>
      <c r="BG491" s="129"/>
      <c r="BH491" s="129"/>
      <c r="BI491" s="129"/>
      <c r="BJ491" s="129"/>
      <c r="BK491" s="129"/>
      <c r="BL491" s="129"/>
      <c r="BM491" s="129"/>
      <c r="BN491" s="129"/>
      <c r="BO491" s="129"/>
      <c r="BP491" s="129"/>
      <c r="BQ491" s="129"/>
    </row>
    <row r="492" spans="1:69" s="139" customFormat="1" x14ac:dyDescent="0.25">
      <c r="A492" s="157"/>
      <c r="B492" s="137"/>
      <c r="C492" s="129"/>
      <c r="G492" s="140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28"/>
      <c r="AC492" s="128"/>
      <c r="AD492" s="128"/>
      <c r="AE492" s="128"/>
      <c r="AF492" s="128"/>
      <c r="AG492" s="129"/>
      <c r="AH492" s="129"/>
      <c r="AI492" s="129"/>
      <c r="AJ492" s="129"/>
      <c r="AK492" s="129"/>
      <c r="AL492" s="129"/>
      <c r="AM492" s="129"/>
      <c r="AN492" s="129"/>
      <c r="AO492" s="129"/>
      <c r="AP492" s="129"/>
      <c r="AQ492" s="130"/>
      <c r="AR492" s="130"/>
      <c r="AS492" s="129"/>
      <c r="AT492" s="129"/>
      <c r="AU492" s="129"/>
      <c r="AV492" s="129"/>
      <c r="AW492" s="129"/>
      <c r="AX492" s="129"/>
      <c r="AY492" s="129"/>
      <c r="AZ492" s="129"/>
      <c r="BA492" s="129"/>
      <c r="BB492" s="129"/>
      <c r="BC492" s="129"/>
      <c r="BD492" s="129"/>
      <c r="BE492" s="129"/>
      <c r="BF492" s="129"/>
      <c r="BG492" s="129"/>
      <c r="BH492" s="129"/>
      <c r="BI492" s="129"/>
      <c r="BJ492" s="129"/>
      <c r="BK492" s="129"/>
      <c r="BL492" s="129"/>
      <c r="BM492" s="129"/>
      <c r="BN492" s="129"/>
      <c r="BO492" s="129"/>
      <c r="BP492" s="129"/>
      <c r="BQ492" s="129"/>
    </row>
    <row r="493" spans="1:69" s="139" customFormat="1" x14ac:dyDescent="0.25">
      <c r="A493" s="157"/>
      <c r="B493" s="137"/>
      <c r="C493" s="129"/>
      <c r="G493" s="140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28"/>
      <c r="AC493" s="128"/>
      <c r="AD493" s="128"/>
      <c r="AE493" s="128"/>
      <c r="AF493" s="128"/>
      <c r="AG493" s="129"/>
      <c r="AH493" s="129"/>
      <c r="AI493" s="129"/>
      <c r="AJ493" s="129"/>
      <c r="AK493" s="129"/>
      <c r="AL493" s="129"/>
      <c r="AM493" s="129"/>
      <c r="AN493" s="129"/>
      <c r="AO493" s="129"/>
      <c r="AP493" s="129"/>
      <c r="AQ493" s="130"/>
      <c r="AR493" s="130"/>
      <c r="AS493" s="129"/>
      <c r="AT493" s="129"/>
      <c r="AU493" s="129"/>
      <c r="AV493" s="129"/>
      <c r="AW493" s="129"/>
      <c r="AX493" s="129"/>
      <c r="AY493" s="129"/>
      <c r="AZ493" s="129"/>
      <c r="BA493" s="129"/>
      <c r="BB493" s="129"/>
      <c r="BC493" s="129"/>
      <c r="BD493" s="129"/>
      <c r="BE493" s="129"/>
      <c r="BF493" s="129"/>
      <c r="BG493" s="129"/>
      <c r="BH493" s="129"/>
      <c r="BI493" s="129"/>
      <c r="BJ493" s="129"/>
      <c r="BK493" s="129"/>
      <c r="BL493" s="129"/>
      <c r="BM493" s="129"/>
      <c r="BN493" s="129"/>
      <c r="BO493" s="129"/>
      <c r="BP493" s="129"/>
      <c r="BQ493" s="129"/>
    </row>
    <row r="494" spans="1:69" s="139" customFormat="1" x14ac:dyDescent="0.25">
      <c r="A494" s="157"/>
      <c r="B494" s="137"/>
      <c r="C494" s="129"/>
      <c r="G494" s="140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28"/>
      <c r="AC494" s="128"/>
      <c r="AD494" s="128"/>
      <c r="AE494" s="128"/>
      <c r="AF494" s="128"/>
      <c r="AG494" s="129"/>
      <c r="AH494" s="129"/>
      <c r="AI494" s="129"/>
      <c r="AJ494" s="129"/>
      <c r="AK494" s="129"/>
      <c r="AL494" s="129"/>
      <c r="AM494" s="129"/>
      <c r="AN494" s="129"/>
      <c r="AO494" s="129"/>
      <c r="AP494" s="129"/>
      <c r="AQ494" s="130"/>
      <c r="AR494" s="130"/>
      <c r="AS494" s="129"/>
      <c r="AT494" s="129"/>
      <c r="AU494" s="129"/>
      <c r="AV494" s="129"/>
      <c r="AW494" s="129"/>
      <c r="AX494" s="129"/>
      <c r="AY494" s="129"/>
      <c r="AZ494" s="129"/>
      <c r="BA494" s="129"/>
      <c r="BB494" s="129"/>
      <c r="BC494" s="129"/>
      <c r="BD494" s="129"/>
      <c r="BE494" s="129"/>
      <c r="BF494" s="129"/>
      <c r="BG494" s="129"/>
      <c r="BH494" s="129"/>
      <c r="BI494" s="129"/>
      <c r="BJ494" s="129"/>
      <c r="BK494" s="129"/>
      <c r="BL494" s="129"/>
      <c r="BM494" s="129"/>
      <c r="BN494" s="129"/>
      <c r="BO494" s="129"/>
      <c r="BP494" s="129"/>
      <c r="BQ494" s="129"/>
    </row>
    <row r="495" spans="1:69" s="139" customFormat="1" x14ac:dyDescent="0.25">
      <c r="A495" s="157"/>
      <c r="B495" s="137"/>
      <c r="C495" s="129"/>
      <c r="G495" s="140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28"/>
      <c r="AC495" s="128"/>
      <c r="AD495" s="128"/>
      <c r="AE495" s="128"/>
      <c r="AF495" s="128"/>
      <c r="AG495" s="129"/>
      <c r="AH495" s="129"/>
      <c r="AI495" s="129"/>
      <c r="AJ495" s="129"/>
      <c r="AK495" s="129"/>
      <c r="AL495" s="129"/>
      <c r="AM495" s="129"/>
      <c r="AN495" s="129"/>
      <c r="AO495" s="129"/>
      <c r="AP495" s="129"/>
      <c r="AQ495" s="130"/>
      <c r="AR495" s="130"/>
      <c r="AS495" s="129"/>
      <c r="AT495" s="129"/>
      <c r="AU495" s="129"/>
      <c r="AV495" s="129"/>
      <c r="AW495" s="129"/>
      <c r="AX495" s="129"/>
      <c r="AY495" s="129"/>
      <c r="AZ495" s="129"/>
      <c r="BA495" s="129"/>
      <c r="BB495" s="129"/>
      <c r="BC495" s="129"/>
      <c r="BD495" s="129"/>
      <c r="BE495" s="129"/>
      <c r="BF495" s="129"/>
      <c r="BG495" s="129"/>
      <c r="BH495" s="129"/>
      <c r="BI495" s="129"/>
      <c r="BJ495" s="129"/>
      <c r="BK495" s="129"/>
      <c r="BL495" s="129"/>
      <c r="BM495" s="129"/>
      <c r="BN495" s="129"/>
      <c r="BO495" s="129"/>
      <c r="BP495" s="129"/>
      <c r="BQ495" s="129"/>
    </row>
    <row r="496" spans="1:69" s="139" customFormat="1" x14ac:dyDescent="0.25">
      <c r="A496" s="157"/>
      <c r="B496" s="137"/>
      <c r="C496" s="129"/>
      <c r="G496" s="140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28"/>
      <c r="AC496" s="128"/>
      <c r="AD496" s="128"/>
      <c r="AE496" s="128"/>
      <c r="AF496" s="128"/>
      <c r="AG496" s="129"/>
      <c r="AH496" s="129"/>
      <c r="AI496" s="129"/>
      <c r="AJ496" s="129"/>
      <c r="AK496" s="129"/>
      <c r="AL496" s="129"/>
      <c r="AM496" s="129"/>
      <c r="AN496" s="129"/>
      <c r="AO496" s="129"/>
      <c r="AP496" s="129"/>
      <c r="AQ496" s="130"/>
      <c r="AR496" s="130"/>
      <c r="AS496" s="129"/>
      <c r="AT496" s="129"/>
      <c r="AU496" s="129"/>
      <c r="AV496" s="129"/>
      <c r="AW496" s="129"/>
      <c r="AX496" s="129"/>
      <c r="AY496" s="129"/>
      <c r="AZ496" s="129"/>
      <c r="BA496" s="129"/>
      <c r="BB496" s="129"/>
      <c r="BC496" s="129"/>
      <c r="BD496" s="129"/>
      <c r="BE496" s="129"/>
      <c r="BF496" s="129"/>
      <c r="BG496" s="129"/>
      <c r="BH496" s="129"/>
      <c r="BI496" s="129"/>
      <c r="BJ496" s="129"/>
      <c r="BK496" s="129"/>
      <c r="BL496" s="129"/>
      <c r="BM496" s="129"/>
      <c r="BN496" s="129"/>
      <c r="BO496" s="129"/>
      <c r="BP496" s="129"/>
      <c r="BQ496" s="129"/>
    </row>
    <row r="497" spans="1:69" s="139" customFormat="1" x14ac:dyDescent="0.25">
      <c r="A497" s="157"/>
      <c r="B497" s="137"/>
      <c r="C497" s="129"/>
      <c r="G497" s="140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28"/>
      <c r="AC497" s="128"/>
      <c r="AD497" s="128"/>
      <c r="AE497" s="128"/>
      <c r="AF497" s="128"/>
      <c r="AG497" s="129"/>
      <c r="AH497" s="129"/>
      <c r="AI497" s="129"/>
      <c r="AJ497" s="129"/>
      <c r="AK497" s="129"/>
      <c r="AL497" s="129"/>
      <c r="AM497" s="129"/>
      <c r="AN497" s="129"/>
      <c r="AO497" s="129"/>
      <c r="AP497" s="129"/>
      <c r="AQ497" s="130"/>
      <c r="AR497" s="130"/>
      <c r="AS497" s="129"/>
      <c r="AT497" s="129"/>
      <c r="AU497" s="129"/>
      <c r="AV497" s="129"/>
      <c r="AW497" s="129"/>
      <c r="AX497" s="129"/>
      <c r="AY497" s="129"/>
      <c r="AZ497" s="129"/>
      <c r="BA497" s="129"/>
      <c r="BB497" s="129"/>
      <c r="BC497" s="129"/>
      <c r="BD497" s="129"/>
      <c r="BE497" s="129"/>
      <c r="BF497" s="129"/>
      <c r="BG497" s="129"/>
      <c r="BH497" s="129"/>
      <c r="BI497" s="129"/>
      <c r="BJ497" s="129"/>
      <c r="BK497" s="129"/>
      <c r="BL497" s="129"/>
      <c r="BM497" s="129"/>
      <c r="BN497" s="129"/>
      <c r="BO497" s="129"/>
      <c r="BP497" s="129"/>
      <c r="BQ497" s="129"/>
    </row>
    <row r="498" spans="1:69" s="139" customFormat="1" x14ac:dyDescent="0.25">
      <c r="A498" s="157"/>
      <c r="B498" s="137"/>
      <c r="C498" s="129"/>
      <c r="G498" s="140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28"/>
      <c r="AC498" s="128"/>
      <c r="AD498" s="128"/>
      <c r="AE498" s="128"/>
      <c r="AF498" s="128"/>
      <c r="AG498" s="129"/>
      <c r="AH498" s="129"/>
      <c r="AI498" s="129"/>
      <c r="AJ498" s="129"/>
      <c r="AK498" s="129"/>
      <c r="AL498" s="129"/>
      <c r="AM498" s="129"/>
      <c r="AN498" s="129"/>
      <c r="AO498" s="129"/>
      <c r="AP498" s="129"/>
      <c r="AQ498" s="130"/>
      <c r="AR498" s="130"/>
      <c r="AS498" s="129"/>
      <c r="AT498" s="129"/>
      <c r="AU498" s="129"/>
      <c r="AV498" s="129"/>
      <c r="AW498" s="129"/>
      <c r="AX498" s="129"/>
      <c r="AY498" s="129"/>
      <c r="AZ498" s="129"/>
      <c r="BA498" s="129"/>
      <c r="BB498" s="129"/>
      <c r="BC498" s="129"/>
      <c r="BD498" s="129"/>
      <c r="BE498" s="129"/>
      <c r="BF498" s="129"/>
      <c r="BG498" s="129"/>
      <c r="BH498" s="129"/>
      <c r="BI498" s="129"/>
      <c r="BJ498" s="129"/>
      <c r="BK498" s="129"/>
      <c r="BL498" s="129"/>
      <c r="BM498" s="129"/>
      <c r="BN498" s="129"/>
      <c r="BO498" s="129"/>
      <c r="BP498" s="129"/>
      <c r="BQ498" s="129"/>
    </row>
    <row r="499" spans="1:69" s="139" customFormat="1" x14ac:dyDescent="0.25">
      <c r="A499" s="157"/>
      <c r="B499" s="137"/>
      <c r="C499" s="129"/>
      <c r="G499" s="140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28"/>
      <c r="AC499" s="128"/>
      <c r="AD499" s="128"/>
      <c r="AE499" s="128"/>
      <c r="AF499" s="128"/>
      <c r="AG499" s="129"/>
      <c r="AH499" s="129"/>
      <c r="AI499" s="129"/>
      <c r="AJ499" s="129"/>
      <c r="AK499" s="129"/>
      <c r="AL499" s="129"/>
      <c r="AM499" s="129"/>
      <c r="AN499" s="129"/>
      <c r="AO499" s="129"/>
      <c r="AP499" s="129"/>
      <c r="AQ499" s="130"/>
      <c r="AR499" s="130"/>
      <c r="AS499" s="129"/>
      <c r="AT499" s="129"/>
      <c r="AU499" s="129"/>
      <c r="AV499" s="129"/>
      <c r="AW499" s="129"/>
      <c r="AX499" s="129"/>
      <c r="AY499" s="129"/>
      <c r="AZ499" s="129"/>
      <c r="BA499" s="129"/>
      <c r="BB499" s="129"/>
      <c r="BC499" s="129"/>
      <c r="BD499" s="129"/>
      <c r="BE499" s="129"/>
      <c r="BF499" s="129"/>
      <c r="BG499" s="129"/>
      <c r="BH499" s="129"/>
      <c r="BI499" s="129"/>
      <c r="BJ499" s="129"/>
      <c r="BK499" s="129"/>
      <c r="BL499" s="129"/>
      <c r="BM499" s="129"/>
      <c r="BN499" s="129"/>
      <c r="BO499" s="129"/>
      <c r="BP499" s="129"/>
      <c r="BQ499" s="129"/>
    </row>
    <row r="500" spans="1:69" s="139" customFormat="1" x14ac:dyDescent="0.25">
      <c r="A500" s="157"/>
      <c r="B500" s="137"/>
      <c r="C500" s="129"/>
      <c r="G500" s="140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28"/>
      <c r="AC500" s="128"/>
      <c r="AD500" s="128"/>
      <c r="AE500" s="128"/>
      <c r="AF500" s="128"/>
      <c r="AG500" s="129"/>
      <c r="AH500" s="129"/>
      <c r="AI500" s="129"/>
      <c r="AJ500" s="129"/>
      <c r="AK500" s="129"/>
      <c r="AL500" s="129"/>
      <c r="AM500" s="129"/>
      <c r="AN500" s="129"/>
      <c r="AO500" s="129"/>
      <c r="AP500" s="129"/>
      <c r="AQ500" s="130"/>
      <c r="AR500" s="130"/>
      <c r="AS500" s="129"/>
      <c r="AT500" s="129"/>
      <c r="AU500" s="129"/>
      <c r="AV500" s="129"/>
      <c r="AW500" s="129"/>
      <c r="AX500" s="129"/>
      <c r="AY500" s="129"/>
      <c r="AZ500" s="129"/>
      <c r="BA500" s="129"/>
      <c r="BB500" s="129"/>
      <c r="BC500" s="129"/>
      <c r="BD500" s="129"/>
      <c r="BE500" s="129"/>
      <c r="BF500" s="129"/>
      <c r="BG500" s="129"/>
      <c r="BH500" s="129"/>
      <c r="BI500" s="129"/>
      <c r="BJ500" s="129"/>
      <c r="BK500" s="129"/>
      <c r="BL500" s="129"/>
      <c r="BM500" s="129"/>
      <c r="BN500" s="129"/>
      <c r="BO500" s="129"/>
      <c r="BP500" s="129"/>
      <c r="BQ500" s="129"/>
    </row>
    <row r="501" spans="1:69" s="139" customFormat="1" x14ac:dyDescent="0.25">
      <c r="A501" s="157"/>
      <c r="B501" s="137"/>
      <c r="C501" s="129"/>
      <c r="G501" s="140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28"/>
      <c r="AC501" s="128"/>
      <c r="AD501" s="128"/>
      <c r="AE501" s="128"/>
      <c r="AF501" s="128"/>
      <c r="AG501" s="129"/>
      <c r="AH501" s="129"/>
      <c r="AI501" s="129"/>
      <c r="AJ501" s="129"/>
      <c r="AK501" s="129"/>
      <c r="AL501" s="129"/>
      <c r="AM501" s="129"/>
      <c r="AN501" s="129"/>
      <c r="AO501" s="129"/>
      <c r="AP501" s="129"/>
      <c r="AQ501" s="130"/>
      <c r="AR501" s="130"/>
      <c r="AS501" s="129"/>
      <c r="AT501" s="129"/>
      <c r="AU501" s="129"/>
      <c r="AV501" s="129"/>
      <c r="AW501" s="129"/>
      <c r="AX501" s="129"/>
      <c r="AY501" s="129"/>
      <c r="AZ501" s="129"/>
      <c r="BA501" s="129"/>
      <c r="BB501" s="129"/>
      <c r="BC501" s="129"/>
      <c r="BD501" s="129"/>
      <c r="BE501" s="129"/>
      <c r="BF501" s="129"/>
      <c r="BG501" s="129"/>
      <c r="BH501" s="129"/>
      <c r="BI501" s="129"/>
      <c r="BJ501" s="129"/>
      <c r="BK501" s="129"/>
      <c r="BL501" s="129"/>
      <c r="BM501" s="129"/>
      <c r="BN501" s="129"/>
      <c r="BO501" s="129"/>
      <c r="BP501" s="129"/>
      <c r="BQ501" s="129"/>
    </row>
    <row r="502" spans="1:69" s="139" customFormat="1" x14ac:dyDescent="0.25">
      <c r="A502" s="157"/>
      <c r="B502" s="137"/>
      <c r="C502" s="129"/>
      <c r="G502" s="140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28"/>
      <c r="AC502" s="128"/>
      <c r="AD502" s="128"/>
      <c r="AE502" s="128"/>
      <c r="AF502" s="128"/>
      <c r="AG502" s="129"/>
      <c r="AH502" s="129"/>
      <c r="AI502" s="129"/>
      <c r="AJ502" s="129"/>
      <c r="AK502" s="129"/>
      <c r="AL502" s="129"/>
      <c r="AM502" s="129"/>
      <c r="AN502" s="129"/>
      <c r="AO502" s="129"/>
      <c r="AP502" s="129"/>
      <c r="AQ502" s="130"/>
      <c r="AR502" s="130"/>
      <c r="AS502" s="129"/>
      <c r="AT502" s="129"/>
      <c r="AU502" s="129"/>
      <c r="AV502" s="129"/>
      <c r="AW502" s="129"/>
      <c r="AX502" s="129"/>
      <c r="AY502" s="129"/>
      <c r="AZ502" s="129"/>
      <c r="BA502" s="129"/>
      <c r="BB502" s="129"/>
      <c r="BC502" s="129"/>
      <c r="BD502" s="129"/>
      <c r="BE502" s="129"/>
      <c r="BF502" s="129"/>
      <c r="BG502" s="129"/>
      <c r="BH502" s="129"/>
      <c r="BI502" s="129"/>
      <c r="BJ502" s="129"/>
      <c r="BK502" s="129"/>
      <c r="BL502" s="129"/>
      <c r="BM502" s="129"/>
      <c r="BN502" s="129"/>
      <c r="BO502" s="129"/>
      <c r="BP502" s="129"/>
      <c r="BQ502" s="129"/>
    </row>
    <row r="503" spans="1:69" s="139" customFormat="1" x14ac:dyDescent="0.25">
      <c r="A503" s="157"/>
      <c r="B503" s="137"/>
      <c r="C503" s="129"/>
      <c r="G503" s="140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28"/>
      <c r="AC503" s="128"/>
      <c r="AD503" s="128"/>
      <c r="AE503" s="128"/>
      <c r="AF503" s="128"/>
      <c r="AG503" s="129"/>
      <c r="AH503" s="129"/>
      <c r="AI503" s="129"/>
      <c r="AJ503" s="129"/>
      <c r="AK503" s="129"/>
      <c r="AL503" s="129"/>
      <c r="AM503" s="129"/>
      <c r="AN503" s="129"/>
      <c r="AO503" s="129"/>
      <c r="AP503" s="129"/>
      <c r="AQ503" s="130"/>
      <c r="AR503" s="130"/>
      <c r="AS503" s="129"/>
      <c r="AT503" s="129"/>
      <c r="AU503" s="129"/>
      <c r="AV503" s="129"/>
      <c r="AW503" s="129"/>
      <c r="AX503" s="129"/>
      <c r="AY503" s="129"/>
      <c r="AZ503" s="129"/>
      <c r="BA503" s="129"/>
      <c r="BB503" s="129"/>
      <c r="BC503" s="129"/>
      <c r="BD503" s="129"/>
      <c r="BE503" s="129"/>
      <c r="BF503" s="129"/>
      <c r="BG503" s="129"/>
      <c r="BH503" s="129"/>
      <c r="BI503" s="129"/>
      <c r="BJ503" s="129"/>
      <c r="BK503" s="129"/>
      <c r="BL503" s="129"/>
      <c r="BM503" s="129"/>
      <c r="BN503" s="129"/>
      <c r="BO503" s="129"/>
      <c r="BP503" s="129"/>
      <c r="BQ503" s="129"/>
    </row>
    <row r="504" spans="1:69" s="139" customFormat="1" x14ac:dyDescent="0.25">
      <c r="A504" s="157"/>
      <c r="B504" s="137"/>
      <c r="C504" s="129"/>
      <c r="G504" s="140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28"/>
      <c r="AC504" s="128"/>
      <c r="AD504" s="128"/>
      <c r="AE504" s="128"/>
      <c r="AF504" s="128"/>
      <c r="AG504" s="129"/>
      <c r="AH504" s="129"/>
      <c r="AI504" s="129"/>
      <c r="AJ504" s="129"/>
      <c r="AK504" s="129"/>
      <c r="AL504" s="129"/>
      <c r="AM504" s="129"/>
      <c r="AN504" s="129"/>
      <c r="AO504" s="129"/>
      <c r="AP504" s="129"/>
      <c r="AQ504" s="130"/>
      <c r="AR504" s="130"/>
      <c r="AS504" s="129"/>
      <c r="AT504" s="129"/>
      <c r="AU504" s="129"/>
      <c r="AV504" s="129"/>
      <c r="AW504" s="129"/>
      <c r="AX504" s="129"/>
      <c r="AY504" s="129"/>
      <c r="AZ504" s="129"/>
      <c r="BA504" s="129"/>
      <c r="BB504" s="129"/>
      <c r="BC504" s="129"/>
      <c r="BD504" s="129"/>
      <c r="BE504" s="129"/>
      <c r="BF504" s="129"/>
      <c r="BG504" s="129"/>
      <c r="BH504" s="129"/>
      <c r="BI504" s="129"/>
      <c r="BJ504" s="129"/>
      <c r="BK504" s="129"/>
      <c r="BL504" s="129"/>
      <c r="BM504" s="129"/>
      <c r="BN504" s="129"/>
      <c r="BO504" s="129"/>
      <c r="BP504" s="129"/>
      <c r="BQ504" s="129"/>
    </row>
    <row r="505" spans="1:69" s="139" customFormat="1" x14ac:dyDescent="0.25">
      <c r="A505" s="157"/>
      <c r="B505" s="137"/>
      <c r="C505" s="129"/>
      <c r="G505" s="140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28"/>
      <c r="AC505" s="128"/>
      <c r="AD505" s="128"/>
      <c r="AE505" s="128"/>
      <c r="AF505" s="128"/>
      <c r="AG505" s="129"/>
      <c r="AH505" s="129"/>
      <c r="AI505" s="129"/>
      <c r="AJ505" s="129"/>
      <c r="AK505" s="129"/>
      <c r="AL505" s="129"/>
      <c r="AM505" s="129"/>
      <c r="AN505" s="129"/>
      <c r="AO505" s="129"/>
      <c r="AP505" s="129"/>
      <c r="AQ505" s="130"/>
      <c r="AR505" s="130"/>
      <c r="AS505" s="129"/>
      <c r="AT505" s="129"/>
      <c r="AU505" s="129"/>
      <c r="AV505" s="129"/>
      <c r="AW505" s="129"/>
      <c r="AX505" s="129"/>
      <c r="AY505" s="129"/>
      <c r="AZ505" s="129"/>
      <c r="BA505" s="129"/>
      <c r="BB505" s="129"/>
      <c r="BC505" s="129"/>
      <c r="BD505" s="129"/>
      <c r="BE505" s="129"/>
      <c r="BF505" s="129"/>
      <c r="BG505" s="129"/>
      <c r="BH505" s="129"/>
      <c r="BI505" s="129"/>
      <c r="BJ505" s="129"/>
      <c r="BK505" s="129"/>
      <c r="BL505" s="129"/>
      <c r="BM505" s="129"/>
      <c r="BN505" s="129"/>
      <c r="BO505" s="129"/>
      <c r="BP505" s="129"/>
      <c r="BQ505" s="129"/>
    </row>
    <row r="506" spans="1:69" s="139" customFormat="1" x14ac:dyDescent="0.25">
      <c r="A506" s="157"/>
      <c r="B506" s="137"/>
      <c r="C506" s="129"/>
      <c r="G506" s="140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28"/>
      <c r="AC506" s="128"/>
      <c r="AD506" s="128"/>
      <c r="AE506" s="128"/>
      <c r="AF506" s="128"/>
      <c r="AG506" s="129"/>
      <c r="AH506" s="129"/>
      <c r="AI506" s="129"/>
      <c r="AJ506" s="129"/>
      <c r="AK506" s="129"/>
      <c r="AL506" s="129"/>
      <c r="AM506" s="129"/>
      <c r="AN506" s="129"/>
      <c r="AO506" s="129"/>
      <c r="AP506" s="129"/>
      <c r="AQ506" s="130"/>
      <c r="AR506" s="130"/>
      <c r="AS506" s="129"/>
      <c r="AT506" s="129"/>
      <c r="AU506" s="129"/>
      <c r="AV506" s="129"/>
      <c r="AW506" s="129"/>
      <c r="AX506" s="129"/>
      <c r="AY506" s="129"/>
      <c r="AZ506" s="129"/>
      <c r="BA506" s="129"/>
      <c r="BB506" s="129"/>
      <c r="BC506" s="129"/>
      <c r="BD506" s="129"/>
      <c r="BE506" s="129"/>
      <c r="BF506" s="129"/>
      <c r="BG506" s="129"/>
      <c r="BH506" s="129"/>
      <c r="BI506" s="129"/>
      <c r="BJ506" s="129"/>
      <c r="BK506" s="129"/>
      <c r="BL506" s="129"/>
      <c r="BM506" s="129"/>
      <c r="BN506" s="129"/>
      <c r="BO506" s="129"/>
      <c r="BP506" s="129"/>
      <c r="BQ506" s="129"/>
    </row>
    <row r="507" spans="1:69" s="139" customFormat="1" x14ac:dyDescent="0.25">
      <c r="A507" s="157"/>
      <c r="B507" s="137"/>
      <c r="C507" s="129"/>
      <c r="G507" s="140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28"/>
      <c r="AC507" s="128"/>
      <c r="AD507" s="128"/>
      <c r="AE507" s="128"/>
      <c r="AF507" s="128"/>
      <c r="AG507" s="129"/>
      <c r="AH507" s="129"/>
      <c r="AI507" s="129"/>
      <c r="AJ507" s="129"/>
      <c r="AK507" s="129"/>
      <c r="AL507" s="129"/>
      <c r="AM507" s="129"/>
      <c r="AN507" s="129"/>
      <c r="AO507" s="129"/>
      <c r="AP507" s="129"/>
      <c r="AQ507" s="130"/>
      <c r="AR507" s="130"/>
      <c r="AS507" s="129"/>
      <c r="AT507" s="129"/>
      <c r="AU507" s="129"/>
      <c r="AV507" s="129"/>
      <c r="AW507" s="129"/>
      <c r="AX507" s="129"/>
      <c r="AY507" s="129"/>
      <c r="AZ507" s="129"/>
      <c r="BA507" s="129"/>
      <c r="BB507" s="129"/>
      <c r="BC507" s="129"/>
      <c r="BD507" s="129"/>
      <c r="BE507" s="129"/>
      <c r="BF507" s="129"/>
      <c r="BG507" s="129"/>
      <c r="BH507" s="129"/>
      <c r="BI507" s="129"/>
      <c r="BJ507" s="129"/>
      <c r="BK507" s="129"/>
      <c r="BL507" s="129"/>
      <c r="BM507" s="129"/>
      <c r="BN507" s="129"/>
      <c r="BO507" s="129"/>
      <c r="BP507" s="129"/>
      <c r="BQ507" s="129"/>
    </row>
    <row r="508" spans="1:69" s="139" customFormat="1" x14ac:dyDescent="0.25">
      <c r="A508" s="157"/>
      <c r="B508" s="137"/>
      <c r="C508" s="129"/>
      <c r="G508" s="140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28"/>
      <c r="AC508" s="128"/>
      <c r="AD508" s="128"/>
      <c r="AE508" s="128"/>
      <c r="AF508" s="128"/>
      <c r="AG508" s="129"/>
      <c r="AH508" s="129"/>
      <c r="AI508" s="129"/>
      <c r="AJ508" s="129"/>
      <c r="AK508" s="129"/>
      <c r="AL508" s="129"/>
      <c r="AM508" s="129"/>
      <c r="AN508" s="129"/>
      <c r="AO508" s="129"/>
      <c r="AP508" s="129"/>
      <c r="AQ508" s="130"/>
      <c r="AR508" s="130"/>
      <c r="AS508" s="129"/>
      <c r="AT508" s="129"/>
      <c r="AU508" s="129"/>
      <c r="AV508" s="129"/>
      <c r="AW508" s="129"/>
      <c r="AX508" s="129"/>
      <c r="AY508" s="129"/>
      <c r="AZ508" s="129"/>
      <c r="BA508" s="129"/>
      <c r="BB508" s="129"/>
      <c r="BC508" s="129"/>
      <c r="BD508" s="129"/>
      <c r="BE508" s="129"/>
      <c r="BF508" s="129"/>
      <c r="BG508" s="129"/>
      <c r="BH508" s="129"/>
      <c r="BI508" s="129"/>
      <c r="BJ508" s="129"/>
      <c r="BK508" s="129"/>
      <c r="BL508" s="129"/>
      <c r="BM508" s="129"/>
      <c r="BN508" s="129"/>
      <c r="BO508" s="129"/>
      <c r="BP508" s="129"/>
      <c r="BQ508" s="129"/>
    </row>
    <row r="509" spans="1:69" s="139" customFormat="1" x14ac:dyDescent="0.25">
      <c r="A509" s="157"/>
      <c r="B509" s="137"/>
      <c r="C509" s="129"/>
      <c r="G509" s="140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28"/>
      <c r="AC509" s="128"/>
      <c r="AD509" s="128"/>
      <c r="AE509" s="128"/>
      <c r="AF509" s="128"/>
      <c r="AG509" s="129"/>
      <c r="AH509" s="129"/>
      <c r="AI509" s="129"/>
      <c r="AJ509" s="129"/>
      <c r="AK509" s="129"/>
      <c r="AL509" s="129"/>
      <c r="AM509" s="129"/>
      <c r="AN509" s="129"/>
      <c r="AO509" s="129"/>
      <c r="AP509" s="129"/>
      <c r="AQ509" s="130"/>
      <c r="AR509" s="130"/>
      <c r="AS509" s="129"/>
      <c r="AT509" s="129"/>
      <c r="AU509" s="129"/>
      <c r="AV509" s="129"/>
      <c r="AW509" s="129"/>
      <c r="AX509" s="129"/>
      <c r="AY509" s="129"/>
      <c r="AZ509" s="129"/>
      <c r="BA509" s="129"/>
      <c r="BB509" s="129"/>
      <c r="BC509" s="129"/>
      <c r="BD509" s="129"/>
      <c r="BE509" s="129"/>
      <c r="BF509" s="129"/>
      <c r="BG509" s="129"/>
      <c r="BH509" s="129"/>
      <c r="BI509" s="129"/>
      <c r="BJ509" s="129"/>
      <c r="BK509" s="129"/>
      <c r="BL509" s="129"/>
      <c r="BM509" s="129"/>
      <c r="BN509" s="129"/>
      <c r="BO509" s="129"/>
      <c r="BP509" s="129"/>
      <c r="BQ509" s="129"/>
    </row>
    <row r="510" spans="1:69" s="139" customFormat="1" x14ac:dyDescent="0.25">
      <c r="A510" s="157"/>
      <c r="B510" s="137"/>
      <c r="C510" s="129"/>
      <c r="G510" s="140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28"/>
      <c r="AC510" s="128"/>
      <c r="AD510" s="128"/>
      <c r="AE510" s="128"/>
      <c r="AF510" s="128"/>
      <c r="AG510" s="129"/>
      <c r="AH510" s="129"/>
      <c r="AI510" s="129"/>
      <c r="AJ510" s="129"/>
      <c r="AK510" s="129"/>
      <c r="AL510" s="129"/>
      <c r="AM510" s="129"/>
      <c r="AN510" s="129"/>
      <c r="AO510" s="129"/>
      <c r="AP510" s="129"/>
      <c r="AQ510" s="130"/>
      <c r="AR510" s="130"/>
      <c r="AS510" s="129"/>
      <c r="AT510" s="129"/>
      <c r="AU510" s="129"/>
      <c r="AV510" s="129"/>
      <c r="AW510" s="129"/>
      <c r="AX510" s="129"/>
      <c r="AY510" s="129"/>
      <c r="AZ510" s="129"/>
      <c r="BA510" s="129"/>
      <c r="BB510" s="129"/>
      <c r="BC510" s="129"/>
      <c r="BD510" s="129"/>
      <c r="BE510" s="129"/>
      <c r="BF510" s="129"/>
      <c r="BG510" s="129"/>
      <c r="BH510" s="129"/>
      <c r="BI510" s="129"/>
      <c r="BJ510" s="129"/>
      <c r="BK510" s="129"/>
      <c r="BL510" s="129"/>
      <c r="BM510" s="129"/>
      <c r="BN510" s="129"/>
      <c r="BO510" s="129"/>
      <c r="BP510" s="129"/>
      <c r="BQ510" s="129"/>
    </row>
    <row r="511" spans="1:69" s="139" customFormat="1" x14ac:dyDescent="0.25">
      <c r="A511" s="157"/>
      <c r="B511" s="137"/>
      <c r="C511" s="129"/>
      <c r="G511" s="140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28"/>
      <c r="AC511" s="128"/>
      <c r="AD511" s="128"/>
      <c r="AE511" s="128"/>
      <c r="AF511" s="128"/>
      <c r="AG511" s="129"/>
      <c r="AH511" s="129"/>
      <c r="AI511" s="129"/>
      <c r="AJ511" s="129"/>
      <c r="AK511" s="129"/>
      <c r="AL511" s="129"/>
      <c r="AM511" s="129"/>
      <c r="AN511" s="129"/>
      <c r="AO511" s="129"/>
      <c r="AP511" s="129"/>
      <c r="AQ511" s="130"/>
      <c r="AR511" s="130"/>
      <c r="AS511" s="129"/>
      <c r="AT511" s="129"/>
      <c r="AU511" s="129"/>
      <c r="AV511" s="129"/>
      <c r="AW511" s="129"/>
      <c r="AX511" s="129"/>
      <c r="AY511" s="129"/>
      <c r="AZ511" s="129"/>
      <c r="BA511" s="129"/>
      <c r="BB511" s="129"/>
      <c r="BC511" s="129"/>
      <c r="BD511" s="129"/>
      <c r="BE511" s="129"/>
      <c r="BF511" s="129"/>
      <c r="BG511" s="129"/>
      <c r="BH511" s="129"/>
      <c r="BI511" s="129"/>
      <c r="BJ511" s="129"/>
      <c r="BK511" s="129"/>
      <c r="BL511" s="129"/>
      <c r="BM511" s="129"/>
      <c r="BN511" s="129"/>
      <c r="BO511" s="129"/>
      <c r="BP511" s="129"/>
      <c r="BQ511" s="129"/>
    </row>
    <row r="512" spans="1:69" s="139" customFormat="1" x14ac:dyDescent="0.25">
      <c r="A512" s="157"/>
      <c r="B512" s="137"/>
      <c r="C512" s="129"/>
      <c r="G512" s="140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28"/>
      <c r="AC512" s="128"/>
      <c r="AD512" s="128"/>
      <c r="AE512" s="128"/>
      <c r="AF512" s="128"/>
      <c r="AG512" s="129"/>
      <c r="AH512" s="129"/>
      <c r="AI512" s="129"/>
      <c r="AJ512" s="129"/>
      <c r="AK512" s="129"/>
      <c r="AL512" s="129"/>
      <c r="AM512" s="129"/>
      <c r="AN512" s="129"/>
      <c r="AO512" s="129"/>
      <c r="AP512" s="129"/>
      <c r="AQ512" s="130"/>
      <c r="AR512" s="130"/>
      <c r="AS512" s="129"/>
      <c r="AT512" s="129"/>
      <c r="AU512" s="129"/>
      <c r="AV512" s="129"/>
      <c r="AW512" s="129"/>
      <c r="AX512" s="129"/>
      <c r="AY512" s="129"/>
      <c r="AZ512" s="129"/>
      <c r="BA512" s="129"/>
      <c r="BB512" s="129"/>
      <c r="BC512" s="129"/>
      <c r="BD512" s="129"/>
      <c r="BE512" s="129"/>
      <c r="BF512" s="129"/>
      <c r="BG512" s="129"/>
      <c r="BH512" s="129"/>
      <c r="BI512" s="129"/>
      <c r="BJ512" s="129"/>
      <c r="BK512" s="129"/>
      <c r="BL512" s="129"/>
      <c r="BM512" s="129"/>
      <c r="BN512" s="129"/>
      <c r="BO512" s="129"/>
      <c r="BP512" s="129"/>
      <c r="BQ512" s="129"/>
    </row>
    <row r="513" spans="1:69" s="139" customFormat="1" x14ac:dyDescent="0.25">
      <c r="A513" s="157"/>
      <c r="B513" s="137"/>
      <c r="C513" s="129"/>
      <c r="G513" s="140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28"/>
      <c r="AC513" s="128"/>
      <c r="AD513" s="128"/>
      <c r="AE513" s="128"/>
      <c r="AF513" s="128"/>
      <c r="AG513" s="129"/>
      <c r="AH513" s="129"/>
      <c r="AI513" s="129"/>
      <c r="AJ513" s="129"/>
      <c r="AK513" s="129"/>
      <c r="AL513" s="129"/>
      <c r="AM513" s="129"/>
      <c r="AN513" s="129"/>
      <c r="AO513" s="129"/>
      <c r="AP513" s="129"/>
      <c r="AQ513" s="130"/>
      <c r="AR513" s="130"/>
      <c r="AS513" s="129"/>
      <c r="AT513" s="129"/>
      <c r="AU513" s="129"/>
      <c r="AV513" s="129"/>
      <c r="AW513" s="129"/>
      <c r="AX513" s="129"/>
      <c r="AY513" s="129"/>
      <c r="AZ513" s="129"/>
      <c r="BA513" s="129"/>
      <c r="BB513" s="129"/>
      <c r="BC513" s="129"/>
      <c r="BD513" s="129"/>
      <c r="BE513" s="129"/>
      <c r="BF513" s="129"/>
      <c r="BG513" s="129"/>
      <c r="BH513" s="129"/>
      <c r="BI513" s="129"/>
      <c r="BJ513" s="129"/>
      <c r="BK513" s="129"/>
      <c r="BL513" s="129"/>
      <c r="BM513" s="129"/>
      <c r="BN513" s="129"/>
      <c r="BO513" s="129"/>
      <c r="BP513" s="129"/>
      <c r="BQ513" s="129"/>
    </row>
    <row r="514" spans="1:69" s="139" customFormat="1" x14ac:dyDescent="0.25">
      <c r="A514" s="157"/>
      <c r="B514" s="137"/>
      <c r="C514" s="129"/>
      <c r="G514" s="140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28"/>
      <c r="AC514" s="128"/>
      <c r="AD514" s="128"/>
      <c r="AE514" s="128"/>
      <c r="AF514" s="128"/>
      <c r="AG514" s="129"/>
      <c r="AH514" s="129"/>
      <c r="AI514" s="129"/>
      <c r="AJ514" s="129"/>
      <c r="AK514" s="129"/>
      <c r="AL514" s="129"/>
      <c r="AM514" s="129"/>
      <c r="AN514" s="129"/>
      <c r="AO514" s="129"/>
      <c r="AP514" s="129"/>
      <c r="AQ514" s="130"/>
      <c r="AR514" s="130"/>
      <c r="AS514" s="129"/>
      <c r="AT514" s="129"/>
      <c r="AU514" s="129"/>
      <c r="AV514" s="129"/>
      <c r="AW514" s="129"/>
      <c r="AX514" s="129"/>
      <c r="AY514" s="129"/>
      <c r="AZ514" s="129"/>
      <c r="BA514" s="129"/>
      <c r="BB514" s="129"/>
      <c r="BC514" s="129"/>
      <c r="BD514" s="129"/>
      <c r="BE514" s="129"/>
      <c r="BF514" s="129"/>
      <c r="BG514" s="129"/>
      <c r="BH514" s="129"/>
      <c r="BI514" s="129"/>
      <c r="BJ514" s="129"/>
      <c r="BK514" s="129"/>
      <c r="BL514" s="129"/>
      <c r="BM514" s="129"/>
      <c r="BN514" s="129"/>
      <c r="BO514" s="129"/>
      <c r="BP514" s="129"/>
      <c r="BQ514" s="129"/>
    </row>
    <row r="515" spans="1:69" s="139" customFormat="1" x14ac:dyDescent="0.25">
      <c r="A515" s="157"/>
      <c r="B515" s="137"/>
      <c r="C515" s="129"/>
      <c r="G515" s="140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28"/>
      <c r="AC515" s="128"/>
      <c r="AD515" s="128"/>
      <c r="AE515" s="128"/>
      <c r="AF515" s="128"/>
      <c r="AG515" s="129"/>
      <c r="AH515" s="129"/>
      <c r="AI515" s="129"/>
      <c r="AJ515" s="129"/>
      <c r="AK515" s="129"/>
      <c r="AL515" s="129"/>
      <c r="AM515" s="129"/>
      <c r="AN515" s="129"/>
      <c r="AO515" s="129"/>
      <c r="AP515" s="129"/>
      <c r="AQ515" s="130"/>
      <c r="AR515" s="130"/>
      <c r="AS515" s="129"/>
      <c r="AT515" s="129"/>
      <c r="AU515" s="129"/>
      <c r="AV515" s="129"/>
      <c r="AW515" s="129"/>
      <c r="AX515" s="129"/>
      <c r="AY515" s="129"/>
      <c r="AZ515" s="129"/>
      <c r="BA515" s="129"/>
      <c r="BB515" s="129"/>
      <c r="BC515" s="129"/>
      <c r="BD515" s="129"/>
      <c r="BE515" s="129"/>
      <c r="BF515" s="129"/>
      <c r="BG515" s="129"/>
      <c r="BH515" s="129"/>
      <c r="BI515" s="129"/>
      <c r="BJ515" s="129"/>
      <c r="BK515" s="129"/>
      <c r="BL515" s="129"/>
      <c r="BM515" s="129"/>
      <c r="BN515" s="129"/>
      <c r="BO515" s="129"/>
      <c r="BP515" s="129"/>
      <c r="BQ515" s="129"/>
    </row>
    <row r="516" spans="1:69" s="139" customFormat="1" x14ac:dyDescent="0.25">
      <c r="A516" s="157"/>
      <c r="B516" s="137"/>
      <c r="C516" s="129"/>
      <c r="G516" s="140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28"/>
      <c r="AC516" s="128"/>
      <c r="AD516" s="128"/>
      <c r="AE516" s="128"/>
      <c r="AF516" s="128"/>
      <c r="AG516" s="129"/>
      <c r="AH516" s="129"/>
      <c r="AI516" s="129"/>
      <c r="AJ516" s="129"/>
      <c r="AK516" s="129"/>
      <c r="AL516" s="129"/>
      <c r="AM516" s="129"/>
      <c r="AN516" s="129"/>
      <c r="AO516" s="129"/>
      <c r="AP516" s="129"/>
      <c r="AQ516" s="130"/>
      <c r="AR516" s="130"/>
      <c r="AS516" s="129"/>
      <c r="AT516" s="129"/>
      <c r="AU516" s="129"/>
      <c r="AV516" s="129"/>
      <c r="AW516" s="129"/>
      <c r="AX516" s="129"/>
      <c r="AY516" s="129"/>
      <c r="AZ516" s="129"/>
      <c r="BA516" s="129"/>
      <c r="BB516" s="129"/>
      <c r="BC516" s="129"/>
      <c r="BD516" s="129"/>
      <c r="BE516" s="129"/>
      <c r="BF516" s="129"/>
      <c r="BG516" s="129"/>
      <c r="BH516" s="129"/>
      <c r="BI516" s="129"/>
      <c r="BJ516" s="129"/>
      <c r="BK516" s="129"/>
      <c r="BL516" s="129"/>
      <c r="BM516" s="129"/>
      <c r="BN516" s="129"/>
      <c r="BO516" s="129"/>
      <c r="BP516" s="129"/>
      <c r="BQ516" s="129"/>
    </row>
    <row r="517" spans="1:69" s="139" customFormat="1" x14ac:dyDescent="0.25">
      <c r="A517" s="157"/>
      <c r="B517" s="137"/>
      <c r="C517" s="129"/>
      <c r="G517" s="140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28"/>
      <c r="AC517" s="128"/>
      <c r="AD517" s="128"/>
      <c r="AE517" s="128"/>
      <c r="AF517" s="128"/>
      <c r="AG517" s="129"/>
      <c r="AH517" s="129"/>
      <c r="AI517" s="129"/>
      <c r="AJ517" s="129"/>
      <c r="AK517" s="129"/>
      <c r="AL517" s="129"/>
      <c r="AM517" s="129"/>
      <c r="AN517" s="129"/>
      <c r="AO517" s="129"/>
      <c r="AP517" s="129"/>
      <c r="AQ517" s="130"/>
      <c r="AR517" s="130"/>
      <c r="AS517" s="129"/>
      <c r="AT517" s="129"/>
      <c r="AU517" s="129"/>
      <c r="AV517" s="129"/>
      <c r="AW517" s="129"/>
      <c r="AX517" s="129"/>
      <c r="AY517" s="129"/>
      <c r="AZ517" s="129"/>
      <c r="BA517" s="129"/>
      <c r="BB517" s="129"/>
      <c r="BC517" s="129"/>
      <c r="BD517" s="129"/>
      <c r="BE517" s="129"/>
      <c r="BF517" s="129"/>
      <c r="BG517" s="129"/>
      <c r="BH517" s="129"/>
      <c r="BI517" s="129"/>
      <c r="BJ517" s="129"/>
      <c r="BK517" s="129"/>
      <c r="BL517" s="129"/>
      <c r="BM517" s="129"/>
      <c r="BN517" s="129"/>
      <c r="BO517" s="129"/>
      <c r="BP517" s="129"/>
      <c r="BQ517" s="129"/>
    </row>
    <row r="518" spans="1:69" s="139" customFormat="1" x14ac:dyDescent="0.25">
      <c r="A518" s="157"/>
      <c r="B518" s="137"/>
      <c r="C518" s="129"/>
      <c r="G518" s="140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28"/>
      <c r="AC518" s="128"/>
      <c r="AD518" s="128"/>
      <c r="AE518" s="128"/>
      <c r="AF518" s="128"/>
      <c r="AG518" s="129"/>
      <c r="AH518" s="129"/>
      <c r="AI518" s="129"/>
      <c r="AJ518" s="129"/>
      <c r="AK518" s="129"/>
      <c r="AL518" s="129"/>
      <c r="AM518" s="129"/>
      <c r="AN518" s="129"/>
      <c r="AO518" s="129"/>
      <c r="AP518" s="129"/>
      <c r="AQ518" s="130"/>
      <c r="AR518" s="130"/>
      <c r="AS518" s="129"/>
      <c r="AT518" s="129"/>
      <c r="AU518" s="129"/>
      <c r="AV518" s="129"/>
      <c r="AW518" s="129"/>
      <c r="AX518" s="129"/>
      <c r="AY518" s="129"/>
      <c r="AZ518" s="129"/>
      <c r="BA518" s="129"/>
      <c r="BB518" s="129"/>
      <c r="BC518" s="129"/>
      <c r="BD518" s="129"/>
      <c r="BE518" s="129"/>
      <c r="BF518" s="129"/>
      <c r="BG518" s="129"/>
      <c r="BH518" s="129"/>
      <c r="BI518" s="129"/>
      <c r="BJ518" s="129"/>
      <c r="BK518" s="129"/>
      <c r="BL518" s="129"/>
      <c r="BM518" s="129"/>
      <c r="BN518" s="129"/>
      <c r="BO518" s="129"/>
      <c r="BP518" s="129"/>
      <c r="BQ518" s="129"/>
    </row>
    <row r="519" spans="1:69" s="139" customFormat="1" x14ac:dyDescent="0.25">
      <c r="A519" s="157"/>
      <c r="B519" s="137"/>
      <c r="C519" s="129"/>
      <c r="G519" s="140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28"/>
      <c r="AC519" s="128"/>
      <c r="AD519" s="128"/>
      <c r="AE519" s="128"/>
      <c r="AF519" s="128"/>
      <c r="AG519" s="129"/>
      <c r="AH519" s="129"/>
      <c r="AI519" s="129"/>
      <c r="AJ519" s="129"/>
      <c r="AK519" s="129"/>
      <c r="AL519" s="129"/>
      <c r="AM519" s="129"/>
      <c r="AN519" s="129"/>
      <c r="AO519" s="129"/>
      <c r="AP519" s="129"/>
      <c r="AQ519" s="130"/>
      <c r="AR519" s="130"/>
      <c r="AS519" s="129"/>
      <c r="AT519" s="129"/>
      <c r="AU519" s="129"/>
      <c r="AV519" s="129"/>
      <c r="AW519" s="129"/>
      <c r="AX519" s="129"/>
      <c r="AY519" s="129"/>
      <c r="AZ519" s="129"/>
      <c r="BA519" s="129"/>
      <c r="BB519" s="129"/>
      <c r="BC519" s="129"/>
      <c r="BD519" s="129"/>
      <c r="BE519" s="129"/>
      <c r="BF519" s="129"/>
      <c r="BG519" s="129"/>
      <c r="BH519" s="129"/>
      <c r="BI519" s="129"/>
      <c r="BJ519" s="129"/>
      <c r="BK519" s="129"/>
      <c r="BL519" s="129"/>
      <c r="BM519" s="129"/>
      <c r="BN519" s="129"/>
      <c r="BO519" s="129"/>
      <c r="BP519" s="129"/>
      <c r="BQ519" s="129"/>
    </row>
    <row r="520" spans="1:69" s="139" customFormat="1" x14ac:dyDescent="0.25">
      <c r="A520" s="157"/>
      <c r="B520" s="137"/>
      <c r="C520" s="129"/>
      <c r="G520" s="140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28"/>
      <c r="AC520" s="128"/>
      <c r="AD520" s="128"/>
      <c r="AE520" s="128"/>
      <c r="AF520" s="128"/>
      <c r="AG520" s="129"/>
      <c r="AH520" s="129"/>
      <c r="AI520" s="129"/>
      <c r="AJ520" s="129"/>
      <c r="AK520" s="129"/>
      <c r="AL520" s="129"/>
      <c r="AM520" s="129"/>
      <c r="AN520" s="129"/>
      <c r="AO520" s="129"/>
      <c r="AP520" s="129"/>
      <c r="AQ520" s="130"/>
      <c r="AR520" s="130"/>
      <c r="AS520" s="129"/>
      <c r="AT520" s="129"/>
      <c r="AU520" s="129"/>
      <c r="AV520" s="129"/>
      <c r="AW520" s="129"/>
      <c r="AX520" s="129"/>
      <c r="AY520" s="129"/>
      <c r="AZ520" s="129"/>
      <c r="BA520" s="129"/>
      <c r="BB520" s="129"/>
      <c r="BC520" s="129"/>
      <c r="BD520" s="129"/>
      <c r="BE520" s="129"/>
      <c r="BF520" s="129"/>
      <c r="BG520" s="129"/>
      <c r="BH520" s="129"/>
      <c r="BI520" s="129"/>
      <c r="BJ520" s="129"/>
      <c r="BK520" s="129"/>
      <c r="BL520" s="129"/>
      <c r="BM520" s="129"/>
      <c r="BN520" s="129"/>
      <c r="BO520" s="129"/>
      <c r="BP520" s="129"/>
      <c r="BQ520" s="129"/>
    </row>
    <row r="521" spans="1:69" s="139" customFormat="1" x14ac:dyDescent="0.25">
      <c r="A521" s="157"/>
      <c r="B521" s="137"/>
      <c r="C521" s="129"/>
      <c r="G521" s="140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28"/>
      <c r="AC521" s="128"/>
      <c r="AD521" s="128"/>
      <c r="AE521" s="128"/>
      <c r="AF521" s="128"/>
      <c r="AG521" s="129"/>
      <c r="AH521" s="129"/>
      <c r="AI521" s="129"/>
      <c r="AJ521" s="129"/>
      <c r="AK521" s="129"/>
      <c r="AL521" s="129"/>
      <c r="AM521" s="129"/>
      <c r="AN521" s="129"/>
      <c r="AO521" s="129"/>
      <c r="AP521" s="129"/>
      <c r="AQ521" s="130"/>
      <c r="AR521" s="130"/>
      <c r="AS521" s="129"/>
      <c r="AT521" s="129"/>
      <c r="AU521" s="129"/>
      <c r="AV521" s="129"/>
      <c r="AW521" s="129"/>
      <c r="AX521" s="129"/>
      <c r="AY521" s="129"/>
      <c r="AZ521" s="129"/>
      <c r="BA521" s="129"/>
      <c r="BB521" s="129"/>
      <c r="BC521" s="129"/>
      <c r="BD521" s="129"/>
      <c r="BE521" s="129"/>
      <c r="BF521" s="129"/>
      <c r="BG521" s="129"/>
      <c r="BH521" s="129"/>
      <c r="BI521" s="129"/>
      <c r="BJ521" s="129"/>
      <c r="BK521" s="129"/>
      <c r="BL521" s="129"/>
      <c r="BM521" s="129"/>
      <c r="BN521" s="129"/>
      <c r="BO521" s="129"/>
      <c r="BP521" s="129"/>
      <c r="BQ521" s="129"/>
    </row>
    <row r="522" spans="1:69" s="139" customFormat="1" x14ac:dyDescent="0.25">
      <c r="A522" s="157"/>
      <c r="B522" s="137"/>
      <c r="C522" s="129"/>
      <c r="G522" s="140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28"/>
      <c r="AC522" s="128"/>
      <c r="AD522" s="128"/>
      <c r="AE522" s="128"/>
      <c r="AF522" s="128"/>
      <c r="AG522" s="129"/>
      <c r="AH522" s="129"/>
      <c r="AI522" s="129"/>
      <c r="AJ522" s="129"/>
      <c r="AK522" s="129"/>
      <c r="AL522" s="129"/>
      <c r="AM522" s="129"/>
      <c r="AN522" s="129"/>
      <c r="AO522" s="129"/>
      <c r="AP522" s="129"/>
      <c r="AQ522" s="130"/>
      <c r="AR522" s="130"/>
      <c r="AS522" s="129"/>
      <c r="AT522" s="129"/>
      <c r="AU522" s="129"/>
      <c r="AV522" s="129"/>
      <c r="AW522" s="129"/>
      <c r="AX522" s="129"/>
      <c r="AY522" s="129"/>
      <c r="AZ522" s="129"/>
      <c r="BA522" s="129"/>
      <c r="BB522" s="129"/>
      <c r="BC522" s="129"/>
      <c r="BD522" s="129"/>
      <c r="BE522" s="129"/>
      <c r="BF522" s="129"/>
      <c r="BG522" s="129"/>
      <c r="BH522" s="129"/>
      <c r="BI522" s="129"/>
      <c r="BJ522" s="129"/>
      <c r="BK522" s="129"/>
      <c r="BL522" s="129"/>
      <c r="BM522" s="129"/>
      <c r="BN522" s="129"/>
      <c r="BO522" s="129"/>
      <c r="BP522" s="129"/>
      <c r="BQ522" s="129"/>
    </row>
    <row r="523" spans="1:69" s="139" customFormat="1" x14ac:dyDescent="0.25">
      <c r="A523" s="157"/>
      <c r="B523" s="137"/>
      <c r="C523" s="129"/>
      <c r="G523" s="140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28"/>
      <c r="AC523" s="128"/>
      <c r="AD523" s="128"/>
      <c r="AE523" s="128"/>
      <c r="AF523" s="128"/>
      <c r="AG523" s="129"/>
      <c r="AH523" s="129"/>
      <c r="AI523" s="129"/>
      <c r="AJ523" s="129"/>
      <c r="AK523" s="129"/>
      <c r="AL523" s="129"/>
      <c r="AM523" s="129"/>
      <c r="AN523" s="129"/>
      <c r="AO523" s="129"/>
      <c r="AP523" s="129"/>
      <c r="AQ523" s="130"/>
      <c r="AR523" s="130"/>
      <c r="AS523" s="129"/>
      <c r="AT523" s="129"/>
      <c r="AU523" s="129"/>
      <c r="AV523" s="129"/>
      <c r="AW523" s="129"/>
      <c r="AX523" s="129"/>
      <c r="AY523" s="129"/>
      <c r="AZ523" s="129"/>
      <c r="BA523" s="129"/>
      <c r="BB523" s="129"/>
      <c r="BC523" s="129"/>
      <c r="BD523" s="129"/>
      <c r="BE523" s="129"/>
      <c r="BF523" s="129"/>
      <c r="BG523" s="129"/>
      <c r="BH523" s="129"/>
      <c r="BI523" s="129"/>
      <c r="BJ523" s="129"/>
      <c r="BK523" s="129"/>
      <c r="BL523" s="129"/>
      <c r="BM523" s="129"/>
      <c r="BN523" s="129"/>
      <c r="BO523" s="129"/>
      <c r="BP523" s="129"/>
      <c r="BQ523" s="129"/>
    </row>
    <row r="524" spans="1:69" s="139" customFormat="1" x14ac:dyDescent="0.25">
      <c r="A524" s="157"/>
      <c r="B524" s="137"/>
      <c r="C524" s="129"/>
      <c r="G524" s="140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28"/>
      <c r="AC524" s="128"/>
      <c r="AD524" s="128"/>
      <c r="AE524" s="128"/>
      <c r="AF524" s="128"/>
      <c r="AG524" s="129"/>
      <c r="AH524" s="129"/>
      <c r="AI524" s="129"/>
      <c r="AJ524" s="129"/>
      <c r="AK524" s="129"/>
      <c r="AL524" s="129"/>
      <c r="AM524" s="129"/>
      <c r="AN524" s="129"/>
      <c r="AO524" s="129"/>
      <c r="AP524" s="129"/>
      <c r="AQ524" s="130"/>
      <c r="AR524" s="130"/>
      <c r="AS524" s="129"/>
      <c r="AT524" s="129"/>
      <c r="AU524" s="129"/>
      <c r="AV524" s="129"/>
      <c r="AW524" s="129"/>
      <c r="AX524" s="129"/>
      <c r="AY524" s="129"/>
      <c r="AZ524" s="129"/>
      <c r="BA524" s="129"/>
      <c r="BB524" s="129"/>
      <c r="BC524" s="129"/>
      <c r="BD524" s="129"/>
      <c r="BE524" s="129"/>
      <c r="BF524" s="129"/>
      <c r="BG524" s="129"/>
      <c r="BH524" s="129"/>
      <c r="BI524" s="129"/>
      <c r="BJ524" s="129"/>
      <c r="BK524" s="129"/>
      <c r="BL524" s="129"/>
      <c r="BM524" s="129"/>
      <c r="BN524" s="129"/>
      <c r="BO524" s="129"/>
      <c r="BP524" s="129"/>
      <c r="BQ524" s="129"/>
    </row>
    <row r="525" spans="1:69" s="139" customFormat="1" x14ac:dyDescent="0.25">
      <c r="A525" s="157"/>
      <c r="B525" s="137"/>
      <c r="C525" s="129"/>
      <c r="G525" s="140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28"/>
      <c r="AC525" s="128"/>
      <c r="AD525" s="128"/>
      <c r="AE525" s="128"/>
      <c r="AF525" s="128"/>
      <c r="AG525" s="129"/>
      <c r="AH525" s="129"/>
      <c r="AI525" s="129"/>
      <c r="AJ525" s="129"/>
      <c r="AK525" s="129"/>
      <c r="AL525" s="129"/>
      <c r="AM525" s="129"/>
      <c r="AN525" s="129"/>
      <c r="AO525" s="129"/>
      <c r="AP525" s="129"/>
      <c r="AQ525" s="130"/>
      <c r="AR525" s="130"/>
      <c r="AS525" s="129"/>
      <c r="AT525" s="129"/>
      <c r="AU525" s="129"/>
      <c r="AV525" s="129"/>
      <c r="AW525" s="129"/>
      <c r="AX525" s="129"/>
      <c r="AY525" s="129"/>
      <c r="AZ525" s="129"/>
      <c r="BA525" s="129"/>
      <c r="BB525" s="129"/>
      <c r="BC525" s="129"/>
      <c r="BD525" s="129"/>
      <c r="BE525" s="129"/>
      <c r="BF525" s="129"/>
      <c r="BG525" s="129"/>
      <c r="BH525" s="129"/>
      <c r="BI525" s="129"/>
      <c r="BJ525" s="129"/>
      <c r="BK525" s="129"/>
      <c r="BL525" s="129"/>
      <c r="BM525" s="129"/>
      <c r="BN525" s="129"/>
      <c r="BO525" s="129"/>
      <c r="BP525" s="129"/>
      <c r="BQ525" s="129"/>
    </row>
    <row r="526" spans="1:69" s="139" customFormat="1" x14ac:dyDescent="0.25">
      <c r="A526" s="157"/>
      <c r="B526" s="137"/>
      <c r="C526" s="129"/>
      <c r="G526" s="140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28"/>
      <c r="AC526" s="128"/>
      <c r="AD526" s="128"/>
      <c r="AE526" s="128"/>
      <c r="AF526" s="128"/>
      <c r="AG526" s="129"/>
      <c r="AH526" s="129"/>
      <c r="AI526" s="129"/>
      <c r="AJ526" s="129"/>
      <c r="AK526" s="129"/>
      <c r="AL526" s="129"/>
      <c r="AM526" s="129"/>
      <c r="AN526" s="129"/>
      <c r="AO526" s="129"/>
      <c r="AP526" s="129"/>
      <c r="AQ526" s="130"/>
      <c r="AR526" s="130"/>
      <c r="AS526" s="129"/>
      <c r="AT526" s="129"/>
      <c r="AU526" s="129"/>
      <c r="AV526" s="129"/>
      <c r="AW526" s="129"/>
      <c r="AX526" s="129"/>
      <c r="AY526" s="129"/>
      <c r="AZ526" s="129"/>
      <c r="BA526" s="129"/>
      <c r="BB526" s="129"/>
      <c r="BC526" s="129"/>
      <c r="BD526" s="129"/>
      <c r="BE526" s="129"/>
      <c r="BF526" s="129"/>
      <c r="BG526" s="129"/>
      <c r="BH526" s="129"/>
      <c r="BI526" s="129"/>
      <c r="BJ526" s="129"/>
      <c r="BK526" s="129"/>
      <c r="BL526" s="129"/>
      <c r="BM526" s="129"/>
      <c r="BN526" s="129"/>
      <c r="BO526" s="129"/>
      <c r="BP526" s="129"/>
      <c r="BQ526" s="129"/>
    </row>
    <row r="527" spans="1:69" s="139" customFormat="1" x14ac:dyDescent="0.25">
      <c r="A527" s="157"/>
      <c r="B527" s="137"/>
      <c r="C527" s="129"/>
      <c r="G527" s="140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28"/>
      <c r="AC527" s="128"/>
      <c r="AD527" s="128"/>
      <c r="AE527" s="128"/>
      <c r="AF527" s="128"/>
      <c r="AG527" s="129"/>
      <c r="AH527" s="129"/>
      <c r="AI527" s="129"/>
      <c r="AJ527" s="129"/>
      <c r="AK527" s="129"/>
      <c r="AL527" s="129"/>
      <c r="AM527" s="129"/>
      <c r="AN527" s="129"/>
      <c r="AO527" s="129"/>
      <c r="AP527" s="129"/>
      <c r="AQ527" s="130"/>
      <c r="AR527" s="130"/>
      <c r="AS527" s="129"/>
      <c r="AT527" s="129"/>
      <c r="AU527" s="129"/>
      <c r="AV527" s="129"/>
      <c r="AW527" s="129"/>
      <c r="AX527" s="129"/>
      <c r="AY527" s="129"/>
      <c r="AZ527" s="129"/>
      <c r="BA527" s="129"/>
      <c r="BB527" s="129"/>
      <c r="BC527" s="129"/>
      <c r="BD527" s="129"/>
      <c r="BE527" s="129"/>
      <c r="BF527" s="129"/>
      <c r="BG527" s="129"/>
      <c r="BH527" s="129"/>
      <c r="BI527" s="129"/>
      <c r="BJ527" s="129"/>
      <c r="BK527" s="129"/>
      <c r="BL527" s="129"/>
      <c r="BM527" s="129"/>
      <c r="BN527" s="129"/>
      <c r="BO527" s="129"/>
      <c r="BP527" s="129"/>
      <c r="BQ527" s="129"/>
    </row>
    <row r="528" spans="1:69" s="139" customFormat="1" x14ac:dyDescent="0.25">
      <c r="A528" s="157"/>
      <c r="B528" s="137"/>
      <c r="C528" s="129"/>
      <c r="G528" s="140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28"/>
      <c r="AC528" s="128"/>
      <c r="AD528" s="128"/>
      <c r="AE528" s="128"/>
      <c r="AF528" s="128"/>
      <c r="AG528" s="129"/>
      <c r="AH528" s="129"/>
      <c r="AI528" s="129"/>
      <c r="AJ528" s="129"/>
      <c r="AK528" s="129"/>
      <c r="AL528" s="129"/>
      <c r="AM528" s="129"/>
      <c r="AN528" s="129"/>
      <c r="AO528" s="129"/>
      <c r="AP528" s="129"/>
      <c r="AQ528" s="130"/>
      <c r="AR528" s="130"/>
      <c r="AS528" s="129"/>
      <c r="AT528" s="129"/>
      <c r="AU528" s="129"/>
      <c r="AV528" s="129"/>
      <c r="AW528" s="129"/>
      <c r="AX528" s="129"/>
      <c r="AY528" s="129"/>
      <c r="AZ528" s="129"/>
      <c r="BA528" s="129"/>
      <c r="BB528" s="129"/>
      <c r="BC528" s="129"/>
      <c r="BD528" s="129"/>
      <c r="BE528" s="129"/>
      <c r="BF528" s="129"/>
      <c r="BG528" s="129"/>
      <c r="BH528" s="129"/>
      <c r="BI528" s="129"/>
      <c r="BJ528" s="129"/>
      <c r="BK528" s="129"/>
      <c r="BL528" s="129"/>
      <c r="BM528" s="129"/>
      <c r="BN528" s="129"/>
      <c r="BO528" s="129"/>
      <c r="BP528" s="129"/>
      <c r="BQ528" s="129"/>
    </row>
    <row r="529" spans="1:69" s="139" customFormat="1" x14ac:dyDescent="0.25">
      <c r="A529" s="157"/>
      <c r="B529" s="137"/>
      <c r="C529" s="129"/>
      <c r="G529" s="140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28"/>
      <c r="AC529" s="128"/>
      <c r="AD529" s="128"/>
      <c r="AE529" s="128"/>
      <c r="AF529" s="128"/>
      <c r="AG529" s="129"/>
      <c r="AH529" s="129"/>
      <c r="AI529" s="129"/>
      <c r="AJ529" s="129"/>
      <c r="AK529" s="129"/>
      <c r="AL529" s="129"/>
      <c r="AM529" s="129"/>
      <c r="AN529" s="129"/>
      <c r="AO529" s="129"/>
      <c r="AP529" s="129"/>
      <c r="AQ529" s="130"/>
      <c r="AR529" s="130"/>
      <c r="AS529" s="129"/>
      <c r="AT529" s="129"/>
      <c r="AU529" s="129"/>
      <c r="AV529" s="129"/>
      <c r="AW529" s="129"/>
      <c r="AX529" s="129"/>
      <c r="AY529" s="129"/>
      <c r="AZ529" s="129"/>
      <c r="BA529" s="129"/>
      <c r="BB529" s="129"/>
      <c r="BC529" s="129"/>
      <c r="BD529" s="129"/>
      <c r="BE529" s="129"/>
      <c r="BF529" s="129"/>
      <c r="BG529" s="129"/>
      <c r="BH529" s="129"/>
      <c r="BI529" s="129"/>
      <c r="BJ529" s="129"/>
      <c r="BK529" s="129"/>
      <c r="BL529" s="129"/>
      <c r="BM529" s="129"/>
      <c r="BN529" s="129"/>
      <c r="BO529" s="129"/>
      <c r="BP529" s="129"/>
      <c r="BQ529" s="129"/>
    </row>
    <row r="530" spans="1:69" s="139" customFormat="1" x14ac:dyDescent="0.25">
      <c r="A530" s="157"/>
      <c r="B530" s="137"/>
      <c r="C530" s="129"/>
      <c r="G530" s="140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28"/>
      <c r="AC530" s="128"/>
      <c r="AD530" s="128"/>
      <c r="AE530" s="128"/>
      <c r="AF530" s="128"/>
      <c r="AG530" s="129"/>
      <c r="AH530" s="129"/>
      <c r="AI530" s="129"/>
      <c r="AJ530" s="129"/>
      <c r="AK530" s="129"/>
      <c r="AL530" s="129"/>
      <c r="AM530" s="129"/>
      <c r="AN530" s="129"/>
      <c r="AO530" s="129"/>
      <c r="AP530" s="129"/>
      <c r="AQ530" s="130"/>
      <c r="AR530" s="130"/>
      <c r="AS530" s="129"/>
      <c r="AT530" s="129"/>
      <c r="AU530" s="129"/>
      <c r="AV530" s="129"/>
      <c r="AW530" s="129"/>
      <c r="AX530" s="129"/>
      <c r="AY530" s="129"/>
      <c r="AZ530" s="129"/>
      <c r="BA530" s="129"/>
      <c r="BB530" s="129"/>
      <c r="BC530" s="129"/>
      <c r="BD530" s="129"/>
      <c r="BE530" s="129"/>
      <c r="BF530" s="129"/>
      <c r="BG530" s="129"/>
      <c r="BH530" s="129"/>
      <c r="BI530" s="129"/>
      <c r="BJ530" s="129"/>
      <c r="BK530" s="129"/>
      <c r="BL530" s="129"/>
      <c r="BM530" s="129"/>
      <c r="BN530" s="129"/>
      <c r="BO530" s="129"/>
      <c r="BP530" s="129"/>
      <c r="BQ530" s="129"/>
    </row>
    <row r="531" spans="1:69" s="139" customFormat="1" x14ac:dyDescent="0.25">
      <c r="A531" s="157"/>
      <c r="B531" s="137"/>
      <c r="C531" s="129"/>
      <c r="G531" s="140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28"/>
      <c r="AC531" s="128"/>
      <c r="AD531" s="128"/>
      <c r="AE531" s="128"/>
      <c r="AF531" s="128"/>
      <c r="AG531" s="129"/>
      <c r="AH531" s="129"/>
      <c r="AI531" s="129"/>
      <c r="AJ531" s="129"/>
      <c r="AK531" s="129"/>
      <c r="AL531" s="129"/>
      <c r="AM531" s="129"/>
      <c r="AN531" s="129"/>
      <c r="AO531" s="129"/>
      <c r="AP531" s="129"/>
      <c r="AQ531" s="130"/>
      <c r="AR531" s="130"/>
      <c r="AS531" s="129"/>
      <c r="AT531" s="129"/>
      <c r="AU531" s="129"/>
      <c r="AV531" s="129"/>
      <c r="AW531" s="129"/>
      <c r="AX531" s="129"/>
      <c r="AY531" s="129"/>
      <c r="AZ531" s="129"/>
      <c r="BA531" s="129"/>
      <c r="BB531" s="129"/>
      <c r="BC531" s="129"/>
      <c r="BD531" s="129"/>
      <c r="BE531" s="129"/>
      <c r="BF531" s="129"/>
      <c r="BG531" s="129"/>
      <c r="BH531" s="129"/>
      <c r="BI531" s="129"/>
      <c r="BJ531" s="129"/>
      <c r="BK531" s="129"/>
      <c r="BL531" s="129"/>
      <c r="BM531" s="129"/>
      <c r="BN531" s="129"/>
      <c r="BO531" s="129"/>
      <c r="BP531" s="129"/>
      <c r="BQ531" s="129"/>
    </row>
    <row r="532" spans="1:69" s="139" customFormat="1" x14ac:dyDescent="0.25">
      <c r="A532" s="157"/>
      <c r="B532" s="137"/>
      <c r="C532" s="129"/>
      <c r="G532" s="140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28"/>
      <c r="AC532" s="128"/>
      <c r="AD532" s="128"/>
      <c r="AE532" s="128"/>
      <c r="AF532" s="128"/>
      <c r="AG532" s="129"/>
      <c r="AH532" s="129"/>
      <c r="AI532" s="129"/>
      <c r="AJ532" s="129"/>
      <c r="AK532" s="129"/>
      <c r="AL532" s="129"/>
      <c r="AM532" s="129"/>
      <c r="AN532" s="129"/>
      <c r="AO532" s="129"/>
      <c r="AP532" s="129"/>
      <c r="AQ532" s="130"/>
      <c r="AR532" s="130"/>
      <c r="AS532" s="129"/>
      <c r="AT532" s="129"/>
      <c r="AU532" s="129"/>
      <c r="AV532" s="129"/>
      <c r="AW532" s="129"/>
      <c r="AX532" s="129"/>
      <c r="AY532" s="129"/>
      <c r="AZ532" s="129"/>
      <c r="BA532" s="129"/>
      <c r="BB532" s="129"/>
      <c r="BC532" s="129"/>
      <c r="BD532" s="129"/>
      <c r="BE532" s="129"/>
      <c r="BF532" s="129"/>
      <c r="BG532" s="129"/>
      <c r="BH532" s="129"/>
      <c r="BI532" s="129"/>
      <c r="BJ532" s="129"/>
      <c r="BK532" s="129"/>
      <c r="BL532" s="129"/>
      <c r="BM532" s="129"/>
      <c r="BN532" s="129"/>
      <c r="BO532" s="129"/>
      <c r="BP532" s="129"/>
      <c r="BQ532" s="129"/>
    </row>
    <row r="533" spans="1:69" s="139" customFormat="1" x14ac:dyDescent="0.25">
      <c r="A533" s="157"/>
      <c r="B533" s="137"/>
      <c r="C533" s="129"/>
      <c r="G533" s="140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28"/>
      <c r="AC533" s="128"/>
      <c r="AD533" s="128"/>
      <c r="AE533" s="128"/>
      <c r="AF533" s="128"/>
      <c r="AG533" s="129"/>
      <c r="AH533" s="129"/>
      <c r="AI533" s="129"/>
      <c r="AJ533" s="129"/>
      <c r="AK533" s="129"/>
      <c r="AL533" s="129"/>
      <c r="AM533" s="129"/>
      <c r="AN533" s="129"/>
      <c r="AO533" s="129"/>
      <c r="AP533" s="129"/>
      <c r="AQ533" s="130"/>
      <c r="AR533" s="130"/>
      <c r="AS533" s="129"/>
      <c r="AT533" s="129"/>
      <c r="AU533" s="129"/>
      <c r="AV533" s="129"/>
      <c r="AW533" s="129"/>
      <c r="AX533" s="129"/>
      <c r="AY533" s="129"/>
      <c r="AZ533" s="129"/>
      <c r="BA533" s="129"/>
      <c r="BB533" s="129"/>
      <c r="BC533" s="129"/>
      <c r="BD533" s="129"/>
      <c r="BE533" s="129"/>
      <c r="BF533" s="129"/>
      <c r="BG533" s="129"/>
      <c r="BH533" s="129"/>
      <c r="BI533" s="129"/>
      <c r="BJ533" s="129"/>
      <c r="BK533" s="129"/>
      <c r="BL533" s="129"/>
      <c r="BM533" s="129"/>
      <c r="BN533" s="129"/>
      <c r="BO533" s="129"/>
      <c r="BP533" s="129"/>
      <c r="BQ533" s="129"/>
    </row>
    <row r="534" spans="1:69" s="139" customFormat="1" x14ac:dyDescent="0.25">
      <c r="A534" s="157"/>
      <c r="B534" s="137"/>
      <c r="C534" s="129"/>
      <c r="G534" s="140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28"/>
      <c r="AC534" s="128"/>
      <c r="AD534" s="128"/>
      <c r="AE534" s="128"/>
      <c r="AF534" s="128"/>
      <c r="AG534" s="129"/>
      <c r="AH534" s="129"/>
      <c r="AI534" s="129"/>
      <c r="AJ534" s="129"/>
      <c r="AK534" s="129"/>
      <c r="AL534" s="129"/>
      <c r="AM534" s="129"/>
      <c r="AN534" s="129"/>
      <c r="AO534" s="129"/>
      <c r="AP534" s="129"/>
      <c r="AQ534" s="130"/>
      <c r="AR534" s="130"/>
      <c r="AS534" s="129"/>
      <c r="AT534" s="129"/>
      <c r="AU534" s="129"/>
      <c r="AV534" s="129"/>
      <c r="AW534" s="129"/>
      <c r="AX534" s="129"/>
      <c r="AY534" s="129"/>
      <c r="AZ534" s="129"/>
      <c r="BA534" s="129"/>
      <c r="BB534" s="129"/>
      <c r="BC534" s="129"/>
      <c r="BD534" s="129"/>
      <c r="BE534" s="129"/>
      <c r="BF534" s="129"/>
      <c r="BG534" s="129"/>
      <c r="BH534" s="129"/>
      <c r="BI534" s="129"/>
      <c r="BJ534" s="129"/>
      <c r="BK534" s="129"/>
      <c r="BL534" s="129"/>
      <c r="BM534" s="129"/>
      <c r="BN534" s="129"/>
      <c r="BO534" s="129"/>
      <c r="BP534" s="129"/>
      <c r="BQ534" s="129"/>
    </row>
    <row r="535" spans="1:69" s="139" customFormat="1" x14ac:dyDescent="0.25">
      <c r="A535" s="157"/>
      <c r="B535" s="137"/>
      <c r="C535" s="129"/>
      <c r="G535" s="140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28"/>
      <c r="AC535" s="128"/>
      <c r="AD535" s="128"/>
      <c r="AE535" s="128"/>
      <c r="AF535" s="128"/>
      <c r="AG535" s="129"/>
      <c r="AH535" s="129"/>
      <c r="AI535" s="129"/>
      <c r="AJ535" s="129"/>
      <c r="AK535" s="129"/>
      <c r="AL535" s="129"/>
      <c r="AM535" s="129"/>
      <c r="AN535" s="129"/>
      <c r="AO535" s="129"/>
      <c r="AP535" s="129"/>
      <c r="AQ535" s="130"/>
      <c r="AR535" s="130"/>
      <c r="AS535" s="129"/>
      <c r="AT535" s="129"/>
      <c r="AU535" s="129"/>
      <c r="AV535" s="129"/>
      <c r="AW535" s="129"/>
      <c r="AX535" s="129"/>
      <c r="AY535" s="129"/>
      <c r="AZ535" s="129"/>
      <c r="BA535" s="129"/>
      <c r="BB535" s="129"/>
      <c r="BC535" s="129"/>
      <c r="BD535" s="129"/>
      <c r="BE535" s="129"/>
      <c r="BF535" s="129"/>
      <c r="BG535" s="129"/>
      <c r="BH535" s="129"/>
      <c r="BI535" s="129"/>
      <c r="BJ535" s="129"/>
      <c r="BK535" s="129"/>
      <c r="BL535" s="129"/>
      <c r="BM535" s="129"/>
      <c r="BN535" s="129"/>
      <c r="BO535" s="129"/>
      <c r="BP535" s="129"/>
      <c r="BQ535" s="129"/>
    </row>
    <row r="536" spans="1:69" s="139" customFormat="1" x14ac:dyDescent="0.25">
      <c r="A536" s="157"/>
      <c r="B536" s="137"/>
      <c r="C536" s="129"/>
      <c r="G536" s="140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28"/>
      <c r="AC536" s="128"/>
      <c r="AD536" s="128"/>
      <c r="AE536" s="128"/>
      <c r="AF536" s="128"/>
      <c r="AG536" s="129"/>
      <c r="AH536" s="129"/>
      <c r="AI536" s="129"/>
      <c r="AJ536" s="129"/>
      <c r="AK536" s="129"/>
      <c r="AL536" s="129"/>
      <c r="AM536" s="129"/>
      <c r="AN536" s="129"/>
      <c r="AO536" s="129"/>
      <c r="AP536" s="129"/>
      <c r="AQ536" s="130"/>
      <c r="AR536" s="130"/>
      <c r="AS536" s="129"/>
      <c r="AT536" s="129"/>
      <c r="AU536" s="129"/>
      <c r="AV536" s="129"/>
      <c r="AW536" s="129"/>
      <c r="AX536" s="129"/>
      <c r="AY536" s="129"/>
      <c r="AZ536" s="129"/>
      <c r="BA536" s="129"/>
      <c r="BB536" s="129"/>
      <c r="BC536" s="129"/>
      <c r="BD536" s="129"/>
      <c r="BE536" s="129"/>
      <c r="BF536" s="129"/>
      <c r="BG536" s="129"/>
      <c r="BH536" s="129"/>
      <c r="BI536" s="129"/>
      <c r="BJ536" s="129"/>
      <c r="BK536" s="129"/>
      <c r="BL536" s="129"/>
      <c r="BM536" s="129"/>
      <c r="BN536" s="129"/>
      <c r="BO536" s="129"/>
      <c r="BP536" s="129"/>
      <c r="BQ536" s="129"/>
    </row>
    <row r="537" spans="1:69" s="139" customFormat="1" x14ac:dyDescent="0.25">
      <c r="A537" s="157"/>
      <c r="B537" s="137"/>
      <c r="C537" s="129"/>
      <c r="G537" s="140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28"/>
      <c r="AC537" s="128"/>
      <c r="AD537" s="128"/>
      <c r="AE537" s="128"/>
      <c r="AF537" s="128"/>
      <c r="AG537" s="129"/>
      <c r="AH537" s="129"/>
      <c r="AI537" s="129"/>
      <c r="AJ537" s="129"/>
      <c r="AK537" s="129"/>
      <c r="AL537" s="129"/>
      <c r="AM537" s="129"/>
      <c r="AN537" s="129"/>
      <c r="AO537" s="129"/>
      <c r="AP537" s="129"/>
      <c r="AQ537" s="130"/>
      <c r="AR537" s="130"/>
      <c r="AS537" s="129"/>
      <c r="AT537" s="129"/>
      <c r="AU537" s="129"/>
      <c r="AV537" s="129"/>
      <c r="AW537" s="129"/>
      <c r="AX537" s="129"/>
      <c r="AY537" s="129"/>
      <c r="AZ537" s="129"/>
      <c r="BA537" s="129"/>
      <c r="BB537" s="129"/>
      <c r="BC537" s="129"/>
      <c r="BD537" s="129"/>
      <c r="BE537" s="129"/>
      <c r="BF537" s="129"/>
      <c r="BG537" s="129"/>
      <c r="BH537" s="129"/>
      <c r="BI537" s="129"/>
      <c r="BJ537" s="129"/>
      <c r="BK537" s="129"/>
      <c r="BL537" s="129"/>
      <c r="BM537" s="129"/>
      <c r="BN537" s="129"/>
      <c r="BO537" s="129"/>
      <c r="BP537" s="129"/>
      <c r="BQ537" s="129"/>
    </row>
    <row r="538" spans="1:69" s="139" customFormat="1" x14ac:dyDescent="0.25">
      <c r="A538" s="157"/>
      <c r="B538" s="137"/>
      <c r="C538" s="129"/>
      <c r="G538" s="140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28"/>
      <c r="AC538" s="128"/>
      <c r="AD538" s="128"/>
      <c r="AE538" s="128"/>
      <c r="AF538" s="128"/>
      <c r="AG538" s="129"/>
      <c r="AH538" s="129"/>
      <c r="AI538" s="129"/>
      <c r="AJ538" s="129"/>
      <c r="AK538" s="129"/>
      <c r="AL538" s="129"/>
      <c r="AM538" s="129"/>
      <c r="AN538" s="129"/>
      <c r="AO538" s="129"/>
      <c r="AP538" s="129"/>
      <c r="AQ538" s="130"/>
      <c r="AR538" s="130"/>
      <c r="AS538" s="129"/>
      <c r="AT538" s="129"/>
      <c r="AU538" s="129"/>
      <c r="AV538" s="129"/>
      <c r="AW538" s="129"/>
      <c r="AX538" s="129"/>
      <c r="AY538" s="129"/>
      <c r="AZ538" s="129"/>
      <c r="BA538" s="129"/>
      <c r="BB538" s="129"/>
      <c r="BC538" s="129"/>
      <c r="BD538" s="129"/>
      <c r="BE538" s="129"/>
      <c r="BF538" s="129"/>
      <c r="BG538" s="129"/>
      <c r="BH538" s="129"/>
      <c r="BI538" s="129"/>
      <c r="BJ538" s="129"/>
      <c r="BK538" s="129"/>
      <c r="BL538" s="129"/>
      <c r="BM538" s="129"/>
      <c r="BN538" s="129"/>
      <c r="BO538" s="129"/>
      <c r="BP538" s="129"/>
      <c r="BQ538" s="129"/>
    </row>
    <row r="539" spans="1:69" s="139" customFormat="1" x14ac:dyDescent="0.25">
      <c r="A539" s="157"/>
      <c r="B539" s="137"/>
      <c r="C539" s="129"/>
      <c r="G539" s="140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28"/>
      <c r="AC539" s="128"/>
      <c r="AD539" s="128"/>
      <c r="AE539" s="128"/>
      <c r="AF539" s="128"/>
      <c r="AG539" s="129"/>
      <c r="AH539" s="129"/>
      <c r="AI539" s="129"/>
      <c r="AJ539" s="129"/>
      <c r="AK539" s="129"/>
      <c r="AL539" s="129"/>
      <c r="AM539" s="129"/>
      <c r="AN539" s="129"/>
      <c r="AO539" s="129"/>
      <c r="AP539" s="129"/>
      <c r="AQ539" s="130"/>
      <c r="AR539" s="130"/>
      <c r="AS539" s="129"/>
      <c r="AT539" s="129"/>
      <c r="AU539" s="129"/>
      <c r="AV539" s="129"/>
      <c r="AW539" s="129"/>
      <c r="AX539" s="129"/>
      <c r="AY539" s="129"/>
      <c r="AZ539" s="129"/>
      <c r="BA539" s="129"/>
      <c r="BB539" s="129"/>
      <c r="BC539" s="129"/>
      <c r="BD539" s="129"/>
      <c r="BE539" s="129"/>
      <c r="BF539" s="129"/>
      <c r="BG539" s="129"/>
      <c r="BH539" s="129"/>
      <c r="BI539" s="129"/>
      <c r="BJ539" s="129"/>
      <c r="BK539" s="129"/>
      <c r="BL539" s="129"/>
      <c r="BM539" s="129"/>
      <c r="BN539" s="129"/>
      <c r="BO539" s="129"/>
      <c r="BP539" s="129"/>
      <c r="BQ539" s="129"/>
    </row>
    <row r="540" spans="1:69" s="139" customFormat="1" x14ac:dyDescent="0.25">
      <c r="A540" s="157"/>
      <c r="B540" s="137"/>
      <c r="C540" s="129"/>
      <c r="G540" s="140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28"/>
      <c r="AC540" s="128"/>
      <c r="AD540" s="128"/>
      <c r="AE540" s="128"/>
      <c r="AF540" s="128"/>
      <c r="AG540" s="129"/>
      <c r="AH540" s="129"/>
      <c r="AI540" s="129"/>
      <c r="AJ540" s="129"/>
      <c r="AK540" s="129"/>
      <c r="AL540" s="129"/>
      <c r="AM540" s="129"/>
      <c r="AN540" s="129"/>
      <c r="AO540" s="129"/>
      <c r="AP540" s="129"/>
      <c r="AQ540" s="130"/>
      <c r="AR540" s="130"/>
      <c r="AS540" s="129"/>
      <c r="AT540" s="129"/>
      <c r="AU540" s="129"/>
      <c r="AV540" s="129"/>
      <c r="AW540" s="129"/>
      <c r="AX540" s="129"/>
      <c r="AY540" s="129"/>
      <c r="AZ540" s="129"/>
      <c r="BA540" s="129"/>
      <c r="BB540" s="129"/>
      <c r="BC540" s="129"/>
      <c r="BD540" s="129"/>
      <c r="BE540" s="129"/>
      <c r="BF540" s="129"/>
      <c r="BG540" s="129"/>
      <c r="BH540" s="129"/>
      <c r="BI540" s="129"/>
      <c r="BJ540" s="129"/>
      <c r="BK540" s="129"/>
      <c r="BL540" s="129"/>
      <c r="BM540" s="129"/>
      <c r="BN540" s="129"/>
      <c r="BO540" s="129"/>
      <c r="BP540" s="129"/>
      <c r="BQ540" s="129"/>
    </row>
    <row r="541" spans="1:69" s="139" customFormat="1" x14ac:dyDescent="0.25">
      <c r="A541" s="157"/>
      <c r="B541" s="137"/>
      <c r="C541" s="129"/>
      <c r="G541" s="140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28"/>
      <c r="AC541" s="128"/>
      <c r="AD541" s="128"/>
      <c r="AE541" s="128"/>
      <c r="AF541" s="128"/>
      <c r="AG541" s="129"/>
      <c r="AH541" s="129"/>
      <c r="AI541" s="129"/>
      <c r="AJ541" s="129"/>
      <c r="AK541" s="129"/>
      <c r="AL541" s="129"/>
      <c r="AM541" s="129"/>
      <c r="AN541" s="129"/>
      <c r="AO541" s="129"/>
      <c r="AP541" s="129"/>
      <c r="AQ541" s="130"/>
      <c r="AR541" s="130"/>
      <c r="AS541" s="129"/>
      <c r="AT541" s="129"/>
      <c r="AU541" s="129"/>
      <c r="AV541" s="129"/>
      <c r="AW541" s="129"/>
      <c r="AX541" s="129"/>
      <c r="AY541" s="129"/>
      <c r="AZ541" s="129"/>
      <c r="BA541" s="129"/>
      <c r="BB541" s="129"/>
      <c r="BC541" s="129"/>
      <c r="BD541" s="129"/>
      <c r="BE541" s="129"/>
      <c r="BF541" s="129"/>
      <c r="BG541" s="129"/>
      <c r="BH541" s="129"/>
      <c r="BI541" s="129"/>
      <c r="BJ541" s="129"/>
      <c r="BK541" s="129"/>
      <c r="BL541" s="129"/>
      <c r="BM541" s="129"/>
      <c r="BN541" s="129"/>
      <c r="BO541" s="129"/>
      <c r="BP541" s="129"/>
      <c r="BQ541" s="129"/>
    </row>
    <row r="542" spans="1:69" s="139" customFormat="1" x14ac:dyDescent="0.25">
      <c r="A542" s="157"/>
      <c r="B542" s="137"/>
      <c r="C542" s="129"/>
      <c r="G542" s="140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28"/>
      <c r="AC542" s="128"/>
      <c r="AD542" s="128"/>
      <c r="AE542" s="128"/>
      <c r="AF542" s="128"/>
      <c r="AG542" s="129"/>
      <c r="AH542" s="129"/>
      <c r="AI542" s="129"/>
      <c r="AJ542" s="129"/>
      <c r="AK542" s="129"/>
      <c r="AL542" s="129"/>
      <c r="AM542" s="129"/>
      <c r="AN542" s="129"/>
      <c r="AO542" s="129"/>
      <c r="AP542" s="129"/>
      <c r="AQ542" s="130"/>
      <c r="AR542" s="130"/>
      <c r="AS542" s="129"/>
      <c r="AT542" s="129"/>
      <c r="AU542" s="129"/>
      <c r="AV542" s="129"/>
      <c r="AW542" s="129"/>
      <c r="AX542" s="129"/>
      <c r="AY542" s="129"/>
      <c r="AZ542" s="129"/>
      <c r="BA542" s="129"/>
      <c r="BB542" s="129"/>
      <c r="BC542" s="129"/>
      <c r="BD542" s="129"/>
      <c r="BE542" s="129"/>
      <c r="BF542" s="129"/>
      <c r="BG542" s="129"/>
      <c r="BH542" s="129"/>
      <c r="BI542" s="129"/>
      <c r="BJ542" s="129"/>
      <c r="BK542" s="129"/>
      <c r="BL542" s="129"/>
      <c r="BM542" s="129"/>
      <c r="BN542" s="129"/>
      <c r="BO542" s="129"/>
      <c r="BP542" s="129"/>
      <c r="BQ542" s="129"/>
    </row>
    <row r="543" spans="1:69" s="139" customFormat="1" x14ac:dyDescent="0.25">
      <c r="A543" s="157"/>
      <c r="B543" s="137"/>
      <c r="C543" s="129"/>
      <c r="G543" s="140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28"/>
      <c r="AC543" s="128"/>
      <c r="AD543" s="128"/>
      <c r="AE543" s="128"/>
      <c r="AF543" s="128"/>
      <c r="AG543" s="129"/>
      <c r="AH543" s="129"/>
      <c r="AI543" s="129"/>
      <c r="AJ543" s="129"/>
      <c r="AK543" s="129"/>
      <c r="AL543" s="129"/>
      <c r="AM543" s="129"/>
      <c r="AN543" s="129"/>
      <c r="AO543" s="129"/>
      <c r="AP543" s="129"/>
      <c r="AQ543" s="130"/>
      <c r="AR543" s="130"/>
      <c r="AS543" s="129"/>
      <c r="AT543" s="129"/>
      <c r="AU543" s="129"/>
      <c r="AV543" s="129"/>
      <c r="AW543" s="129"/>
      <c r="AX543" s="129"/>
      <c r="AY543" s="129"/>
      <c r="AZ543" s="129"/>
      <c r="BA543" s="129"/>
      <c r="BB543" s="129"/>
      <c r="BC543" s="129"/>
      <c r="BD543" s="129"/>
      <c r="BE543" s="129"/>
      <c r="BF543" s="129"/>
      <c r="BG543" s="129"/>
      <c r="BH543" s="129"/>
      <c r="BI543" s="129"/>
      <c r="BJ543" s="129"/>
      <c r="BK543" s="129"/>
      <c r="BL543" s="129"/>
      <c r="BM543" s="129"/>
      <c r="BN543" s="129"/>
      <c r="BO543" s="129"/>
      <c r="BP543" s="129"/>
      <c r="BQ543" s="129"/>
    </row>
    <row r="544" spans="1:69" s="139" customFormat="1" x14ac:dyDescent="0.25">
      <c r="A544" s="157"/>
      <c r="B544" s="137"/>
      <c r="C544" s="129"/>
      <c r="G544" s="140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28"/>
      <c r="AC544" s="128"/>
      <c r="AD544" s="128"/>
      <c r="AE544" s="128"/>
      <c r="AF544" s="128"/>
      <c r="AG544" s="129"/>
      <c r="AH544" s="129"/>
      <c r="AI544" s="129"/>
      <c r="AJ544" s="129"/>
      <c r="AK544" s="129"/>
      <c r="AL544" s="129"/>
      <c r="AM544" s="129"/>
      <c r="AN544" s="129"/>
      <c r="AO544" s="129"/>
      <c r="AP544" s="129"/>
      <c r="AQ544" s="130"/>
      <c r="AR544" s="130"/>
      <c r="AS544" s="129"/>
      <c r="AT544" s="129"/>
      <c r="AU544" s="129"/>
      <c r="AV544" s="129"/>
      <c r="AW544" s="129"/>
      <c r="AX544" s="129"/>
      <c r="AY544" s="129"/>
      <c r="AZ544" s="129"/>
      <c r="BA544" s="129"/>
      <c r="BB544" s="129"/>
      <c r="BC544" s="129"/>
      <c r="BD544" s="129"/>
      <c r="BE544" s="129"/>
      <c r="BF544" s="129"/>
      <c r="BG544" s="129"/>
      <c r="BH544" s="129"/>
      <c r="BI544" s="129"/>
      <c r="BJ544" s="129"/>
      <c r="BK544" s="129"/>
      <c r="BL544" s="129"/>
      <c r="BM544" s="129"/>
      <c r="BN544" s="129"/>
      <c r="BO544" s="129"/>
      <c r="BP544" s="129"/>
      <c r="BQ544" s="129"/>
    </row>
    <row r="545" spans="1:69" s="139" customFormat="1" x14ac:dyDescent="0.25">
      <c r="A545" s="157"/>
      <c r="B545" s="137"/>
      <c r="C545" s="129"/>
      <c r="G545" s="140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28"/>
      <c r="AC545" s="128"/>
      <c r="AD545" s="128"/>
      <c r="AE545" s="128"/>
      <c r="AF545" s="128"/>
      <c r="AG545" s="129"/>
      <c r="AH545" s="129"/>
      <c r="AI545" s="129"/>
      <c r="AJ545" s="129"/>
      <c r="AK545" s="129"/>
      <c r="AL545" s="129"/>
      <c r="AM545" s="129"/>
      <c r="AN545" s="129"/>
      <c r="AO545" s="129"/>
      <c r="AP545" s="129"/>
      <c r="AQ545" s="130"/>
      <c r="AR545" s="130"/>
      <c r="AS545" s="129"/>
      <c r="AT545" s="129"/>
      <c r="AU545" s="129"/>
      <c r="AV545" s="129"/>
      <c r="AW545" s="129"/>
      <c r="AX545" s="129"/>
      <c r="AY545" s="129"/>
      <c r="AZ545" s="129"/>
      <c r="BA545" s="129"/>
      <c r="BB545" s="129"/>
      <c r="BC545" s="129"/>
      <c r="BD545" s="129"/>
      <c r="BE545" s="129"/>
      <c r="BF545" s="129"/>
      <c r="BG545" s="129"/>
      <c r="BH545" s="129"/>
      <c r="BI545" s="129"/>
      <c r="BJ545" s="129"/>
      <c r="BK545" s="129"/>
      <c r="BL545" s="129"/>
      <c r="BM545" s="129"/>
      <c r="BN545" s="129"/>
      <c r="BO545" s="129"/>
      <c r="BP545" s="129"/>
      <c r="BQ545" s="129"/>
    </row>
    <row r="546" spans="1:69" s="139" customFormat="1" x14ac:dyDescent="0.25">
      <c r="A546" s="157"/>
      <c r="B546" s="137"/>
      <c r="C546" s="129"/>
      <c r="G546" s="140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28"/>
      <c r="AC546" s="128"/>
      <c r="AD546" s="128"/>
      <c r="AE546" s="128"/>
      <c r="AF546" s="128"/>
      <c r="AG546" s="129"/>
      <c r="AH546" s="129"/>
      <c r="AI546" s="129"/>
      <c r="AJ546" s="129"/>
      <c r="AK546" s="129"/>
      <c r="AL546" s="129"/>
      <c r="AM546" s="129"/>
      <c r="AN546" s="129"/>
      <c r="AO546" s="129"/>
      <c r="AP546" s="129"/>
      <c r="AQ546" s="130"/>
      <c r="AR546" s="130"/>
      <c r="AS546" s="129"/>
      <c r="AT546" s="129"/>
      <c r="AU546" s="129"/>
      <c r="AV546" s="129"/>
      <c r="AW546" s="129"/>
      <c r="AX546" s="129"/>
      <c r="AY546" s="129"/>
      <c r="AZ546" s="129"/>
      <c r="BA546" s="129"/>
      <c r="BB546" s="129"/>
      <c r="BC546" s="129"/>
      <c r="BD546" s="129"/>
      <c r="BE546" s="129"/>
      <c r="BF546" s="129"/>
      <c r="BG546" s="129"/>
      <c r="BH546" s="129"/>
      <c r="BI546" s="129"/>
      <c r="BJ546" s="129"/>
      <c r="BK546" s="129"/>
      <c r="BL546" s="129"/>
      <c r="BM546" s="129"/>
      <c r="BN546" s="129"/>
      <c r="BO546" s="129"/>
      <c r="BP546" s="129"/>
      <c r="BQ546" s="129"/>
    </row>
    <row r="547" spans="1:69" s="139" customFormat="1" x14ac:dyDescent="0.25">
      <c r="A547" s="157"/>
      <c r="B547" s="137"/>
      <c r="C547" s="129"/>
      <c r="G547" s="140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28"/>
      <c r="AC547" s="128"/>
      <c r="AD547" s="128"/>
      <c r="AE547" s="128"/>
      <c r="AF547" s="128"/>
      <c r="AG547" s="129"/>
      <c r="AH547" s="129"/>
      <c r="AI547" s="129"/>
      <c r="AJ547" s="129"/>
      <c r="AK547" s="129"/>
      <c r="AL547" s="129"/>
      <c r="AM547" s="129"/>
      <c r="AN547" s="129"/>
      <c r="AO547" s="129"/>
      <c r="AP547" s="129"/>
      <c r="AQ547" s="130"/>
      <c r="AR547" s="130"/>
      <c r="AS547" s="129"/>
      <c r="AT547" s="129"/>
      <c r="AU547" s="129"/>
      <c r="AV547" s="129"/>
      <c r="AW547" s="129"/>
      <c r="AX547" s="129"/>
      <c r="AY547" s="129"/>
      <c r="AZ547" s="129"/>
      <c r="BA547" s="129"/>
      <c r="BB547" s="129"/>
      <c r="BC547" s="129"/>
      <c r="BD547" s="129"/>
      <c r="BE547" s="129"/>
      <c r="BF547" s="129"/>
      <c r="BG547" s="129"/>
      <c r="BH547" s="129"/>
      <c r="BI547" s="129"/>
      <c r="BJ547" s="129"/>
      <c r="BK547" s="129"/>
      <c r="BL547" s="129"/>
      <c r="BM547" s="129"/>
      <c r="BN547" s="129"/>
      <c r="BO547" s="129"/>
      <c r="BP547" s="129"/>
      <c r="BQ547" s="129"/>
    </row>
    <row r="548" spans="1:69" s="139" customFormat="1" x14ac:dyDescent="0.25">
      <c r="A548" s="157"/>
      <c r="B548" s="137"/>
      <c r="C548" s="129"/>
      <c r="G548" s="140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28"/>
      <c r="AC548" s="128"/>
      <c r="AD548" s="128"/>
      <c r="AE548" s="128"/>
      <c r="AF548" s="128"/>
      <c r="AG548" s="129"/>
      <c r="AH548" s="129"/>
      <c r="AI548" s="129"/>
      <c r="AJ548" s="129"/>
      <c r="AK548" s="129"/>
      <c r="AL548" s="129"/>
      <c r="AM548" s="129"/>
      <c r="AN548" s="129"/>
      <c r="AO548" s="129"/>
      <c r="AP548" s="129"/>
      <c r="AQ548" s="130"/>
      <c r="AR548" s="130"/>
      <c r="AS548" s="129"/>
      <c r="AT548" s="129"/>
      <c r="AU548" s="129"/>
      <c r="AV548" s="129"/>
      <c r="AW548" s="129"/>
      <c r="AX548" s="129"/>
      <c r="AY548" s="129"/>
      <c r="AZ548" s="129"/>
      <c r="BA548" s="129"/>
      <c r="BB548" s="129"/>
      <c r="BC548" s="129"/>
      <c r="BD548" s="129"/>
      <c r="BE548" s="129"/>
      <c r="BF548" s="129"/>
      <c r="BG548" s="129"/>
      <c r="BH548" s="129"/>
      <c r="BI548" s="129"/>
      <c r="BJ548" s="129"/>
      <c r="BK548" s="129"/>
      <c r="BL548" s="129"/>
      <c r="BM548" s="129"/>
      <c r="BN548" s="129"/>
      <c r="BO548" s="129"/>
      <c r="BP548" s="129"/>
      <c r="BQ548" s="129"/>
    </row>
    <row r="549" spans="1:69" s="139" customFormat="1" x14ac:dyDescent="0.25">
      <c r="A549" s="157"/>
      <c r="B549" s="137"/>
      <c r="C549" s="129"/>
      <c r="G549" s="140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28"/>
      <c r="AC549" s="128"/>
      <c r="AD549" s="128"/>
      <c r="AE549" s="128"/>
      <c r="AF549" s="128"/>
      <c r="AG549" s="129"/>
      <c r="AH549" s="129"/>
      <c r="AI549" s="129"/>
      <c r="AJ549" s="129"/>
      <c r="AK549" s="129"/>
      <c r="AL549" s="129"/>
      <c r="AM549" s="129"/>
      <c r="AN549" s="129"/>
      <c r="AO549" s="129"/>
      <c r="AP549" s="129"/>
      <c r="AQ549" s="130"/>
      <c r="AR549" s="130"/>
      <c r="AS549" s="129"/>
      <c r="AT549" s="129"/>
      <c r="AU549" s="129"/>
      <c r="AV549" s="129"/>
      <c r="AW549" s="129"/>
      <c r="AX549" s="129"/>
      <c r="AY549" s="129"/>
      <c r="AZ549" s="129"/>
      <c r="BA549" s="129"/>
      <c r="BB549" s="129"/>
      <c r="BC549" s="129"/>
      <c r="BD549" s="129"/>
      <c r="BE549" s="129"/>
      <c r="BF549" s="129"/>
      <c r="BG549" s="129"/>
      <c r="BH549" s="129"/>
      <c r="BI549" s="129"/>
      <c r="BJ549" s="129"/>
      <c r="BK549" s="129"/>
      <c r="BL549" s="129"/>
      <c r="BM549" s="129"/>
      <c r="BN549" s="129"/>
      <c r="BO549" s="129"/>
      <c r="BP549" s="129"/>
      <c r="BQ549" s="129"/>
    </row>
    <row r="550" spans="1:69" s="139" customFormat="1" x14ac:dyDescent="0.25">
      <c r="A550" s="157"/>
      <c r="B550" s="137"/>
      <c r="C550" s="129"/>
      <c r="G550" s="140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28"/>
      <c r="AC550" s="128"/>
      <c r="AD550" s="128"/>
      <c r="AE550" s="128"/>
      <c r="AF550" s="128"/>
      <c r="AG550" s="129"/>
      <c r="AH550" s="129"/>
      <c r="AI550" s="129"/>
      <c r="AJ550" s="129"/>
      <c r="AK550" s="129"/>
      <c r="AL550" s="129"/>
      <c r="AM550" s="129"/>
      <c r="AN550" s="129"/>
      <c r="AO550" s="129"/>
      <c r="AP550" s="129"/>
      <c r="AQ550" s="130"/>
      <c r="AR550" s="130"/>
      <c r="AS550" s="129"/>
      <c r="AT550" s="129"/>
      <c r="AU550" s="129"/>
      <c r="AV550" s="129"/>
      <c r="AW550" s="129"/>
      <c r="AX550" s="129"/>
      <c r="AY550" s="129"/>
      <c r="AZ550" s="129"/>
      <c r="BA550" s="129"/>
      <c r="BB550" s="129"/>
      <c r="BC550" s="129"/>
      <c r="BD550" s="129"/>
      <c r="BE550" s="129"/>
      <c r="BF550" s="129"/>
      <c r="BG550" s="129"/>
      <c r="BH550" s="129"/>
      <c r="BI550" s="129"/>
      <c r="BJ550" s="129"/>
      <c r="BK550" s="129"/>
      <c r="BL550" s="129"/>
      <c r="BM550" s="129"/>
      <c r="BN550" s="129"/>
      <c r="BO550" s="129"/>
      <c r="BP550" s="129"/>
      <c r="BQ550" s="129"/>
    </row>
    <row r="551" spans="1:69" s="139" customFormat="1" x14ac:dyDescent="0.25">
      <c r="A551" s="157"/>
      <c r="B551" s="137"/>
      <c r="C551" s="129"/>
      <c r="G551" s="140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28"/>
      <c r="AC551" s="128"/>
      <c r="AD551" s="128"/>
      <c r="AE551" s="128"/>
      <c r="AF551" s="128"/>
      <c r="AG551" s="129"/>
      <c r="AH551" s="129"/>
      <c r="AI551" s="129"/>
      <c r="AJ551" s="129"/>
      <c r="AK551" s="129"/>
      <c r="AL551" s="129"/>
      <c r="AM551" s="129"/>
      <c r="AN551" s="129"/>
      <c r="AO551" s="129"/>
      <c r="AP551" s="129"/>
      <c r="AQ551" s="130"/>
      <c r="AR551" s="130"/>
      <c r="AS551" s="129"/>
      <c r="AT551" s="129"/>
      <c r="AU551" s="129"/>
      <c r="AV551" s="129"/>
      <c r="AW551" s="129"/>
      <c r="AX551" s="129"/>
      <c r="AY551" s="129"/>
      <c r="AZ551" s="129"/>
      <c r="BA551" s="129"/>
      <c r="BB551" s="129"/>
      <c r="BC551" s="129"/>
      <c r="BD551" s="129"/>
      <c r="BE551" s="129"/>
      <c r="BF551" s="129"/>
      <c r="BG551" s="129"/>
      <c r="BH551" s="129"/>
      <c r="BI551" s="129"/>
      <c r="BJ551" s="129"/>
      <c r="BK551" s="129"/>
      <c r="BL551" s="129"/>
      <c r="BM551" s="129"/>
      <c r="BN551" s="129"/>
      <c r="BO551" s="129"/>
      <c r="BP551" s="129"/>
      <c r="BQ551" s="129"/>
    </row>
    <row r="552" spans="1:69" s="139" customFormat="1" x14ac:dyDescent="0.25">
      <c r="A552" s="157"/>
      <c r="B552" s="137"/>
      <c r="C552" s="129"/>
      <c r="G552" s="140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28"/>
      <c r="AC552" s="128"/>
      <c r="AD552" s="128"/>
      <c r="AE552" s="128"/>
      <c r="AF552" s="128"/>
      <c r="AG552" s="129"/>
      <c r="AH552" s="129"/>
      <c r="AI552" s="129"/>
      <c r="AJ552" s="129"/>
      <c r="AK552" s="129"/>
      <c r="AL552" s="129"/>
      <c r="AM552" s="129"/>
      <c r="AN552" s="129"/>
      <c r="AO552" s="129"/>
      <c r="AP552" s="129"/>
      <c r="AQ552" s="130"/>
      <c r="AR552" s="130"/>
      <c r="AS552" s="129"/>
      <c r="AT552" s="129"/>
      <c r="AU552" s="129"/>
      <c r="AV552" s="129"/>
      <c r="AW552" s="129"/>
      <c r="AX552" s="129"/>
      <c r="AY552" s="129"/>
      <c r="AZ552" s="129"/>
      <c r="BA552" s="129"/>
      <c r="BB552" s="129"/>
      <c r="BC552" s="129"/>
      <c r="BD552" s="129"/>
      <c r="BE552" s="129"/>
      <c r="BF552" s="129"/>
      <c r="BG552" s="129"/>
      <c r="BH552" s="129"/>
      <c r="BI552" s="129"/>
      <c r="BJ552" s="129"/>
      <c r="BK552" s="129"/>
      <c r="BL552" s="129"/>
      <c r="BM552" s="129"/>
      <c r="BN552" s="129"/>
      <c r="BO552" s="129"/>
      <c r="BP552" s="129"/>
      <c r="BQ552" s="129"/>
    </row>
    <row r="553" spans="1:69" s="139" customFormat="1" x14ac:dyDescent="0.25">
      <c r="A553" s="157"/>
      <c r="B553" s="137"/>
      <c r="C553" s="129"/>
      <c r="G553" s="140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28"/>
      <c r="AC553" s="128"/>
      <c r="AD553" s="128"/>
      <c r="AE553" s="128"/>
      <c r="AF553" s="128"/>
      <c r="AG553" s="129"/>
      <c r="AH553" s="129"/>
      <c r="AI553" s="129"/>
      <c r="AJ553" s="129"/>
      <c r="AK553" s="129"/>
      <c r="AL553" s="129"/>
      <c r="AM553" s="129"/>
      <c r="AN553" s="129"/>
      <c r="AO553" s="129"/>
      <c r="AP553" s="129"/>
      <c r="AQ553" s="130"/>
      <c r="AR553" s="130"/>
      <c r="AS553" s="129"/>
      <c r="AT553" s="129"/>
      <c r="AU553" s="129"/>
      <c r="AV553" s="129"/>
      <c r="AW553" s="129"/>
      <c r="AX553" s="129"/>
      <c r="AY553" s="129"/>
      <c r="AZ553" s="129"/>
      <c r="BA553" s="129"/>
      <c r="BB553" s="129"/>
      <c r="BC553" s="129"/>
      <c r="BD553" s="129"/>
      <c r="BE553" s="129"/>
      <c r="BF553" s="129"/>
      <c r="BG553" s="129"/>
      <c r="BH553" s="129"/>
      <c r="BI553" s="129"/>
      <c r="BJ553" s="129"/>
      <c r="BK553" s="129"/>
      <c r="BL553" s="129"/>
      <c r="BM553" s="129"/>
      <c r="BN553" s="129"/>
      <c r="BO553" s="129"/>
      <c r="BP553" s="129"/>
      <c r="BQ553" s="129"/>
    </row>
    <row r="554" spans="1:69" s="139" customFormat="1" x14ac:dyDescent="0.25">
      <c r="A554" s="157"/>
      <c r="B554" s="137"/>
      <c r="C554" s="129"/>
      <c r="G554" s="140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28"/>
      <c r="AC554" s="128"/>
      <c r="AD554" s="128"/>
      <c r="AE554" s="128"/>
      <c r="AF554" s="128"/>
      <c r="AG554" s="129"/>
      <c r="AH554" s="129"/>
      <c r="AI554" s="129"/>
      <c r="AJ554" s="129"/>
      <c r="AK554" s="129"/>
      <c r="AL554" s="129"/>
      <c r="AM554" s="129"/>
      <c r="AN554" s="129"/>
      <c r="AO554" s="129"/>
      <c r="AP554" s="129"/>
      <c r="AQ554" s="130"/>
      <c r="AR554" s="130"/>
      <c r="AS554" s="129"/>
      <c r="AT554" s="129"/>
      <c r="AU554" s="129"/>
      <c r="AV554" s="129"/>
      <c r="AW554" s="129"/>
      <c r="AX554" s="129"/>
      <c r="AY554" s="129"/>
      <c r="AZ554" s="129"/>
      <c r="BA554" s="129"/>
      <c r="BB554" s="129"/>
      <c r="BC554" s="129"/>
      <c r="BD554" s="129"/>
      <c r="BE554" s="129"/>
      <c r="BF554" s="129"/>
      <c r="BG554" s="129"/>
      <c r="BH554" s="129"/>
      <c r="BI554" s="129"/>
      <c r="BJ554" s="129"/>
      <c r="BK554" s="129"/>
      <c r="BL554" s="129"/>
      <c r="BM554" s="129"/>
      <c r="BN554" s="129"/>
      <c r="BO554" s="129"/>
      <c r="BP554" s="129"/>
      <c r="BQ554" s="129"/>
    </row>
    <row r="555" spans="1:69" s="139" customFormat="1" x14ac:dyDescent="0.25">
      <c r="A555" s="157"/>
      <c r="B555" s="137"/>
      <c r="C555" s="129"/>
      <c r="G555" s="140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28"/>
      <c r="AC555" s="128"/>
      <c r="AD555" s="128"/>
      <c r="AE555" s="128"/>
      <c r="AF555" s="128"/>
      <c r="AG555" s="129"/>
      <c r="AH555" s="129"/>
      <c r="AI555" s="129"/>
      <c r="AJ555" s="129"/>
      <c r="AK555" s="129"/>
      <c r="AL555" s="129"/>
      <c r="AM555" s="129"/>
      <c r="AN555" s="129"/>
      <c r="AO555" s="129"/>
      <c r="AP555" s="129"/>
      <c r="AQ555" s="130"/>
      <c r="AR555" s="130"/>
      <c r="AS555" s="129"/>
      <c r="AT555" s="129"/>
      <c r="AU555" s="129"/>
      <c r="AV555" s="129"/>
      <c r="AW555" s="129"/>
      <c r="AX555" s="129"/>
      <c r="AY555" s="129"/>
      <c r="AZ555" s="129"/>
      <c r="BA555" s="129"/>
      <c r="BB555" s="129"/>
      <c r="BC555" s="129"/>
      <c r="BD555" s="129"/>
      <c r="BE555" s="129"/>
      <c r="BF555" s="129"/>
      <c r="BG555" s="129"/>
      <c r="BH555" s="129"/>
      <c r="BI555" s="129"/>
      <c r="BJ555" s="129"/>
      <c r="BK555" s="129"/>
      <c r="BL555" s="129"/>
      <c r="BM555" s="129"/>
      <c r="BN555" s="129"/>
      <c r="BO555" s="129"/>
      <c r="BP555" s="129"/>
      <c r="BQ555" s="129"/>
    </row>
    <row r="556" spans="1:69" s="139" customFormat="1" x14ac:dyDescent="0.25">
      <c r="A556" s="157"/>
      <c r="B556" s="137"/>
      <c r="C556" s="129"/>
      <c r="G556" s="140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28"/>
      <c r="AC556" s="128"/>
      <c r="AD556" s="128"/>
      <c r="AE556" s="128"/>
      <c r="AF556" s="128"/>
      <c r="AG556" s="129"/>
      <c r="AH556" s="129"/>
      <c r="AI556" s="129"/>
      <c r="AJ556" s="129"/>
      <c r="AK556" s="129"/>
      <c r="AL556" s="129"/>
      <c r="AM556" s="129"/>
      <c r="AN556" s="129"/>
      <c r="AO556" s="129"/>
      <c r="AP556" s="129"/>
      <c r="AQ556" s="130"/>
      <c r="AR556" s="130"/>
      <c r="AS556" s="129"/>
      <c r="AT556" s="129"/>
      <c r="AU556" s="129"/>
      <c r="AV556" s="129"/>
      <c r="AW556" s="129"/>
      <c r="AX556" s="129"/>
      <c r="AY556" s="129"/>
      <c r="AZ556" s="129"/>
      <c r="BA556" s="129"/>
      <c r="BB556" s="129"/>
      <c r="BC556" s="129"/>
      <c r="BD556" s="129"/>
      <c r="BE556" s="129"/>
      <c r="BF556" s="129"/>
      <c r="BG556" s="129"/>
      <c r="BH556" s="129"/>
      <c r="BI556" s="129"/>
      <c r="BJ556" s="129"/>
      <c r="BK556" s="129"/>
      <c r="BL556" s="129"/>
      <c r="BM556" s="129"/>
      <c r="BN556" s="129"/>
      <c r="BO556" s="129"/>
      <c r="BP556" s="129"/>
      <c r="BQ556" s="129"/>
    </row>
    <row r="557" spans="1:69" s="139" customFormat="1" x14ac:dyDescent="0.25">
      <c r="A557" s="157"/>
      <c r="B557" s="137"/>
      <c r="C557" s="129"/>
      <c r="G557" s="140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28"/>
      <c r="AC557" s="128"/>
      <c r="AD557" s="128"/>
      <c r="AE557" s="128"/>
      <c r="AF557" s="128"/>
      <c r="AG557" s="129"/>
      <c r="AH557" s="129"/>
      <c r="AI557" s="129"/>
      <c r="AJ557" s="129"/>
      <c r="AK557" s="129"/>
      <c r="AL557" s="129"/>
      <c r="AM557" s="129"/>
      <c r="AN557" s="129"/>
      <c r="AO557" s="129"/>
      <c r="AP557" s="129"/>
      <c r="AQ557" s="130"/>
      <c r="AR557" s="130"/>
      <c r="AS557" s="129"/>
      <c r="AT557" s="129"/>
      <c r="AU557" s="129"/>
      <c r="AV557" s="129"/>
      <c r="AW557" s="129"/>
      <c r="AX557" s="129"/>
      <c r="AY557" s="129"/>
      <c r="AZ557" s="129"/>
      <c r="BA557" s="129"/>
      <c r="BB557" s="129"/>
      <c r="BC557" s="129"/>
      <c r="BD557" s="129"/>
      <c r="BE557" s="129"/>
      <c r="BF557" s="129"/>
      <c r="BG557" s="129"/>
      <c r="BH557" s="129"/>
      <c r="BI557" s="129"/>
      <c r="BJ557" s="129"/>
      <c r="BK557" s="129"/>
      <c r="BL557" s="129"/>
      <c r="BM557" s="129"/>
      <c r="BN557" s="129"/>
      <c r="BO557" s="129"/>
      <c r="BP557" s="129"/>
      <c r="BQ557" s="129"/>
    </row>
    <row r="558" spans="1:69" s="139" customFormat="1" x14ac:dyDescent="0.25">
      <c r="A558" s="157"/>
      <c r="B558" s="137"/>
      <c r="C558" s="129"/>
      <c r="G558" s="140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28"/>
      <c r="AC558" s="128"/>
      <c r="AD558" s="128"/>
      <c r="AE558" s="128"/>
      <c r="AF558" s="128"/>
      <c r="AG558" s="129"/>
      <c r="AH558" s="129"/>
      <c r="AI558" s="129"/>
      <c r="AJ558" s="129"/>
      <c r="AK558" s="129"/>
      <c r="AL558" s="129"/>
      <c r="AM558" s="129"/>
      <c r="AN558" s="129"/>
      <c r="AO558" s="129"/>
      <c r="AP558" s="129"/>
      <c r="AQ558" s="130"/>
      <c r="AR558" s="130"/>
      <c r="AS558" s="129"/>
      <c r="AT558" s="129"/>
      <c r="AU558" s="129"/>
      <c r="AV558" s="129"/>
      <c r="AW558" s="129"/>
      <c r="AX558" s="129"/>
      <c r="AY558" s="129"/>
      <c r="AZ558" s="129"/>
      <c r="BA558" s="129"/>
      <c r="BB558" s="129"/>
      <c r="BC558" s="129"/>
      <c r="BD558" s="129"/>
      <c r="BE558" s="129"/>
      <c r="BF558" s="129"/>
      <c r="BG558" s="129"/>
      <c r="BH558" s="129"/>
      <c r="BI558" s="129"/>
      <c r="BJ558" s="129"/>
      <c r="BK558" s="129"/>
      <c r="BL558" s="129"/>
      <c r="BM558" s="129"/>
      <c r="BN558" s="129"/>
      <c r="BO558" s="129"/>
      <c r="BP558" s="129"/>
      <c r="BQ558" s="129"/>
    </row>
    <row r="559" spans="1:69" s="139" customFormat="1" x14ac:dyDescent="0.25">
      <c r="A559" s="157"/>
      <c r="B559" s="137"/>
      <c r="C559" s="129"/>
      <c r="G559" s="140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28"/>
      <c r="AC559" s="128"/>
      <c r="AD559" s="128"/>
      <c r="AE559" s="128"/>
      <c r="AF559" s="128"/>
      <c r="AG559" s="129"/>
      <c r="AH559" s="129"/>
      <c r="AI559" s="129"/>
      <c r="AJ559" s="129"/>
      <c r="AK559" s="129"/>
      <c r="AL559" s="129"/>
      <c r="AM559" s="129"/>
      <c r="AN559" s="129"/>
      <c r="AO559" s="129"/>
      <c r="AP559" s="129"/>
      <c r="AQ559" s="130"/>
      <c r="AR559" s="130"/>
      <c r="AS559" s="129"/>
      <c r="AT559" s="129"/>
      <c r="AU559" s="129"/>
      <c r="AV559" s="129"/>
      <c r="AW559" s="129"/>
      <c r="AX559" s="129"/>
      <c r="AY559" s="129"/>
      <c r="AZ559" s="129"/>
      <c r="BA559" s="129"/>
      <c r="BB559" s="129"/>
      <c r="BC559" s="129"/>
      <c r="BD559" s="129"/>
      <c r="BE559" s="129"/>
      <c r="BF559" s="129"/>
      <c r="BG559" s="129"/>
      <c r="BH559" s="129"/>
      <c r="BI559" s="129"/>
      <c r="BJ559" s="129"/>
      <c r="BK559" s="129"/>
      <c r="BL559" s="129"/>
      <c r="BM559" s="129"/>
      <c r="BN559" s="129"/>
      <c r="BO559" s="129"/>
      <c r="BP559" s="129"/>
      <c r="BQ559" s="129"/>
    </row>
    <row r="560" spans="1:69" s="139" customFormat="1" x14ac:dyDescent="0.25">
      <c r="A560" s="157"/>
      <c r="B560" s="137"/>
      <c r="C560" s="129"/>
      <c r="G560" s="140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28"/>
      <c r="AC560" s="128"/>
      <c r="AD560" s="128"/>
      <c r="AE560" s="128"/>
      <c r="AF560" s="128"/>
      <c r="AG560" s="129"/>
      <c r="AH560" s="129"/>
      <c r="AI560" s="129"/>
      <c r="AJ560" s="129"/>
      <c r="AK560" s="129"/>
      <c r="AL560" s="129"/>
      <c r="AM560" s="129"/>
      <c r="AN560" s="129"/>
      <c r="AO560" s="129"/>
      <c r="AP560" s="129"/>
      <c r="AQ560" s="130"/>
      <c r="AR560" s="130"/>
      <c r="AS560" s="129"/>
      <c r="AT560" s="129"/>
      <c r="AU560" s="129"/>
      <c r="AV560" s="129"/>
      <c r="AW560" s="129"/>
      <c r="AX560" s="129"/>
      <c r="AY560" s="129"/>
      <c r="AZ560" s="129"/>
      <c r="BA560" s="129"/>
      <c r="BB560" s="129"/>
      <c r="BC560" s="129"/>
      <c r="BD560" s="129"/>
      <c r="BE560" s="129"/>
      <c r="BF560" s="129"/>
      <c r="BG560" s="129"/>
      <c r="BH560" s="129"/>
      <c r="BI560" s="129"/>
      <c r="BJ560" s="129"/>
      <c r="BK560" s="129"/>
      <c r="BL560" s="129"/>
      <c r="BM560" s="129"/>
      <c r="BN560" s="129"/>
      <c r="BO560" s="129"/>
      <c r="BP560" s="129"/>
      <c r="BQ560" s="129"/>
    </row>
    <row r="561" spans="1:69" s="139" customFormat="1" x14ac:dyDescent="0.25">
      <c r="A561" s="157"/>
      <c r="B561" s="137"/>
      <c r="C561" s="129"/>
      <c r="G561" s="140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28"/>
      <c r="AC561" s="128"/>
      <c r="AD561" s="128"/>
      <c r="AE561" s="128"/>
      <c r="AF561" s="128"/>
      <c r="AG561" s="129"/>
      <c r="AH561" s="129"/>
      <c r="AI561" s="129"/>
      <c r="AJ561" s="129"/>
      <c r="AK561" s="129"/>
      <c r="AL561" s="129"/>
      <c r="AM561" s="129"/>
      <c r="AN561" s="129"/>
      <c r="AO561" s="129"/>
      <c r="AP561" s="129"/>
      <c r="AQ561" s="130"/>
      <c r="AR561" s="130"/>
      <c r="AS561" s="129"/>
      <c r="AT561" s="129"/>
      <c r="AU561" s="129"/>
      <c r="AV561" s="129"/>
      <c r="AW561" s="129"/>
      <c r="AX561" s="129"/>
      <c r="AY561" s="129"/>
      <c r="AZ561" s="129"/>
      <c r="BA561" s="129"/>
      <c r="BB561" s="129"/>
      <c r="BC561" s="129"/>
      <c r="BD561" s="129"/>
      <c r="BE561" s="129"/>
      <c r="BF561" s="129"/>
      <c r="BG561" s="129"/>
      <c r="BH561" s="129"/>
      <c r="BI561" s="129"/>
      <c r="BJ561" s="129"/>
      <c r="BK561" s="129"/>
      <c r="BL561" s="129"/>
      <c r="BM561" s="129"/>
      <c r="BN561" s="129"/>
      <c r="BO561" s="129"/>
      <c r="BP561" s="129"/>
      <c r="BQ561" s="129"/>
    </row>
    <row r="562" spans="1:69" s="139" customFormat="1" x14ac:dyDescent="0.25">
      <c r="A562" s="157"/>
      <c r="B562" s="137"/>
      <c r="C562" s="129"/>
      <c r="G562" s="140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28"/>
      <c r="AC562" s="128"/>
      <c r="AD562" s="128"/>
      <c r="AE562" s="128"/>
      <c r="AF562" s="128"/>
      <c r="AG562" s="129"/>
      <c r="AH562" s="129"/>
      <c r="AI562" s="129"/>
      <c r="AJ562" s="129"/>
      <c r="AK562" s="129"/>
      <c r="AL562" s="129"/>
      <c r="AM562" s="129"/>
      <c r="AN562" s="129"/>
      <c r="AO562" s="129"/>
      <c r="AP562" s="129"/>
      <c r="AQ562" s="130"/>
      <c r="AR562" s="130"/>
      <c r="AS562" s="129"/>
      <c r="AT562" s="129"/>
      <c r="AU562" s="129"/>
      <c r="AV562" s="129"/>
      <c r="AW562" s="129"/>
      <c r="AX562" s="129"/>
      <c r="AY562" s="129"/>
      <c r="AZ562" s="129"/>
      <c r="BA562" s="129"/>
      <c r="BB562" s="129"/>
      <c r="BC562" s="129"/>
      <c r="BD562" s="129"/>
      <c r="BE562" s="129"/>
      <c r="BF562" s="129"/>
      <c r="BG562" s="129"/>
      <c r="BH562" s="129"/>
      <c r="BI562" s="129"/>
      <c r="BJ562" s="129"/>
      <c r="BK562" s="129"/>
      <c r="BL562" s="129"/>
      <c r="BM562" s="129"/>
      <c r="BN562" s="129"/>
      <c r="BO562" s="129"/>
      <c r="BP562" s="129"/>
      <c r="BQ562" s="129"/>
    </row>
    <row r="563" spans="1:69" s="139" customFormat="1" x14ac:dyDescent="0.25">
      <c r="A563" s="157"/>
      <c r="B563" s="137"/>
      <c r="C563" s="129"/>
      <c r="G563" s="140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28"/>
      <c r="AC563" s="128"/>
      <c r="AD563" s="128"/>
      <c r="AE563" s="128"/>
      <c r="AF563" s="128"/>
      <c r="AG563" s="129"/>
      <c r="AH563" s="129"/>
      <c r="AI563" s="129"/>
      <c r="AJ563" s="129"/>
      <c r="AK563" s="129"/>
      <c r="AL563" s="129"/>
      <c r="AM563" s="129"/>
      <c r="AN563" s="129"/>
      <c r="AO563" s="129"/>
      <c r="AP563" s="129"/>
      <c r="AQ563" s="130"/>
      <c r="AR563" s="130"/>
      <c r="AS563" s="129"/>
      <c r="AT563" s="129"/>
      <c r="AU563" s="129"/>
      <c r="AV563" s="129"/>
      <c r="AW563" s="129"/>
      <c r="AX563" s="129"/>
      <c r="AY563" s="129"/>
      <c r="AZ563" s="129"/>
      <c r="BA563" s="129"/>
      <c r="BB563" s="129"/>
      <c r="BC563" s="129"/>
      <c r="BD563" s="129"/>
      <c r="BE563" s="129"/>
      <c r="BF563" s="129"/>
      <c r="BG563" s="129"/>
      <c r="BH563" s="129"/>
      <c r="BI563" s="129"/>
      <c r="BJ563" s="129"/>
      <c r="BK563" s="129"/>
      <c r="BL563" s="129"/>
      <c r="BM563" s="129"/>
      <c r="BN563" s="129"/>
      <c r="BO563" s="129"/>
      <c r="BP563" s="129"/>
      <c r="BQ563" s="129"/>
    </row>
    <row r="564" spans="1:69" s="139" customFormat="1" x14ac:dyDescent="0.25">
      <c r="A564" s="157"/>
      <c r="B564" s="137"/>
      <c r="C564" s="129"/>
      <c r="G564" s="140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28"/>
      <c r="AC564" s="128"/>
      <c r="AD564" s="128"/>
      <c r="AE564" s="128"/>
      <c r="AF564" s="128"/>
      <c r="AG564" s="129"/>
      <c r="AH564" s="129"/>
      <c r="AI564" s="129"/>
      <c r="AJ564" s="129"/>
      <c r="AK564" s="129"/>
      <c r="AL564" s="129"/>
      <c r="AM564" s="129"/>
      <c r="AN564" s="129"/>
      <c r="AO564" s="129"/>
      <c r="AP564" s="129"/>
      <c r="AQ564" s="130"/>
      <c r="AR564" s="130"/>
      <c r="AS564" s="129"/>
      <c r="AT564" s="129"/>
      <c r="AU564" s="129"/>
      <c r="AV564" s="129"/>
      <c r="AW564" s="129"/>
      <c r="AX564" s="129"/>
      <c r="AY564" s="129"/>
      <c r="AZ564" s="129"/>
      <c r="BA564" s="129"/>
      <c r="BB564" s="129"/>
      <c r="BC564" s="129"/>
      <c r="BD564" s="129"/>
      <c r="BE564" s="129"/>
      <c r="BF564" s="129"/>
      <c r="BG564" s="129"/>
      <c r="BH564" s="129"/>
      <c r="BI564" s="129"/>
      <c r="BJ564" s="129"/>
      <c r="BK564" s="129"/>
      <c r="BL564" s="129"/>
      <c r="BM564" s="129"/>
      <c r="BN564" s="129"/>
      <c r="BO564" s="129"/>
      <c r="BP564" s="129"/>
      <c r="BQ564" s="129"/>
    </row>
    <row r="565" spans="1:69" s="139" customFormat="1" x14ac:dyDescent="0.25">
      <c r="A565" s="157"/>
      <c r="B565" s="137"/>
      <c r="C565" s="129"/>
      <c r="G565" s="140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28"/>
      <c r="AC565" s="128"/>
      <c r="AD565" s="128"/>
      <c r="AE565" s="128"/>
      <c r="AF565" s="128"/>
      <c r="AG565" s="129"/>
      <c r="AH565" s="129"/>
      <c r="AI565" s="129"/>
      <c r="AJ565" s="129"/>
      <c r="AK565" s="129"/>
      <c r="AL565" s="129"/>
      <c r="AM565" s="129"/>
      <c r="AN565" s="129"/>
      <c r="AO565" s="129"/>
      <c r="AP565" s="129"/>
      <c r="AQ565" s="130"/>
      <c r="AR565" s="130"/>
      <c r="AS565" s="129"/>
      <c r="AT565" s="129"/>
      <c r="AU565" s="129"/>
      <c r="AV565" s="129"/>
      <c r="AW565" s="129"/>
      <c r="AX565" s="129"/>
      <c r="AY565" s="129"/>
      <c r="AZ565" s="129"/>
      <c r="BA565" s="129"/>
      <c r="BB565" s="129"/>
      <c r="BC565" s="129"/>
      <c r="BD565" s="129"/>
      <c r="BE565" s="129"/>
      <c r="BF565" s="129"/>
      <c r="BG565" s="129"/>
      <c r="BH565" s="129"/>
      <c r="BI565" s="129"/>
      <c r="BJ565" s="129"/>
      <c r="BK565" s="129"/>
      <c r="BL565" s="129"/>
      <c r="BM565" s="129"/>
      <c r="BN565" s="129"/>
      <c r="BO565" s="129"/>
      <c r="BP565" s="129"/>
      <c r="BQ565" s="129"/>
    </row>
    <row r="566" spans="1:69" s="139" customFormat="1" x14ac:dyDescent="0.25">
      <c r="A566" s="157"/>
      <c r="B566" s="137"/>
      <c r="C566" s="129"/>
      <c r="G566" s="140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28"/>
      <c r="AC566" s="128"/>
      <c r="AD566" s="128"/>
      <c r="AE566" s="128"/>
      <c r="AF566" s="128"/>
      <c r="AG566" s="129"/>
      <c r="AH566" s="129"/>
      <c r="AI566" s="129"/>
      <c r="AJ566" s="129"/>
      <c r="AK566" s="129"/>
      <c r="AL566" s="129"/>
      <c r="AM566" s="129"/>
      <c r="AN566" s="129"/>
      <c r="AO566" s="129"/>
      <c r="AP566" s="129"/>
      <c r="AQ566" s="130"/>
      <c r="AR566" s="130"/>
      <c r="AS566" s="129"/>
      <c r="AT566" s="129"/>
      <c r="AU566" s="129"/>
      <c r="AV566" s="129"/>
      <c r="AW566" s="129"/>
      <c r="AX566" s="129"/>
      <c r="AY566" s="129"/>
      <c r="AZ566" s="129"/>
      <c r="BA566" s="129"/>
      <c r="BB566" s="129"/>
      <c r="BC566" s="129"/>
      <c r="BD566" s="129"/>
      <c r="BE566" s="129"/>
      <c r="BF566" s="129"/>
      <c r="BG566" s="129"/>
      <c r="BH566" s="129"/>
      <c r="BI566" s="129"/>
      <c r="BJ566" s="129"/>
      <c r="BK566" s="129"/>
      <c r="BL566" s="129"/>
      <c r="BM566" s="129"/>
      <c r="BN566" s="129"/>
      <c r="BO566" s="129"/>
      <c r="BP566" s="129"/>
      <c r="BQ566" s="129"/>
    </row>
    <row r="567" spans="1:69" s="139" customFormat="1" x14ac:dyDescent="0.25">
      <c r="A567" s="157"/>
      <c r="B567" s="137"/>
      <c r="C567" s="129"/>
      <c r="G567" s="140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28"/>
      <c r="AC567" s="128"/>
      <c r="AD567" s="128"/>
      <c r="AE567" s="128"/>
      <c r="AF567" s="128"/>
      <c r="AG567" s="129"/>
      <c r="AH567" s="129"/>
      <c r="AI567" s="129"/>
      <c r="AJ567" s="129"/>
      <c r="AK567" s="129"/>
      <c r="AL567" s="129"/>
      <c r="AM567" s="129"/>
      <c r="AN567" s="129"/>
      <c r="AO567" s="129"/>
      <c r="AP567" s="129"/>
      <c r="AQ567" s="130"/>
      <c r="AR567" s="130"/>
      <c r="AS567" s="129"/>
      <c r="AT567" s="129"/>
      <c r="AU567" s="129"/>
      <c r="AV567" s="129"/>
      <c r="AW567" s="129"/>
      <c r="AX567" s="129"/>
      <c r="AY567" s="129"/>
      <c r="AZ567" s="129"/>
      <c r="BA567" s="129"/>
      <c r="BB567" s="129"/>
      <c r="BC567" s="129"/>
      <c r="BD567" s="129"/>
      <c r="BE567" s="129"/>
      <c r="BF567" s="129"/>
      <c r="BG567" s="129"/>
      <c r="BH567" s="129"/>
      <c r="BI567" s="129"/>
      <c r="BJ567" s="129"/>
      <c r="BK567" s="129"/>
      <c r="BL567" s="129"/>
      <c r="BM567" s="129"/>
      <c r="BN567" s="129"/>
      <c r="BO567" s="129"/>
      <c r="BP567" s="129"/>
      <c r="BQ567" s="129"/>
    </row>
    <row r="568" spans="1:69" s="139" customFormat="1" x14ac:dyDescent="0.25">
      <c r="A568" s="157"/>
      <c r="B568" s="137"/>
      <c r="C568" s="129"/>
      <c r="G568" s="140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28"/>
      <c r="AC568" s="128"/>
      <c r="AD568" s="128"/>
      <c r="AE568" s="128"/>
      <c r="AF568" s="128"/>
      <c r="AG568" s="129"/>
      <c r="AH568" s="129"/>
      <c r="AI568" s="129"/>
      <c r="AJ568" s="129"/>
      <c r="AK568" s="129"/>
      <c r="AL568" s="129"/>
      <c r="AM568" s="129"/>
      <c r="AN568" s="129"/>
      <c r="AO568" s="129"/>
      <c r="AP568" s="129"/>
      <c r="AQ568" s="130"/>
      <c r="AR568" s="130"/>
      <c r="AS568" s="129"/>
      <c r="AT568" s="129"/>
      <c r="AU568" s="129"/>
      <c r="AV568" s="129"/>
      <c r="AW568" s="129"/>
      <c r="AX568" s="129"/>
      <c r="AY568" s="129"/>
      <c r="AZ568" s="129"/>
      <c r="BA568" s="129"/>
      <c r="BB568" s="129"/>
      <c r="BC568" s="129"/>
      <c r="BD568" s="129"/>
      <c r="BE568" s="129"/>
      <c r="BF568" s="129"/>
      <c r="BG568" s="129"/>
      <c r="BH568" s="129"/>
      <c r="BI568" s="129"/>
      <c r="BJ568" s="129"/>
      <c r="BK568" s="129"/>
      <c r="BL568" s="129"/>
      <c r="BM568" s="129"/>
      <c r="BN568" s="129"/>
      <c r="BO568" s="129"/>
      <c r="BP568" s="129"/>
      <c r="BQ568" s="129"/>
    </row>
    <row r="569" spans="1:69" s="139" customFormat="1" x14ac:dyDescent="0.25">
      <c r="A569" s="157"/>
      <c r="B569" s="137"/>
      <c r="C569" s="129"/>
      <c r="G569" s="140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28"/>
      <c r="AC569" s="128"/>
      <c r="AD569" s="128"/>
      <c r="AE569" s="128"/>
      <c r="AF569" s="128"/>
      <c r="AG569" s="129"/>
      <c r="AH569" s="129"/>
      <c r="AI569" s="129"/>
      <c r="AJ569" s="129"/>
      <c r="AK569" s="129"/>
      <c r="AL569" s="129"/>
      <c r="AM569" s="129"/>
      <c r="AN569" s="129"/>
      <c r="AO569" s="129"/>
      <c r="AP569" s="129"/>
      <c r="AQ569" s="130"/>
      <c r="AR569" s="130"/>
      <c r="AS569" s="129"/>
      <c r="AT569" s="129"/>
      <c r="AU569" s="129"/>
      <c r="AV569" s="129"/>
      <c r="AW569" s="129"/>
      <c r="AX569" s="129"/>
      <c r="AY569" s="129"/>
      <c r="AZ569" s="129"/>
      <c r="BA569" s="129"/>
      <c r="BB569" s="129"/>
      <c r="BC569" s="129"/>
      <c r="BD569" s="129"/>
      <c r="BE569" s="129"/>
      <c r="BF569" s="129"/>
      <c r="BG569" s="129"/>
      <c r="BH569" s="129"/>
      <c r="BI569" s="129"/>
      <c r="BJ569" s="129"/>
      <c r="BK569" s="129"/>
      <c r="BL569" s="129"/>
      <c r="BM569" s="129"/>
      <c r="BN569" s="129"/>
      <c r="BO569" s="129"/>
      <c r="BP569" s="129"/>
      <c r="BQ569" s="129"/>
    </row>
    <row r="570" spans="1:69" s="139" customFormat="1" x14ac:dyDescent="0.25">
      <c r="A570" s="157"/>
      <c r="B570" s="137"/>
      <c r="C570" s="129"/>
      <c r="G570" s="140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28"/>
      <c r="AC570" s="128"/>
      <c r="AD570" s="128"/>
      <c r="AE570" s="128"/>
      <c r="AF570" s="128"/>
      <c r="AG570" s="129"/>
      <c r="AH570" s="129"/>
      <c r="AI570" s="129"/>
      <c r="AJ570" s="129"/>
      <c r="AK570" s="129"/>
      <c r="AL570" s="129"/>
      <c r="AM570" s="129"/>
      <c r="AN570" s="129"/>
      <c r="AO570" s="129"/>
      <c r="AP570" s="129"/>
      <c r="AQ570" s="130"/>
      <c r="AR570" s="130"/>
      <c r="AS570" s="129"/>
      <c r="AT570" s="129"/>
      <c r="AU570" s="129"/>
      <c r="AV570" s="129"/>
      <c r="AW570" s="129"/>
      <c r="AX570" s="129"/>
      <c r="AY570" s="129"/>
      <c r="AZ570" s="129"/>
      <c r="BA570" s="129"/>
      <c r="BB570" s="129"/>
      <c r="BC570" s="129"/>
      <c r="BD570" s="129"/>
      <c r="BE570" s="129"/>
      <c r="BF570" s="129"/>
      <c r="BG570" s="129"/>
      <c r="BH570" s="129"/>
      <c r="BI570" s="129"/>
      <c r="BJ570" s="129"/>
      <c r="BK570" s="129"/>
      <c r="BL570" s="129"/>
      <c r="BM570" s="129"/>
      <c r="BN570" s="129"/>
      <c r="BO570" s="129"/>
      <c r="BP570" s="129"/>
      <c r="BQ570" s="129"/>
    </row>
    <row r="571" spans="1:69" s="139" customFormat="1" x14ac:dyDescent="0.25">
      <c r="A571" s="157"/>
      <c r="B571" s="137"/>
      <c r="C571" s="129"/>
      <c r="G571" s="140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28"/>
      <c r="AC571" s="128"/>
      <c r="AD571" s="128"/>
      <c r="AE571" s="128"/>
      <c r="AF571" s="128"/>
      <c r="AG571" s="129"/>
      <c r="AH571" s="129"/>
      <c r="AI571" s="129"/>
      <c r="AJ571" s="129"/>
      <c r="AK571" s="129"/>
      <c r="AL571" s="129"/>
      <c r="AM571" s="129"/>
      <c r="AN571" s="129"/>
      <c r="AO571" s="129"/>
      <c r="AP571" s="129"/>
      <c r="AQ571" s="130"/>
      <c r="AR571" s="130"/>
      <c r="AS571" s="129"/>
      <c r="AT571" s="129"/>
      <c r="AU571" s="129"/>
      <c r="AV571" s="129"/>
      <c r="AW571" s="129"/>
      <c r="AX571" s="129"/>
      <c r="AY571" s="129"/>
      <c r="AZ571" s="129"/>
      <c r="BA571" s="129"/>
      <c r="BB571" s="129"/>
      <c r="BC571" s="129"/>
      <c r="BD571" s="129"/>
      <c r="BE571" s="129"/>
      <c r="BF571" s="129"/>
      <c r="BG571" s="129"/>
      <c r="BH571" s="129"/>
      <c r="BI571" s="129"/>
      <c r="BJ571" s="129"/>
      <c r="BK571" s="129"/>
      <c r="BL571" s="129"/>
      <c r="BM571" s="129"/>
      <c r="BN571" s="129"/>
      <c r="BO571" s="129"/>
      <c r="BP571" s="129"/>
      <c r="BQ571" s="129"/>
    </row>
    <row r="572" spans="1:69" s="139" customFormat="1" x14ac:dyDescent="0.25">
      <c r="A572" s="157"/>
      <c r="B572" s="137"/>
      <c r="C572" s="129"/>
      <c r="G572" s="140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28"/>
      <c r="AC572" s="128"/>
      <c r="AD572" s="128"/>
      <c r="AE572" s="128"/>
      <c r="AF572" s="128"/>
      <c r="AG572" s="129"/>
      <c r="AH572" s="129"/>
      <c r="AI572" s="129"/>
      <c r="AJ572" s="129"/>
      <c r="AK572" s="129"/>
      <c r="AL572" s="129"/>
      <c r="AM572" s="129"/>
      <c r="AN572" s="129"/>
      <c r="AO572" s="129"/>
      <c r="AP572" s="129"/>
      <c r="AQ572" s="130"/>
      <c r="AR572" s="130"/>
      <c r="AS572" s="129"/>
      <c r="AT572" s="129"/>
      <c r="AU572" s="129"/>
      <c r="AV572" s="129"/>
      <c r="AW572" s="129"/>
      <c r="AX572" s="129"/>
      <c r="AY572" s="129"/>
      <c r="AZ572" s="129"/>
      <c r="BA572" s="129"/>
      <c r="BB572" s="129"/>
      <c r="BC572" s="129"/>
      <c r="BD572" s="129"/>
      <c r="BE572" s="129"/>
      <c r="BF572" s="129"/>
      <c r="BG572" s="129"/>
      <c r="BH572" s="129"/>
      <c r="BI572" s="129"/>
      <c r="BJ572" s="129"/>
      <c r="BK572" s="129"/>
      <c r="BL572" s="129"/>
      <c r="BM572" s="129"/>
      <c r="BN572" s="129"/>
      <c r="BO572" s="129"/>
      <c r="BP572" s="129"/>
      <c r="BQ572" s="129"/>
    </row>
    <row r="573" spans="1:69" s="139" customFormat="1" x14ac:dyDescent="0.25">
      <c r="A573" s="157"/>
      <c r="B573" s="137"/>
      <c r="C573" s="129"/>
      <c r="G573" s="140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28"/>
      <c r="AC573" s="128"/>
      <c r="AD573" s="128"/>
      <c r="AE573" s="128"/>
      <c r="AF573" s="128"/>
      <c r="AG573" s="129"/>
      <c r="AH573" s="129"/>
      <c r="AI573" s="129"/>
      <c r="AJ573" s="129"/>
      <c r="AK573" s="129"/>
      <c r="AL573" s="129"/>
      <c r="AM573" s="129"/>
      <c r="AN573" s="129"/>
      <c r="AO573" s="129"/>
      <c r="AP573" s="129"/>
      <c r="AQ573" s="130"/>
      <c r="AR573" s="130"/>
      <c r="AS573" s="129"/>
      <c r="AT573" s="129"/>
      <c r="AU573" s="129"/>
      <c r="AV573" s="129"/>
      <c r="AW573" s="129"/>
      <c r="AX573" s="129"/>
      <c r="AY573" s="129"/>
      <c r="AZ573" s="129"/>
      <c r="BA573" s="129"/>
      <c r="BB573" s="129"/>
      <c r="BC573" s="129"/>
      <c r="BD573" s="129"/>
      <c r="BE573" s="129"/>
      <c r="BF573" s="129"/>
      <c r="BG573" s="129"/>
      <c r="BH573" s="129"/>
      <c r="BI573" s="129"/>
      <c r="BJ573" s="129"/>
      <c r="BK573" s="129"/>
      <c r="BL573" s="129"/>
      <c r="BM573" s="129"/>
      <c r="BN573" s="129"/>
      <c r="BO573" s="129"/>
      <c r="BP573" s="129"/>
      <c r="BQ573" s="129"/>
    </row>
    <row r="574" spans="1:69" s="139" customFormat="1" x14ac:dyDescent="0.25">
      <c r="A574" s="157"/>
      <c r="B574" s="137"/>
      <c r="C574" s="129"/>
      <c r="G574" s="140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28"/>
      <c r="AC574" s="128"/>
      <c r="AD574" s="128"/>
      <c r="AE574" s="128"/>
      <c r="AF574" s="128"/>
      <c r="AG574" s="129"/>
      <c r="AH574" s="129"/>
      <c r="AI574" s="129"/>
      <c r="AJ574" s="129"/>
      <c r="AK574" s="129"/>
      <c r="AL574" s="129"/>
      <c r="AM574" s="129"/>
      <c r="AN574" s="129"/>
      <c r="AO574" s="129"/>
      <c r="AP574" s="129"/>
      <c r="AQ574" s="130"/>
      <c r="AR574" s="130"/>
      <c r="AS574" s="129"/>
      <c r="AT574" s="129"/>
      <c r="AU574" s="129"/>
      <c r="AV574" s="129"/>
      <c r="AW574" s="129"/>
      <c r="AX574" s="129"/>
      <c r="AY574" s="129"/>
      <c r="AZ574" s="129"/>
      <c r="BA574" s="129"/>
      <c r="BB574" s="129"/>
      <c r="BC574" s="129"/>
      <c r="BD574" s="129"/>
      <c r="BE574" s="129"/>
      <c r="BF574" s="129"/>
      <c r="BG574" s="129"/>
      <c r="BH574" s="129"/>
      <c r="BI574" s="129"/>
      <c r="BJ574" s="129"/>
      <c r="BK574" s="129"/>
      <c r="BL574" s="129"/>
      <c r="BM574" s="129"/>
      <c r="BN574" s="129"/>
      <c r="BO574" s="129"/>
      <c r="BP574" s="129"/>
      <c r="BQ574" s="129"/>
    </row>
    <row r="575" spans="1:69" s="139" customFormat="1" x14ac:dyDescent="0.25">
      <c r="A575" s="157"/>
      <c r="B575" s="137"/>
      <c r="C575" s="129"/>
      <c r="G575" s="140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28"/>
      <c r="AC575" s="128"/>
      <c r="AD575" s="128"/>
      <c r="AE575" s="128"/>
      <c r="AF575" s="128"/>
      <c r="AG575" s="129"/>
      <c r="AH575" s="129"/>
      <c r="AI575" s="129"/>
      <c r="AJ575" s="129"/>
      <c r="AK575" s="129"/>
      <c r="AL575" s="129"/>
      <c r="AM575" s="129"/>
      <c r="AN575" s="129"/>
      <c r="AO575" s="129"/>
      <c r="AP575" s="129"/>
      <c r="AQ575" s="130"/>
      <c r="AR575" s="130"/>
      <c r="AS575" s="129"/>
      <c r="AT575" s="129"/>
      <c r="AU575" s="129"/>
      <c r="AV575" s="129"/>
      <c r="AW575" s="129"/>
      <c r="AX575" s="129"/>
      <c r="AY575" s="129"/>
      <c r="AZ575" s="129"/>
      <c r="BA575" s="129"/>
      <c r="BB575" s="129"/>
      <c r="BC575" s="129"/>
      <c r="BD575" s="129"/>
      <c r="BE575" s="129"/>
      <c r="BF575" s="129"/>
      <c r="BG575" s="129"/>
      <c r="BH575" s="129"/>
      <c r="BI575" s="129"/>
      <c r="BJ575" s="129"/>
      <c r="BK575" s="129"/>
      <c r="BL575" s="129"/>
      <c r="BM575" s="129"/>
      <c r="BN575" s="129"/>
      <c r="BO575" s="129"/>
      <c r="BP575" s="129"/>
      <c r="BQ575" s="129"/>
    </row>
    <row r="576" spans="1:69" s="139" customFormat="1" x14ac:dyDescent="0.25">
      <c r="A576" s="157"/>
      <c r="B576" s="137"/>
      <c r="C576" s="129"/>
      <c r="G576" s="140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28"/>
      <c r="AC576" s="128"/>
      <c r="AD576" s="128"/>
      <c r="AE576" s="128"/>
      <c r="AF576" s="128"/>
      <c r="AG576" s="129"/>
      <c r="AH576" s="129"/>
      <c r="AI576" s="129"/>
      <c r="AJ576" s="129"/>
      <c r="AK576" s="129"/>
      <c r="AL576" s="129"/>
      <c r="AM576" s="129"/>
      <c r="AN576" s="129"/>
      <c r="AO576" s="129"/>
      <c r="AP576" s="129"/>
      <c r="AQ576" s="130"/>
      <c r="AR576" s="130"/>
      <c r="AS576" s="129"/>
      <c r="AT576" s="129"/>
      <c r="AU576" s="129"/>
      <c r="AV576" s="129"/>
      <c r="AW576" s="129"/>
      <c r="AX576" s="129"/>
      <c r="AY576" s="129"/>
      <c r="AZ576" s="129"/>
      <c r="BA576" s="129"/>
      <c r="BB576" s="129"/>
      <c r="BC576" s="129"/>
      <c r="BD576" s="129"/>
      <c r="BE576" s="129"/>
      <c r="BF576" s="129"/>
      <c r="BG576" s="129"/>
      <c r="BH576" s="129"/>
      <c r="BI576" s="129"/>
      <c r="BJ576" s="129"/>
      <c r="BK576" s="129"/>
      <c r="BL576" s="129"/>
      <c r="BM576" s="129"/>
      <c r="BN576" s="129"/>
      <c r="BO576" s="129"/>
      <c r="BP576" s="129"/>
      <c r="BQ576" s="129"/>
    </row>
    <row r="577" spans="1:69" s="139" customFormat="1" x14ac:dyDescent="0.25">
      <c r="A577" s="157"/>
      <c r="B577" s="137"/>
      <c r="C577" s="129"/>
      <c r="G577" s="140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28"/>
      <c r="AC577" s="128"/>
      <c r="AD577" s="128"/>
      <c r="AE577" s="128"/>
      <c r="AF577" s="128"/>
      <c r="AG577" s="129"/>
      <c r="AH577" s="129"/>
      <c r="AI577" s="129"/>
      <c r="AJ577" s="129"/>
      <c r="AK577" s="129"/>
      <c r="AL577" s="129"/>
      <c r="AM577" s="129"/>
      <c r="AN577" s="129"/>
      <c r="AO577" s="129"/>
      <c r="AP577" s="129"/>
      <c r="AQ577" s="130"/>
      <c r="AR577" s="130"/>
      <c r="AS577" s="129"/>
      <c r="AT577" s="129"/>
      <c r="AU577" s="129"/>
      <c r="AV577" s="129"/>
      <c r="AW577" s="129"/>
      <c r="AX577" s="129"/>
      <c r="AY577" s="129"/>
      <c r="AZ577" s="129"/>
      <c r="BA577" s="129"/>
      <c r="BB577" s="129"/>
      <c r="BC577" s="129"/>
      <c r="BD577" s="129"/>
      <c r="BE577" s="129"/>
      <c r="BF577" s="129"/>
      <c r="BG577" s="129"/>
      <c r="BH577" s="129"/>
      <c r="BI577" s="129"/>
      <c r="BJ577" s="129"/>
      <c r="BK577" s="129"/>
      <c r="BL577" s="129"/>
      <c r="BM577" s="129"/>
      <c r="BN577" s="129"/>
      <c r="BO577" s="129"/>
      <c r="BP577" s="129"/>
      <c r="BQ577" s="129"/>
    </row>
    <row r="578" spans="1:69" s="139" customFormat="1" x14ac:dyDescent="0.25">
      <c r="A578" s="157"/>
      <c r="B578" s="137"/>
      <c r="C578" s="129"/>
      <c r="G578" s="140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28"/>
      <c r="AC578" s="128"/>
      <c r="AD578" s="128"/>
      <c r="AE578" s="128"/>
      <c r="AF578" s="128"/>
      <c r="AG578" s="129"/>
      <c r="AH578" s="129"/>
      <c r="AI578" s="129"/>
      <c r="AJ578" s="129"/>
      <c r="AK578" s="129"/>
      <c r="AL578" s="129"/>
      <c r="AM578" s="129"/>
      <c r="AN578" s="129"/>
      <c r="AO578" s="129"/>
      <c r="AP578" s="129"/>
      <c r="AQ578" s="130"/>
      <c r="AR578" s="130"/>
      <c r="AS578" s="129"/>
      <c r="AT578" s="129"/>
      <c r="AU578" s="129"/>
      <c r="AV578" s="129"/>
      <c r="AW578" s="129"/>
      <c r="AX578" s="129"/>
      <c r="AY578" s="129"/>
      <c r="AZ578" s="129"/>
      <c r="BA578" s="129"/>
      <c r="BB578" s="129"/>
      <c r="BC578" s="129"/>
      <c r="BD578" s="129"/>
      <c r="BE578" s="129"/>
      <c r="BF578" s="129"/>
      <c r="BG578" s="129"/>
      <c r="BH578" s="129"/>
      <c r="BI578" s="129"/>
      <c r="BJ578" s="129"/>
      <c r="BK578" s="129"/>
      <c r="BL578" s="129"/>
      <c r="BM578" s="129"/>
      <c r="BN578" s="129"/>
      <c r="BO578" s="129"/>
      <c r="BP578" s="129"/>
      <c r="BQ578" s="129"/>
    </row>
    <row r="579" spans="1:69" s="139" customFormat="1" x14ac:dyDescent="0.25">
      <c r="A579" s="157"/>
      <c r="B579" s="137"/>
      <c r="C579" s="129"/>
      <c r="G579" s="140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28"/>
      <c r="AC579" s="128"/>
      <c r="AD579" s="128"/>
      <c r="AE579" s="128"/>
      <c r="AF579" s="128"/>
      <c r="AG579" s="129"/>
      <c r="AH579" s="129"/>
      <c r="AI579" s="129"/>
      <c r="AJ579" s="129"/>
      <c r="AK579" s="129"/>
      <c r="AL579" s="129"/>
      <c r="AM579" s="129"/>
      <c r="AN579" s="129"/>
      <c r="AO579" s="129"/>
      <c r="AP579" s="129"/>
      <c r="AQ579" s="130"/>
      <c r="AR579" s="130"/>
      <c r="AS579" s="129"/>
      <c r="AT579" s="129"/>
      <c r="AU579" s="129"/>
      <c r="AV579" s="129"/>
      <c r="AW579" s="129"/>
      <c r="AX579" s="129"/>
      <c r="AY579" s="129"/>
      <c r="AZ579" s="129"/>
      <c r="BA579" s="129"/>
      <c r="BB579" s="129"/>
      <c r="BC579" s="129"/>
      <c r="BD579" s="129"/>
      <c r="BE579" s="129"/>
      <c r="BF579" s="129"/>
      <c r="BG579" s="129"/>
      <c r="BH579" s="129"/>
      <c r="BI579" s="129"/>
      <c r="BJ579" s="129"/>
      <c r="BK579" s="129"/>
      <c r="BL579" s="129"/>
      <c r="BM579" s="129"/>
      <c r="BN579" s="129"/>
      <c r="BO579" s="129"/>
      <c r="BP579" s="129"/>
      <c r="BQ579" s="129"/>
    </row>
    <row r="580" spans="1:69" s="139" customFormat="1" x14ac:dyDescent="0.25">
      <c r="A580" s="157"/>
      <c r="B580" s="137"/>
      <c r="C580" s="129"/>
      <c r="G580" s="140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28"/>
      <c r="AC580" s="128"/>
      <c r="AD580" s="128"/>
      <c r="AE580" s="128"/>
      <c r="AF580" s="128"/>
      <c r="AG580" s="129"/>
      <c r="AH580" s="129"/>
      <c r="AI580" s="129"/>
      <c r="AJ580" s="129"/>
      <c r="AK580" s="129"/>
      <c r="AL580" s="129"/>
      <c r="AM580" s="129"/>
      <c r="AN580" s="129"/>
      <c r="AO580" s="129"/>
      <c r="AP580" s="129"/>
      <c r="AQ580" s="130"/>
      <c r="AR580" s="130"/>
      <c r="AS580" s="129"/>
      <c r="AT580" s="129"/>
      <c r="AU580" s="129"/>
      <c r="AV580" s="129"/>
      <c r="AW580" s="129"/>
      <c r="AX580" s="129"/>
      <c r="AY580" s="129"/>
      <c r="AZ580" s="129"/>
      <c r="BA580" s="129"/>
      <c r="BB580" s="129"/>
      <c r="BC580" s="129"/>
      <c r="BD580" s="129"/>
      <c r="BE580" s="129"/>
      <c r="BF580" s="129"/>
      <c r="BG580" s="129"/>
      <c r="BH580" s="129"/>
      <c r="BI580" s="129"/>
      <c r="BJ580" s="129"/>
      <c r="BK580" s="129"/>
      <c r="BL580" s="129"/>
      <c r="BM580" s="129"/>
      <c r="BN580" s="129"/>
      <c r="BO580" s="129"/>
      <c r="BP580" s="129"/>
      <c r="BQ580" s="129"/>
    </row>
    <row r="581" spans="1:69" s="139" customFormat="1" x14ac:dyDescent="0.25">
      <c r="A581" s="157"/>
      <c r="B581" s="137"/>
      <c r="C581" s="129"/>
      <c r="G581" s="140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28"/>
      <c r="AC581" s="128"/>
      <c r="AD581" s="128"/>
      <c r="AE581" s="128"/>
      <c r="AF581" s="128"/>
      <c r="AG581" s="129"/>
      <c r="AH581" s="129"/>
      <c r="AI581" s="129"/>
      <c r="AJ581" s="129"/>
      <c r="AK581" s="129"/>
      <c r="AL581" s="129"/>
      <c r="AM581" s="129"/>
      <c r="AN581" s="129"/>
      <c r="AO581" s="129"/>
      <c r="AP581" s="129"/>
      <c r="AQ581" s="130"/>
      <c r="AR581" s="130"/>
      <c r="AS581" s="129"/>
      <c r="AT581" s="129"/>
      <c r="AU581" s="129"/>
      <c r="AV581" s="129"/>
      <c r="AW581" s="129"/>
      <c r="AX581" s="129"/>
      <c r="AY581" s="129"/>
      <c r="AZ581" s="129"/>
      <c r="BA581" s="129"/>
      <c r="BB581" s="129"/>
      <c r="BC581" s="129"/>
      <c r="BD581" s="129"/>
      <c r="BE581" s="129"/>
      <c r="BF581" s="129"/>
      <c r="BG581" s="129"/>
      <c r="BH581" s="129"/>
      <c r="BI581" s="129"/>
      <c r="BJ581" s="129"/>
      <c r="BK581" s="129"/>
      <c r="BL581" s="129"/>
      <c r="BM581" s="129"/>
      <c r="BN581" s="129"/>
      <c r="BO581" s="129"/>
      <c r="BP581" s="129"/>
      <c r="BQ581" s="129"/>
    </row>
    <row r="582" spans="1:69" s="139" customFormat="1" x14ac:dyDescent="0.25">
      <c r="A582" s="157"/>
      <c r="B582" s="137"/>
      <c r="C582" s="129"/>
      <c r="G582" s="140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28"/>
      <c r="AC582" s="128"/>
      <c r="AD582" s="128"/>
      <c r="AE582" s="128"/>
      <c r="AF582" s="128"/>
      <c r="AG582" s="129"/>
      <c r="AH582" s="129"/>
      <c r="AI582" s="129"/>
      <c r="AJ582" s="129"/>
      <c r="AK582" s="129"/>
      <c r="AL582" s="129"/>
      <c r="AM582" s="129"/>
      <c r="AN582" s="129"/>
      <c r="AO582" s="129"/>
      <c r="AP582" s="129"/>
      <c r="AQ582" s="130"/>
      <c r="AR582" s="130"/>
      <c r="AS582" s="129"/>
      <c r="AT582" s="129"/>
      <c r="AU582" s="129"/>
      <c r="AV582" s="129"/>
      <c r="AW582" s="129"/>
      <c r="AX582" s="129"/>
      <c r="AY582" s="129"/>
      <c r="AZ582" s="129"/>
      <c r="BA582" s="129"/>
      <c r="BB582" s="129"/>
      <c r="BC582" s="129"/>
      <c r="BD582" s="129"/>
      <c r="BE582" s="129"/>
      <c r="BF582" s="129"/>
      <c r="BG582" s="129"/>
      <c r="BH582" s="129"/>
      <c r="BI582" s="129"/>
      <c r="BJ582" s="129"/>
      <c r="BK582" s="129"/>
      <c r="BL582" s="129"/>
      <c r="BM582" s="129"/>
      <c r="BN582" s="129"/>
      <c r="BO582" s="129"/>
      <c r="BP582" s="129"/>
      <c r="BQ582" s="129"/>
    </row>
    <row r="583" spans="1:69" s="139" customFormat="1" x14ac:dyDescent="0.25">
      <c r="A583" s="157"/>
      <c r="B583" s="137"/>
      <c r="C583" s="129"/>
      <c r="G583" s="140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28"/>
      <c r="AC583" s="128"/>
      <c r="AD583" s="128"/>
      <c r="AE583" s="128"/>
      <c r="AF583" s="128"/>
      <c r="AG583" s="129"/>
      <c r="AH583" s="129"/>
      <c r="AI583" s="129"/>
      <c r="AJ583" s="129"/>
      <c r="AK583" s="129"/>
      <c r="AL583" s="129"/>
      <c r="AM583" s="129"/>
      <c r="AN583" s="129"/>
      <c r="AO583" s="129"/>
      <c r="AP583" s="129"/>
      <c r="AQ583" s="130"/>
      <c r="AR583" s="130"/>
      <c r="AS583" s="129"/>
      <c r="AT583" s="129"/>
      <c r="AU583" s="129"/>
      <c r="AV583" s="129"/>
      <c r="AW583" s="129"/>
      <c r="AX583" s="129"/>
      <c r="AY583" s="129"/>
      <c r="AZ583" s="129"/>
      <c r="BA583" s="129"/>
      <c r="BB583" s="129"/>
      <c r="BC583" s="129"/>
      <c r="BD583" s="129"/>
      <c r="BE583" s="129"/>
      <c r="BF583" s="129"/>
      <c r="BG583" s="129"/>
      <c r="BH583" s="129"/>
      <c r="BI583" s="129"/>
      <c r="BJ583" s="129"/>
      <c r="BK583" s="129"/>
      <c r="BL583" s="129"/>
      <c r="BM583" s="129"/>
      <c r="BN583" s="129"/>
      <c r="BO583" s="129"/>
      <c r="BP583" s="129"/>
      <c r="BQ583" s="129"/>
    </row>
    <row r="584" spans="1:69" s="139" customFormat="1" x14ac:dyDescent="0.25">
      <c r="A584" s="157"/>
      <c r="B584" s="137"/>
      <c r="C584" s="129"/>
      <c r="G584" s="140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28"/>
      <c r="AC584" s="128"/>
      <c r="AD584" s="128"/>
      <c r="AE584" s="128"/>
      <c r="AF584" s="128"/>
      <c r="AG584" s="129"/>
      <c r="AH584" s="129"/>
      <c r="AI584" s="129"/>
      <c r="AJ584" s="129"/>
      <c r="AK584" s="129"/>
      <c r="AL584" s="129"/>
      <c r="AM584" s="129"/>
      <c r="AN584" s="129"/>
      <c r="AO584" s="129"/>
      <c r="AP584" s="129"/>
      <c r="AQ584" s="130"/>
      <c r="AR584" s="130"/>
      <c r="AS584" s="129"/>
      <c r="AT584" s="129"/>
      <c r="AU584" s="129"/>
      <c r="AV584" s="129"/>
      <c r="AW584" s="129"/>
      <c r="AX584" s="129"/>
      <c r="AY584" s="129"/>
      <c r="AZ584" s="129"/>
      <c r="BA584" s="129"/>
      <c r="BB584" s="129"/>
      <c r="BC584" s="129"/>
      <c r="BD584" s="129"/>
      <c r="BE584" s="129"/>
      <c r="BF584" s="129"/>
      <c r="BG584" s="129"/>
      <c r="BH584" s="129"/>
      <c r="BI584" s="129"/>
      <c r="BJ584" s="129"/>
      <c r="BK584" s="129"/>
      <c r="BL584" s="129"/>
      <c r="BM584" s="129"/>
      <c r="BN584" s="129"/>
      <c r="BO584" s="129"/>
      <c r="BP584" s="129"/>
      <c r="BQ584" s="129"/>
    </row>
    <row r="585" spans="1:69" s="139" customFormat="1" x14ac:dyDescent="0.25">
      <c r="A585" s="157"/>
      <c r="B585" s="137"/>
      <c r="C585" s="129"/>
      <c r="G585" s="140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28"/>
      <c r="AC585" s="128"/>
      <c r="AD585" s="128"/>
      <c r="AE585" s="128"/>
      <c r="AF585" s="128"/>
      <c r="AG585" s="129"/>
      <c r="AH585" s="129"/>
      <c r="AI585" s="129"/>
      <c r="AJ585" s="129"/>
      <c r="AK585" s="129"/>
      <c r="AL585" s="129"/>
      <c r="AM585" s="129"/>
      <c r="AN585" s="129"/>
      <c r="AO585" s="129"/>
      <c r="AP585" s="129"/>
      <c r="AQ585" s="130"/>
      <c r="AR585" s="130"/>
      <c r="AS585" s="129"/>
      <c r="AT585" s="129"/>
      <c r="AU585" s="129"/>
      <c r="AV585" s="129"/>
      <c r="AW585" s="129"/>
      <c r="AX585" s="129"/>
      <c r="AY585" s="129"/>
      <c r="AZ585" s="129"/>
      <c r="BA585" s="129"/>
      <c r="BB585" s="129"/>
      <c r="BC585" s="129"/>
      <c r="BD585" s="129"/>
      <c r="BE585" s="129"/>
      <c r="BF585" s="129"/>
      <c r="BG585" s="129"/>
      <c r="BH585" s="129"/>
      <c r="BI585" s="129"/>
      <c r="BJ585" s="129"/>
      <c r="BK585" s="129"/>
      <c r="BL585" s="129"/>
      <c r="BM585" s="129"/>
      <c r="BN585" s="129"/>
      <c r="BO585" s="129"/>
      <c r="BP585" s="129"/>
      <c r="BQ585" s="129"/>
    </row>
    <row r="586" spans="1:69" s="139" customFormat="1" x14ac:dyDescent="0.25">
      <c r="A586" s="157"/>
      <c r="B586" s="137"/>
      <c r="C586" s="129"/>
      <c r="G586" s="140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28"/>
      <c r="AC586" s="128"/>
      <c r="AD586" s="128"/>
      <c r="AE586" s="128"/>
      <c r="AF586" s="128"/>
      <c r="AG586" s="129"/>
      <c r="AH586" s="129"/>
      <c r="AI586" s="129"/>
      <c r="AJ586" s="129"/>
      <c r="AK586" s="129"/>
      <c r="AL586" s="129"/>
      <c r="AM586" s="129"/>
      <c r="AN586" s="129"/>
      <c r="AO586" s="129"/>
      <c r="AP586" s="129"/>
      <c r="AQ586" s="130"/>
      <c r="AR586" s="130"/>
      <c r="AS586" s="129"/>
      <c r="AT586" s="129"/>
      <c r="AU586" s="129"/>
      <c r="AV586" s="129"/>
      <c r="AW586" s="129"/>
      <c r="AX586" s="129"/>
      <c r="AY586" s="129"/>
      <c r="AZ586" s="129"/>
      <c r="BA586" s="129"/>
      <c r="BB586" s="129"/>
      <c r="BC586" s="129"/>
      <c r="BD586" s="129"/>
      <c r="BE586" s="129"/>
      <c r="BF586" s="129"/>
      <c r="BG586" s="129"/>
      <c r="BH586" s="129"/>
      <c r="BI586" s="129"/>
      <c r="BJ586" s="129"/>
      <c r="BK586" s="129"/>
      <c r="BL586" s="129"/>
      <c r="BM586" s="129"/>
      <c r="BN586" s="129"/>
      <c r="BO586" s="129"/>
      <c r="BP586" s="129"/>
      <c r="BQ586" s="129"/>
    </row>
    <row r="587" spans="1:69" s="139" customFormat="1" x14ac:dyDescent="0.25">
      <c r="A587" s="157"/>
      <c r="B587" s="137"/>
      <c r="C587" s="129"/>
      <c r="G587" s="140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28"/>
      <c r="AC587" s="128"/>
      <c r="AD587" s="128"/>
      <c r="AE587" s="128"/>
      <c r="AF587" s="128"/>
      <c r="AG587" s="129"/>
      <c r="AH587" s="129"/>
      <c r="AI587" s="129"/>
      <c r="AJ587" s="129"/>
      <c r="AK587" s="129"/>
      <c r="AL587" s="129"/>
      <c r="AM587" s="129"/>
      <c r="AN587" s="129"/>
      <c r="AO587" s="129"/>
      <c r="AP587" s="129"/>
      <c r="AQ587" s="130"/>
      <c r="AR587" s="130"/>
      <c r="AS587" s="129"/>
      <c r="AT587" s="129"/>
      <c r="AU587" s="129"/>
      <c r="AV587" s="129"/>
      <c r="AW587" s="129"/>
      <c r="AX587" s="129"/>
      <c r="AY587" s="129"/>
      <c r="AZ587" s="129"/>
      <c r="BA587" s="129"/>
      <c r="BB587" s="129"/>
      <c r="BC587" s="129"/>
      <c r="BD587" s="129"/>
      <c r="BE587" s="129"/>
      <c r="BF587" s="129"/>
      <c r="BG587" s="129"/>
      <c r="BH587" s="129"/>
      <c r="BI587" s="129"/>
      <c r="BJ587" s="129"/>
      <c r="BK587" s="129"/>
      <c r="BL587" s="129"/>
      <c r="BM587" s="129"/>
      <c r="BN587" s="129"/>
      <c r="BO587" s="129"/>
      <c r="BP587" s="129"/>
      <c r="BQ587" s="129"/>
    </row>
    <row r="588" spans="1:69" s="139" customFormat="1" x14ac:dyDescent="0.25">
      <c r="A588" s="157"/>
      <c r="B588" s="137"/>
      <c r="C588" s="129"/>
      <c r="G588" s="140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28"/>
      <c r="AC588" s="128"/>
      <c r="AD588" s="128"/>
      <c r="AE588" s="128"/>
      <c r="AF588" s="128"/>
      <c r="AG588" s="129"/>
      <c r="AH588" s="129"/>
      <c r="AI588" s="129"/>
      <c r="AJ588" s="129"/>
      <c r="AK588" s="129"/>
      <c r="AL588" s="129"/>
      <c r="AM588" s="129"/>
      <c r="AN588" s="129"/>
      <c r="AO588" s="129"/>
      <c r="AP588" s="129"/>
      <c r="AQ588" s="130"/>
      <c r="AR588" s="130"/>
      <c r="AS588" s="129"/>
      <c r="AT588" s="129"/>
      <c r="AU588" s="129"/>
      <c r="AV588" s="129"/>
      <c r="AW588" s="129"/>
      <c r="AX588" s="129"/>
      <c r="AY588" s="129"/>
      <c r="AZ588" s="129"/>
      <c r="BA588" s="129"/>
      <c r="BB588" s="129"/>
      <c r="BC588" s="129"/>
      <c r="BD588" s="129"/>
      <c r="BE588" s="129"/>
      <c r="BF588" s="129"/>
      <c r="BG588" s="129"/>
      <c r="BH588" s="129"/>
      <c r="BI588" s="129"/>
      <c r="BJ588" s="129"/>
      <c r="BK588" s="129"/>
      <c r="BL588" s="129"/>
      <c r="BM588" s="129"/>
      <c r="BN588" s="129"/>
      <c r="BO588" s="129"/>
      <c r="BP588" s="129"/>
      <c r="BQ588" s="129"/>
    </row>
    <row r="589" spans="1:69" s="139" customFormat="1" x14ac:dyDescent="0.25">
      <c r="A589" s="157"/>
      <c r="B589" s="137"/>
      <c r="C589" s="129"/>
      <c r="G589" s="140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28"/>
      <c r="AC589" s="128"/>
      <c r="AD589" s="128"/>
      <c r="AE589" s="128"/>
      <c r="AF589" s="128"/>
      <c r="AG589" s="129"/>
      <c r="AH589" s="129"/>
      <c r="AI589" s="129"/>
      <c r="AJ589" s="129"/>
      <c r="AK589" s="129"/>
      <c r="AL589" s="129"/>
      <c r="AM589" s="129"/>
      <c r="AN589" s="129"/>
      <c r="AO589" s="129"/>
      <c r="AP589" s="129"/>
      <c r="AQ589" s="130"/>
      <c r="AR589" s="130"/>
      <c r="AS589" s="129"/>
      <c r="AT589" s="129"/>
      <c r="AU589" s="129"/>
      <c r="AV589" s="129"/>
      <c r="AW589" s="129"/>
      <c r="AX589" s="129"/>
      <c r="AY589" s="129"/>
      <c r="AZ589" s="129"/>
      <c r="BA589" s="129"/>
      <c r="BB589" s="129"/>
      <c r="BC589" s="129"/>
      <c r="BD589" s="129"/>
      <c r="BE589" s="129"/>
      <c r="BF589" s="129"/>
      <c r="BG589" s="129"/>
      <c r="BH589" s="129"/>
      <c r="BI589" s="129"/>
      <c r="BJ589" s="129"/>
      <c r="BK589" s="129"/>
      <c r="BL589" s="129"/>
      <c r="BM589" s="129"/>
      <c r="BN589" s="129"/>
      <c r="BO589" s="129"/>
      <c r="BP589" s="129"/>
      <c r="BQ589" s="129"/>
    </row>
    <row r="590" spans="1:69" s="139" customFormat="1" x14ac:dyDescent="0.25">
      <c r="A590" s="157"/>
      <c r="B590" s="137"/>
      <c r="C590" s="129"/>
      <c r="G590" s="140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28"/>
      <c r="AC590" s="128"/>
      <c r="AD590" s="128"/>
      <c r="AE590" s="128"/>
      <c r="AF590" s="128"/>
      <c r="AG590" s="129"/>
      <c r="AH590" s="129"/>
      <c r="AI590" s="129"/>
      <c r="AJ590" s="129"/>
      <c r="AK590" s="129"/>
      <c r="AL590" s="129"/>
      <c r="AM590" s="129"/>
      <c r="AN590" s="129"/>
      <c r="AO590" s="129"/>
      <c r="AP590" s="129"/>
      <c r="AQ590" s="130"/>
      <c r="AR590" s="130"/>
      <c r="AS590" s="129"/>
      <c r="AT590" s="129"/>
      <c r="AU590" s="129"/>
      <c r="AV590" s="129"/>
      <c r="AW590" s="129"/>
      <c r="AX590" s="129"/>
      <c r="AY590" s="129"/>
      <c r="AZ590" s="129"/>
      <c r="BA590" s="129"/>
      <c r="BB590" s="129"/>
      <c r="BC590" s="129"/>
      <c r="BD590" s="129"/>
      <c r="BE590" s="129"/>
      <c r="BF590" s="129"/>
      <c r="BG590" s="129"/>
      <c r="BH590" s="129"/>
      <c r="BI590" s="129"/>
      <c r="BJ590" s="129"/>
      <c r="BK590" s="129"/>
      <c r="BL590" s="129"/>
      <c r="BM590" s="129"/>
      <c r="BN590" s="129"/>
      <c r="BO590" s="129"/>
      <c r="BP590" s="129"/>
      <c r="BQ590" s="129"/>
    </row>
    <row r="591" spans="1:69" s="139" customFormat="1" x14ac:dyDescent="0.25">
      <c r="A591" s="157"/>
      <c r="B591" s="137"/>
      <c r="C591" s="129"/>
      <c r="G591" s="140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28"/>
      <c r="AC591" s="128"/>
      <c r="AD591" s="128"/>
      <c r="AE591" s="128"/>
      <c r="AF591" s="128"/>
      <c r="AG591" s="129"/>
      <c r="AH591" s="129"/>
      <c r="AI591" s="129"/>
      <c r="AJ591" s="129"/>
      <c r="AK591" s="129"/>
      <c r="AL591" s="129"/>
      <c r="AM591" s="129"/>
      <c r="AN591" s="129"/>
      <c r="AO591" s="129"/>
      <c r="AP591" s="129"/>
      <c r="AQ591" s="130"/>
      <c r="AR591" s="130"/>
      <c r="AS591" s="129"/>
      <c r="AT591" s="129"/>
      <c r="AU591" s="129"/>
      <c r="AV591" s="129"/>
      <c r="AW591" s="129"/>
      <c r="AX591" s="129"/>
      <c r="AY591" s="129"/>
      <c r="AZ591" s="129"/>
      <c r="BA591" s="129"/>
      <c r="BB591" s="129"/>
      <c r="BC591" s="129"/>
      <c r="BD591" s="129"/>
      <c r="BE591" s="129"/>
      <c r="BF591" s="129"/>
      <c r="BG591" s="129"/>
      <c r="BH591" s="129"/>
      <c r="BI591" s="129"/>
      <c r="BJ591" s="129"/>
      <c r="BK591" s="129"/>
      <c r="BL591" s="129"/>
      <c r="BM591" s="129"/>
      <c r="BN591" s="129"/>
      <c r="BO591" s="129"/>
      <c r="BP591" s="129"/>
      <c r="BQ591" s="129"/>
    </row>
    <row r="592" spans="1:69" s="139" customFormat="1" x14ac:dyDescent="0.25">
      <c r="A592" s="157"/>
      <c r="B592" s="137"/>
      <c r="C592" s="129"/>
      <c r="G592" s="140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28"/>
      <c r="AC592" s="128"/>
      <c r="AD592" s="128"/>
      <c r="AE592" s="128"/>
      <c r="AF592" s="128"/>
      <c r="AG592" s="129"/>
      <c r="AH592" s="129"/>
      <c r="AI592" s="129"/>
      <c r="AJ592" s="129"/>
      <c r="AK592" s="129"/>
      <c r="AL592" s="129"/>
      <c r="AM592" s="129"/>
      <c r="AN592" s="129"/>
      <c r="AO592" s="129"/>
      <c r="AP592" s="129"/>
      <c r="AQ592" s="130"/>
      <c r="AR592" s="130"/>
      <c r="AS592" s="129"/>
      <c r="AT592" s="129"/>
      <c r="AU592" s="129"/>
      <c r="AV592" s="129"/>
      <c r="AW592" s="129"/>
      <c r="AX592" s="129"/>
      <c r="AY592" s="129"/>
      <c r="AZ592" s="129"/>
      <c r="BA592" s="129"/>
      <c r="BB592" s="129"/>
      <c r="BC592" s="129"/>
      <c r="BD592" s="129"/>
      <c r="BE592" s="129"/>
      <c r="BF592" s="129"/>
      <c r="BG592" s="129"/>
      <c r="BH592" s="129"/>
      <c r="BI592" s="129"/>
      <c r="BJ592" s="129"/>
      <c r="BK592" s="129"/>
      <c r="BL592" s="129"/>
      <c r="BM592" s="129"/>
      <c r="BN592" s="129"/>
      <c r="BO592" s="129"/>
      <c r="BP592" s="129"/>
      <c r="BQ592" s="129"/>
    </row>
    <row r="593" spans="1:69" s="139" customFormat="1" x14ac:dyDescent="0.25">
      <c r="A593" s="157"/>
      <c r="B593" s="137"/>
      <c r="C593" s="129"/>
      <c r="G593" s="140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28"/>
      <c r="AC593" s="128"/>
      <c r="AD593" s="128"/>
      <c r="AE593" s="128"/>
      <c r="AF593" s="128"/>
      <c r="AG593" s="129"/>
      <c r="AH593" s="129"/>
      <c r="AI593" s="129"/>
      <c r="AJ593" s="129"/>
      <c r="AK593" s="129"/>
      <c r="AL593" s="129"/>
      <c r="AM593" s="129"/>
      <c r="AN593" s="129"/>
      <c r="AO593" s="129"/>
      <c r="AP593" s="129"/>
      <c r="AQ593" s="130"/>
      <c r="AR593" s="130"/>
      <c r="AS593" s="129"/>
      <c r="AT593" s="129"/>
      <c r="AU593" s="129"/>
      <c r="AV593" s="129"/>
      <c r="AW593" s="129"/>
      <c r="AX593" s="129"/>
      <c r="AY593" s="129"/>
      <c r="AZ593" s="129"/>
      <c r="BA593" s="129"/>
      <c r="BB593" s="129"/>
      <c r="BC593" s="129"/>
      <c r="BD593" s="129"/>
      <c r="BE593" s="129"/>
      <c r="BF593" s="129"/>
      <c r="BG593" s="129"/>
      <c r="BH593" s="129"/>
      <c r="BI593" s="129"/>
      <c r="BJ593" s="129"/>
      <c r="BK593" s="129"/>
      <c r="BL593" s="129"/>
      <c r="BM593" s="129"/>
      <c r="BN593" s="129"/>
      <c r="BO593" s="129"/>
      <c r="BP593" s="129"/>
      <c r="BQ593" s="129"/>
    </row>
    <row r="594" spans="1:69" s="139" customFormat="1" x14ac:dyDescent="0.25">
      <c r="A594" s="157"/>
      <c r="B594" s="137"/>
      <c r="C594" s="129"/>
      <c r="G594" s="140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28"/>
      <c r="AC594" s="128"/>
      <c r="AD594" s="128"/>
      <c r="AE594" s="128"/>
      <c r="AF594" s="128"/>
      <c r="AG594" s="129"/>
      <c r="AH594" s="129"/>
      <c r="AI594" s="129"/>
      <c r="AJ594" s="129"/>
      <c r="AK594" s="129"/>
      <c r="AL594" s="129"/>
      <c r="AM594" s="129"/>
      <c r="AN594" s="129"/>
      <c r="AO594" s="129"/>
      <c r="AP594" s="129"/>
      <c r="AQ594" s="130"/>
      <c r="AR594" s="130"/>
      <c r="AS594" s="129"/>
      <c r="AT594" s="129"/>
      <c r="AU594" s="129"/>
      <c r="AV594" s="129"/>
      <c r="AW594" s="129"/>
      <c r="AX594" s="129"/>
      <c r="AY594" s="129"/>
      <c r="AZ594" s="129"/>
      <c r="BA594" s="129"/>
      <c r="BB594" s="129"/>
      <c r="BC594" s="129"/>
      <c r="BD594" s="129"/>
      <c r="BE594" s="129"/>
      <c r="BF594" s="129"/>
      <c r="BG594" s="129"/>
      <c r="BH594" s="129"/>
      <c r="BI594" s="129"/>
      <c r="BJ594" s="129"/>
      <c r="BK594" s="129"/>
      <c r="BL594" s="129"/>
      <c r="BM594" s="129"/>
      <c r="BN594" s="129"/>
      <c r="BO594" s="129"/>
      <c r="BP594" s="129"/>
      <c r="BQ594" s="129"/>
    </row>
    <row r="595" spans="1:69" s="139" customFormat="1" x14ac:dyDescent="0.25">
      <c r="A595" s="157"/>
      <c r="B595" s="137"/>
      <c r="C595" s="129"/>
      <c r="G595" s="140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28"/>
      <c r="AC595" s="128"/>
      <c r="AD595" s="128"/>
      <c r="AE595" s="128"/>
      <c r="AF595" s="128"/>
      <c r="AG595" s="129"/>
      <c r="AH595" s="129"/>
      <c r="AI595" s="129"/>
      <c r="AJ595" s="129"/>
      <c r="AK595" s="129"/>
      <c r="AL595" s="129"/>
      <c r="AM595" s="129"/>
      <c r="AN595" s="129"/>
      <c r="AO595" s="129"/>
      <c r="AP595" s="129"/>
      <c r="AQ595" s="130"/>
      <c r="AR595" s="130"/>
      <c r="AS595" s="129"/>
      <c r="AT595" s="129"/>
      <c r="AU595" s="129"/>
      <c r="AV595" s="129"/>
      <c r="AW595" s="129"/>
      <c r="AX595" s="129"/>
      <c r="AY595" s="129"/>
      <c r="AZ595" s="129"/>
      <c r="BA595" s="129"/>
      <c r="BB595" s="129"/>
      <c r="BC595" s="129"/>
      <c r="BD595" s="129"/>
      <c r="BE595" s="129"/>
      <c r="BF595" s="129"/>
      <c r="BG595" s="129"/>
      <c r="BH595" s="129"/>
      <c r="BI595" s="129"/>
      <c r="BJ595" s="129"/>
      <c r="BK595" s="129"/>
      <c r="BL595" s="129"/>
      <c r="BM595" s="129"/>
      <c r="BN595" s="129"/>
      <c r="BO595" s="129"/>
      <c r="BP595" s="129"/>
      <c r="BQ595" s="129"/>
    </row>
    <row r="596" spans="1:69" s="139" customFormat="1" x14ac:dyDescent="0.25">
      <c r="A596" s="157"/>
      <c r="B596" s="137"/>
      <c r="C596" s="129"/>
      <c r="G596" s="140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28"/>
      <c r="AC596" s="128"/>
      <c r="AD596" s="128"/>
      <c r="AE596" s="128"/>
      <c r="AF596" s="128"/>
      <c r="AG596" s="129"/>
      <c r="AH596" s="129"/>
      <c r="AI596" s="129"/>
      <c r="AJ596" s="129"/>
      <c r="AK596" s="129"/>
      <c r="AL596" s="129"/>
      <c r="AM596" s="129"/>
      <c r="AN596" s="129"/>
      <c r="AO596" s="129"/>
      <c r="AP596" s="129"/>
      <c r="AQ596" s="130"/>
      <c r="AR596" s="130"/>
      <c r="AS596" s="129"/>
      <c r="AT596" s="129"/>
      <c r="AU596" s="129"/>
      <c r="AV596" s="129"/>
      <c r="AW596" s="129"/>
      <c r="AX596" s="129"/>
      <c r="AY596" s="129"/>
      <c r="AZ596" s="129"/>
      <c r="BA596" s="129"/>
      <c r="BB596" s="129"/>
      <c r="BC596" s="129"/>
      <c r="BD596" s="129"/>
      <c r="BE596" s="129"/>
      <c r="BF596" s="129"/>
      <c r="BG596" s="129"/>
      <c r="BH596" s="129"/>
      <c r="BI596" s="129"/>
      <c r="BJ596" s="129"/>
      <c r="BK596" s="129"/>
      <c r="BL596" s="129"/>
      <c r="BM596" s="129"/>
      <c r="BN596" s="129"/>
      <c r="BO596" s="129"/>
      <c r="BP596" s="129"/>
      <c r="BQ596" s="129"/>
    </row>
    <row r="597" spans="1:69" s="139" customFormat="1" x14ac:dyDescent="0.25">
      <c r="A597" s="157"/>
      <c r="B597" s="137"/>
      <c r="C597" s="129"/>
      <c r="G597" s="140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28"/>
      <c r="AC597" s="128"/>
      <c r="AD597" s="128"/>
      <c r="AE597" s="128"/>
      <c r="AF597" s="128"/>
      <c r="AG597" s="129"/>
      <c r="AH597" s="129"/>
      <c r="AI597" s="129"/>
      <c r="AJ597" s="129"/>
      <c r="AK597" s="129"/>
      <c r="AL597" s="129"/>
      <c r="AM597" s="129"/>
      <c r="AN597" s="129"/>
      <c r="AO597" s="129"/>
      <c r="AP597" s="129"/>
      <c r="AQ597" s="130"/>
      <c r="AR597" s="130"/>
      <c r="AS597" s="129"/>
      <c r="AT597" s="129"/>
      <c r="AU597" s="129"/>
      <c r="AV597" s="129"/>
      <c r="AW597" s="129"/>
      <c r="AX597" s="129"/>
      <c r="AY597" s="129"/>
      <c r="AZ597" s="129"/>
      <c r="BA597" s="129"/>
      <c r="BB597" s="129"/>
      <c r="BC597" s="129"/>
      <c r="BD597" s="129"/>
      <c r="BE597" s="129"/>
      <c r="BF597" s="129"/>
      <c r="BG597" s="129"/>
      <c r="BH597" s="129"/>
      <c r="BI597" s="129"/>
      <c r="BJ597" s="129"/>
      <c r="BK597" s="129"/>
      <c r="BL597" s="129"/>
      <c r="BM597" s="129"/>
      <c r="BN597" s="129"/>
      <c r="BO597" s="129"/>
      <c r="BP597" s="129"/>
      <c r="BQ597" s="129"/>
    </row>
    <row r="598" spans="1:69" s="139" customFormat="1" x14ac:dyDescent="0.25">
      <c r="A598" s="157"/>
      <c r="B598" s="137"/>
      <c r="C598" s="129"/>
      <c r="G598" s="140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28"/>
      <c r="AC598" s="128"/>
      <c r="AD598" s="128"/>
      <c r="AE598" s="128"/>
      <c r="AF598" s="128"/>
      <c r="AG598" s="129"/>
      <c r="AH598" s="129"/>
      <c r="AI598" s="129"/>
      <c r="AJ598" s="129"/>
      <c r="AK598" s="129"/>
      <c r="AL598" s="129"/>
      <c r="AM598" s="129"/>
      <c r="AN598" s="129"/>
      <c r="AO598" s="129"/>
      <c r="AP598" s="129"/>
      <c r="AQ598" s="130"/>
      <c r="AR598" s="130"/>
      <c r="AS598" s="129"/>
      <c r="AT598" s="129"/>
      <c r="AU598" s="129"/>
      <c r="AV598" s="129"/>
      <c r="AW598" s="129"/>
      <c r="AX598" s="129"/>
      <c r="AY598" s="129"/>
      <c r="AZ598" s="129"/>
      <c r="BA598" s="129"/>
      <c r="BB598" s="129"/>
      <c r="BC598" s="129"/>
      <c r="BD598" s="129"/>
      <c r="BE598" s="129"/>
      <c r="BF598" s="129"/>
      <c r="BG598" s="129"/>
      <c r="BH598" s="129"/>
      <c r="BI598" s="129"/>
      <c r="BJ598" s="129"/>
      <c r="BK598" s="129"/>
      <c r="BL598" s="129"/>
      <c r="BM598" s="129"/>
      <c r="BN598" s="129"/>
      <c r="BO598" s="129"/>
      <c r="BP598" s="129"/>
      <c r="BQ598" s="129"/>
    </row>
    <row r="599" spans="1:69" s="139" customFormat="1" x14ac:dyDescent="0.25">
      <c r="A599" s="157"/>
      <c r="B599" s="137"/>
      <c r="C599" s="129"/>
      <c r="G599" s="140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28"/>
      <c r="AC599" s="128"/>
      <c r="AD599" s="128"/>
      <c r="AE599" s="128"/>
      <c r="AF599" s="128"/>
      <c r="AG599" s="129"/>
      <c r="AH599" s="129"/>
      <c r="AI599" s="129"/>
      <c r="AJ599" s="129"/>
      <c r="AK599" s="129"/>
      <c r="AL599" s="129"/>
      <c r="AM599" s="129"/>
      <c r="AN599" s="129"/>
      <c r="AO599" s="129"/>
      <c r="AP599" s="129"/>
      <c r="AQ599" s="130"/>
      <c r="AR599" s="130"/>
      <c r="AS599" s="129"/>
      <c r="AT599" s="129"/>
      <c r="AU599" s="129"/>
      <c r="AV599" s="129"/>
      <c r="AW599" s="129"/>
      <c r="AX599" s="129"/>
      <c r="AY599" s="129"/>
      <c r="AZ599" s="129"/>
      <c r="BA599" s="129"/>
      <c r="BB599" s="129"/>
      <c r="BC599" s="129"/>
      <c r="BD599" s="129"/>
      <c r="BE599" s="129"/>
      <c r="BF599" s="129"/>
      <c r="BG599" s="129"/>
      <c r="BH599" s="129"/>
      <c r="BI599" s="129"/>
      <c r="BJ599" s="129"/>
      <c r="BK599" s="129"/>
      <c r="BL599" s="129"/>
      <c r="BM599" s="129"/>
      <c r="BN599" s="129"/>
      <c r="BO599" s="129"/>
      <c r="BP599" s="129"/>
      <c r="BQ599" s="129"/>
    </row>
    <row r="600" spans="1:69" s="139" customFormat="1" x14ac:dyDescent="0.25">
      <c r="A600" s="157"/>
      <c r="B600" s="137"/>
      <c r="C600" s="129"/>
      <c r="G600" s="140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28"/>
      <c r="AC600" s="128"/>
      <c r="AD600" s="128"/>
      <c r="AE600" s="128"/>
      <c r="AF600" s="128"/>
      <c r="AG600" s="129"/>
      <c r="AH600" s="129"/>
      <c r="AI600" s="129"/>
      <c r="AJ600" s="129"/>
      <c r="AK600" s="129"/>
      <c r="AL600" s="129"/>
      <c r="AM600" s="129"/>
      <c r="AN600" s="129"/>
      <c r="AO600" s="129"/>
      <c r="AP600" s="129"/>
      <c r="AQ600" s="130"/>
      <c r="AR600" s="130"/>
      <c r="AS600" s="129"/>
      <c r="AT600" s="129"/>
      <c r="AU600" s="129"/>
      <c r="AV600" s="129"/>
      <c r="AW600" s="129"/>
      <c r="AX600" s="129"/>
      <c r="AY600" s="129"/>
      <c r="AZ600" s="129"/>
      <c r="BA600" s="129"/>
      <c r="BB600" s="129"/>
      <c r="BC600" s="129"/>
      <c r="BD600" s="129"/>
      <c r="BE600" s="129"/>
      <c r="BF600" s="129"/>
      <c r="BG600" s="129"/>
      <c r="BH600" s="129"/>
      <c r="BI600" s="129"/>
      <c r="BJ600" s="129"/>
      <c r="BK600" s="129"/>
      <c r="BL600" s="129"/>
      <c r="BM600" s="129"/>
      <c r="BN600" s="129"/>
      <c r="BO600" s="129"/>
      <c r="BP600" s="129"/>
      <c r="BQ600" s="129"/>
    </row>
    <row r="601" spans="1:69" s="139" customFormat="1" x14ac:dyDescent="0.25">
      <c r="A601" s="157"/>
      <c r="B601" s="137"/>
      <c r="C601" s="129"/>
      <c r="G601" s="140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28"/>
      <c r="AC601" s="128"/>
      <c r="AD601" s="128"/>
      <c r="AE601" s="128"/>
      <c r="AF601" s="128"/>
      <c r="AG601" s="129"/>
      <c r="AH601" s="129"/>
      <c r="AI601" s="129"/>
      <c r="AJ601" s="129"/>
      <c r="AK601" s="129"/>
      <c r="AL601" s="129"/>
      <c r="AM601" s="129"/>
      <c r="AN601" s="129"/>
      <c r="AO601" s="129"/>
      <c r="AP601" s="129"/>
      <c r="AQ601" s="130"/>
      <c r="AR601" s="130"/>
      <c r="AS601" s="129"/>
      <c r="AT601" s="129"/>
      <c r="AU601" s="129"/>
      <c r="AV601" s="129"/>
      <c r="AW601" s="129"/>
      <c r="AX601" s="129"/>
      <c r="AY601" s="129"/>
      <c r="AZ601" s="129"/>
      <c r="BA601" s="129"/>
      <c r="BB601" s="129"/>
      <c r="BC601" s="129"/>
      <c r="BD601" s="129"/>
      <c r="BE601" s="129"/>
      <c r="BF601" s="129"/>
      <c r="BG601" s="129"/>
      <c r="BH601" s="129"/>
      <c r="BI601" s="129"/>
      <c r="BJ601" s="129"/>
      <c r="BK601" s="129"/>
      <c r="BL601" s="129"/>
      <c r="BM601" s="129"/>
      <c r="BN601" s="129"/>
      <c r="BO601" s="129"/>
      <c r="BP601" s="129"/>
      <c r="BQ601" s="129"/>
    </row>
    <row r="602" spans="1:69" s="139" customFormat="1" x14ac:dyDescent="0.25">
      <c r="A602" s="157"/>
      <c r="B602" s="137"/>
      <c r="C602" s="129"/>
      <c r="G602" s="140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28"/>
      <c r="AC602" s="128"/>
      <c r="AD602" s="128"/>
      <c r="AE602" s="128"/>
      <c r="AF602" s="128"/>
      <c r="AG602" s="129"/>
      <c r="AH602" s="129"/>
      <c r="AI602" s="129"/>
      <c r="AJ602" s="129"/>
      <c r="AK602" s="129"/>
      <c r="AL602" s="129"/>
      <c r="AM602" s="129"/>
      <c r="AN602" s="129"/>
      <c r="AO602" s="129"/>
      <c r="AP602" s="129"/>
      <c r="AQ602" s="130"/>
      <c r="AR602" s="130"/>
      <c r="AS602" s="129"/>
      <c r="AT602" s="129"/>
      <c r="AU602" s="129"/>
      <c r="AV602" s="129"/>
      <c r="AW602" s="129"/>
      <c r="AX602" s="129"/>
      <c r="AY602" s="129"/>
      <c r="AZ602" s="129"/>
      <c r="BA602" s="129"/>
      <c r="BB602" s="129"/>
      <c r="BC602" s="129"/>
      <c r="BD602" s="129"/>
      <c r="BE602" s="129"/>
      <c r="BF602" s="129"/>
      <c r="BG602" s="129"/>
      <c r="BH602" s="129"/>
      <c r="BI602" s="129"/>
      <c r="BJ602" s="129"/>
      <c r="BK602" s="129"/>
      <c r="BL602" s="129"/>
      <c r="BM602" s="129"/>
      <c r="BN602" s="129"/>
      <c r="BO602" s="129"/>
      <c r="BP602" s="129"/>
      <c r="BQ602" s="129"/>
    </row>
    <row r="603" spans="1:69" s="139" customFormat="1" x14ac:dyDescent="0.25">
      <c r="A603" s="157"/>
      <c r="B603" s="137"/>
      <c r="C603" s="129"/>
      <c r="G603" s="140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28"/>
      <c r="AC603" s="128"/>
      <c r="AD603" s="128"/>
      <c r="AE603" s="128"/>
      <c r="AF603" s="128"/>
      <c r="AG603" s="129"/>
      <c r="AH603" s="129"/>
      <c r="AI603" s="129"/>
      <c r="AJ603" s="129"/>
      <c r="AK603" s="129"/>
      <c r="AL603" s="129"/>
      <c r="AM603" s="129"/>
      <c r="AN603" s="129"/>
      <c r="AO603" s="129"/>
      <c r="AP603" s="129"/>
      <c r="AQ603" s="130"/>
      <c r="AR603" s="130"/>
      <c r="AS603" s="129"/>
      <c r="AT603" s="129"/>
      <c r="AU603" s="129"/>
      <c r="AV603" s="129"/>
      <c r="AW603" s="129"/>
      <c r="AX603" s="129"/>
      <c r="AY603" s="129"/>
      <c r="AZ603" s="129"/>
      <c r="BA603" s="129"/>
      <c r="BB603" s="129"/>
      <c r="BC603" s="129"/>
      <c r="BD603" s="129"/>
      <c r="BE603" s="129"/>
      <c r="BF603" s="129"/>
      <c r="BG603" s="129"/>
      <c r="BH603" s="129"/>
      <c r="BI603" s="129"/>
      <c r="BJ603" s="129"/>
      <c r="BK603" s="129"/>
      <c r="BL603" s="129"/>
      <c r="BM603" s="129"/>
      <c r="BN603" s="129"/>
      <c r="BO603" s="129"/>
      <c r="BP603" s="129"/>
      <c r="BQ603" s="129"/>
    </row>
    <row r="604" spans="1:69" s="139" customFormat="1" x14ac:dyDescent="0.25">
      <c r="A604" s="157"/>
      <c r="B604" s="137"/>
      <c r="C604" s="129"/>
      <c r="G604" s="140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28"/>
      <c r="AC604" s="128"/>
      <c r="AD604" s="128"/>
      <c r="AE604" s="128"/>
      <c r="AF604" s="128"/>
      <c r="AG604" s="129"/>
      <c r="AH604" s="129"/>
      <c r="AI604" s="129"/>
      <c r="AJ604" s="129"/>
      <c r="AK604" s="129"/>
      <c r="AL604" s="129"/>
      <c r="AM604" s="129"/>
      <c r="AN604" s="129"/>
      <c r="AO604" s="129"/>
      <c r="AP604" s="129"/>
      <c r="AQ604" s="130"/>
      <c r="AR604" s="130"/>
      <c r="AS604" s="129"/>
      <c r="AT604" s="129"/>
      <c r="AU604" s="129"/>
      <c r="AV604" s="129"/>
      <c r="AW604" s="129"/>
      <c r="AX604" s="129"/>
      <c r="AY604" s="129"/>
      <c r="AZ604" s="129"/>
      <c r="BA604" s="129"/>
      <c r="BB604" s="129"/>
      <c r="BC604" s="129"/>
      <c r="BD604" s="129"/>
      <c r="BE604" s="129"/>
      <c r="BF604" s="129"/>
      <c r="BG604" s="129"/>
      <c r="BH604" s="129"/>
      <c r="BI604" s="129"/>
      <c r="BJ604" s="129"/>
      <c r="BK604" s="129"/>
      <c r="BL604" s="129"/>
      <c r="BM604" s="129"/>
      <c r="BN604" s="129"/>
      <c r="BO604" s="129"/>
      <c r="BP604" s="129"/>
      <c r="BQ604" s="129"/>
    </row>
    <row r="605" spans="1:69" s="139" customFormat="1" x14ac:dyDescent="0.25">
      <c r="A605" s="157"/>
      <c r="B605" s="137"/>
      <c r="C605" s="129"/>
      <c r="G605" s="140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28"/>
      <c r="AC605" s="128"/>
      <c r="AD605" s="128"/>
      <c r="AE605" s="128"/>
      <c r="AF605" s="128"/>
      <c r="AG605" s="129"/>
      <c r="AH605" s="129"/>
      <c r="AI605" s="129"/>
      <c r="AJ605" s="129"/>
      <c r="AK605" s="129"/>
      <c r="AL605" s="129"/>
      <c r="AM605" s="129"/>
      <c r="AN605" s="129"/>
      <c r="AO605" s="129"/>
      <c r="AP605" s="129"/>
      <c r="AQ605" s="130"/>
      <c r="AR605" s="130"/>
      <c r="AS605" s="129"/>
      <c r="AT605" s="129"/>
      <c r="AU605" s="129"/>
      <c r="AV605" s="129"/>
      <c r="AW605" s="129"/>
      <c r="AX605" s="129"/>
      <c r="AY605" s="129"/>
      <c r="AZ605" s="129"/>
      <c r="BA605" s="129"/>
      <c r="BB605" s="129"/>
      <c r="BC605" s="129"/>
      <c r="BD605" s="129"/>
      <c r="BE605" s="129"/>
      <c r="BF605" s="129"/>
      <c r="BG605" s="129"/>
      <c r="BH605" s="129"/>
      <c r="BI605" s="129"/>
      <c r="BJ605" s="129"/>
      <c r="BK605" s="129"/>
      <c r="BL605" s="129"/>
      <c r="BM605" s="129"/>
      <c r="BN605" s="129"/>
      <c r="BO605" s="129"/>
      <c r="BP605" s="129"/>
      <c r="BQ605" s="129"/>
    </row>
    <row r="606" spans="1:69" s="139" customFormat="1" x14ac:dyDescent="0.25">
      <c r="A606" s="157"/>
      <c r="B606" s="137"/>
      <c r="C606" s="129"/>
      <c r="G606" s="140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28"/>
      <c r="AC606" s="128"/>
      <c r="AD606" s="128"/>
      <c r="AE606" s="128"/>
      <c r="AF606" s="128"/>
      <c r="AG606" s="129"/>
      <c r="AH606" s="129"/>
      <c r="AI606" s="129"/>
      <c r="AJ606" s="129"/>
      <c r="AK606" s="129"/>
      <c r="AL606" s="129"/>
      <c r="AM606" s="129"/>
      <c r="AN606" s="129"/>
      <c r="AO606" s="129"/>
      <c r="AP606" s="129"/>
      <c r="AQ606" s="130"/>
      <c r="AR606" s="130"/>
      <c r="AS606" s="129"/>
      <c r="AT606" s="129"/>
      <c r="AU606" s="129"/>
      <c r="AV606" s="129"/>
      <c r="AW606" s="129"/>
      <c r="AX606" s="129"/>
      <c r="AY606" s="129"/>
      <c r="AZ606" s="129"/>
      <c r="BA606" s="129"/>
      <c r="BB606" s="129"/>
      <c r="BC606" s="129"/>
      <c r="BD606" s="129"/>
      <c r="BE606" s="129"/>
      <c r="BF606" s="129"/>
      <c r="BG606" s="129"/>
      <c r="BH606" s="129"/>
      <c r="BI606" s="129"/>
      <c r="BJ606" s="129"/>
      <c r="BK606" s="129"/>
      <c r="BL606" s="129"/>
      <c r="BM606" s="129"/>
      <c r="BN606" s="129"/>
      <c r="BO606" s="129"/>
      <c r="BP606" s="129"/>
      <c r="BQ606" s="129"/>
    </row>
    <row r="607" spans="1:69" s="139" customFormat="1" x14ac:dyDescent="0.25">
      <c r="A607" s="157"/>
      <c r="B607" s="137"/>
      <c r="C607" s="129"/>
      <c r="G607" s="140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28"/>
      <c r="AC607" s="128"/>
      <c r="AD607" s="128"/>
      <c r="AE607" s="128"/>
      <c r="AF607" s="128"/>
      <c r="AG607" s="129"/>
      <c r="AH607" s="129"/>
      <c r="AI607" s="129"/>
      <c r="AJ607" s="129"/>
      <c r="AK607" s="129"/>
      <c r="AL607" s="129"/>
      <c r="AM607" s="129"/>
      <c r="AN607" s="129"/>
      <c r="AO607" s="129"/>
      <c r="AP607" s="129"/>
      <c r="AQ607" s="130"/>
      <c r="AR607" s="130"/>
      <c r="AS607" s="129"/>
      <c r="AT607" s="129"/>
      <c r="AU607" s="129"/>
      <c r="AV607" s="129"/>
      <c r="AW607" s="129"/>
      <c r="AX607" s="129"/>
      <c r="AY607" s="129"/>
      <c r="AZ607" s="129"/>
      <c r="BA607" s="129"/>
      <c r="BB607" s="129"/>
      <c r="BC607" s="129"/>
      <c r="BD607" s="129"/>
      <c r="BE607" s="129"/>
      <c r="BF607" s="129"/>
      <c r="BG607" s="129"/>
      <c r="BH607" s="129"/>
      <c r="BI607" s="129"/>
      <c r="BJ607" s="129"/>
      <c r="BK607" s="129"/>
      <c r="BL607" s="129"/>
      <c r="BM607" s="129"/>
      <c r="BN607" s="129"/>
      <c r="BO607" s="129"/>
      <c r="BP607" s="129"/>
      <c r="BQ607" s="129"/>
    </row>
    <row r="608" spans="1:69" s="139" customFormat="1" x14ac:dyDescent="0.25">
      <c r="A608" s="157"/>
      <c r="B608" s="137"/>
      <c r="C608" s="129"/>
      <c r="G608" s="140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28"/>
      <c r="AC608" s="128"/>
      <c r="AD608" s="128"/>
      <c r="AE608" s="128"/>
      <c r="AF608" s="128"/>
      <c r="AG608" s="129"/>
      <c r="AH608" s="129"/>
      <c r="AI608" s="129"/>
      <c r="AJ608" s="129"/>
      <c r="AK608" s="129"/>
      <c r="AL608" s="129"/>
      <c r="AM608" s="129"/>
      <c r="AN608" s="129"/>
      <c r="AO608" s="129"/>
      <c r="AP608" s="129"/>
      <c r="AQ608" s="130"/>
      <c r="AR608" s="130"/>
      <c r="AS608" s="129"/>
      <c r="AT608" s="129"/>
      <c r="AU608" s="129"/>
      <c r="AV608" s="129"/>
      <c r="AW608" s="129"/>
      <c r="AX608" s="129"/>
      <c r="AY608" s="129"/>
      <c r="AZ608" s="129"/>
      <c r="BA608" s="129"/>
      <c r="BB608" s="129"/>
      <c r="BC608" s="129"/>
      <c r="BD608" s="129"/>
      <c r="BE608" s="129"/>
      <c r="BF608" s="129"/>
      <c r="BG608" s="129"/>
      <c r="BH608" s="129"/>
      <c r="BI608" s="129"/>
      <c r="BJ608" s="129"/>
      <c r="BK608" s="129"/>
      <c r="BL608" s="129"/>
      <c r="BM608" s="129"/>
      <c r="BN608" s="129"/>
      <c r="BO608" s="129"/>
      <c r="BP608" s="129"/>
      <c r="BQ608" s="129"/>
    </row>
    <row r="609" spans="1:69" s="139" customFormat="1" x14ac:dyDescent="0.25">
      <c r="A609" s="157"/>
      <c r="B609" s="137"/>
      <c r="C609" s="129"/>
      <c r="G609" s="140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28"/>
      <c r="AC609" s="128"/>
      <c r="AD609" s="128"/>
      <c r="AE609" s="128"/>
      <c r="AF609" s="128"/>
      <c r="AG609" s="129"/>
      <c r="AH609" s="129"/>
      <c r="AI609" s="129"/>
      <c r="AJ609" s="129"/>
      <c r="AK609" s="129"/>
      <c r="AL609" s="129"/>
      <c r="AM609" s="129"/>
      <c r="AN609" s="129"/>
      <c r="AO609" s="129"/>
      <c r="AP609" s="129"/>
      <c r="AQ609" s="130"/>
      <c r="AR609" s="130"/>
      <c r="AS609" s="129"/>
      <c r="AT609" s="129"/>
      <c r="AU609" s="129"/>
      <c r="AV609" s="129"/>
      <c r="AW609" s="129"/>
      <c r="AX609" s="129"/>
      <c r="AY609" s="129"/>
      <c r="AZ609" s="129"/>
      <c r="BA609" s="129"/>
      <c r="BB609" s="129"/>
      <c r="BC609" s="129"/>
      <c r="BD609" s="129"/>
      <c r="BE609" s="129"/>
      <c r="BF609" s="129"/>
      <c r="BG609" s="129"/>
      <c r="BH609" s="129"/>
      <c r="BI609" s="129"/>
      <c r="BJ609" s="129"/>
      <c r="BK609" s="129"/>
      <c r="BL609" s="129"/>
      <c r="BM609" s="129"/>
      <c r="BN609" s="129"/>
      <c r="BO609" s="129"/>
      <c r="BP609" s="129"/>
      <c r="BQ609" s="129"/>
    </row>
    <row r="610" spans="1:69" s="139" customFormat="1" x14ac:dyDescent="0.25">
      <c r="A610" s="157"/>
      <c r="B610" s="137"/>
      <c r="C610" s="129"/>
      <c r="G610" s="140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28"/>
      <c r="AC610" s="128"/>
      <c r="AD610" s="128"/>
      <c r="AE610" s="128"/>
      <c r="AF610" s="128"/>
      <c r="AG610" s="129"/>
      <c r="AH610" s="129"/>
      <c r="AI610" s="129"/>
      <c r="AJ610" s="129"/>
      <c r="AK610" s="129"/>
      <c r="AL610" s="129"/>
      <c r="AM610" s="129"/>
      <c r="AN610" s="129"/>
      <c r="AO610" s="129"/>
      <c r="AP610" s="129"/>
      <c r="AQ610" s="130"/>
      <c r="AR610" s="130"/>
      <c r="AS610" s="129"/>
      <c r="AT610" s="129"/>
      <c r="AU610" s="129"/>
      <c r="AV610" s="129"/>
      <c r="AW610" s="129"/>
      <c r="AX610" s="129"/>
      <c r="AY610" s="129"/>
      <c r="AZ610" s="129"/>
      <c r="BA610" s="129"/>
      <c r="BB610" s="129"/>
      <c r="BC610" s="129"/>
      <c r="BD610" s="129"/>
      <c r="BE610" s="129"/>
      <c r="BF610" s="129"/>
      <c r="BG610" s="129"/>
      <c r="BH610" s="129"/>
      <c r="BI610" s="129"/>
      <c r="BJ610" s="129"/>
      <c r="BK610" s="129"/>
      <c r="BL610" s="129"/>
      <c r="BM610" s="129"/>
      <c r="BN610" s="129"/>
      <c r="BO610" s="129"/>
      <c r="BP610" s="129"/>
      <c r="BQ610" s="129"/>
    </row>
    <row r="611" spans="1:69" s="139" customFormat="1" x14ac:dyDescent="0.25">
      <c r="A611" s="157"/>
      <c r="B611" s="137"/>
      <c r="C611" s="129"/>
      <c r="G611" s="140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28"/>
      <c r="AC611" s="128"/>
      <c r="AD611" s="128"/>
      <c r="AE611" s="128"/>
      <c r="AF611" s="128"/>
      <c r="AG611" s="129"/>
      <c r="AH611" s="129"/>
      <c r="AI611" s="129"/>
      <c r="AJ611" s="129"/>
      <c r="AK611" s="129"/>
      <c r="AL611" s="129"/>
      <c r="AM611" s="129"/>
      <c r="AN611" s="129"/>
      <c r="AO611" s="129"/>
      <c r="AP611" s="129"/>
      <c r="AQ611" s="130"/>
      <c r="AR611" s="130"/>
      <c r="AS611" s="129"/>
      <c r="AT611" s="129"/>
      <c r="AU611" s="129"/>
      <c r="AV611" s="129"/>
      <c r="AW611" s="129"/>
      <c r="AX611" s="129"/>
      <c r="AY611" s="129"/>
      <c r="AZ611" s="129"/>
      <c r="BA611" s="129"/>
      <c r="BB611" s="129"/>
      <c r="BC611" s="129"/>
      <c r="BD611" s="129"/>
      <c r="BE611" s="129"/>
      <c r="BF611" s="129"/>
      <c r="BG611" s="129"/>
      <c r="BH611" s="129"/>
      <c r="BI611" s="129"/>
      <c r="BJ611" s="129"/>
      <c r="BK611" s="129"/>
      <c r="BL611" s="129"/>
      <c r="BM611" s="129"/>
      <c r="BN611" s="129"/>
      <c r="BO611" s="129"/>
      <c r="BP611" s="129"/>
      <c r="BQ611" s="129"/>
    </row>
    <row r="612" spans="1:69" s="139" customFormat="1" x14ac:dyDescent="0.25">
      <c r="A612" s="157"/>
      <c r="B612" s="137"/>
      <c r="C612" s="129"/>
      <c r="G612" s="140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28"/>
      <c r="AC612" s="128"/>
      <c r="AD612" s="128"/>
      <c r="AE612" s="128"/>
      <c r="AF612" s="128"/>
      <c r="AG612" s="129"/>
      <c r="AH612" s="129"/>
      <c r="AI612" s="129"/>
      <c r="AJ612" s="129"/>
      <c r="AK612" s="129"/>
      <c r="AL612" s="129"/>
      <c r="AM612" s="129"/>
      <c r="AN612" s="129"/>
      <c r="AO612" s="129"/>
      <c r="AP612" s="129"/>
      <c r="AQ612" s="130"/>
      <c r="AR612" s="130"/>
      <c r="AS612" s="129"/>
      <c r="AT612" s="129"/>
      <c r="AU612" s="129"/>
      <c r="AV612" s="129"/>
      <c r="AW612" s="129"/>
      <c r="AX612" s="129"/>
      <c r="AY612" s="129"/>
      <c r="AZ612" s="129"/>
      <c r="BA612" s="129"/>
      <c r="BB612" s="129"/>
      <c r="BC612" s="129"/>
      <c r="BD612" s="129"/>
      <c r="BE612" s="129"/>
      <c r="BF612" s="129"/>
      <c r="BG612" s="129"/>
      <c r="BH612" s="129"/>
      <c r="BI612" s="129"/>
      <c r="BJ612" s="129"/>
      <c r="BK612" s="129"/>
      <c r="BL612" s="129"/>
      <c r="BM612" s="129"/>
      <c r="BN612" s="129"/>
      <c r="BO612" s="129"/>
      <c r="BP612" s="129"/>
      <c r="BQ612" s="129"/>
    </row>
    <row r="613" spans="1:69" s="139" customFormat="1" x14ac:dyDescent="0.25">
      <c r="A613" s="157"/>
      <c r="B613" s="137"/>
      <c r="C613" s="129"/>
      <c r="G613" s="140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28"/>
      <c r="AC613" s="128"/>
      <c r="AD613" s="128"/>
      <c r="AE613" s="128"/>
      <c r="AF613" s="128"/>
      <c r="AG613" s="129"/>
      <c r="AH613" s="129"/>
      <c r="AI613" s="129"/>
      <c r="AJ613" s="129"/>
      <c r="AK613" s="129"/>
      <c r="AL613" s="129"/>
      <c r="AM613" s="129"/>
      <c r="AN613" s="129"/>
      <c r="AO613" s="129"/>
      <c r="AP613" s="129"/>
      <c r="AQ613" s="130"/>
      <c r="AR613" s="130"/>
      <c r="AS613" s="129"/>
      <c r="AT613" s="129"/>
      <c r="AU613" s="129"/>
      <c r="AV613" s="129"/>
      <c r="AW613" s="129"/>
      <c r="AX613" s="129"/>
      <c r="AY613" s="129"/>
      <c r="AZ613" s="129"/>
      <c r="BA613" s="129"/>
      <c r="BB613" s="129"/>
      <c r="BC613" s="129"/>
      <c r="BD613" s="129"/>
      <c r="BE613" s="129"/>
      <c r="BF613" s="129"/>
      <c r="BG613" s="129"/>
      <c r="BH613" s="129"/>
      <c r="BI613" s="129"/>
      <c r="BJ613" s="129"/>
      <c r="BK613" s="129"/>
      <c r="BL613" s="129"/>
      <c r="BM613" s="129"/>
      <c r="BN613" s="129"/>
      <c r="BO613" s="129"/>
      <c r="BP613" s="129"/>
      <c r="BQ613" s="129"/>
    </row>
    <row r="614" spans="1:69" s="139" customFormat="1" x14ac:dyDescent="0.25">
      <c r="A614" s="157"/>
      <c r="B614" s="137"/>
      <c r="C614" s="129"/>
      <c r="G614" s="140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28"/>
      <c r="AC614" s="128"/>
      <c r="AD614" s="128"/>
      <c r="AE614" s="128"/>
      <c r="AF614" s="128"/>
      <c r="AG614" s="129"/>
      <c r="AH614" s="129"/>
      <c r="AI614" s="129"/>
      <c r="AJ614" s="129"/>
      <c r="AK614" s="129"/>
      <c r="AL614" s="129"/>
      <c r="AM614" s="129"/>
      <c r="AN614" s="129"/>
      <c r="AO614" s="129"/>
      <c r="AP614" s="129"/>
      <c r="AQ614" s="130"/>
      <c r="AR614" s="130"/>
      <c r="AS614" s="129"/>
      <c r="AT614" s="129"/>
      <c r="AU614" s="129"/>
      <c r="AV614" s="129"/>
      <c r="AW614" s="129"/>
      <c r="AX614" s="129"/>
      <c r="AY614" s="129"/>
      <c r="AZ614" s="129"/>
      <c r="BA614" s="129"/>
      <c r="BB614" s="129"/>
      <c r="BC614" s="129"/>
      <c r="BD614" s="129"/>
      <c r="BE614" s="129"/>
      <c r="BF614" s="129"/>
      <c r="BG614" s="129"/>
      <c r="BH614" s="129"/>
      <c r="BI614" s="129"/>
      <c r="BJ614" s="129"/>
      <c r="BK614" s="129"/>
      <c r="BL614" s="129"/>
      <c r="BM614" s="129"/>
      <c r="BN614" s="129"/>
      <c r="BO614" s="129"/>
      <c r="BP614" s="129"/>
      <c r="BQ614" s="129"/>
    </row>
    <row r="615" spans="1:69" s="139" customFormat="1" x14ac:dyDescent="0.25">
      <c r="A615" s="157"/>
      <c r="B615" s="137"/>
      <c r="C615" s="129"/>
      <c r="G615" s="140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28"/>
      <c r="AC615" s="128"/>
      <c r="AD615" s="128"/>
      <c r="AE615" s="128"/>
      <c r="AF615" s="128"/>
      <c r="AG615" s="129"/>
      <c r="AH615" s="129"/>
      <c r="AI615" s="129"/>
      <c r="AJ615" s="129"/>
      <c r="AK615" s="129"/>
      <c r="AL615" s="129"/>
      <c r="AM615" s="129"/>
      <c r="AN615" s="129"/>
      <c r="AO615" s="129"/>
      <c r="AP615" s="129"/>
      <c r="AQ615" s="130"/>
      <c r="AR615" s="130"/>
      <c r="AS615" s="129"/>
      <c r="AT615" s="129"/>
      <c r="AU615" s="129"/>
      <c r="AV615" s="129"/>
      <c r="AW615" s="129"/>
      <c r="AX615" s="129"/>
      <c r="AY615" s="129"/>
      <c r="AZ615" s="129"/>
      <c r="BA615" s="129"/>
      <c r="BB615" s="129"/>
      <c r="BC615" s="129"/>
      <c r="BD615" s="129"/>
      <c r="BE615" s="129"/>
      <c r="BF615" s="129"/>
      <c r="BG615" s="129"/>
      <c r="BH615" s="129"/>
      <c r="BI615" s="129"/>
      <c r="BJ615" s="129"/>
      <c r="BK615" s="129"/>
      <c r="BL615" s="129"/>
      <c r="BM615" s="129"/>
      <c r="BN615" s="129"/>
      <c r="BO615" s="129"/>
      <c r="BP615" s="129"/>
      <c r="BQ615" s="129"/>
    </row>
    <row r="616" spans="1:69" s="139" customFormat="1" x14ac:dyDescent="0.25">
      <c r="A616" s="157"/>
      <c r="B616" s="137"/>
      <c r="C616" s="129"/>
      <c r="G616" s="140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28"/>
      <c r="AC616" s="128"/>
      <c r="AD616" s="128"/>
      <c r="AE616" s="128"/>
      <c r="AF616" s="128"/>
      <c r="AG616" s="129"/>
      <c r="AH616" s="129"/>
      <c r="AI616" s="129"/>
      <c r="AJ616" s="129"/>
      <c r="AK616" s="129"/>
      <c r="AL616" s="129"/>
      <c r="AM616" s="129"/>
      <c r="AN616" s="129"/>
      <c r="AO616" s="129"/>
      <c r="AP616" s="129"/>
      <c r="AQ616" s="130"/>
      <c r="AR616" s="130"/>
      <c r="AS616" s="129"/>
      <c r="AT616" s="129"/>
      <c r="AU616" s="129"/>
      <c r="AV616" s="129"/>
      <c r="AW616" s="129"/>
      <c r="AX616" s="129"/>
      <c r="AY616" s="129"/>
      <c r="AZ616" s="129"/>
      <c r="BA616" s="129"/>
      <c r="BB616" s="129"/>
      <c r="BC616" s="129"/>
      <c r="BD616" s="129"/>
      <c r="BE616" s="129"/>
      <c r="BF616" s="129"/>
      <c r="BG616" s="129"/>
      <c r="BH616" s="129"/>
      <c r="BI616" s="129"/>
      <c r="BJ616" s="129"/>
      <c r="BK616" s="129"/>
      <c r="BL616" s="129"/>
      <c r="BM616" s="129"/>
      <c r="BN616" s="129"/>
      <c r="BO616" s="129"/>
      <c r="BP616" s="129"/>
      <c r="BQ616" s="129"/>
    </row>
    <row r="617" spans="1:69" s="139" customFormat="1" x14ac:dyDescent="0.25">
      <c r="A617" s="157"/>
      <c r="B617" s="137"/>
      <c r="C617" s="129"/>
      <c r="G617" s="140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28"/>
      <c r="AC617" s="128"/>
      <c r="AD617" s="128"/>
      <c r="AE617" s="128"/>
      <c r="AF617" s="128"/>
      <c r="AG617" s="129"/>
      <c r="AH617" s="129"/>
      <c r="AI617" s="129"/>
      <c r="AJ617" s="129"/>
      <c r="AK617" s="129"/>
      <c r="AL617" s="129"/>
      <c r="AM617" s="129"/>
      <c r="AN617" s="129"/>
      <c r="AO617" s="129"/>
      <c r="AP617" s="129"/>
      <c r="AQ617" s="130"/>
      <c r="AR617" s="130"/>
      <c r="AS617" s="129"/>
      <c r="AT617" s="129"/>
      <c r="AU617" s="129"/>
      <c r="AV617" s="129"/>
      <c r="AW617" s="129"/>
      <c r="AX617" s="129"/>
      <c r="AY617" s="129"/>
      <c r="AZ617" s="129"/>
      <c r="BA617" s="129"/>
      <c r="BB617" s="129"/>
      <c r="BC617" s="129"/>
      <c r="BD617" s="129"/>
      <c r="BE617" s="129"/>
      <c r="BF617" s="129"/>
      <c r="BG617" s="129"/>
      <c r="BH617" s="129"/>
      <c r="BI617" s="129"/>
      <c r="BJ617" s="129"/>
      <c r="BK617" s="129"/>
      <c r="BL617" s="129"/>
      <c r="BM617" s="129"/>
      <c r="BN617" s="129"/>
      <c r="BO617" s="129"/>
      <c r="BP617" s="129"/>
      <c r="BQ617" s="129"/>
    </row>
    <row r="618" spans="1:69" s="139" customFormat="1" x14ac:dyDescent="0.25">
      <c r="A618" s="157"/>
      <c r="B618" s="137"/>
      <c r="C618" s="129"/>
      <c r="G618" s="140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28"/>
      <c r="AC618" s="128"/>
      <c r="AD618" s="128"/>
      <c r="AE618" s="128"/>
      <c r="AF618" s="128"/>
      <c r="AG618" s="129"/>
      <c r="AH618" s="129"/>
      <c r="AI618" s="129"/>
      <c r="AJ618" s="129"/>
      <c r="AK618" s="129"/>
      <c r="AL618" s="129"/>
      <c r="AM618" s="129"/>
      <c r="AN618" s="129"/>
      <c r="AO618" s="129"/>
      <c r="AP618" s="129"/>
      <c r="AQ618" s="130"/>
      <c r="AR618" s="130"/>
      <c r="AS618" s="129"/>
      <c r="AT618" s="129"/>
      <c r="AU618" s="129"/>
      <c r="AV618" s="129"/>
      <c r="AW618" s="129"/>
      <c r="AX618" s="129"/>
      <c r="AY618" s="129"/>
      <c r="AZ618" s="129"/>
      <c r="BA618" s="129"/>
      <c r="BB618" s="129"/>
      <c r="BC618" s="129"/>
      <c r="BD618" s="129"/>
      <c r="BE618" s="129"/>
      <c r="BF618" s="129"/>
      <c r="BG618" s="129"/>
      <c r="BH618" s="129"/>
      <c r="BI618" s="129"/>
      <c r="BJ618" s="129"/>
      <c r="BK618" s="129"/>
      <c r="BL618" s="129"/>
      <c r="BM618" s="129"/>
      <c r="BN618" s="129"/>
      <c r="BO618" s="129"/>
      <c r="BP618" s="129"/>
      <c r="BQ618" s="129"/>
    </row>
    <row r="619" spans="1:69" s="139" customFormat="1" x14ac:dyDescent="0.25">
      <c r="A619" s="157"/>
      <c r="B619" s="137"/>
      <c r="C619" s="129"/>
      <c r="G619" s="140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28"/>
      <c r="AC619" s="128"/>
      <c r="AD619" s="128"/>
      <c r="AE619" s="128"/>
      <c r="AF619" s="128"/>
      <c r="AG619" s="129"/>
      <c r="AH619" s="129"/>
      <c r="AI619" s="129"/>
      <c r="AJ619" s="129"/>
      <c r="AK619" s="129"/>
      <c r="AL619" s="129"/>
      <c r="AM619" s="129"/>
      <c r="AN619" s="129"/>
      <c r="AO619" s="129"/>
      <c r="AP619" s="129"/>
      <c r="AQ619" s="130"/>
      <c r="AR619" s="130"/>
      <c r="AS619" s="129"/>
      <c r="AT619" s="129"/>
      <c r="AU619" s="129"/>
      <c r="AV619" s="129"/>
      <c r="AW619" s="129"/>
      <c r="AX619" s="129"/>
      <c r="AY619" s="129"/>
      <c r="AZ619" s="129"/>
      <c r="BA619" s="129"/>
      <c r="BB619" s="129"/>
      <c r="BC619" s="129"/>
      <c r="BD619" s="129"/>
      <c r="BE619" s="129"/>
      <c r="BF619" s="129"/>
      <c r="BG619" s="129"/>
      <c r="BH619" s="129"/>
      <c r="BI619" s="129"/>
      <c r="BJ619" s="129"/>
      <c r="BK619" s="129"/>
      <c r="BL619" s="129"/>
      <c r="BM619" s="129"/>
      <c r="BN619" s="129"/>
      <c r="BO619" s="129"/>
      <c r="BP619" s="129"/>
      <c r="BQ619" s="129"/>
    </row>
    <row r="620" spans="1:69" s="139" customFormat="1" x14ac:dyDescent="0.25">
      <c r="A620" s="157"/>
      <c r="B620" s="137"/>
      <c r="C620" s="129"/>
      <c r="G620" s="140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28"/>
      <c r="AC620" s="128"/>
      <c r="AD620" s="128"/>
      <c r="AE620" s="128"/>
      <c r="AF620" s="128"/>
      <c r="AG620" s="129"/>
      <c r="AH620" s="129"/>
      <c r="AI620" s="129"/>
      <c r="AJ620" s="129"/>
      <c r="AK620" s="129"/>
      <c r="AL620" s="129"/>
      <c r="AM620" s="129"/>
      <c r="AN620" s="129"/>
      <c r="AO620" s="129"/>
      <c r="AP620" s="129"/>
      <c r="AQ620" s="130"/>
      <c r="AR620" s="130"/>
      <c r="AS620" s="129"/>
      <c r="AT620" s="129"/>
      <c r="AU620" s="129"/>
      <c r="AV620" s="129"/>
      <c r="AW620" s="129"/>
      <c r="AX620" s="129"/>
      <c r="AY620" s="129"/>
      <c r="AZ620" s="129"/>
      <c r="BA620" s="129"/>
      <c r="BB620" s="129"/>
      <c r="BC620" s="129"/>
      <c r="BD620" s="129"/>
      <c r="BE620" s="129"/>
      <c r="BF620" s="129"/>
      <c r="BG620" s="129"/>
      <c r="BH620" s="129"/>
      <c r="BI620" s="129"/>
      <c r="BJ620" s="129"/>
      <c r="BK620" s="129"/>
      <c r="BL620" s="129"/>
      <c r="BM620" s="129"/>
      <c r="BN620" s="129"/>
      <c r="BO620" s="129"/>
      <c r="BP620" s="129"/>
      <c r="BQ620" s="129"/>
    </row>
    <row r="621" spans="1:69" s="139" customFormat="1" x14ac:dyDescent="0.25">
      <c r="A621" s="157"/>
      <c r="B621" s="137"/>
      <c r="C621" s="129"/>
      <c r="G621" s="140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28"/>
      <c r="AC621" s="128"/>
      <c r="AD621" s="128"/>
      <c r="AE621" s="128"/>
      <c r="AF621" s="128"/>
      <c r="AG621" s="129"/>
      <c r="AH621" s="129"/>
      <c r="AI621" s="129"/>
      <c r="AJ621" s="129"/>
      <c r="AK621" s="129"/>
      <c r="AL621" s="129"/>
      <c r="AM621" s="129"/>
      <c r="AN621" s="129"/>
      <c r="AO621" s="129"/>
      <c r="AP621" s="129"/>
      <c r="AQ621" s="130"/>
      <c r="AR621" s="130"/>
      <c r="AS621" s="129"/>
      <c r="AT621" s="129"/>
      <c r="AU621" s="129"/>
      <c r="AV621" s="129"/>
      <c r="AW621" s="129"/>
      <c r="AX621" s="129"/>
      <c r="AY621" s="129"/>
      <c r="AZ621" s="129"/>
      <c r="BA621" s="129"/>
      <c r="BB621" s="129"/>
      <c r="BC621" s="129"/>
      <c r="BD621" s="129"/>
      <c r="BE621" s="129"/>
      <c r="BF621" s="129"/>
      <c r="BG621" s="129"/>
      <c r="BH621" s="129"/>
      <c r="BI621" s="129"/>
      <c r="BJ621" s="129"/>
      <c r="BK621" s="129"/>
      <c r="BL621" s="129"/>
      <c r="BM621" s="129"/>
      <c r="BN621" s="129"/>
      <c r="BO621" s="129"/>
      <c r="BP621" s="129"/>
      <c r="BQ621" s="129"/>
    </row>
    <row r="622" spans="1:69" s="139" customFormat="1" x14ac:dyDescent="0.25">
      <c r="A622" s="157"/>
      <c r="B622" s="137"/>
      <c r="C622" s="129"/>
      <c r="G622" s="140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28"/>
      <c r="AC622" s="128"/>
      <c r="AD622" s="128"/>
      <c r="AE622" s="128"/>
      <c r="AF622" s="128"/>
      <c r="AG622" s="129"/>
      <c r="AH622" s="129"/>
      <c r="AI622" s="129"/>
      <c r="AJ622" s="129"/>
      <c r="AK622" s="129"/>
      <c r="AL622" s="129"/>
      <c r="AM622" s="129"/>
      <c r="AN622" s="129"/>
      <c r="AO622" s="129"/>
      <c r="AP622" s="129"/>
      <c r="AQ622" s="130"/>
      <c r="AR622" s="130"/>
      <c r="AS622" s="129"/>
      <c r="AT622" s="129"/>
      <c r="AU622" s="129"/>
      <c r="AV622" s="129"/>
      <c r="AW622" s="129"/>
      <c r="AX622" s="129"/>
      <c r="AY622" s="129"/>
      <c r="AZ622" s="129"/>
      <c r="BA622" s="129"/>
      <c r="BB622" s="129"/>
      <c r="BC622" s="129"/>
      <c r="BD622" s="129"/>
      <c r="BE622" s="129"/>
      <c r="BF622" s="129"/>
      <c r="BG622" s="129"/>
      <c r="BH622" s="129"/>
      <c r="BI622" s="129"/>
      <c r="BJ622" s="129"/>
      <c r="BK622" s="129"/>
      <c r="BL622" s="129"/>
      <c r="BM622" s="129"/>
      <c r="BN622" s="129"/>
      <c r="BO622" s="129"/>
      <c r="BP622" s="129"/>
      <c r="BQ622" s="129"/>
    </row>
    <row r="623" spans="1:69" s="139" customFormat="1" x14ac:dyDescent="0.25">
      <c r="A623" s="157"/>
      <c r="B623" s="137"/>
      <c r="C623" s="129"/>
      <c r="G623" s="140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28"/>
      <c r="AC623" s="128"/>
      <c r="AD623" s="128"/>
      <c r="AE623" s="128"/>
      <c r="AF623" s="128"/>
      <c r="AG623" s="129"/>
      <c r="AH623" s="129"/>
      <c r="AI623" s="129"/>
      <c r="AJ623" s="129"/>
      <c r="AK623" s="129"/>
      <c r="AL623" s="129"/>
      <c r="AM623" s="129"/>
      <c r="AN623" s="129"/>
      <c r="AO623" s="129"/>
      <c r="AP623" s="129"/>
      <c r="AQ623" s="130"/>
      <c r="AR623" s="130"/>
      <c r="AS623" s="129"/>
      <c r="AT623" s="129"/>
      <c r="AU623" s="129"/>
      <c r="AV623" s="129"/>
      <c r="AW623" s="129"/>
      <c r="AX623" s="129"/>
      <c r="AY623" s="129"/>
      <c r="AZ623" s="129"/>
      <c r="BA623" s="129"/>
      <c r="BB623" s="129"/>
      <c r="BC623" s="129"/>
      <c r="BD623" s="129"/>
      <c r="BE623" s="129"/>
      <c r="BF623" s="129"/>
      <c r="BG623" s="129"/>
      <c r="BH623" s="129"/>
      <c r="BI623" s="129"/>
      <c r="BJ623" s="129"/>
      <c r="BK623" s="129"/>
      <c r="BL623" s="129"/>
      <c r="BM623" s="129"/>
      <c r="BN623" s="129"/>
      <c r="BO623" s="129"/>
      <c r="BP623" s="129"/>
      <c r="BQ623" s="129"/>
    </row>
    <row r="624" spans="1:69" s="139" customFormat="1" x14ac:dyDescent="0.25">
      <c r="A624" s="157"/>
      <c r="B624" s="137"/>
      <c r="C624" s="129"/>
      <c r="G624" s="140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28"/>
      <c r="AC624" s="128"/>
      <c r="AD624" s="128"/>
      <c r="AE624" s="128"/>
      <c r="AF624" s="128"/>
      <c r="AG624" s="129"/>
      <c r="AH624" s="129"/>
      <c r="AI624" s="129"/>
      <c r="AJ624" s="129"/>
      <c r="AK624" s="129"/>
      <c r="AL624" s="129"/>
      <c r="AM624" s="129"/>
      <c r="AN624" s="129"/>
      <c r="AO624" s="129"/>
      <c r="AP624" s="129"/>
      <c r="AQ624" s="130"/>
      <c r="AR624" s="130"/>
      <c r="AS624" s="129"/>
      <c r="AT624" s="129"/>
      <c r="AU624" s="129"/>
      <c r="AV624" s="129"/>
      <c r="AW624" s="129"/>
      <c r="AX624" s="129"/>
      <c r="AY624" s="129"/>
      <c r="AZ624" s="129"/>
      <c r="BA624" s="129"/>
      <c r="BB624" s="129"/>
      <c r="BC624" s="129"/>
      <c r="BD624" s="129"/>
      <c r="BE624" s="129"/>
      <c r="BF624" s="129"/>
      <c r="BG624" s="129"/>
      <c r="BH624" s="129"/>
      <c r="BI624" s="129"/>
      <c r="BJ624" s="129"/>
      <c r="BK624" s="129"/>
      <c r="BL624" s="129"/>
      <c r="BM624" s="129"/>
      <c r="BN624" s="129"/>
      <c r="BO624" s="129"/>
      <c r="BP624" s="129"/>
      <c r="BQ624" s="129"/>
    </row>
    <row r="625" spans="1:69" s="139" customFormat="1" x14ac:dyDescent="0.25">
      <c r="A625" s="157"/>
      <c r="B625" s="137"/>
      <c r="C625" s="129"/>
      <c r="G625" s="140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28"/>
      <c r="AC625" s="128"/>
      <c r="AD625" s="128"/>
      <c r="AE625" s="128"/>
      <c r="AF625" s="128"/>
      <c r="AG625" s="129"/>
      <c r="AH625" s="129"/>
      <c r="AI625" s="129"/>
      <c r="AJ625" s="129"/>
      <c r="AK625" s="129"/>
      <c r="AL625" s="129"/>
      <c r="AM625" s="129"/>
      <c r="AN625" s="129"/>
      <c r="AO625" s="129"/>
      <c r="AP625" s="129"/>
      <c r="AQ625" s="130"/>
      <c r="AR625" s="130"/>
      <c r="AS625" s="129"/>
      <c r="AT625" s="129"/>
      <c r="AU625" s="129"/>
      <c r="AV625" s="129"/>
      <c r="AW625" s="129"/>
      <c r="AX625" s="129"/>
      <c r="AY625" s="129"/>
      <c r="AZ625" s="129"/>
      <c r="BA625" s="129"/>
      <c r="BB625" s="129"/>
      <c r="BC625" s="129"/>
      <c r="BD625" s="129"/>
      <c r="BE625" s="129"/>
      <c r="BF625" s="129"/>
      <c r="BG625" s="129"/>
      <c r="BH625" s="129"/>
      <c r="BI625" s="129"/>
      <c r="BJ625" s="129"/>
      <c r="BK625" s="129"/>
      <c r="BL625" s="129"/>
      <c r="BM625" s="129"/>
      <c r="BN625" s="129"/>
      <c r="BO625" s="129"/>
      <c r="BP625" s="129"/>
      <c r="BQ625" s="129"/>
    </row>
    <row r="626" spans="1:69" s="139" customFormat="1" x14ac:dyDescent="0.25">
      <c r="A626" s="157"/>
      <c r="B626" s="137"/>
      <c r="C626" s="129"/>
      <c r="G626" s="140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28"/>
      <c r="AC626" s="128"/>
      <c r="AD626" s="128"/>
      <c r="AE626" s="128"/>
      <c r="AF626" s="128"/>
      <c r="AG626" s="129"/>
      <c r="AH626" s="129"/>
      <c r="AI626" s="129"/>
      <c r="AJ626" s="129"/>
      <c r="AK626" s="129"/>
      <c r="AL626" s="129"/>
      <c r="AM626" s="129"/>
      <c r="AN626" s="129"/>
      <c r="AO626" s="129"/>
      <c r="AP626" s="129"/>
      <c r="AQ626" s="130"/>
      <c r="AR626" s="130"/>
      <c r="AS626" s="129"/>
      <c r="AT626" s="129"/>
      <c r="AU626" s="129"/>
      <c r="AV626" s="129"/>
      <c r="AW626" s="129"/>
      <c r="AX626" s="129"/>
      <c r="AY626" s="129"/>
      <c r="AZ626" s="129"/>
      <c r="BA626" s="129"/>
      <c r="BB626" s="129"/>
      <c r="BC626" s="129"/>
      <c r="BD626" s="129"/>
      <c r="BE626" s="129"/>
      <c r="BF626" s="129"/>
      <c r="BG626" s="129"/>
      <c r="BH626" s="129"/>
      <c r="BI626" s="129"/>
      <c r="BJ626" s="129"/>
      <c r="BK626" s="129"/>
      <c r="BL626" s="129"/>
      <c r="BM626" s="129"/>
      <c r="BN626" s="129"/>
      <c r="BO626" s="129"/>
      <c r="BP626" s="129"/>
      <c r="BQ626" s="129"/>
    </row>
    <row r="627" spans="1:69" s="139" customFormat="1" x14ac:dyDescent="0.25">
      <c r="A627" s="157"/>
      <c r="B627" s="137"/>
      <c r="C627" s="129"/>
      <c r="G627" s="140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28"/>
      <c r="AC627" s="128"/>
      <c r="AD627" s="128"/>
      <c r="AE627" s="128"/>
      <c r="AF627" s="128"/>
      <c r="AG627" s="129"/>
      <c r="AH627" s="129"/>
      <c r="AI627" s="129"/>
      <c r="AJ627" s="129"/>
      <c r="AK627" s="129"/>
      <c r="AL627" s="129"/>
      <c r="AM627" s="129"/>
      <c r="AN627" s="129"/>
      <c r="AO627" s="129"/>
      <c r="AP627" s="129"/>
      <c r="AQ627" s="130"/>
      <c r="AR627" s="130"/>
      <c r="AS627" s="129"/>
      <c r="AT627" s="129"/>
      <c r="AU627" s="129"/>
      <c r="AV627" s="129"/>
      <c r="AW627" s="129"/>
      <c r="AX627" s="129"/>
      <c r="AY627" s="129"/>
      <c r="AZ627" s="129"/>
      <c r="BA627" s="129"/>
      <c r="BB627" s="129"/>
      <c r="BC627" s="129"/>
      <c r="BD627" s="129"/>
      <c r="BE627" s="129"/>
      <c r="BF627" s="129"/>
      <c r="BG627" s="129"/>
      <c r="BH627" s="129"/>
      <c r="BI627" s="129"/>
      <c r="BJ627" s="129"/>
      <c r="BK627" s="129"/>
      <c r="BL627" s="129"/>
      <c r="BM627" s="129"/>
      <c r="BN627" s="129"/>
      <c r="BO627" s="129"/>
      <c r="BP627" s="129"/>
      <c r="BQ627" s="129"/>
    </row>
    <row r="628" spans="1:69" s="139" customFormat="1" x14ac:dyDescent="0.25">
      <c r="A628" s="157"/>
      <c r="B628" s="137"/>
      <c r="C628" s="129"/>
      <c r="G628" s="140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28"/>
      <c r="AC628" s="128"/>
      <c r="AD628" s="128"/>
      <c r="AE628" s="128"/>
      <c r="AF628" s="128"/>
      <c r="AG628" s="129"/>
      <c r="AH628" s="129"/>
      <c r="AI628" s="129"/>
      <c r="AJ628" s="129"/>
      <c r="AK628" s="129"/>
      <c r="AL628" s="129"/>
      <c r="AM628" s="129"/>
      <c r="AN628" s="129"/>
      <c r="AO628" s="129"/>
      <c r="AP628" s="129"/>
      <c r="AQ628" s="130"/>
      <c r="AR628" s="130"/>
      <c r="AS628" s="129"/>
      <c r="AT628" s="129"/>
      <c r="AU628" s="129"/>
      <c r="AV628" s="129"/>
      <c r="AW628" s="129"/>
      <c r="AX628" s="129"/>
      <c r="AY628" s="129"/>
      <c r="AZ628" s="129"/>
      <c r="BA628" s="129"/>
      <c r="BB628" s="129"/>
      <c r="BC628" s="129"/>
      <c r="BD628" s="129"/>
      <c r="BE628" s="129"/>
      <c r="BF628" s="129"/>
      <c r="BG628" s="129"/>
      <c r="BH628" s="129"/>
      <c r="BI628" s="129"/>
      <c r="BJ628" s="129"/>
      <c r="BK628" s="129"/>
      <c r="BL628" s="129"/>
      <c r="BM628" s="129"/>
      <c r="BN628" s="129"/>
      <c r="BO628" s="129"/>
      <c r="BP628" s="129"/>
      <c r="BQ628" s="129"/>
    </row>
    <row r="629" spans="1:69" s="139" customFormat="1" x14ac:dyDescent="0.25">
      <c r="A629" s="157"/>
      <c r="B629" s="137"/>
      <c r="C629" s="129"/>
      <c r="G629" s="140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28"/>
      <c r="AC629" s="128"/>
      <c r="AD629" s="128"/>
      <c r="AE629" s="128"/>
      <c r="AF629" s="128"/>
      <c r="AG629" s="129"/>
      <c r="AH629" s="129"/>
      <c r="AI629" s="129"/>
      <c r="AJ629" s="129"/>
      <c r="AK629" s="129"/>
      <c r="AL629" s="129"/>
      <c r="AM629" s="129"/>
      <c r="AN629" s="129"/>
      <c r="AO629" s="129"/>
      <c r="AP629" s="129"/>
      <c r="AQ629" s="130"/>
      <c r="AR629" s="130"/>
      <c r="AS629" s="129"/>
      <c r="AT629" s="129"/>
      <c r="AU629" s="129"/>
      <c r="AV629" s="129"/>
      <c r="AW629" s="129"/>
      <c r="AX629" s="129"/>
      <c r="AY629" s="129"/>
      <c r="AZ629" s="129"/>
      <c r="BA629" s="129"/>
      <c r="BB629" s="129"/>
      <c r="BC629" s="129"/>
      <c r="BD629" s="129"/>
      <c r="BE629" s="129"/>
      <c r="BF629" s="129"/>
      <c r="BG629" s="129"/>
      <c r="BH629" s="129"/>
      <c r="BI629" s="129"/>
      <c r="BJ629" s="129"/>
      <c r="BK629" s="129"/>
      <c r="BL629" s="129"/>
      <c r="BM629" s="129"/>
      <c r="BN629" s="129"/>
      <c r="BO629" s="129"/>
      <c r="BP629" s="129"/>
      <c r="BQ629" s="129"/>
    </row>
    <row r="630" spans="1:69" s="139" customFormat="1" x14ac:dyDescent="0.25">
      <c r="A630" s="157"/>
      <c r="B630" s="137"/>
      <c r="C630" s="129"/>
      <c r="G630" s="140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28"/>
      <c r="AC630" s="128"/>
      <c r="AD630" s="128"/>
      <c r="AE630" s="128"/>
      <c r="AF630" s="128"/>
      <c r="AG630" s="129"/>
      <c r="AH630" s="129"/>
      <c r="AI630" s="129"/>
      <c r="AJ630" s="129"/>
      <c r="AK630" s="129"/>
      <c r="AL630" s="129"/>
      <c r="AM630" s="129"/>
      <c r="AN630" s="129"/>
      <c r="AO630" s="129"/>
      <c r="AP630" s="129"/>
      <c r="AQ630" s="130"/>
      <c r="AR630" s="130"/>
      <c r="AS630" s="129"/>
      <c r="AT630" s="129"/>
      <c r="AU630" s="129"/>
      <c r="AV630" s="129"/>
      <c r="AW630" s="129"/>
      <c r="AX630" s="129"/>
      <c r="AY630" s="129"/>
      <c r="AZ630" s="129"/>
      <c r="BA630" s="129"/>
      <c r="BB630" s="129"/>
      <c r="BC630" s="129"/>
      <c r="BD630" s="129"/>
      <c r="BE630" s="129"/>
      <c r="BF630" s="129"/>
      <c r="BG630" s="129"/>
      <c r="BH630" s="129"/>
      <c r="BI630" s="129"/>
      <c r="BJ630" s="129"/>
      <c r="BK630" s="129"/>
      <c r="BL630" s="129"/>
      <c r="BM630" s="129"/>
      <c r="BN630" s="129"/>
      <c r="BO630" s="129"/>
      <c r="BP630" s="129"/>
      <c r="BQ630" s="129"/>
    </row>
    <row r="631" spans="1:69" s="139" customFormat="1" x14ac:dyDescent="0.25">
      <c r="A631" s="157"/>
      <c r="B631" s="137"/>
      <c r="C631" s="129"/>
      <c r="G631" s="140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28"/>
      <c r="AC631" s="128"/>
      <c r="AD631" s="128"/>
      <c r="AE631" s="128"/>
      <c r="AF631" s="128"/>
      <c r="AG631" s="129"/>
      <c r="AH631" s="129"/>
      <c r="AI631" s="129"/>
      <c r="AJ631" s="129"/>
      <c r="AK631" s="129"/>
      <c r="AL631" s="129"/>
      <c r="AM631" s="129"/>
      <c r="AN631" s="129"/>
      <c r="AO631" s="129"/>
      <c r="AP631" s="129"/>
      <c r="AQ631" s="130"/>
      <c r="AR631" s="130"/>
      <c r="AS631" s="129"/>
      <c r="AT631" s="129"/>
      <c r="AU631" s="129"/>
      <c r="AV631" s="129"/>
      <c r="AW631" s="129"/>
      <c r="AX631" s="129"/>
      <c r="AY631" s="129"/>
      <c r="AZ631" s="129"/>
      <c r="BA631" s="129"/>
      <c r="BB631" s="129"/>
      <c r="BC631" s="129"/>
      <c r="BD631" s="129"/>
      <c r="BE631" s="129"/>
      <c r="BF631" s="129"/>
      <c r="BG631" s="129"/>
      <c r="BH631" s="129"/>
      <c r="BI631" s="129"/>
      <c r="BJ631" s="129"/>
      <c r="BK631" s="129"/>
      <c r="BL631" s="129"/>
      <c r="BM631" s="129"/>
      <c r="BN631" s="129"/>
      <c r="BO631" s="129"/>
      <c r="BP631" s="129"/>
      <c r="BQ631" s="129"/>
    </row>
    <row r="632" spans="1:69" s="139" customFormat="1" x14ac:dyDescent="0.25">
      <c r="A632" s="157"/>
      <c r="B632" s="137"/>
      <c r="C632" s="129"/>
      <c r="G632" s="140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28"/>
      <c r="AC632" s="128"/>
      <c r="AD632" s="128"/>
      <c r="AE632" s="128"/>
      <c r="AF632" s="128"/>
      <c r="AG632" s="129"/>
      <c r="AH632" s="129"/>
      <c r="AI632" s="129"/>
      <c r="AJ632" s="129"/>
      <c r="AK632" s="129"/>
      <c r="AL632" s="129"/>
      <c r="AM632" s="129"/>
      <c r="AN632" s="129"/>
      <c r="AO632" s="129"/>
      <c r="AP632" s="129"/>
      <c r="AQ632" s="130"/>
      <c r="AR632" s="130"/>
      <c r="AS632" s="129"/>
      <c r="AT632" s="129"/>
      <c r="AU632" s="129"/>
      <c r="AV632" s="129"/>
      <c r="AW632" s="129"/>
      <c r="AX632" s="129"/>
      <c r="AY632" s="129"/>
      <c r="AZ632" s="129"/>
      <c r="BA632" s="129"/>
      <c r="BB632" s="129"/>
      <c r="BC632" s="129"/>
      <c r="BD632" s="129"/>
      <c r="BE632" s="129"/>
      <c r="BF632" s="129"/>
      <c r="BG632" s="129"/>
      <c r="BH632" s="129"/>
      <c r="BI632" s="129"/>
      <c r="BJ632" s="129"/>
      <c r="BK632" s="129"/>
      <c r="BL632" s="129"/>
      <c r="BM632" s="129"/>
      <c r="BN632" s="129"/>
      <c r="BO632" s="129"/>
      <c r="BP632" s="129"/>
      <c r="BQ632" s="129"/>
    </row>
    <row r="633" spans="1:69" s="139" customFormat="1" x14ac:dyDescent="0.25">
      <c r="A633" s="157"/>
      <c r="B633" s="137"/>
      <c r="C633" s="129"/>
      <c r="G633" s="140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28"/>
      <c r="AC633" s="128"/>
      <c r="AD633" s="128"/>
      <c r="AE633" s="128"/>
      <c r="AF633" s="128"/>
      <c r="AG633" s="129"/>
      <c r="AH633" s="129"/>
      <c r="AI633" s="129"/>
      <c r="AJ633" s="129"/>
      <c r="AK633" s="129"/>
      <c r="AL633" s="129"/>
      <c r="AM633" s="129"/>
      <c r="AN633" s="129"/>
      <c r="AO633" s="129"/>
      <c r="AP633" s="129"/>
      <c r="AQ633" s="130"/>
      <c r="AR633" s="130"/>
      <c r="AS633" s="129"/>
      <c r="AT633" s="129"/>
      <c r="AU633" s="129"/>
      <c r="AV633" s="129"/>
      <c r="AW633" s="129"/>
      <c r="AX633" s="129"/>
      <c r="AY633" s="129"/>
      <c r="AZ633" s="129"/>
      <c r="BA633" s="129"/>
      <c r="BB633" s="129"/>
      <c r="BC633" s="129"/>
      <c r="BD633" s="129"/>
      <c r="BE633" s="129"/>
      <c r="BF633" s="129"/>
      <c r="BG633" s="129"/>
      <c r="BH633" s="129"/>
      <c r="BI633" s="129"/>
      <c r="BJ633" s="129"/>
      <c r="BK633" s="129"/>
      <c r="BL633" s="129"/>
      <c r="BM633" s="129"/>
      <c r="BN633" s="129"/>
      <c r="BO633" s="129"/>
      <c r="BP633" s="129"/>
      <c r="BQ633" s="129"/>
    </row>
    <row r="634" spans="1:69" s="139" customFormat="1" x14ac:dyDescent="0.25">
      <c r="A634" s="157"/>
      <c r="B634" s="137"/>
      <c r="C634" s="129"/>
      <c r="G634" s="140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28"/>
      <c r="AC634" s="128"/>
      <c r="AD634" s="128"/>
      <c r="AE634" s="128"/>
      <c r="AF634" s="128"/>
      <c r="AG634" s="129"/>
      <c r="AH634" s="129"/>
      <c r="AI634" s="129"/>
      <c r="AJ634" s="129"/>
      <c r="AK634" s="129"/>
      <c r="AL634" s="129"/>
      <c r="AM634" s="129"/>
      <c r="AN634" s="129"/>
      <c r="AO634" s="129"/>
      <c r="AP634" s="129"/>
      <c r="AQ634" s="130"/>
      <c r="AR634" s="130"/>
      <c r="AS634" s="129"/>
      <c r="AT634" s="129"/>
      <c r="AU634" s="129"/>
      <c r="AV634" s="129"/>
      <c r="AW634" s="129"/>
      <c r="AX634" s="129"/>
      <c r="AY634" s="129"/>
      <c r="AZ634" s="129"/>
      <c r="BA634" s="129"/>
      <c r="BB634" s="129"/>
      <c r="BC634" s="129"/>
      <c r="BD634" s="129"/>
      <c r="BE634" s="129"/>
      <c r="BF634" s="129"/>
      <c r="BG634" s="129"/>
      <c r="BH634" s="129"/>
      <c r="BI634" s="129"/>
      <c r="BJ634" s="129"/>
      <c r="BK634" s="129"/>
      <c r="BL634" s="129"/>
      <c r="BM634" s="129"/>
      <c r="BN634" s="129"/>
      <c r="BO634" s="129"/>
      <c r="BP634" s="129"/>
      <c r="BQ634" s="129"/>
    </row>
    <row r="635" spans="1:69" s="139" customFormat="1" x14ac:dyDescent="0.25">
      <c r="A635" s="157"/>
      <c r="B635" s="137"/>
      <c r="C635" s="129"/>
      <c r="G635" s="140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28"/>
      <c r="AC635" s="128"/>
      <c r="AD635" s="128"/>
      <c r="AE635" s="128"/>
      <c r="AF635" s="128"/>
      <c r="AG635" s="129"/>
      <c r="AH635" s="129"/>
      <c r="AI635" s="129"/>
      <c r="AJ635" s="129"/>
      <c r="AK635" s="129"/>
      <c r="AL635" s="129"/>
      <c r="AM635" s="129"/>
      <c r="AN635" s="129"/>
      <c r="AO635" s="129"/>
      <c r="AP635" s="129"/>
      <c r="AQ635" s="130"/>
      <c r="AR635" s="130"/>
      <c r="AS635" s="129"/>
      <c r="AT635" s="129"/>
      <c r="AU635" s="129"/>
      <c r="AV635" s="129"/>
      <c r="AW635" s="129"/>
      <c r="AX635" s="129"/>
      <c r="AY635" s="129"/>
      <c r="AZ635" s="129"/>
      <c r="BA635" s="129"/>
      <c r="BB635" s="129"/>
      <c r="BC635" s="129"/>
      <c r="BD635" s="129"/>
      <c r="BE635" s="129"/>
      <c r="BF635" s="129"/>
      <c r="BG635" s="129"/>
      <c r="BH635" s="129"/>
      <c r="BI635" s="129"/>
      <c r="BJ635" s="129"/>
      <c r="BK635" s="129"/>
      <c r="BL635" s="129"/>
      <c r="BM635" s="129"/>
      <c r="BN635" s="129"/>
      <c r="BO635" s="129"/>
      <c r="BP635" s="129"/>
      <c r="BQ635" s="129"/>
    </row>
    <row r="636" spans="1:69" s="139" customFormat="1" x14ac:dyDescent="0.25">
      <c r="A636" s="157"/>
      <c r="B636" s="137"/>
      <c r="C636" s="129"/>
      <c r="G636" s="140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28"/>
      <c r="AC636" s="128"/>
      <c r="AD636" s="128"/>
      <c r="AE636" s="128"/>
      <c r="AF636" s="128"/>
      <c r="AG636" s="129"/>
      <c r="AH636" s="129"/>
      <c r="AI636" s="129"/>
      <c r="AJ636" s="129"/>
      <c r="AK636" s="129"/>
      <c r="AL636" s="129"/>
      <c r="AM636" s="129"/>
      <c r="AN636" s="129"/>
      <c r="AO636" s="129"/>
      <c r="AP636" s="129"/>
      <c r="AQ636" s="130"/>
      <c r="AR636" s="130"/>
      <c r="AS636" s="129"/>
      <c r="AT636" s="129"/>
      <c r="AU636" s="129"/>
      <c r="AV636" s="129"/>
      <c r="AW636" s="129"/>
      <c r="AX636" s="129"/>
      <c r="AY636" s="129"/>
      <c r="AZ636" s="129"/>
      <c r="BA636" s="129"/>
      <c r="BB636" s="129"/>
      <c r="BC636" s="129"/>
      <c r="BD636" s="129"/>
      <c r="BE636" s="129"/>
      <c r="BF636" s="129"/>
      <c r="BG636" s="129"/>
      <c r="BH636" s="129"/>
      <c r="BI636" s="129"/>
      <c r="BJ636" s="129"/>
      <c r="BK636" s="129"/>
      <c r="BL636" s="129"/>
      <c r="BM636" s="129"/>
      <c r="BN636" s="129"/>
      <c r="BO636" s="129"/>
      <c r="BP636" s="129"/>
      <c r="BQ636" s="129"/>
    </row>
    <row r="637" spans="1:69" s="139" customFormat="1" x14ac:dyDescent="0.25">
      <c r="A637" s="157"/>
      <c r="B637" s="137"/>
      <c r="C637" s="129"/>
      <c r="G637" s="140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28"/>
      <c r="AC637" s="128"/>
      <c r="AD637" s="128"/>
      <c r="AE637" s="128"/>
      <c r="AF637" s="128"/>
      <c r="AG637" s="129"/>
      <c r="AH637" s="129"/>
      <c r="AI637" s="129"/>
      <c r="AJ637" s="129"/>
      <c r="AK637" s="129"/>
      <c r="AL637" s="129"/>
      <c r="AM637" s="129"/>
      <c r="AN637" s="129"/>
      <c r="AO637" s="129"/>
      <c r="AP637" s="129"/>
      <c r="AQ637" s="130"/>
      <c r="AR637" s="130"/>
      <c r="AS637" s="129"/>
      <c r="AT637" s="129"/>
      <c r="AU637" s="129"/>
      <c r="AV637" s="129"/>
      <c r="AW637" s="129"/>
      <c r="AX637" s="129"/>
      <c r="AY637" s="129"/>
      <c r="AZ637" s="129"/>
      <c r="BA637" s="129"/>
      <c r="BB637" s="129"/>
      <c r="BC637" s="129"/>
      <c r="BD637" s="129"/>
      <c r="BE637" s="129"/>
      <c r="BF637" s="129"/>
      <c r="BG637" s="129"/>
      <c r="BH637" s="129"/>
      <c r="BI637" s="129"/>
      <c r="BJ637" s="129"/>
      <c r="BK637" s="129"/>
      <c r="BL637" s="129"/>
      <c r="BM637" s="129"/>
      <c r="BN637" s="129"/>
      <c r="BO637" s="129"/>
      <c r="BP637" s="129"/>
      <c r="BQ637" s="129"/>
    </row>
    <row r="638" spans="1:69" s="139" customFormat="1" x14ac:dyDescent="0.25">
      <c r="A638" s="157"/>
      <c r="B638" s="137"/>
      <c r="C638" s="129"/>
      <c r="G638" s="140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28"/>
      <c r="AC638" s="128"/>
      <c r="AD638" s="128"/>
      <c r="AE638" s="128"/>
      <c r="AF638" s="128"/>
      <c r="AG638" s="129"/>
      <c r="AH638" s="129"/>
      <c r="AI638" s="129"/>
      <c r="AJ638" s="129"/>
      <c r="AK638" s="129"/>
      <c r="AL638" s="129"/>
      <c r="AM638" s="129"/>
      <c r="AN638" s="129"/>
      <c r="AO638" s="129"/>
      <c r="AP638" s="129"/>
      <c r="AQ638" s="130"/>
      <c r="AR638" s="130"/>
      <c r="AS638" s="129"/>
      <c r="AT638" s="129"/>
      <c r="AU638" s="129"/>
      <c r="AV638" s="129"/>
      <c r="AW638" s="129"/>
      <c r="AX638" s="129"/>
      <c r="AY638" s="129"/>
      <c r="AZ638" s="129"/>
      <c r="BA638" s="129"/>
      <c r="BB638" s="129"/>
      <c r="BC638" s="129"/>
      <c r="BD638" s="129"/>
      <c r="BE638" s="129"/>
      <c r="BF638" s="129"/>
      <c r="BG638" s="129"/>
      <c r="BH638" s="129"/>
      <c r="BI638" s="129"/>
      <c r="BJ638" s="129"/>
      <c r="BK638" s="129"/>
      <c r="BL638" s="129"/>
      <c r="BM638" s="129"/>
      <c r="BN638" s="129"/>
      <c r="BO638" s="129"/>
      <c r="BP638" s="129"/>
      <c r="BQ638" s="129"/>
    </row>
    <row r="639" spans="1:69" s="139" customFormat="1" x14ac:dyDescent="0.25">
      <c r="A639" s="157"/>
      <c r="B639" s="137"/>
      <c r="C639" s="129"/>
      <c r="G639" s="140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28"/>
      <c r="AC639" s="128"/>
      <c r="AD639" s="128"/>
      <c r="AE639" s="128"/>
      <c r="AF639" s="128"/>
      <c r="AG639" s="129"/>
      <c r="AH639" s="129"/>
      <c r="AI639" s="129"/>
      <c r="AJ639" s="129"/>
      <c r="AK639" s="129"/>
      <c r="AL639" s="129"/>
      <c r="AM639" s="129"/>
      <c r="AN639" s="129"/>
      <c r="AO639" s="129"/>
      <c r="AP639" s="129"/>
      <c r="AQ639" s="130"/>
      <c r="AR639" s="130"/>
      <c r="AS639" s="129"/>
      <c r="AT639" s="129"/>
      <c r="AU639" s="129"/>
      <c r="AV639" s="129"/>
      <c r="AW639" s="129"/>
      <c r="AX639" s="129"/>
      <c r="AY639" s="129"/>
      <c r="AZ639" s="129"/>
      <c r="BA639" s="129"/>
      <c r="BB639" s="129"/>
      <c r="BC639" s="129"/>
      <c r="BD639" s="129"/>
      <c r="BE639" s="129"/>
      <c r="BF639" s="129"/>
      <c r="BG639" s="129"/>
      <c r="BH639" s="129"/>
      <c r="BI639" s="129"/>
      <c r="BJ639" s="129"/>
      <c r="BK639" s="129"/>
      <c r="BL639" s="129"/>
      <c r="BM639" s="129"/>
      <c r="BN639" s="129"/>
      <c r="BO639" s="129"/>
      <c r="BP639" s="129"/>
      <c r="BQ639" s="129"/>
    </row>
    <row r="640" spans="1:69" s="139" customFormat="1" x14ac:dyDescent="0.25">
      <c r="A640" s="157"/>
      <c r="B640" s="137"/>
      <c r="C640" s="129"/>
      <c r="G640" s="140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28"/>
      <c r="AC640" s="128"/>
      <c r="AD640" s="128"/>
      <c r="AE640" s="128"/>
      <c r="AF640" s="128"/>
      <c r="AG640" s="129"/>
      <c r="AH640" s="129"/>
      <c r="AI640" s="129"/>
      <c r="AJ640" s="129"/>
      <c r="AK640" s="129"/>
      <c r="AL640" s="129"/>
      <c r="AM640" s="129"/>
      <c r="AN640" s="129"/>
      <c r="AO640" s="129"/>
      <c r="AP640" s="129"/>
      <c r="AQ640" s="130"/>
      <c r="AR640" s="130"/>
      <c r="AS640" s="129"/>
      <c r="AT640" s="129"/>
      <c r="AU640" s="129"/>
      <c r="AV640" s="129"/>
      <c r="AW640" s="129"/>
      <c r="AX640" s="129"/>
      <c r="AY640" s="129"/>
      <c r="AZ640" s="129"/>
      <c r="BA640" s="129"/>
      <c r="BB640" s="129"/>
      <c r="BC640" s="129"/>
      <c r="BD640" s="129"/>
      <c r="BE640" s="129"/>
      <c r="BF640" s="129"/>
      <c r="BG640" s="129"/>
      <c r="BH640" s="129"/>
      <c r="BI640" s="129"/>
      <c r="BJ640" s="129"/>
      <c r="BK640" s="129"/>
      <c r="BL640" s="129"/>
      <c r="BM640" s="129"/>
      <c r="BN640" s="129"/>
      <c r="BO640" s="129"/>
      <c r="BP640" s="129"/>
      <c r="BQ640" s="129"/>
    </row>
    <row r="641" spans="1:69" s="139" customFormat="1" x14ac:dyDescent="0.25">
      <c r="A641" s="157"/>
      <c r="B641" s="137"/>
      <c r="C641" s="129"/>
      <c r="G641" s="140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28"/>
      <c r="AC641" s="128"/>
      <c r="AD641" s="128"/>
      <c r="AE641" s="128"/>
      <c r="AF641" s="128"/>
      <c r="AG641" s="129"/>
      <c r="AH641" s="129"/>
      <c r="AI641" s="129"/>
      <c r="AJ641" s="129"/>
      <c r="AK641" s="129"/>
      <c r="AL641" s="129"/>
      <c r="AM641" s="129"/>
      <c r="AN641" s="129"/>
      <c r="AO641" s="129"/>
      <c r="AP641" s="129"/>
      <c r="AQ641" s="130"/>
      <c r="AR641" s="130"/>
      <c r="AS641" s="129"/>
      <c r="AT641" s="129"/>
      <c r="AU641" s="129"/>
      <c r="AV641" s="129"/>
      <c r="AW641" s="129"/>
      <c r="AX641" s="129"/>
      <c r="AY641" s="129"/>
      <c r="AZ641" s="129"/>
      <c r="BA641" s="129"/>
      <c r="BB641" s="129"/>
      <c r="BC641" s="129"/>
      <c r="BD641" s="129"/>
      <c r="BE641" s="129"/>
      <c r="BF641" s="129"/>
      <c r="BG641" s="129"/>
      <c r="BH641" s="129"/>
      <c r="BI641" s="129"/>
      <c r="BJ641" s="129"/>
      <c r="BK641" s="129"/>
      <c r="BL641" s="129"/>
      <c r="BM641" s="129"/>
      <c r="BN641" s="129"/>
      <c r="BO641" s="129"/>
      <c r="BP641" s="129"/>
      <c r="BQ641" s="129"/>
    </row>
    <row r="642" spans="1:69" s="139" customFormat="1" x14ac:dyDescent="0.25">
      <c r="A642" s="157"/>
      <c r="B642" s="137"/>
      <c r="C642" s="129"/>
      <c r="G642" s="140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28"/>
      <c r="AC642" s="128"/>
      <c r="AD642" s="128"/>
      <c r="AE642" s="128"/>
      <c r="AF642" s="128"/>
      <c r="AG642" s="129"/>
      <c r="AH642" s="129"/>
      <c r="AI642" s="129"/>
      <c r="AJ642" s="129"/>
      <c r="AK642" s="129"/>
      <c r="AL642" s="129"/>
      <c r="AM642" s="129"/>
      <c r="AN642" s="129"/>
      <c r="AO642" s="129"/>
      <c r="AP642" s="129"/>
      <c r="AQ642" s="130"/>
      <c r="AR642" s="130"/>
      <c r="AS642" s="129"/>
      <c r="AT642" s="129"/>
      <c r="AU642" s="129"/>
      <c r="AV642" s="129"/>
      <c r="AW642" s="129"/>
      <c r="AX642" s="129"/>
      <c r="AY642" s="129"/>
      <c r="AZ642" s="129"/>
      <c r="BA642" s="129"/>
      <c r="BB642" s="129"/>
      <c r="BC642" s="129"/>
      <c r="BD642" s="129"/>
      <c r="BE642" s="129"/>
      <c r="BF642" s="129"/>
      <c r="BG642" s="129"/>
      <c r="BH642" s="129"/>
      <c r="BI642" s="129"/>
      <c r="BJ642" s="129"/>
      <c r="BK642" s="129"/>
      <c r="BL642" s="129"/>
      <c r="BM642" s="129"/>
      <c r="BN642" s="129"/>
      <c r="BO642" s="129"/>
      <c r="BP642" s="129"/>
      <c r="BQ642" s="129"/>
    </row>
    <row r="643" spans="1:69" s="139" customFormat="1" x14ac:dyDescent="0.25">
      <c r="A643" s="157"/>
      <c r="B643" s="137"/>
      <c r="C643" s="129"/>
      <c r="G643" s="140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28"/>
      <c r="AC643" s="128"/>
      <c r="AD643" s="128"/>
      <c r="AE643" s="128"/>
      <c r="AF643" s="128"/>
      <c r="AG643" s="129"/>
      <c r="AH643" s="129"/>
      <c r="AI643" s="129"/>
      <c r="AJ643" s="129"/>
      <c r="AK643" s="129"/>
      <c r="AL643" s="129"/>
      <c r="AM643" s="129"/>
      <c r="AN643" s="129"/>
      <c r="AO643" s="129"/>
      <c r="AP643" s="129"/>
      <c r="AQ643" s="130"/>
      <c r="AR643" s="130"/>
      <c r="AS643" s="129"/>
      <c r="AT643" s="129"/>
      <c r="AU643" s="129"/>
      <c r="AV643" s="129"/>
      <c r="AW643" s="129"/>
      <c r="AX643" s="129"/>
      <c r="AY643" s="129"/>
      <c r="AZ643" s="129"/>
      <c r="BA643" s="129"/>
      <c r="BB643" s="129"/>
      <c r="BC643" s="129"/>
      <c r="BD643" s="129"/>
      <c r="BE643" s="129"/>
      <c r="BF643" s="129"/>
      <c r="BG643" s="129"/>
      <c r="BH643" s="129"/>
      <c r="BI643" s="129"/>
      <c r="BJ643" s="129"/>
      <c r="BK643" s="129"/>
      <c r="BL643" s="129"/>
      <c r="BM643" s="129"/>
      <c r="BN643" s="129"/>
      <c r="BO643" s="129"/>
      <c r="BP643" s="129"/>
      <c r="BQ643" s="129"/>
    </row>
    <row r="644" spans="1:69" s="139" customFormat="1" x14ac:dyDescent="0.25">
      <c r="A644" s="157"/>
      <c r="B644" s="137"/>
      <c r="C644" s="129"/>
      <c r="G644" s="140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28"/>
      <c r="AC644" s="128"/>
      <c r="AD644" s="128"/>
      <c r="AE644" s="128"/>
      <c r="AF644" s="128"/>
      <c r="AG644" s="129"/>
      <c r="AH644" s="129"/>
      <c r="AI644" s="129"/>
      <c r="AJ644" s="129"/>
      <c r="AK644" s="129"/>
      <c r="AL644" s="129"/>
      <c r="AM644" s="129"/>
      <c r="AN644" s="129"/>
      <c r="AO644" s="129"/>
      <c r="AP644" s="129"/>
      <c r="AQ644" s="130"/>
      <c r="AR644" s="130"/>
      <c r="AS644" s="129"/>
      <c r="AT644" s="129"/>
      <c r="AU644" s="129"/>
      <c r="AV644" s="129"/>
      <c r="AW644" s="129"/>
      <c r="AX644" s="129"/>
      <c r="AY644" s="129"/>
      <c r="AZ644" s="129"/>
      <c r="BA644" s="129"/>
      <c r="BB644" s="129"/>
      <c r="BC644" s="129"/>
      <c r="BD644" s="129"/>
      <c r="BE644" s="129"/>
      <c r="BF644" s="129"/>
      <c r="BG644" s="129"/>
      <c r="BH644" s="129"/>
      <c r="BI644" s="129"/>
      <c r="BJ644" s="129"/>
      <c r="BK644" s="129"/>
      <c r="BL644" s="129"/>
      <c r="BM644" s="129"/>
      <c r="BN644" s="129"/>
      <c r="BO644" s="129"/>
      <c r="BP644" s="129"/>
      <c r="BQ644" s="129"/>
    </row>
    <row r="645" spans="1:69" s="139" customFormat="1" x14ac:dyDescent="0.25">
      <c r="A645" s="157"/>
      <c r="B645" s="137"/>
      <c r="C645" s="129"/>
      <c r="G645" s="140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28"/>
      <c r="AC645" s="128"/>
      <c r="AD645" s="128"/>
      <c r="AE645" s="128"/>
      <c r="AF645" s="128"/>
      <c r="AG645" s="129"/>
      <c r="AH645" s="129"/>
      <c r="AI645" s="129"/>
      <c r="AJ645" s="129"/>
      <c r="AK645" s="129"/>
      <c r="AL645" s="129"/>
      <c r="AM645" s="129"/>
      <c r="AN645" s="129"/>
      <c r="AO645" s="129"/>
      <c r="AP645" s="129"/>
      <c r="AQ645" s="130"/>
      <c r="AR645" s="130"/>
      <c r="AS645" s="129"/>
      <c r="AT645" s="129"/>
      <c r="AU645" s="129"/>
      <c r="AV645" s="129"/>
      <c r="AW645" s="129"/>
      <c r="AX645" s="129"/>
      <c r="AY645" s="129"/>
      <c r="AZ645" s="129"/>
      <c r="BA645" s="129"/>
      <c r="BB645" s="129"/>
      <c r="BC645" s="129"/>
      <c r="BD645" s="129"/>
      <c r="BE645" s="129"/>
      <c r="BF645" s="129"/>
      <c r="BG645" s="129"/>
      <c r="BH645" s="129"/>
      <c r="BI645" s="129"/>
      <c r="BJ645" s="129"/>
      <c r="BK645" s="129"/>
      <c r="BL645" s="129"/>
      <c r="BM645" s="129"/>
      <c r="BN645" s="129"/>
      <c r="BO645" s="129"/>
      <c r="BP645" s="129"/>
      <c r="BQ645" s="129"/>
    </row>
    <row r="646" spans="1:69" s="139" customFormat="1" x14ac:dyDescent="0.25">
      <c r="A646" s="157"/>
      <c r="B646" s="137"/>
      <c r="C646" s="129"/>
      <c r="G646" s="140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28"/>
      <c r="AC646" s="128"/>
      <c r="AD646" s="128"/>
      <c r="AE646" s="128"/>
      <c r="AF646" s="128"/>
      <c r="AG646" s="129"/>
      <c r="AH646" s="129"/>
      <c r="AI646" s="129"/>
      <c r="AJ646" s="129"/>
      <c r="AK646" s="129"/>
      <c r="AL646" s="129"/>
      <c r="AM646" s="129"/>
      <c r="AN646" s="129"/>
      <c r="AO646" s="129"/>
      <c r="AP646" s="129"/>
      <c r="AQ646" s="130"/>
      <c r="AR646" s="130"/>
      <c r="AS646" s="129"/>
      <c r="AT646" s="129"/>
      <c r="AU646" s="129"/>
      <c r="AV646" s="129"/>
      <c r="AW646" s="129"/>
      <c r="AX646" s="129"/>
      <c r="AY646" s="129"/>
      <c r="AZ646" s="129"/>
      <c r="BA646" s="129"/>
      <c r="BB646" s="129"/>
      <c r="BC646" s="129"/>
      <c r="BD646" s="129"/>
      <c r="BE646" s="129"/>
      <c r="BF646" s="129"/>
      <c r="BG646" s="129"/>
      <c r="BH646" s="129"/>
      <c r="BI646" s="129"/>
      <c r="BJ646" s="129"/>
      <c r="BK646" s="129"/>
      <c r="BL646" s="129"/>
      <c r="BM646" s="129"/>
      <c r="BN646" s="129"/>
      <c r="BO646" s="129"/>
      <c r="BP646" s="129"/>
      <c r="BQ646" s="129"/>
    </row>
    <row r="647" spans="1:69" s="139" customFormat="1" x14ac:dyDescent="0.25">
      <c r="A647" s="157"/>
      <c r="B647" s="137"/>
      <c r="C647" s="129"/>
      <c r="G647" s="140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28"/>
      <c r="AC647" s="128"/>
      <c r="AD647" s="128"/>
      <c r="AE647" s="128"/>
      <c r="AF647" s="128"/>
      <c r="AG647" s="129"/>
      <c r="AH647" s="129"/>
      <c r="AI647" s="129"/>
      <c r="AJ647" s="129"/>
      <c r="AK647" s="129"/>
      <c r="AL647" s="129"/>
      <c r="AM647" s="129"/>
      <c r="AN647" s="129"/>
      <c r="AO647" s="129"/>
      <c r="AP647" s="129"/>
      <c r="AQ647" s="130"/>
      <c r="AR647" s="130"/>
      <c r="AS647" s="129"/>
      <c r="AT647" s="129"/>
      <c r="AU647" s="129"/>
      <c r="AV647" s="129"/>
      <c r="AW647" s="129"/>
      <c r="AX647" s="129"/>
      <c r="AY647" s="129"/>
      <c r="AZ647" s="129"/>
      <c r="BA647" s="129"/>
      <c r="BB647" s="129"/>
      <c r="BC647" s="129"/>
      <c r="BD647" s="129"/>
      <c r="BE647" s="129"/>
      <c r="BF647" s="129"/>
      <c r="BG647" s="129"/>
      <c r="BH647" s="129"/>
      <c r="BI647" s="129"/>
      <c r="BJ647" s="129"/>
      <c r="BK647" s="129"/>
      <c r="BL647" s="129"/>
      <c r="BM647" s="129"/>
      <c r="BN647" s="129"/>
      <c r="BO647" s="129"/>
      <c r="BP647" s="129"/>
      <c r="BQ647" s="129"/>
    </row>
    <row r="648" spans="1:69" s="139" customFormat="1" x14ac:dyDescent="0.25">
      <c r="A648" s="157"/>
      <c r="B648" s="137"/>
      <c r="C648" s="129"/>
      <c r="G648" s="140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28"/>
      <c r="AC648" s="128"/>
      <c r="AD648" s="128"/>
      <c r="AE648" s="128"/>
      <c r="AF648" s="128"/>
      <c r="AG648" s="129"/>
      <c r="AH648" s="129"/>
      <c r="AI648" s="129"/>
      <c r="AJ648" s="129"/>
      <c r="AK648" s="129"/>
      <c r="AL648" s="129"/>
      <c r="AM648" s="129"/>
      <c r="AN648" s="129"/>
      <c r="AO648" s="129"/>
      <c r="AP648" s="129"/>
      <c r="AQ648" s="130"/>
      <c r="AR648" s="130"/>
      <c r="AS648" s="129"/>
      <c r="AT648" s="129"/>
      <c r="AU648" s="129"/>
      <c r="AV648" s="129"/>
      <c r="AW648" s="129"/>
      <c r="AX648" s="129"/>
      <c r="AY648" s="129"/>
      <c r="AZ648" s="129"/>
      <c r="BA648" s="129"/>
      <c r="BB648" s="129"/>
      <c r="BC648" s="129"/>
      <c r="BD648" s="129"/>
      <c r="BE648" s="129"/>
      <c r="BF648" s="129"/>
      <c r="BG648" s="129"/>
      <c r="BH648" s="129"/>
      <c r="BI648" s="129"/>
      <c r="BJ648" s="129"/>
      <c r="BK648" s="129"/>
      <c r="BL648" s="129"/>
      <c r="BM648" s="129"/>
      <c r="BN648" s="129"/>
      <c r="BO648" s="129"/>
      <c r="BP648" s="129"/>
      <c r="BQ648" s="129"/>
    </row>
    <row r="649" spans="1:69" s="139" customFormat="1" x14ac:dyDescent="0.25">
      <c r="A649" s="157"/>
      <c r="B649" s="137"/>
      <c r="C649" s="129"/>
      <c r="G649" s="140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28"/>
      <c r="AC649" s="128"/>
      <c r="AD649" s="128"/>
      <c r="AE649" s="128"/>
      <c r="AF649" s="128"/>
      <c r="AG649" s="129"/>
      <c r="AH649" s="129"/>
      <c r="AI649" s="129"/>
      <c r="AJ649" s="129"/>
      <c r="AK649" s="129"/>
      <c r="AL649" s="129"/>
      <c r="AM649" s="129"/>
      <c r="AN649" s="129"/>
      <c r="AO649" s="129"/>
      <c r="AP649" s="129"/>
      <c r="AQ649" s="130"/>
      <c r="AR649" s="130"/>
      <c r="AS649" s="129"/>
      <c r="AT649" s="129"/>
      <c r="AU649" s="129"/>
      <c r="AV649" s="129"/>
      <c r="AW649" s="129"/>
      <c r="AX649" s="129"/>
      <c r="AY649" s="129"/>
      <c r="AZ649" s="129"/>
      <c r="BA649" s="129"/>
      <c r="BB649" s="129"/>
      <c r="BC649" s="129"/>
      <c r="BD649" s="129"/>
      <c r="BE649" s="129"/>
      <c r="BF649" s="129"/>
      <c r="BG649" s="129"/>
      <c r="BH649" s="129"/>
      <c r="BI649" s="129"/>
      <c r="BJ649" s="129"/>
      <c r="BK649" s="129"/>
      <c r="BL649" s="129"/>
      <c r="BM649" s="129"/>
      <c r="BN649" s="129"/>
      <c r="BO649" s="129"/>
      <c r="BP649" s="129"/>
      <c r="BQ649" s="129"/>
    </row>
    <row r="650" spans="1:69" s="139" customFormat="1" x14ac:dyDescent="0.25">
      <c r="A650" s="157"/>
      <c r="B650" s="137"/>
      <c r="C650" s="129"/>
      <c r="G650" s="140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28"/>
      <c r="AC650" s="128"/>
      <c r="AD650" s="128"/>
      <c r="AE650" s="128"/>
      <c r="AF650" s="128"/>
      <c r="AG650" s="129"/>
      <c r="AH650" s="129"/>
      <c r="AI650" s="129"/>
      <c r="AJ650" s="129"/>
      <c r="AK650" s="129"/>
      <c r="AL650" s="129"/>
      <c r="AM650" s="129"/>
      <c r="AN650" s="129"/>
      <c r="AO650" s="129"/>
      <c r="AP650" s="129"/>
      <c r="AQ650" s="130"/>
      <c r="AR650" s="130"/>
      <c r="AS650" s="129"/>
      <c r="AT650" s="129"/>
      <c r="AU650" s="129"/>
      <c r="AV650" s="129"/>
      <c r="AW650" s="129"/>
      <c r="AX650" s="129"/>
      <c r="AY650" s="129"/>
      <c r="AZ650" s="129"/>
      <c r="BA650" s="129"/>
      <c r="BB650" s="129"/>
      <c r="BC650" s="129"/>
      <c r="BD650" s="129"/>
      <c r="BE650" s="129"/>
      <c r="BF650" s="129"/>
      <c r="BG650" s="129"/>
      <c r="BH650" s="129"/>
      <c r="BI650" s="129"/>
      <c r="BJ650" s="129"/>
      <c r="BK650" s="129"/>
      <c r="BL650" s="129"/>
      <c r="BM650" s="129"/>
      <c r="BN650" s="129"/>
      <c r="BO650" s="129"/>
      <c r="BP650" s="129"/>
      <c r="BQ650" s="129"/>
    </row>
    <row r="651" spans="1:69" s="139" customFormat="1" x14ac:dyDescent="0.25">
      <c r="A651" s="157"/>
      <c r="B651" s="137"/>
      <c r="C651" s="129"/>
      <c r="G651" s="140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28"/>
      <c r="AC651" s="128"/>
      <c r="AD651" s="128"/>
      <c r="AE651" s="128"/>
      <c r="AF651" s="128"/>
      <c r="AG651" s="129"/>
      <c r="AH651" s="129"/>
      <c r="AI651" s="129"/>
      <c r="AJ651" s="129"/>
      <c r="AK651" s="129"/>
      <c r="AL651" s="129"/>
      <c r="AM651" s="129"/>
      <c r="AN651" s="129"/>
      <c r="AO651" s="129"/>
      <c r="AP651" s="129"/>
      <c r="AQ651" s="130"/>
      <c r="AR651" s="130"/>
      <c r="AS651" s="129"/>
      <c r="AT651" s="129"/>
      <c r="AU651" s="129"/>
      <c r="AV651" s="129"/>
      <c r="AW651" s="129"/>
      <c r="AX651" s="129"/>
      <c r="AY651" s="129"/>
      <c r="AZ651" s="129"/>
      <c r="BA651" s="129"/>
      <c r="BB651" s="129"/>
      <c r="BC651" s="129"/>
      <c r="BD651" s="129"/>
      <c r="BE651" s="129"/>
      <c r="BF651" s="129"/>
      <c r="BG651" s="129"/>
      <c r="BH651" s="129"/>
      <c r="BI651" s="129"/>
      <c r="BJ651" s="129"/>
      <c r="BK651" s="129"/>
      <c r="BL651" s="129"/>
      <c r="BM651" s="129"/>
      <c r="BN651" s="129"/>
      <c r="BO651" s="129"/>
      <c r="BP651" s="129"/>
      <c r="BQ651" s="129"/>
    </row>
    <row r="652" spans="1:69" s="139" customFormat="1" x14ac:dyDescent="0.25">
      <c r="A652" s="157"/>
      <c r="B652" s="137"/>
      <c r="C652" s="129"/>
      <c r="G652" s="140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28"/>
      <c r="AC652" s="128"/>
      <c r="AD652" s="128"/>
      <c r="AE652" s="128"/>
      <c r="AF652" s="128"/>
      <c r="AG652" s="129"/>
      <c r="AH652" s="129"/>
      <c r="AI652" s="129"/>
      <c r="AJ652" s="129"/>
      <c r="AK652" s="129"/>
      <c r="AL652" s="129"/>
      <c r="AM652" s="129"/>
      <c r="AN652" s="129"/>
      <c r="AO652" s="129"/>
      <c r="AP652" s="129"/>
      <c r="AQ652" s="130"/>
      <c r="AR652" s="130"/>
      <c r="AS652" s="129"/>
      <c r="AT652" s="129"/>
      <c r="AU652" s="129"/>
      <c r="AV652" s="129"/>
      <c r="AW652" s="129"/>
      <c r="AX652" s="129"/>
      <c r="AY652" s="129"/>
      <c r="AZ652" s="129"/>
      <c r="BA652" s="129"/>
      <c r="BB652" s="129"/>
      <c r="BC652" s="129"/>
      <c r="BD652" s="129"/>
      <c r="BE652" s="129"/>
      <c r="BF652" s="129"/>
      <c r="BG652" s="129"/>
      <c r="BH652" s="129"/>
      <c r="BI652" s="129"/>
      <c r="BJ652" s="129"/>
      <c r="BK652" s="129"/>
      <c r="BL652" s="129"/>
      <c r="BM652" s="129"/>
      <c r="BN652" s="129"/>
      <c r="BO652" s="129"/>
      <c r="BP652" s="129"/>
      <c r="BQ652" s="129"/>
    </row>
    <row r="653" spans="1:69" s="139" customFormat="1" x14ac:dyDescent="0.25">
      <c r="A653" s="157"/>
      <c r="B653" s="137"/>
      <c r="C653" s="129"/>
      <c r="G653" s="140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28"/>
      <c r="AC653" s="128"/>
      <c r="AD653" s="128"/>
      <c r="AE653" s="128"/>
      <c r="AF653" s="128"/>
      <c r="AG653" s="129"/>
      <c r="AH653" s="129"/>
      <c r="AI653" s="129"/>
      <c r="AJ653" s="129"/>
      <c r="AK653" s="129"/>
      <c r="AL653" s="129"/>
      <c r="AM653" s="129"/>
      <c r="AN653" s="129"/>
      <c r="AO653" s="129"/>
      <c r="AP653" s="129"/>
      <c r="AQ653" s="130"/>
      <c r="AR653" s="130"/>
      <c r="AS653" s="129"/>
      <c r="AT653" s="129"/>
      <c r="AU653" s="129"/>
      <c r="AV653" s="129"/>
      <c r="AW653" s="129"/>
      <c r="AX653" s="129"/>
      <c r="AY653" s="129"/>
      <c r="AZ653" s="129"/>
      <c r="BA653" s="129"/>
      <c r="BB653" s="129"/>
      <c r="BC653" s="129"/>
      <c r="BD653" s="129"/>
      <c r="BE653" s="129"/>
      <c r="BF653" s="129"/>
      <c r="BG653" s="129"/>
      <c r="BH653" s="129"/>
      <c r="BI653" s="129"/>
      <c r="BJ653" s="129"/>
      <c r="BK653" s="129"/>
      <c r="BL653" s="129"/>
      <c r="BM653" s="129"/>
      <c r="BN653" s="129"/>
      <c r="BO653" s="129"/>
      <c r="BP653" s="129"/>
      <c r="BQ653" s="129"/>
    </row>
    <row r="654" spans="1:69" s="139" customFormat="1" x14ac:dyDescent="0.25">
      <c r="A654" s="157"/>
      <c r="B654" s="137"/>
      <c r="C654" s="129"/>
      <c r="G654" s="140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28"/>
      <c r="AC654" s="128"/>
      <c r="AD654" s="128"/>
      <c r="AE654" s="128"/>
      <c r="AF654" s="128"/>
      <c r="AG654" s="129"/>
      <c r="AH654" s="129"/>
      <c r="AI654" s="129"/>
      <c r="AJ654" s="129"/>
      <c r="AK654" s="129"/>
      <c r="AL654" s="129"/>
      <c r="AM654" s="129"/>
      <c r="AN654" s="129"/>
      <c r="AO654" s="129"/>
      <c r="AP654" s="129"/>
      <c r="AQ654" s="130"/>
      <c r="AR654" s="130"/>
      <c r="AS654" s="129"/>
      <c r="AT654" s="129"/>
      <c r="AU654" s="129"/>
      <c r="AV654" s="129"/>
      <c r="AW654" s="129"/>
      <c r="AX654" s="129"/>
      <c r="AY654" s="129"/>
      <c r="AZ654" s="129"/>
      <c r="BA654" s="129"/>
      <c r="BB654" s="129"/>
      <c r="BC654" s="129"/>
      <c r="BD654" s="129"/>
      <c r="BE654" s="129"/>
      <c r="BF654" s="129"/>
      <c r="BG654" s="129"/>
      <c r="BH654" s="129"/>
      <c r="BI654" s="129"/>
      <c r="BJ654" s="129"/>
      <c r="BK654" s="129"/>
      <c r="BL654" s="129"/>
      <c r="BM654" s="129"/>
      <c r="BN654" s="129"/>
      <c r="BO654" s="129"/>
      <c r="BP654" s="129"/>
      <c r="BQ654" s="129"/>
    </row>
    <row r="655" spans="1:69" s="139" customFormat="1" x14ac:dyDescent="0.25">
      <c r="A655" s="157"/>
      <c r="B655" s="137"/>
      <c r="C655" s="129"/>
      <c r="G655" s="140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28"/>
      <c r="AC655" s="128"/>
      <c r="AD655" s="128"/>
      <c r="AE655" s="128"/>
      <c r="AF655" s="128"/>
      <c r="AG655" s="129"/>
      <c r="AH655" s="129"/>
      <c r="AI655" s="129"/>
      <c r="AJ655" s="129"/>
      <c r="AK655" s="129"/>
      <c r="AL655" s="129"/>
      <c r="AM655" s="129"/>
      <c r="AN655" s="129"/>
      <c r="AO655" s="129"/>
      <c r="AP655" s="129"/>
      <c r="AQ655" s="130"/>
      <c r="AR655" s="130"/>
      <c r="AS655" s="129"/>
      <c r="AT655" s="129"/>
      <c r="AU655" s="129"/>
      <c r="AV655" s="129"/>
      <c r="AW655" s="129"/>
      <c r="AX655" s="129"/>
      <c r="AY655" s="129"/>
      <c r="AZ655" s="129"/>
      <c r="BA655" s="129"/>
      <c r="BB655" s="129"/>
      <c r="BC655" s="129"/>
      <c r="BD655" s="129"/>
      <c r="BE655" s="129"/>
      <c r="BF655" s="129"/>
      <c r="BG655" s="129"/>
      <c r="BH655" s="129"/>
      <c r="BI655" s="129"/>
      <c r="BJ655" s="129"/>
      <c r="BK655" s="129"/>
      <c r="BL655" s="129"/>
      <c r="BM655" s="129"/>
      <c r="BN655" s="129"/>
      <c r="BO655" s="129"/>
      <c r="BP655" s="129"/>
      <c r="BQ655" s="129"/>
    </row>
    <row r="656" spans="1:69" s="139" customFormat="1" x14ac:dyDescent="0.25">
      <c r="A656" s="157"/>
      <c r="B656" s="137"/>
      <c r="C656" s="129"/>
      <c r="G656" s="140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28"/>
      <c r="AC656" s="128"/>
      <c r="AD656" s="128"/>
      <c r="AE656" s="128"/>
      <c r="AF656" s="128"/>
      <c r="AG656" s="129"/>
      <c r="AH656" s="129"/>
      <c r="AI656" s="129"/>
      <c r="AJ656" s="129"/>
      <c r="AK656" s="129"/>
      <c r="AL656" s="129"/>
      <c r="AM656" s="129"/>
      <c r="AN656" s="129"/>
      <c r="AO656" s="129"/>
      <c r="AP656" s="129"/>
      <c r="AQ656" s="130"/>
      <c r="AR656" s="130"/>
      <c r="AS656" s="129"/>
      <c r="AT656" s="129"/>
      <c r="AU656" s="129"/>
      <c r="AV656" s="129"/>
      <c r="AW656" s="129"/>
      <c r="AX656" s="129"/>
      <c r="AY656" s="129"/>
      <c r="AZ656" s="129"/>
      <c r="BA656" s="129"/>
      <c r="BB656" s="129"/>
      <c r="BC656" s="129"/>
      <c r="BD656" s="129"/>
      <c r="BE656" s="129"/>
      <c r="BF656" s="129"/>
      <c r="BG656" s="129"/>
      <c r="BH656" s="129"/>
      <c r="BI656" s="129"/>
      <c r="BJ656" s="129"/>
      <c r="BK656" s="129"/>
      <c r="BL656" s="129"/>
      <c r="BM656" s="129"/>
      <c r="BN656" s="129"/>
      <c r="BO656" s="129"/>
      <c r="BP656" s="129"/>
      <c r="BQ656" s="129"/>
    </row>
    <row r="657" spans="1:69" s="139" customFormat="1" x14ac:dyDescent="0.25">
      <c r="A657" s="157"/>
      <c r="B657" s="137"/>
      <c r="C657" s="129"/>
      <c r="G657" s="140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28"/>
      <c r="AC657" s="128"/>
      <c r="AD657" s="128"/>
      <c r="AE657" s="128"/>
      <c r="AF657" s="128"/>
      <c r="AG657" s="129"/>
      <c r="AH657" s="129"/>
      <c r="AI657" s="129"/>
      <c r="AJ657" s="129"/>
      <c r="AK657" s="129"/>
      <c r="AL657" s="129"/>
      <c r="AM657" s="129"/>
      <c r="AN657" s="129"/>
      <c r="AO657" s="129"/>
      <c r="AP657" s="129"/>
      <c r="AQ657" s="130"/>
      <c r="AR657" s="130"/>
      <c r="AS657" s="129"/>
      <c r="AT657" s="129"/>
      <c r="AU657" s="129"/>
      <c r="AV657" s="129"/>
      <c r="AW657" s="129"/>
      <c r="AX657" s="129"/>
      <c r="AY657" s="129"/>
      <c r="AZ657" s="129"/>
      <c r="BA657" s="129"/>
      <c r="BB657" s="129"/>
      <c r="BC657" s="129"/>
      <c r="BD657" s="129"/>
      <c r="BE657" s="129"/>
      <c r="BF657" s="129"/>
      <c r="BG657" s="129"/>
      <c r="BH657" s="129"/>
      <c r="BI657" s="129"/>
      <c r="BJ657" s="129"/>
      <c r="BK657" s="129"/>
      <c r="BL657" s="129"/>
      <c r="BM657" s="129"/>
      <c r="BN657" s="129"/>
      <c r="BO657" s="129"/>
      <c r="BP657" s="129"/>
      <c r="BQ657" s="129"/>
    </row>
    <row r="658" spans="1:69" s="139" customFormat="1" x14ac:dyDescent="0.25">
      <c r="A658" s="157"/>
      <c r="B658" s="137"/>
      <c r="C658" s="129"/>
      <c r="G658" s="140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28"/>
      <c r="AC658" s="128"/>
      <c r="AD658" s="128"/>
      <c r="AE658" s="128"/>
      <c r="AF658" s="128"/>
      <c r="AG658" s="129"/>
      <c r="AH658" s="129"/>
      <c r="AI658" s="129"/>
      <c r="AJ658" s="129"/>
      <c r="AK658" s="129"/>
      <c r="AL658" s="129"/>
      <c r="AM658" s="129"/>
      <c r="AN658" s="129"/>
      <c r="AO658" s="129"/>
      <c r="AP658" s="129"/>
      <c r="AQ658" s="130"/>
      <c r="AR658" s="130"/>
      <c r="AS658" s="129"/>
      <c r="AT658" s="129"/>
      <c r="AU658" s="129"/>
      <c r="AV658" s="129"/>
      <c r="AW658" s="129"/>
      <c r="AX658" s="129"/>
      <c r="AY658" s="129"/>
      <c r="AZ658" s="129"/>
      <c r="BA658" s="129"/>
      <c r="BB658" s="129"/>
      <c r="BC658" s="129"/>
      <c r="BD658" s="129"/>
      <c r="BE658" s="129"/>
      <c r="BF658" s="129"/>
      <c r="BG658" s="129"/>
      <c r="BH658" s="129"/>
      <c r="BI658" s="129"/>
      <c r="BJ658" s="129"/>
      <c r="BK658" s="129"/>
      <c r="BL658" s="129"/>
      <c r="BM658" s="129"/>
      <c r="BN658" s="129"/>
      <c r="BO658" s="129"/>
      <c r="BP658" s="129"/>
      <c r="BQ658" s="129"/>
    </row>
    <row r="659" spans="1:69" s="139" customFormat="1" x14ac:dyDescent="0.25">
      <c r="A659" s="157"/>
      <c r="B659" s="137"/>
      <c r="C659" s="129"/>
      <c r="G659" s="140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28"/>
      <c r="AC659" s="128"/>
      <c r="AD659" s="128"/>
      <c r="AE659" s="128"/>
      <c r="AF659" s="128"/>
      <c r="AG659" s="129"/>
      <c r="AH659" s="129"/>
      <c r="AI659" s="129"/>
      <c r="AJ659" s="129"/>
      <c r="AK659" s="129"/>
      <c r="AL659" s="129"/>
      <c r="AM659" s="129"/>
      <c r="AN659" s="129"/>
      <c r="AO659" s="129"/>
      <c r="AP659" s="129"/>
      <c r="AQ659" s="130"/>
      <c r="AR659" s="130"/>
      <c r="AS659" s="129"/>
      <c r="AT659" s="129"/>
      <c r="AU659" s="129"/>
      <c r="AV659" s="129"/>
      <c r="AW659" s="129"/>
      <c r="AX659" s="129"/>
      <c r="AY659" s="129"/>
      <c r="AZ659" s="129"/>
      <c r="BA659" s="129"/>
      <c r="BB659" s="129"/>
      <c r="BC659" s="129"/>
      <c r="BD659" s="129"/>
      <c r="BE659" s="129"/>
      <c r="BF659" s="129"/>
      <c r="BG659" s="129"/>
      <c r="BH659" s="129"/>
      <c r="BI659" s="129"/>
      <c r="BJ659" s="129"/>
      <c r="BK659" s="129"/>
      <c r="BL659" s="129"/>
      <c r="BM659" s="129"/>
      <c r="BN659" s="129"/>
      <c r="BO659" s="129"/>
      <c r="BP659" s="129"/>
      <c r="BQ659" s="129"/>
    </row>
    <row r="660" spans="1:69" s="139" customFormat="1" x14ac:dyDescent="0.25">
      <c r="A660" s="157"/>
      <c r="B660" s="137"/>
      <c r="C660" s="129"/>
      <c r="G660" s="140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28"/>
      <c r="AC660" s="128"/>
      <c r="AD660" s="128"/>
      <c r="AE660" s="128"/>
      <c r="AF660" s="128"/>
      <c r="AG660" s="129"/>
      <c r="AH660" s="129"/>
      <c r="AI660" s="129"/>
      <c r="AJ660" s="129"/>
      <c r="AK660" s="129"/>
      <c r="AL660" s="129"/>
      <c r="AM660" s="129"/>
      <c r="AN660" s="129"/>
      <c r="AO660" s="129"/>
      <c r="AP660" s="129"/>
      <c r="AQ660" s="130"/>
      <c r="AR660" s="130"/>
      <c r="AS660" s="129"/>
      <c r="AT660" s="129"/>
      <c r="AU660" s="129"/>
      <c r="AV660" s="129"/>
      <c r="AW660" s="129"/>
      <c r="AX660" s="129"/>
      <c r="AY660" s="129"/>
      <c r="AZ660" s="129"/>
      <c r="BA660" s="129"/>
      <c r="BB660" s="129"/>
      <c r="BC660" s="129"/>
      <c r="BD660" s="129"/>
      <c r="BE660" s="129"/>
      <c r="BF660" s="129"/>
      <c r="BG660" s="129"/>
      <c r="BH660" s="129"/>
      <c r="BI660" s="129"/>
      <c r="BJ660" s="129"/>
      <c r="BK660" s="129"/>
      <c r="BL660" s="129"/>
      <c r="BM660" s="129"/>
      <c r="BN660" s="129"/>
      <c r="BO660" s="129"/>
      <c r="BP660" s="129"/>
      <c r="BQ660" s="129"/>
    </row>
    <row r="661" spans="1:69" s="139" customFormat="1" x14ac:dyDescent="0.25">
      <c r="A661" s="157"/>
      <c r="B661" s="137"/>
      <c r="C661" s="129"/>
      <c r="G661" s="140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28"/>
      <c r="AC661" s="128"/>
      <c r="AD661" s="128"/>
      <c r="AE661" s="128"/>
      <c r="AF661" s="128"/>
      <c r="AG661" s="129"/>
      <c r="AH661" s="129"/>
      <c r="AI661" s="129"/>
      <c r="AJ661" s="129"/>
      <c r="AK661" s="129"/>
      <c r="AL661" s="129"/>
      <c r="AM661" s="129"/>
      <c r="AN661" s="129"/>
      <c r="AO661" s="129"/>
      <c r="AP661" s="129"/>
      <c r="AQ661" s="130"/>
      <c r="AR661" s="130"/>
      <c r="AS661" s="129"/>
      <c r="AT661" s="129"/>
      <c r="AU661" s="129"/>
      <c r="AV661" s="129"/>
      <c r="AW661" s="129"/>
      <c r="AX661" s="129"/>
      <c r="AY661" s="129"/>
      <c r="AZ661" s="129"/>
      <c r="BA661" s="129"/>
      <c r="BB661" s="129"/>
      <c r="BC661" s="129"/>
      <c r="BD661" s="129"/>
      <c r="BE661" s="129"/>
      <c r="BF661" s="129"/>
      <c r="BG661" s="129"/>
      <c r="BH661" s="129"/>
      <c r="BI661" s="129"/>
      <c r="BJ661" s="129"/>
      <c r="BK661" s="129"/>
      <c r="BL661" s="129"/>
      <c r="BM661" s="129"/>
      <c r="BN661" s="129"/>
      <c r="BO661" s="129"/>
      <c r="BP661" s="129"/>
      <c r="BQ661" s="129"/>
    </row>
    <row r="662" spans="1:69" s="139" customFormat="1" x14ac:dyDescent="0.25">
      <c r="A662" s="157"/>
      <c r="B662" s="137"/>
      <c r="C662" s="129"/>
      <c r="G662" s="140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28"/>
      <c r="AC662" s="128"/>
      <c r="AD662" s="128"/>
      <c r="AE662" s="128"/>
      <c r="AF662" s="128"/>
      <c r="AG662" s="129"/>
      <c r="AH662" s="129"/>
      <c r="AI662" s="129"/>
      <c r="AJ662" s="129"/>
      <c r="AK662" s="129"/>
      <c r="AL662" s="129"/>
      <c r="AM662" s="129"/>
      <c r="AN662" s="129"/>
      <c r="AO662" s="129"/>
      <c r="AP662" s="129"/>
      <c r="AQ662" s="130"/>
      <c r="AR662" s="130"/>
      <c r="AS662" s="129"/>
      <c r="AT662" s="129"/>
      <c r="AU662" s="129"/>
      <c r="AV662" s="129"/>
      <c r="AW662" s="129"/>
      <c r="AX662" s="129"/>
      <c r="AY662" s="129"/>
      <c r="AZ662" s="129"/>
      <c r="BA662" s="129"/>
      <c r="BB662" s="129"/>
      <c r="BC662" s="129"/>
      <c r="BD662" s="129"/>
      <c r="BE662" s="129"/>
      <c r="BF662" s="129"/>
      <c r="BG662" s="129"/>
      <c r="BH662" s="129"/>
      <c r="BI662" s="129"/>
      <c r="BJ662" s="129"/>
      <c r="BK662" s="129"/>
      <c r="BL662" s="129"/>
      <c r="BM662" s="129"/>
      <c r="BN662" s="129"/>
      <c r="BO662" s="129"/>
      <c r="BP662" s="129"/>
      <c r="BQ662" s="129"/>
    </row>
    <row r="663" spans="1:69" s="139" customFormat="1" x14ac:dyDescent="0.25">
      <c r="A663" s="157"/>
      <c r="B663" s="137"/>
      <c r="C663" s="129"/>
      <c r="G663" s="140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28"/>
      <c r="AC663" s="128"/>
      <c r="AD663" s="128"/>
      <c r="AE663" s="128"/>
      <c r="AF663" s="128"/>
      <c r="AG663" s="129"/>
      <c r="AH663" s="129"/>
      <c r="AI663" s="129"/>
      <c r="AJ663" s="129"/>
      <c r="AK663" s="129"/>
      <c r="AL663" s="129"/>
      <c r="AM663" s="129"/>
      <c r="AN663" s="129"/>
      <c r="AO663" s="129"/>
      <c r="AP663" s="129"/>
      <c r="AQ663" s="130"/>
      <c r="AR663" s="130"/>
      <c r="AS663" s="129"/>
      <c r="AT663" s="129"/>
      <c r="AU663" s="129"/>
      <c r="AV663" s="129"/>
      <c r="AW663" s="129"/>
      <c r="AX663" s="129"/>
      <c r="AY663" s="129"/>
      <c r="AZ663" s="129"/>
      <c r="BA663" s="129"/>
      <c r="BB663" s="129"/>
      <c r="BC663" s="129"/>
      <c r="BD663" s="129"/>
      <c r="BE663" s="129"/>
      <c r="BF663" s="129"/>
      <c r="BG663" s="129"/>
      <c r="BH663" s="129"/>
      <c r="BI663" s="129"/>
      <c r="BJ663" s="129"/>
      <c r="BK663" s="129"/>
      <c r="BL663" s="129"/>
      <c r="BM663" s="129"/>
      <c r="BN663" s="129"/>
      <c r="BO663" s="129"/>
      <c r="BP663" s="129"/>
      <c r="BQ663" s="129"/>
    </row>
  </sheetData>
  <sheetProtection algorithmName="SHA-512" hashValue="5xGtsNsL6xeyaBgnJES16T0SzfZBdCxbU1CPiuQdGK5+F6y8mLYGSjeRmN++WW5AcAIembw7Ye4MNJryTirKaw==" saltValue="1kR4t0vuN9JmD10ZIknsSA==" spinCount="100000" sheet="1" objects="1" scenarios="1" selectLockedCells="1"/>
  <mergeCells count="77">
    <mergeCell ref="L17:O17"/>
    <mergeCell ref="P17:Q17"/>
    <mergeCell ref="R15:R24"/>
    <mergeCell ref="K15:K24"/>
    <mergeCell ref="L20:Q20"/>
    <mergeCell ref="P16:Q16"/>
    <mergeCell ref="P15:Q15"/>
    <mergeCell ref="K26:R26"/>
    <mergeCell ref="K27:R28"/>
    <mergeCell ref="L18:N19"/>
    <mergeCell ref="P19:Q19"/>
    <mergeCell ref="P18:Q18"/>
    <mergeCell ref="L21:O21"/>
    <mergeCell ref="P23:Q23"/>
    <mergeCell ref="L23:N23"/>
    <mergeCell ref="D43:F43"/>
    <mergeCell ref="D42:F42"/>
    <mergeCell ref="D41:F41"/>
    <mergeCell ref="D40:F40"/>
    <mergeCell ref="D39:F39"/>
    <mergeCell ref="D18:F18"/>
    <mergeCell ref="D31:F31"/>
    <mergeCell ref="D17:F17"/>
    <mergeCell ref="D16:F16"/>
    <mergeCell ref="D14:H14"/>
    <mergeCell ref="D15:H15"/>
    <mergeCell ref="D20:F20"/>
    <mergeCell ref="D19:F19"/>
    <mergeCell ref="D38:F38"/>
    <mergeCell ref="D37:F37"/>
    <mergeCell ref="D23:F23"/>
    <mergeCell ref="D22:F22"/>
    <mergeCell ref="D21:F21"/>
    <mergeCell ref="D36:F36"/>
    <mergeCell ref="D35:F35"/>
    <mergeCell ref="D34:F34"/>
    <mergeCell ref="D33:F33"/>
    <mergeCell ref="D32:F32"/>
    <mergeCell ref="C2:I3"/>
    <mergeCell ref="N6:O6"/>
    <mergeCell ref="N4:O4"/>
    <mergeCell ref="L4:M6"/>
    <mergeCell ref="N5:O5"/>
    <mergeCell ref="K4:K11"/>
    <mergeCell ref="D10:G10"/>
    <mergeCell ref="D9:G9"/>
    <mergeCell ref="P11:Q11"/>
    <mergeCell ref="L11:N11"/>
    <mergeCell ref="K2:R3"/>
    <mergeCell ref="P6:Q6"/>
    <mergeCell ref="P4:Q4"/>
    <mergeCell ref="P5:Q5"/>
    <mergeCell ref="R4:R11"/>
    <mergeCell ref="P8:Q8"/>
    <mergeCell ref="P7:Q7"/>
    <mergeCell ref="P10:Q10"/>
    <mergeCell ref="P9:Q9"/>
    <mergeCell ref="L7:M10"/>
    <mergeCell ref="N9:O9"/>
    <mergeCell ref="N8:O8"/>
    <mergeCell ref="N10:O10"/>
    <mergeCell ref="D6:H6"/>
    <mergeCell ref="T2:U11"/>
    <mergeCell ref="K12:R12"/>
    <mergeCell ref="L24:Q24"/>
    <mergeCell ref="L22:Q22"/>
    <mergeCell ref="L15:M16"/>
    <mergeCell ref="N16:O16"/>
    <mergeCell ref="N15:O15"/>
    <mergeCell ref="N7:O7"/>
    <mergeCell ref="P21:Q21"/>
    <mergeCell ref="D8:G8"/>
    <mergeCell ref="D7:G7"/>
    <mergeCell ref="D13:G13"/>
    <mergeCell ref="D12:G12"/>
    <mergeCell ref="D11:G11"/>
    <mergeCell ref="K13:R14"/>
  </mergeCells>
  <conditionalFormatting sqref="D13 H13">
    <cfRule type="expression" dxfId="10" priority="16">
      <formula>$D$4=1</formula>
    </cfRule>
  </conditionalFormatting>
  <conditionalFormatting sqref="D13">
    <cfRule type="expression" dxfId="9" priority="15">
      <formula>$D$4=2</formula>
    </cfRule>
  </conditionalFormatting>
  <conditionalFormatting sqref="H13">
    <cfRule type="expression" dxfId="8" priority="14">
      <formula>$D$4=2</formula>
    </cfRule>
  </conditionalFormatting>
  <conditionalFormatting sqref="D14:H14">
    <cfRule type="expression" dxfId="7" priority="8">
      <formula>$D$14&lt;&gt;""</formula>
    </cfRule>
  </conditionalFormatting>
  <conditionalFormatting sqref="D13:F13">
    <cfRule type="expression" dxfId="6" priority="3">
      <formula>IF(AND(D4=2,OR(H13="",H13=0)),TRUE,FALSE)</formula>
    </cfRule>
  </conditionalFormatting>
  <conditionalFormatting sqref="K2 R4 K4:L4 N4:P4 N5:O5 N6:P6 N15:P16">
    <cfRule type="expression" dxfId="5" priority="59">
      <formula>#REF!&lt;&gt;""</formula>
    </cfRule>
  </conditionalFormatting>
  <conditionalFormatting sqref="K26:R26">
    <cfRule type="expression" dxfId="4" priority="60">
      <formula>$K$26&lt;&gt;""</formula>
    </cfRule>
  </conditionalFormatting>
  <conditionalFormatting sqref="K27:R28">
    <cfRule type="expression" dxfId="3" priority="61">
      <formula>$K$27&lt;&gt;""</formula>
    </cfRule>
  </conditionalFormatting>
  <conditionalFormatting sqref="G13">
    <cfRule type="expression" dxfId="2" priority="84">
      <formula>IF(AND(G4=2,OR(K11="",K11=0)),TRUE,FALSE)</formula>
    </cfRule>
  </conditionalFormatting>
  <conditionalFormatting sqref="K12:R12">
    <cfRule type="expression" dxfId="1" priority="2">
      <formula>$K$12&lt;&gt;""</formula>
    </cfRule>
  </conditionalFormatting>
  <conditionalFormatting sqref="L11:Q11">
    <cfRule type="expression" dxfId="0" priority="85">
      <formula>$L$11&lt;&gt;""</formula>
    </cfRule>
  </conditionalFormatting>
  <dataValidations count="12">
    <dataValidation type="decimal" allowBlank="1" showInputMessage="1" showErrorMessage="1" errorTitle="ERRO DE DIGITAÇÃO!" error="Campo somente permite valor em em forma de moeda, com sinal positivo." sqref="H18:H23" xr:uid="{62CA01C5-9C16-463F-84A3-49CE0D260E4F}">
      <formula1>0</formula1>
      <formula2>99999999</formula2>
    </dataValidation>
    <dataValidation type="decimal" allowBlank="1" showInputMessage="1" showErrorMessage="1" errorTitle="ERRO DE PREENCHIMENTO!" error="Campo somente permite valor em em forma de moeda, com sinal positivo." sqref="H7" xr:uid="{ED623AEA-69DF-4D9B-8426-169B883DB1FA}">
      <formula1>1000</formula1>
      <formula2>100000000</formula2>
    </dataValidation>
    <dataValidation type="decimal" allowBlank="1" showInputMessage="1" showErrorMessage="1" errorTitle="ERRO DE PREENCHIMENTO!" error="Campo só aceite valores percentuais." sqref="H17 H9:H10 H12:H13" xr:uid="{139D1CDA-ABD2-4F4F-BD1F-EB72046CE6DD}">
      <formula1>0</formula1>
      <formula2>1</formula2>
    </dataValidation>
    <dataValidation type="decimal" allowBlank="1" showInputMessage="1" showErrorMessage="1" errorTitle="ERRO DE PREENCHIMENTO!" error="Campo só aceite valores percentuais entre 0% e 100% !" sqref="P4" xr:uid="{83ABCB60-133C-4E2B-AA0B-9CCACB362A67}">
      <formula1>0</formula1>
      <formula2>1</formula2>
    </dataValidation>
    <dataValidation type="whole" allowBlank="1" showInputMessage="1" showErrorMessage="1" errorTitle="ERRO DE PREENCHIMENTO!" error="Campo somente aceita números inteiros entre 1 e 300!" sqref="H8" xr:uid="{46A27E30-2213-4742-BB14-8059046D1AF6}">
      <formula1>1</formula1>
      <formula2>300</formula2>
    </dataValidation>
    <dataValidation type="whole" allowBlank="1" showInputMessage="1" showErrorMessage="1" errorTitle="ERRO DE PREENCHIMENTO!" error="Campo somente aceita números inteiros entre zero e a quantidade de parcelas." sqref="H11" xr:uid="{7CED1800-6098-4733-A452-68158B25DED3}">
      <formula1>0</formula1>
      <formula2>H8</formula2>
    </dataValidation>
    <dataValidation type="whole" allowBlank="1" showInputMessage="1" showErrorMessage="1" errorTitle="MOMENTO INCORRETO" error="Os Lances devem ser ofertados entre o primeiro e penúltimo mês da vigência do consórcio." sqref="P7" xr:uid="{D2D39CFF-B557-4D5D-8EF2-0C29B7C9361B}">
      <formula1>0</formula1>
      <formula2>H8</formula2>
    </dataValidation>
    <dataValidation type="whole" allowBlank="1" showInputMessage="1" showErrorMessage="1" errorTitle="ERRO DE PREENCHIMENTO!" error="Campo somente aceita números inteiros!" sqref="O23" xr:uid="{C3C6DD01-8D20-429C-B904-AB17D5AC2BD9}">
      <formula1>1</formula1>
      <formula2>H8</formula2>
    </dataValidation>
    <dataValidation type="whole" allowBlank="1" showInputMessage="1" showErrorMessage="1" errorTitle="ERRO DE PREENCHIMENTO!" error="Campo somente aceita valor!" sqref="H8" xr:uid="{ADE5FD96-8655-4769-9579-4C51439660B0}">
      <formula1>1</formula1>
      <formula2>300</formula2>
    </dataValidation>
    <dataValidation type="whole" allowBlank="1" showInputMessage="1" showErrorMessage="1" errorTitle="ERRO DE PREENCHIMENTO!" error="Campo só aceite valores percentuais entre 0% e 100% !" sqref="H11" xr:uid="{98CE5B58-A2ED-495A-BC06-34110096B184}">
      <formula1>0</formula1>
      <formula2>H8</formula2>
    </dataValidation>
    <dataValidation type="custom" allowBlank="1" showInputMessage="1" showErrorMessage="1" errorTitle="ERRO!" error="O valor de lance não pode ser inferior ao Valor Mínimo, que corrresponde ao valor do lance embutido atualizado." sqref="P10:Q10" xr:uid="{BC3108F3-76A3-483D-9E3A-FC6181E2EDE1}">
      <formula1>IF(AND(D4=2,A19=TRUE,P10&lt;=A3),FALSE,TRUE)</formula1>
    </dataValidation>
    <dataValidation type="custom" allowBlank="1" showInputMessage="1" showErrorMessage="1" errorTitle="ERRO!" error="O percentual de lance não pode ser inferior ao percentual mínimo, que corrresponde ao percentual do lance embutido em proporção ao saldo devedor líquido." sqref="P9:Q9" xr:uid="{DBF738AF-834C-4B0C-9A70-39E762734D87}">
      <formula1>IF(AND(D4=2,A18=TRUE,P9&lt;=A5),FALSE,TRUE)</formula1>
    </dataValidation>
  </dataValidations>
  <printOptions horizontalCentered="1" verticalCentered="1"/>
  <pageMargins left="0.19685039370078741" right="0.19685039370078741" top="0.27559055118110237" bottom="0.27559055118110237" header="0.32" footer="0.15748031496062992"/>
  <pageSetup paperSize="9" scale="93" fitToHeight="42" orientation="landscape" r:id="rId1"/>
  <headerFooter>
    <oddHeader>&amp;C&amp;"-,Negrito"&amp;14SIMULAÇÃO DE OPERAÇÃO DE CONSÓRCIO</oddHeader>
    <oddFooter>&amp;L&amp;8&amp;Z&amp;F&amp;R&amp;D / &amp;T</oddFooter>
  </headerFooter>
  <drawing r:id="rId2"/>
  <legacyDrawing r:id="rId3"/>
  <controls>
    <mc:AlternateContent xmlns:mc="http://schemas.openxmlformats.org/markup-compatibility/2006">
      <mc:Choice Requires="x14">
        <control shapeId="4539" r:id="rId4" name="ComboBox1">
          <controlPr defaultSize="0" autoLine="0" linkedCell="E4" listFillRange="AQ4:AQ5" r:id="rId5">
            <anchor moveWithCells="1">
              <from>
                <xdr:col>3</xdr:col>
                <xdr:colOff>0</xdr:colOff>
                <xdr:row>3</xdr:row>
                <xdr:rowOff>47625</xdr:rowOff>
              </from>
              <to>
                <xdr:col>8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4539" r:id="rId4" name="ComboBox1"/>
      </mc:Fallback>
    </mc:AlternateContent>
    <mc:AlternateContent xmlns:mc="http://schemas.openxmlformats.org/markup-compatibility/2006">
      <mc:Choice Requires="x14">
        <control shapeId="4543" r:id="rId6" name="OptPercLance">
          <controlPr defaultSize="0" autoLine="0" linkedCell="A18" r:id="rId7">
            <anchor moveWithCells="1">
              <from>
                <xdr:col>13</xdr:col>
                <xdr:colOff>76200</xdr:colOff>
                <xdr:row>8</xdr:row>
                <xdr:rowOff>19050</xdr:rowOff>
              </from>
              <to>
                <xdr:col>13</xdr:col>
                <xdr:colOff>361950</xdr:colOff>
                <xdr:row>9</xdr:row>
                <xdr:rowOff>0</xdr:rowOff>
              </to>
            </anchor>
          </controlPr>
        </control>
      </mc:Choice>
      <mc:Fallback>
        <control shapeId="4543" r:id="rId6" name="OptPercLance"/>
      </mc:Fallback>
    </mc:AlternateContent>
    <mc:AlternateContent xmlns:mc="http://schemas.openxmlformats.org/markup-compatibility/2006">
      <mc:Choice Requires="x14">
        <control shapeId="4544" r:id="rId8" name="OptValorLance">
          <controlPr defaultSize="0" autoLine="0" linkedCell="A19" r:id="rId9">
            <anchor moveWithCells="1">
              <from>
                <xdr:col>13</xdr:col>
                <xdr:colOff>76200</xdr:colOff>
                <xdr:row>9</xdr:row>
                <xdr:rowOff>19050</xdr:rowOff>
              </from>
              <to>
                <xdr:col>13</xdr:col>
                <xdr:colOff>361950</xdr:colOff>
                <xdr:row>9</xdr:row>
                <xdr:rowOff>266700</xdr:rowOff>
              </to>
            </anchor>
          </controlPr>
        </control>
      </mc:Choice>
      <mc:Fallback>
        <control shapeId="4544" r:id="rId8" name="OptValorLance"/>
      </mc:Fallback>
    </mc:AlternateContent>
    <mc:AlternateContent xmlns:mc="http://schemas.openxmlformats.org/markup-compatibility/2006">
      <mc:Choice Requires="x14">
        <control shapeId="4365" r:id="rId10" name="AposContemplacao">
          <controlPr defaultSize="0" autoFill="0" autoLine="0" autoPict="0">
            <anchor moveWithCells="1">
              <from>
                <xdr:col>4</xdr:col>
                <xdr:colOff>1019175</xdr:colOff>
                <xdr:row>16</xdr:row>
                <xdr:rowOff>28575</xdr:rowOff>
              </from>
              <to>
                <xdr:col>5</xdr:col>
                <xdr:colOff>771525</xdr:colOff>
                <xdr:row>16</xdr:row>
                <xdr:rowOff>257175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8FE23-71BA-46A1-ABDA-F1E383D23693}">
  <sheetPr codeName="Sht_Calculo">
    <pageSetUpPr fitToPage="1"/>
  </sheetPr>
  <dimension ref="A1:AW332"/>
  <sheetViews>
    <sheetView showGridLines="0" topLeftCell="B1" workbookViewId="0">
      <pane xSplit="3" ySplit="6" topLeftCell="E7" activePane="bottomRight" state="frozen"/>
      <selection activeCell="B1" sqref="B1"/>
      <selection pane="topRight" activeCell="E1" sqref="E1"/>
      <selection pane="bottomLeft" activeCell="B7" sqref="B7"/>
      <selection pane="bottomRight" activeCell="C7" sqref="C7"/>
    </sheetView>
  </sheetViews>
  <sheetFormatPr defaultRowHeight="15" x14ac:dyDescent="0.25"/>
  <cols>
    <col min="1" max="1" width="0" style="49" hidden="1" customWidth="1"/>
    <col min="2" max="2" width="1.5703125" style="49" customWidth="1"/>
    <col min="3" max="3" width="4.140625" style="19" customWidth="1"/>
    <col min="4" max="4" width="1" style="120" customWidth="1"/>
    <col min="5" max="5" width="5.85546875" style="19" customWidth="1"/>
    <col min="6" max="7" width="12.7109375" style="20" customWidth="1"/>
    <col min="8" max="8" width="9.7109375" style="20" customWidth="1"/>
    <col min="9" max="9" width="11.85546875" style="31" customWidth="1"/>
    <col min="10" max="10" width="12.7109375" style="20" customWidth="1"/>
    <col min="11" max="11" width="15.140625" style="20" customWidth="1"/>
    <col min="12" max="12" width="1" style="7" customWidth="1"/>
    <col min="13" max="13" width="7.140625" style="50" customWidth="1"/>
    <col min="14" max="14" width="13.28515625" style="7" customWidth="1"/>
    <col min="15" max="15" width="11.5703125" style="7" customWidth="1"/>
    <col min="16" max="16" width="12.28515625" style="7" customWidth="1"/>
    <col min="17" max="17" width="1" style="40" customWidth="1"/>
    <col min="18" max="18" width="14.5703125" style="7" customWidth="1"/>
    <col min="19" max="19" width="1" style="40" customWidth="1"/>
    <col min="20" max="20" width="10.5703125" style="7" customWidth="1"/>
    <col min="21" max="21" width="11.140625" style="7" customWidth="1"/>
    <col min="22" max="22" width="9.85546875" style="7" customWidth="1"/>
    <col min="23" max="23" width="13.28515625" style="7" customWidth="1"/>
    <col min="24" max="24" width="11.42578125" style="7" customWidth="1"/>
    <col min="25" max="25" width="12.140625" style="7" customWidth="1"/>
    <col min="26" max="26" width="10.140625" style="7" customWidth="1"/>
    <col min="27" max="27" width="9.5703125" style="7" customWidth="1"/>
    <col min="28" max="28" width="13.28515625" style="7" customWidth="1"/>
    <col min="29" max="29" width="11.42578125" style="7" customWidth="1"/>
    <col min="30" max="31" width="11.5703125" style="7" bestFit="1" customWidth="1"/>
    <col min="32" max="36" width="9.140625" style="7"/>
    <col min="37" max="37" width="3.42578125" style="7" customWidth="1"/>
    <col min="38" max="38" width="5.85546875" style="7" customWidth="1"/>
    <col min="39" max="39" width="8.140625" style="7" customWidth="1"/>
    <col min="40" max="40" width="8.140625" style="139" customWidth="1"/>
    <col min="41" max="41" width="0" style="145" hidden="1" customWidth="1"/>
    <col min="42" max="42" width="11.5703125" style="144" hidden="1" customWidth="1"/>
    <col min="43" max="16384" width="9.140625" style="49"/>
  </cols>
  <sheetData>
    <row r="1" spans="1:49" ht="7.5" customHeight="1" x14ac:dyDescent="0.25"/>
    <row r="2" spans="1:49" s="7" customFormat="1" ht="21" customHeight="1" x14ac:dyDescent="0.25">
      <c r="A2" s="22"/>
      <c r="B2" s="22"/>
      <c r="C2" s="280" t="s">
        <v>75</v>
      </c>
      <c r="D2" s="40"/>
      <c r="E2" s="277" t="s">
        <v>48</v>
      </c>
      <c r="F2" s="278"/>
      <c r="G2" s="278"/>
      <c r="H2" s="278"/>
      <c r="I2" s="278"/>
      <c r="J2" s="278"/>
      <c r="K2" s="279"/>
      <c r="M2" s="288" t="s">
        <v>35</v>
      </c>
      <c r="N2" s="289"/>
      <c r="O2" s="289"/>
      <c r="P2" s="290"/>
      <c r="Q2" s="41"/>
      <c r="R2" s="286" t="s">
        <v>81</v>
      </c>
      <c r="S2" s="95"/>
      <c r="T2" s="297" t="s">
        <v>69</v>
      </c>
      <c r="U2" s="297"/>
      <c r="V2" s="297"/>
      <c r="W2" s="297"/>
      <c r="X2" s="297"/>
      <c r="Y2" s="297" t="s">
        <v>70</v>
      </c>
      <c r="Z2" s="297"/>
      <c r="AA2" s="297"/>
      <c r="AB2" s="297"/>
      <c r="AC2" s="297"/>
      <c r="AK2" s="305">
        <f>IF(AND(OR(TaxaVPL="",TaxaVPL=0),OR(PAINEL!P4="",PAINEL!P4=0)),0,IF(OR(TaxaVPL="",TaxaVPL=0),PAINEL!$P$5,TaxaVPL))</f>
        <v>0</v>
      </c>
      <c r="AL2" s="306"/>
      <c r="AM2" s="307"/>
      <c r="AN2" s="146"/>
      <c r="AO2" s="145"/>
      <c r="AP2" s="144"/>
      <c r="AQ2" s="49"/>
      <c r="AR2" s="49"/>
      <c r="AS2" s="49"/>
      <c r="AT2" s="49"/>
      <c r="AU2" s="49"/>
      <c r="AV2" s="49"/>
      <c r="AW2" s="49"/>
    </row>
    <row r="3" spans="1:49" s="7" customFormat="1" ht="15" customHeight="1" x14ac:dyDescent="0.25">
      <c r="A3" s="30" t="b">
        <v>0</v>
      </c>
      <c r="B3" s="30"/>
      <c r="C3" s="281"/>
      <c r="D3" s="122"/>
      <c r="E3" s="284" t="s">
        <v>0</v>
      </c>
      <c r="F3" s="283" t="s">
        <v>1</v>
      </c>
      <c r="G3" s="283" t="s">
        <v>29</v>
      </c>
      <c r="H3" s="283" t="s">
        <v>28</v>
      </c>
      <c r="I3" s="285" t="s">
        <v>13</v>
      </c>
      <c r="J3" s="283" t="str">
        <f>IF(PAINEL!D4=1,"LANCE","LANCE ADICIONAL")</f>
        <v>LANCE</v>
      </c>
      <c r="K3" s="283" t="s">
        <v>49</v>
      </c>
      <c r="M3" s="294" t="s">
        <v>47</v>
      </c>
      <c r="N3" s="291" t="s">
        <v>46</v>
      </c>
      <c r="O3" s="291" t="s">
        <v>22</v>
      </c>
      <c r="P3" s="291" t="s">
        <v>36</v>
      </c>
      <c r="Q3" s="42"/>
      <c r="R3" s="287"/>
      <c r="S3" s="95"/>
      <c r="T3" s="283" t="s">
        <v>64</v>
      </c>
      <c r="U3" s="283" t="s">
        <v>65</v>
      </c>
      <c r="V3" s="283" t="s">
        <v>66</v>
      </c>
      <c r="W3" s="283" t="s">
        <v>67</v>
      </c>
      <c r="X3" s="283" t="s">
        <v>68</v>
      </c>
      <c r="Y3" s="283" t="s">
        <v>64</v>
      </c>
      <c r="Z3" s="283" t="s">
        <v>65</v>
      </c>
      <c r="AA3" s="283" t="s">
        <v>66</v>
      </c>
      <c r="AB3" s="283" t="s">
        <v>67</v>
      </c>
      <c r="AC3" s="283" t="s">
        <v>68</v>
      </c>
      <c r="AK3" s="298">
        <f>PAINEL!P4</f>
        <v>0</v>
      </c>
      <c r="AL3" s="299"/>
      <c r="AM3" s="300"/>
      <c r="AN3" s="147"/>
      <c r="AO3" s="145"/>
    </row>
    <row r="4" spans="1:49" s="7" customFormat="1" x14ac:dyDescent="0.25">
      <c r="A4" s="22"/>
      <c r="B4" s="22"/>
      <c r="C4" s="281"/>
      <c r="D4" s="122"/>
      <c r="E4" s="284"/>
      <c r="F4" s="283"/>
      <c r="G4" s="283"/>
      <c r="H4" s="283"/>
      <c r="I4" s="285"/>
      <c r="J4" s="283"/>
      <c r="K4" s="283"/>
      <c r="M4" s="295"/>
      <c r="N4" s="293"/>
      <c r="O4" s="292"/>
      <c r="P4" s="292"/>
      <c r="Q4" s="42"/>
      <c r="R4" s="39" t="s">
        <v>37</v>
      </c>
      <c r="S4" s="96"/>
      <c r="T4" s="283"/>
      <c r="U4" s="283"/>
      <c r="V4" s="283"/>
      <c r="W4" s="283"/>
      <c r="X4" s="283"/>
      <c r="Y4" s="283"/>
      <c r="Z4" s="283"/>
      <c r="AA4" s="283"/>
      <c r="AB4" s="283"/>
      <c r="AC4" s="283"/>
      <c r="AK4" s="301">
        <f>(1+Perc_Reajuste)^(1/12)-1</f>
        <v>0</v>
      </c>
      <c r="AL4" s="302"/>
      <c r="AM4" s="303"/>
      <c r="AN4" s="148"/>
      <c r="AO4" s="145"/>
    </row>
    <row r="5" spans="1:49" s="7" customFormat="1" x14ac:dyDescent="0.25">
      <c r="A5" s="22"/>
      <c r="B5" s="22"/>
      <c r="C5" s="282"/>
      <c r="D5" s="123"/>
      <c r="E5" s="33">
        <f>SUM(E6:E153)</f>
        <v>0</v>
      </c>
      <c r="F5" s="36">
        <f>SUM(F6:F500)</f>
        <v>0</v>
      </c>
      <c r="G5" s="34">
        <f>SUM(G6:G500)</f>
        <v>0</v>
      </c>
      <c r="H5" s="34">
        <f>SUM(H6:H500)</f>
        <v>0</v>
      </c>
      <c r="I5" s="52">
        <f>SUM(I6:I500)</f>
        <v>0</v>
      </c>
      <c r="J5" s="35">
        <f>SUM(J6:J500)</f>
        <v>0</v>
      </c>
      <c r="K5" s="35">
        <f>[0]!ValorParcelamento</f>
        <v>0</v>
      </c>
      <c r="L5" s="21"/>
      <c r="M5" s="296"/>
      <c r="N5" s="53">
        <f>SUM(N6:N500)</f>
        <v>0</v>
      </c>
      <c r="O5" s="293"/>
      <c r="P5" s="293"/>
      <c r="Q5" s="42"/>
      <c r="R5" s="43">
        <f>IFERROR(-IRR(R6:R500),0)</f>
        <v>0</v>
      </c>
      <c r="S5" s="99"/>
      <c r="T5" s="91">
        <f>SUM(T6:T332)</f>
        <v>0</v>
      </c>
      <c r="U5" s="91">
        <f t="shared" ref="U5:AB5" si="0">SUM(U6:U332)</f>
        <v>0</v>
      </c>
      <c r="V5" s="91">
        <f t="shared" si="0"/>
        <v>0</v>
      </c>
      <c r="W5" s="91">
        <f t="shared" si="0"/>
        <v>0</v>
      </c>
      <c r="X5" s="91">
        <f t="shared" si="0"/>
        <v>0</v>
      </c>
      <c r="Y5" s="91">
        <f t="shared" si="0"/>
        <v>0</v>
      </c>
      <c r="Z5" s="91">
        <f t="shared" si="0"/>
        <v>0</v>
      </c>
      <c r="AA5" s="91">
        <f t="shared" si="0"/>
        <v>0</v>
      </c>
      <c r="AB5" s="91">
        <f t="shared" si="0"/>
        <v>0</v>
      </c>
      <c r="AC5" s="91">
        <f>SUM(AC6:AC332)</f>
        <v>0</v>
      </c>
      <c r="AD5" s="27"/>
      <c r="AE5" s="21"/>
      <c r="AF5" s="21"/>
      <c r="AG5" s="21"/>
      <c r="AH5" s="21"/>
      <c r="AI5" s="21"/>
      <c r="AJ5" s="21"/>
      <c r="AK5" s="304" t="s">
        <v>20</v>
      </c>
      <c r="AL5" s="304"/>
      <c r="AM5" s="304"/>
      <c r="AN5" s="149"/>
      <c r="AO5" s="145"/>
      <c r="AP5" s="144"/>
      <c r="AQ5" s="49"/>
      <c r="AR5" s="49"/>
      <c r="AS5" s="49"/>
      <c r="AT5" s="49"/>
      <c r="AU5" s="49"/>
      <c r="AV5" s="49"/>
      <c r="AW5" s="49"/>
    </row>
    <row r="6" spans="1:49" s="55" customFormat="1" x14ac:dyDescent="0.25">
      <c r="A6" s="59"/>
      <c r="B6" s="59"/>
      <c r="C6" s="64">
        <v>0</v>
      </c>
      <c r="D6" s="121"/>
      <c r="E6" s="65"/>
      <c r="F6" s="66"/>
      <c r="G6" s="66"/>
      <c r="H6" s="67"/>
      <c r="I6" s="68">
        <v>0</v>
      </c>
      <c r="J6" s="69">
        <v>0</v>
      </c>
      <c r="K6" s="69">
        <f>IF(C6="","",K5-I6-J6)</f>
        <v>0</v>
      </c>
      <c r="L6" s="54"/>
      <c r="M6" s="70" t="str">
        <f>IF(OR(C6="",C6=0),"",IFERROR(IF(VLOOKUP(C6,PV_Perc_Reajuste,1,FALSE)=C6,Perc_Reajuste,0),0))</f>
        <v/>
      </c>
      <c r="N6" s="71">
        <f>IF(C6="","",IF(ROW(C6)=6,0,IF(ROW(C6)=7,F6+I6,(F6+I6)*(1+M6))))</f>
        <v>0</v>
      </c>
      <c r="O6" s="71">
        <f>PAINEL!H43</f>
        <v>0</v>
      </c>
      <c r="P6" s="72">
        <f>IF(C6="","",IF(ROW(C6)=6,ValorCredito,ValorCredito*(1+M6)))</f>
        <v>0</v>
      </c>
      <c r="Q6" s="60"/>
      <c r="R6" s="73">
        <f>IFERROR(PV(TMAFinal,MomentoAjContemplação,,-VLOOKUP(MomentoAjContemplação,C6:P500,14,FALSE))-SUM(PAINEL!H18:H23),0)</f>
        <v>0</v>
      </c>
      <c r="S6" s="98"/>
      <c r="T6" s="28">
        <f>IF(C6="","",PercTxAdm*N6/(100%+PercTxAdm+PercTxFRes)+F6)</f>
        <v>0</v>
      </c>
      <c r="U6" s="28">
        <f t="shared" ref="U6:U69" si="1">IF(C6="","",(PercTxFRes*N6/(100%+PercTxAdm+PercTxFRes)))</f>
        <v>0</v>
      </c>
      <c r="V6" s="7">
        <f>IF(C6="","",H6)</f>
        <v>0</v>
      </c>
      <c r="W6" s="94">
        <f>SUM(PAINEL!$H$18:$H$23)</f>
        <v>0</v>
      </c>
      <c r="X6" s="28">
        <f>IF(C6="","",SUM(T6:W6))</f>
        <v>0</v>
      </c>
      <c r="Y6" s="28">
        <f t="shared" ref="Y6:Y69" si="2">IF($C6="","",PV(TMAFinal,$C6,,-T6))</f>
        <v>0</v>
      </c>
      <c r="Z6" s="28">
        <f t="shared" ref="Z6:Z69" si="3">IF($C6="","",PV(TMAFinal,$C6,,-U6))</f>
        <v>0</v>
      </c>
      <c r="AA6" s="28">
        <f t="shared" ref="AA6:AA69" si="4">IF($C6="","",PV(TMAFinal,$C6,,-V6))</f>
        <v>0</v>
      </c>
      <c r="AB6" s="28">
        <f t="shared" ref="AB6:AB69" si="5">IF($C6="","",PV(TMAFinal,$C6,,-W6))</f>
        <v>0</v>
      </c>
      <c r="AC6" s="28">
        <f>IF(I6="","",SUM(Y6:AB6))</f>
        <v>0</v>
      </c>
      <c r="AD6" s="143"/>
      <c r="AE6" s="54"/>
      <c r="AF6" s="54"/>
      <c r="AG6" s="54"/>
      <c r="AH6" s="54"/>
      <c r="AI6" s="54"/>
      <c r="AJ6" s="54"/>
      <c r="AK6" s="61">
        <v>0</v>
      </c>
      <c r="AL6" s="61">
        <v>0</v>
      </c>
      <c r="AM6" s="62">
        <v>0</v>
      </c>
      <c r="AN6" s="150"/>
      <c r="AO6" s="145">
        <f>C6</f>
        <v>0</v>
      </c>
      <c r="AP6" s="144">
        <f>ValorBase</f>
        <v>0</v>
      </c>
      <c r="AQ6" s="63"/>
      <c r="AR6" s="63"/>
      <c r="AS6" s="63"/>
      <c r="AT6" s="63"/>
      <c r="AU6" s="63"/>
      <c r="AV6" s="63"/>
      <c r="AW6" s="63"/>
    </row>
    <row r="7" spans="1:49" s="7" customFormat="1" x14ac:dyDescent="0.25">
      <c r="A7" s="22"/>
      <c r="B7" s="22"/>
      <c r="C7" s="10" t="str">
        <f>IFERROR(IF(AvisoErro&lt;&gt;"","",IF(C6+1&gt;PAINEL!$H$8,"",C6+1)),"")</f>
        <v/>
      </c>
      <c r="D7" s="120"/>
      <c r="E7" s="23" t="str">
        <f t="shared" ref="E7:E70" si="6">IF(C7="","",IF(C7&lt;=NroParcAntecipadasCalc,PercTxAdmAntecipada/NroParcAntecipadasCalc,""))</f>
        <v/>
      </c>
      <c r="F7" s="13" t="str">
        <f>IF(C7="","",IF(E7&lt;&gt;"",E7*PAINEL!$H$7,0))</f>
        <v/>
      </c>
      <c r="G7" s="11" t="str">
        <f>IF(C7="","",IF(PAINEL!$A$4=1,K6/(QTDEParc-C6),IF(AND(PAINEL!$A$4=2,C7&lt;=MomentoContemplação),ValorParcelamento/QTDEParc,K6/(QTDEParc-C6))))</f>
        <v/>
      </c>
      <c r="H7" s="13" t="str">
        <f t="shared" ref="H7:H70" si="7">IF(C7="","",IF(AND(AposContemplacao=TRUE,OR(MomentoContemplação="",MomentoContemplação=0)),0,IF(AposContemplacao=FALSE,K6*PercSeguroVida,IF(C7&gt;MomentoContemplação,K6*PercSeguroVida,0))))</f>
        <v/>
      </c>
      <c r="I7" s="32" t="str">
        <f t="shared" ref="I7:I70" si="8">IF(C7="","",G7+H7)</f>
        <v/>
      </c>
      <c r="J7" s="14" t="str">
        <f>IF(C7="","",IF(C7=MomentoContemplação,PAINEL!$P$10,0))</f>
        <v/>
      </c>
      <c r="K7" s="14" t="str">
        <f t="shared" ref="K7:K70" si="9">IF(C7="","",K6+H7-I7-J7)</f>
        <v/>
      </c>
      <c r="L7" s="27"/>
      <c r="M7" s="51" t="str">
        <f t="shared" ref="M7:M70" si="10">IF(OR(C7="",C7=0),"",VLOOKUP(C7,PV_Perc_Reajuste,2))</f>
        <v/>
      </c>
      <c r="N7" s="27" t="str">
        <f>IF(C7="","",(I7*(1+M7))+F7+J7)</f>
        <v/>
      </c>
      <c r="O7" s="27" t="str">
        <f>IF(C7="","",(I7*(1+M7))*(QTDEParc-CÁLCULO!C7)+$F$5-SUM($F$6:F7)-J7)</f>
        <v/>
      </c>
      <c r="P7" s="7" t="str">
        <f t="shared" ref="P7:P70" si="11">IF(C7="","",IF(ROW(C7)=6,0,IF(ROW(C7)=7,ValorCredito,ValorCredito*(1+M7))))</f>
        <v/>
      </c>
      <c r="Q7" s="40"/>
      <c r="R7" s="44" t="str">
        <f t="shared" ref="R7:R70" si="12">IF(C7="","",PV(TMAFinal,C7,,N7))</f>
        <v/>
      </c>
      <c r="S7" s="97"/>
      <c r="T7" s="28" t="str">
        <f>IF(C7="","",((PercTxAdm-PercTxAdmAntecipada)*(N7-F7))/(100%+(PercTxAdm-PercTxAdmAntecipada)+PercTxFRes)+F7)</f>
        <v/>
      </c>
      <c r="U7" s="28" t="str">
        <f t="shared" si="1"/>
        <v/>
      </c>
      <c r="V7" s="7" t="str">
        <f>IF(C7="","",H7)</f>
        <v/>
      </c>
      <c r="W7" s="93" t="str">
        <f>IF(C7="","",0)</f>
        <v/>
      </c>
      <c r="X7" s="28" t="str">
        <f>IF(C7="","",SUM(T7:W7))</f>
        <v/>
      </c>
      <c r="Y7" s="28" t="str">
        <f t="shared" si="2"/>
        <v/>
      </c>
      <c r="Z7" s="28" t="str">
        <f t="shared" si="3"/>
        <v/>
      </c>
      <c r="AA7" s="28" t="str">
        <f t="shared" si="4"/>
        <v/>
      </c>
      <c r="AB7" s="28" t="str">
        <f t="shared" si="5"/>
        <v/>
      </c>
      <c r="AC7" s="28" t="str">
        <f>IF(I7="","",SUM(Y7:AB7))</f>
        <v/>
      </c>
      <c r="AD7" s="27"/>
      <c r="AE7" s="21"/>
      <c r="AF7" s="27"/>
      <c r="AG7" s="21"/>
      <c r="AH7" s="21"/>
      <c r="AI7" s="21"/>
      <c r="AJ7" s="21"/>
      <c r="AK7" s="24">
        <v>1</v>
      </c>
      <c r="AL7" s="25">
        <f>IF(OR(PAINEL!P6="",PAINEL!P6=0),12,PAINEL!P6)</f>
        <v>12</v>
      </c>
      <c r="AM7" s="26">
        <f>Perc_Reajuste</f>
        <v>0</v>
      </c>
      <c r="AN7" s="151"/>
      <c r="AO7" s="145" t="str">
        <f>IF(C7="","",C7)</f>
        <v/>
      </c>
      <c r="AP7" s="144" t="str">
        <f>IF(C7="","",$AP$6*(1+M7))</f>
        <v/>
      </c>
      <c r="AQ7" s="49"/>
      <c r="AR7" s="49"/>
      <c r="AS7" s="49"/>
      <c r="AT7" s="49"/>
      <c r="AU7" s="49"/>
      <c r="AV7" s="49"/>
      <c r="AW7" s="49"/>
    </row>
    <row r="8" spans="1:49" s="7" customFormat="1" x14ac:dyDescent="0.25">
      <c r="A8" s="22"/>
      <c r="B8" s="22"/>
      <c r="C8" s="12" t="str">
        <f>IFERROR(IF(AvisoErro&lt;&gt;"","",IF(C7+1&gt;PAINEL!$H$8,"",C7+1)),"")</f>
        <v/>
      </c>
      <c r="D8" s="120"/>
      <c r="E8" s="23" t="str">
        <f t="shared" si="6"/>
        <v/>
      </c>
      <c r="F8" s="13" t="str">
        <f>IF(C8="","",IF(E8&lt;&gt;"",E8*PAINEL!$H$7,0))</f>
        <v/>
      </c>
      <c r="G8" s="13" t="str">
        <f>IF(C8="","",IF(PAINEL!$A$4=1,K7/(QTDEParc-C7),IF(AND(PAINEL!$A$4=2,C8&lt;=MomentoContemplação),ValorParcelamento/QTDEParc,K7/(QTDEParc-C7))))</f>
        <v/>
      </c>
      <c r="H8" s="13" t="str">
        <f t="shared" si="7"/>
        <v/>
      </c>
      <c r="I8" s="32" t="str">
        <f t="shared" si="8"/>
        <v/>
      </c>
      <c r="J8" s="14" t="str">
        <f>IF(C8="","",IF(C8=MomentoContemplação,PAINEL!$P$10,0))</f>
        <v/>
      </c>
      <c r="K8" s="14" t="str">
        <f t="shared" si="9"/>
        <v/>
      </c>
      <c r="L8" s="21"/>
      <c r="M8" s="51" t="str">
        <f t="shared" si="10"/>
        <v/>
      </c>
      <c r="N8" s="27" t="str">
        <f t="shared" ref="N8:N71" si="13">IF(C8="","",(I8*(1+M8))+F8+J8)</f>
        <v/>
      </c>
      <c r="O8" s="27" t="str">
        <f>IF(C8="","",(I8*(1+M8))*(QTDEParc-CÁLCULO!C8)+$F$5-SUM($F$6:F8)-J8)</f>
        <v/>
      </c>
      <c r="P8" s="7" t="str">
        <f t="shared" si="11"/>
        <v/>
      </c>
      <c r="Q8" s="40"/>
      <c r="R8" s="44" t="str">
        <f t="shared" si="12"/>
        <v/>
      </c>
      <c r="S8" s="97"/>
      <c r="T8" s="28" t="str">
        <f t="shared" ref="T8:T70" si="14">IF(C8="","",((PercTxAdm-PercTxAdmAntecipada)*(N8-F8))/(100%+(PercTxAdm-PercTxAdmAntecipada)+PercTxFRes)+F8)</f>
        <v/>
      </c>
      <c r="U8" s="28" t="str">
        <f t="shared" si="1"/>
        <v/>
      </c>
      <c r="V8" s="7" t="str">
        <f t="shared" ref="V8:V71" si="15">IF(C8="","",H8)</f>
        <v/>
      </c>
      <c r="W8" s="93" t="str">
        <f>IF(C8="","",0)</f>
        <v/>
      </c>
      <c r="X8" s="28" t="str">
        <f t="shared" ref="X8:X71" si="16">IF(C8="","",SUM(T8:W8))</f>
        <v/>
      </c>
      <c r="Y8" s="28" t="str">
        <f t="shared" si="2"/>
        <v/>
      </c>
      <c r="Z8" s="28" t="str">
        <f t="shared" si="3"/>
        <v/>
      </c>
      <c r="AA8" s="28" t="str">
        <f t="shared" si="4"/>
        <v/>
      </c>
      <c r="AB8" s="28" t="str">
        <f t="shared" si="5"/>
        <v/>
      </c>
      <c r="AC8" s="28" t="str">
        <f t="shared" ref="AC8:AC71" si="17">IF(I8="","",SUM(Y8:AB8))</f>
        <v/>
      </c>
      <c r="AD8" s="27"/>
      <c r="AE8" s="21"/>
      <c r="AF8" s="21"/>
      <c r="AG8" s="21"/>
      <c r="AH8" s="21"/>
      <c r="AI8" s="21"/>
      <c r="AJ8" s="21"/>
      <c r="AK8" s="24">
        <f t="shared" ref="AK8:AK39" si="18">AK7+1</f>
        <v>2</v>
      </c>
      <c r="AL8" s="25">
        <f t="shared" ref="AL8:AL39" si="19">AL7+12</f>
        <v>24</v>
      </c>
      <c r="AM8" s="26">
        <f t="shared" ref="AM8:AM39" si="20">(1+Perc_Reajuste)^AK8-1</f>
        <v>0</v>
      </c>
      <c r="AN8" s="151"/>
      <c r="AO8" s="145" t="str">
        <f t="shared" ref="AO8:AO71" si="21">IF(C8="","",C8)</f>
        <v/>
      </c>
      <c r="AP8" s="144" t="str">
        <f t="shared" ref="AP8:AP71" si="22">IF(C8="","",$AP$6*(1+M8))</f>
        <v/>
      </c>
      <c r="AQ8" s="49"/>
      <c r="AR8" s="49"/>
      <c r="AS8" s="49"/>
      <c r="AT8" s="49"/>
      <c r="AU8" s="49"/>
      <c r="AV8" s="49"/>
      <c r="AW8" s="49"/>
    </row>
    <row r="9" spans="1:49" s="7" customFormat="1" x14ac:dyDescent="0.25">
      <c r="A9" s="22"/>
      <c r="B9" s="22"/>
      <c r="C9" s="12" t="str">
        <f>IFERROR(IF(AvisoErro&lt;&gt;"","",IF(C8+1&gt;PAINEL!$H$8,"",C8+1)),"")</f>
        <v/>
      </c>
      <c r="D9" s="120"/>
      <c r="E9" s="23" t="str">
        <f t="shared" si="6"/>
        <v/>
      </c>
      <c r="F9" s="13" t="str">
        <f>IF(C9="","",IF(E9&lt;&gt;"",E9*PAINEL!$H$7,0))</f>
        <v/>
      </c>
      <c r="G9" s="13" t="str">
        <f>IF(C9="","",IF(PAINEL!$A$4=1,K8/(QTDEParc-C8),IF(AND(PAINEL!$A$4=2,C9&lt;=MomentoContemplação),ValorParcelamento/QTDEParc,K8/(QTDEParc-C8))))</f>
        <v/>
      </c>
      <c r="H9" s="13" t="str">
        <f t="shared" si="7"/>
        <v/>
      </c>
      <c r="I9" s="32" t="str">
        <f t="shared" si="8"/>
        <v/>
      </c>
      <c r="J9" s="14" t="str">
        <f>IF(C9="","",IF(C9=MomentoContemplação,PAINEL!$P$10,0))</f>
        <v/>
      </c>
      <c r="K9" s="14" t="str">
        <f t="shared" si="9"/>
        <v/>
      </c>
      <c r="L9" s="21"/>
      <c r="M9" s="51" t="str">
        <f t="shared" si="10"/>
        <v/>
      </c>
      <c r="N9" s="27" t="str">
        <f t="shared" si="13"/>
        <v/>
      </c>
      <c r="O9" s="27" t="str">
        <f>IF(C9="","",(I9*(1+M9))*(QTDEParc-CÁLCULO!C9)+$F$5-SUM($F$6:F9)-J9)</f>
        <v/>
      </c>
      <c r="P9" s="7" t="str">
        <f t="shared" si="11"/>
        <v/>
      </c>
      <c r="Q9" s="40"/>
      <c r="R9" s="44" t="str">
        <f t="shared" si="12"/>
        <v/>
      </c>
      <c r="S9" s="97"/>
      <c r="T9" s="28" t="str">
        <f t="shared" si="14"/>
        <v/>
      </c>
      <c r="U9" s="28" t="str">
        <f t="shared" si="1"/>
        <v/>
      </c>
      <c r="V9" s="7" t="str">
        <f t="shared" si="15"/>
        <v/>
      </c>
      <c r="W9" s="93" t="str">
        <f t="shared" ref="W9:W72" si="23">IF(C9="","",0)</f>
        <v/>
      </c>
      <c r="X9" s="28" t="str">
        <f t="shared" si="16"/>
        <v/>
      </c>
      <c r="Y9" s="28" t="str">
        <f t="shared" si="2"/>
        <v/>
      </c>
      <c r="Z9" s="28" t="str">
        <f t="shared" si="3"/>
        <v/>
      </c>
      <c r="AA9" s="28" t="str">
        <f t="shared" si="4"/>
        <v/>
      </c>
      <c r="AB9" s="28" t="str">
        <f t="shared" si="5"/>
        <v/>
      </c>
      <c r="AC9" s="28" t="str">
        <f t="shared" si="17"/>
        <v/>
      </c>
      <c r="AD9" s="27"/>
      <c r="AE9" s="27"/>
      <c r="AF9" s="21"/>
      <c r="AG9" s="21"/>
      <c r="AH9" s="21"/>
      <c r="AI9" s="21"/>
      <c r="AJ9" s="21"/>
      <c r="AK9" s="24">
        <f t="shared" si="18"/>
        <v>3</v>
      </c>
      <c r="AL9" s="25">
        <f t="shared" si="19"/>
        <v>36</v>
      </c>
      <c r="AM9" s="26">
        <f t="shared" si="20"/>
        <v>0</v>
      </c>
      <c r="AN9" s="151"/>
      <c r="AO9" s="145" t="str">
        <f t="shared" si="21"/>
        <v/>
      </c>
      <c r="AP9" s="144" t="str">
        <f t="shared" si="22"/>
        <v/>
      </c>
      <c r="AQ9" s="49"/>
      <c r="AR9" s="49"/>
      <c r="AS9" s="49"/>
      <c r="AT9" s="49"/>
      <c r="AU9" s="49"/>
      <c r="AV9" s="49"/>
      <c r="AW9" s="49"/>
    </row>
    <row r="10" spans="1:49" x14ac:dyDescent="0.25">
      <c r="C10" s="12" t="str">
        <f>IFERROR(IF(AvisoErro&lt;&gt;"","",IF(C9+1&gt;PAINEL!$H$8,"",C9+1)),"")</f>
        <v/>
      </c>
      <c r="E10" s="23" t="str">
        <f t="shared" si="6"/>
        <v/>
      </c>
      <c r="F10" s="13" t="str">
        <f>IF(C10="","",IF(E10&lt;&gt;"",E10*PAINEL!$H$7,0))</f>
        <v/>
      </c>
      <c r="G10" s="13" t="str">
        <f>IF(C10="","",IF(PAINEL!$A$4=1,K9/(QTDEParc-C9),IF(AND(PAINEL!$A$4=2,C10&lt;=MomentoContemplação),ValorParcelamento/QTDEParc,K9/(QTDEParc-C9))))</f>
        <v/>
      </c>
      <c r="H10" s="13" t="str">
        <f t="shared" si="7"/>
        <v/>
      </c>
      <c r="I10" s="32" t="str">
        <f t="shared" si="8"/>
        <v/>
      </c>
      <c r="J10" s="14" t="str">
        <f>IF(C10="","",IF(C10=MomentoContemplação,PAINEL!$P$10,0))</f>
        <v/>
      </c>
      <c r="K10" s="14" t="str">
        <f t="shared" si="9"/>
        <v/>
      </c>
      <c r="L10" s="21"/>
      <c r="M10" s="51" t="str">
        <f t="shared" si="10"/>
        <v/>
      </c>
      <c r="N10" s="27" t="str">
        <f t="shared" si="13"/>
        <v/>
      </c>
      <c r="O10" s="27" t="str">
        <f>IF(C10="","",(I10*(1+M10))*(QTDEParc-CÁLCULO!C10)+$F$5-SUM($F$6:F10)-J10)</f>
        <v/>
      </c>
      <c r="P10" s="7" t="str">
        <f t="shared" si="11"/>
        <v/>
      </c>
      <c r="R10" s="44" t="str">
        <f t="shared" si="12"/>
        <v/>
      </c>
      <c r="S10" s="97"/>
      <c r="T10" s="28" t="str">
        <f t="shared" si="14"/>
        <v/>
      </c>
      <c r="U10" s="28" t="str">
        <f t="shared" si="1"/>
        <v/>
      </c>
      <c r="V10" s="7" t="str">
        <f t="shared" si="15"/>
        <v/>
      </c>
      <c r="W10" s="93" t="str">
        <f t="shared" si="23"/>
        <v/>
      </c>
      <c r="X10" s="28" t="str">
        <f t="shared" si="16"/>
        <v/>
      </c>
      <c r="Y10" s="28" t="str">
        <f t="shared" si="2"/>
        <v/>
      </c>
      <c r="Z10" s="28" t="str">
        <f t="shared" si="3"/>
        <v/>
      </c>
      <c r="AA10" s="28" t="str">
        <f t="shared" si="4"/>
        <v/>
      </c>
      <c r="AB10" s="28" t="str">
        <f t="shared" si="5"/>
        <v/>
      </c>
      <c r="AC10" s="28" t="str">
        <f t="shared" si="17"/>
        <v/>
      </c>
      <c r="AD10" s="27"/>
      <c r="AE10" s="21"/>
      <c r="AF10" s="21"/>
      <c r="AG10" s="21"/>
      <c r="AH10" s="21"/>
      <c r="AI10" s="21"/>
      <c r="AJ10" s="21"/>
      <c r="AK10" s="24">
        <f t="shared" si="18"/>
        <v>4</v>
      </c>
      <c r="AL10" s="25">
        <f t="shared" si="19"/>
        <v>48</v>
      </c>
      <c r="AM10" s="26">
        <f t="shared" si="20"/>
        <v>0</v>
      </c>
      <c r="AN10" s="151"/>
      <c r="AO10" s="145" t="str">
        <f t="shared" si="21"/>
        <v/>
      </c>
      <c r="AP10" s="144" t="str">
        <f t="shared" si="22"/>
        <v/>
      </c>
    </row>
    <row r="11" spans="1:49" x14ac:dyDescent="0.25">
      <c r="C11" s="12" t="str">
        <f>IFERROR(IF(AvisoErro&lt;&gt;"","",IF(C10+1&gt;PAINEL!$H$8,"",C10+1)),"")</f>
        <v/>
      </c>
      <c r="E11" s="23" t="str">
        <f t="shared" si="6"/>
        <v/>
      </c>
      <c r="F11" s="13" t="str">
        <f>IF(C11="","",IF(E11&lt;&gt;"",E11*PAINEL!$H$7,0))</f>
        <v/>
      </c>
      <c r="G11" s="13" t="str">
        <f>IF(C11="","",IF(PAINEL!$A$4=1,K10/(QTDEParc-C10),IF(AND(PAINEL!$A$4=2,C11&lt;=MomentoContemplação),ValorParcelamento/QTDEParc,K10/(QTDEParc-C10))))</f>
        <v/>
      </c>
      <c r="H11" s="13" t="str">
        <f t="shared" si="7"/>
        <v/>
      </c>
      <c r="I11" s="32" t="str">
        <f t="shared" si="8"/>
        <v/>
      </c>
      <c r="J11" s="14" t="str">
        <f>IF(C11="","",IF(C11=MomentoContemplação,PAINEL!$P$10,0))</f>
        <v/>
      </c>
      <c r="K11" s="14" t="str">
        <f t="shared" si="9"/>
        <v/>
      </c>
      <c r="L11" s="21"/>
      <c r="M11" s="51" t="str">
        <f t="shared" si="10"/>
        <v/>
      </c>
      <c r="N11" s="27" t="str">
        <f t="shared" si="13"/>
        <v/>
      </c>
      <c r="O11" s="27" t="str">
        <f>IF(C11="","",(I11*(1+M11))*(QTDEParc-CÁLCULO!C11)+$F$5-SUM($F$6:F11)-J11)</f>
        <v/>
      </c>
      <c r="P11" s="7" t="str">
        <f t="shared" si="11"/>
        <v/>
      </c>
      <c r="R11" s="44" t="str">
        <f t="shared" si="12"/>
        <v/>
      </c>
      <c r="S11" s="97"/>
      <c r="T11" s="28" t="str">
        <f t="shared" si="14"/>
        <v/>
      </c>
      <c r="U11" s="28" t="str">
        <f t="shared" si="1"/>
        <v/>
      </c>
      <c r="V11" s="7" t="str">
        <f t="shared" si="15"/>
        <v/>
      </c>
      <c r="W11" s="93" t="str">
        <f t="shared" si="23"/>
        <v/>
      </c>
      <c r="X11" s="28" t="str">
        <f t="shared" si="16"/>
        <v/>
      </c>
      <c r="Y11" s="28" t="str">
        <f t="shared" si="2"/>
        <v/>
      </c>
      <c r="Z11" s="28" t="str">
        <f t="shared" si="3"/>
        <v/>
      </c>
      <c r="AA11" s="28" t="str">
        <f t="shared" si="4"/>
        <v/>
      </c>
      <c r="AB11" s="28" t="str">
        <f t="shared" si="5"/>
        <v/>
      </c>
      <c r="AC11" s="28" t="str">
        <f t="shared" si="17"/>
        <v/>
      </c>
      <c r="AD11" s="27"/>
      <c r="AE11" s="21"/>
      <c r="AF11" s="21"/>
      <c r="AG11" s="21"/>
      <c r="AH11" s="21"/>
      <c r="AI11" s="21"/>
      <c r="AJ11" s="21"/>
      <c r="AK11" s="24">
        <f t="shared" si="18"/>
        <v>5</v>
      </c>
      <c r="AL11" s="25">
        <f t="shared" si="19"/>
        <v>60</v>
      </c>
      <c r="AM11" s="26">
        <f t="shared" si="20"/>
        <v>0</v>
      </c>
      <c r="AN11" s="151"/>
      <c r="AO11" s="145" t="str">
        <f t="shared" si="21"/>
        <v/>
      </c>
      <c r="AP11" s="144" t="str">
        <f t="shared" si="22"/>
        <v/>
      </c>
    </row>
    <row r="12" spans="1:49" x14ac:dyDescent="0.25">
      <c r="C12" s="12" t="str">
        <f>IFERROR(IF(AvisoErro&lt;&gt;"","",IF(C11+1&gt;PAINEL!$H$8,"",C11+1)),"")</f>
        <v/>
      </c>
      <c r="E12" s="23" t="str">
        <f t="shared" si="6"/>
        <v/>
      </c>
      <c r="F12" s="13" t="str">
        <f>IF(C12="","",IF(E12&lt;&gt;"",E12*PAINEL!$H$7,0))</f>
        <v/>
      </c>
      <c r="G12" s="13" t="str">
        <f>IF(C12="","",IF(PAINEL!$A$4=1,K11/(QTDEParc-C11),IF(AND(PAINEL!$A$4=2,C12&lt;=MomentoContemplação),ValorParcelamento/QTDEParc,K11/(QTDEParc-C11))))</f>
        <v/>
      </c>
      <c r="H12" s="13" t="str">
        <f t="shared" si="7"/>
        <v/>
      </c>
      <c r="I12" s="32" t="str">
        <f t="shared" si="8"/>
        <v/>
      </c>
      <c r="J12" s="14" t="str">
        <f>IF(C12="","",IF(C12=MomentoContemplação,PAINEL!$P$10,0))</f>
        <v/>
      </c>
      <c r="K12" s="14" t="str">
        <f t="shared" si="9"/>
        <v/>
      </c>
      <c r="L12" s="21"/>
      <c r="M12" s="51" t="str">
        <f t="shared" si="10"/>
        <v/>
      </c>
      <c r="N12" s="27" t="str">
        <f t="shared" si="13"/>
        <v/>
      </c>
      <c r="O12" s="27" t="str">
        <f>IF(C12="","",(I12*(1+M12))*(QTDEParc-CÁLCULO!C12)+$F$5-SUM($F$6:F12)-J12)</f>
        <v/>
      </c>
      <c r="P12" s="7" t="str">
        <f t="shared" si="11"/>
        <v/>
      </c>
      <c r="R12" s="44" t="str">
        <f t="shared" si="12"/>
        <v/>
      </c>
      <c r="S12" s="97"/>
      <c r="T12" s="28" t="str">
        <f t="shared" si="14"/>
        <v/>
      </c>
      <c r="U12" s="28" t="str">
        <f t="shared" si="1"/>
        <v/>
      </c>
      <c r="V12" s="7" t="str">
        <f t="shared" si="15"/>
        <v/>
      </c>
      <c r="W12" s="93" t="str">
        <f t="shared" si="23"/>
        <v/>
      </c>
      <c r="X12" s="28" t="str">
        <f t="shared" si="16"/>
        <v/>
      </c>
      <c r="Y12" s="28" t="str">
        <f t="shared" si="2"/>
        <v/>
      </c>
      <c r="Z12" s="28" t="str">
        <f t="shared" si="3"/>
        <v/>
      </c>
      <c r="AA12" s="28" t="str">
        <f t="shared" si="4"/>
        <v/>
      </c>
      <c r="AB12" s="28" t="str">
        <f t="shared" si="5"/>
        <v/>
      </c>
      <c r="AC12" s="28" t="str">
        <f t="shared" si="17"/>
        <v/>
      </c>
      <c r="AD12" s="27"/>
      <c r="AE12" s="21"/>
      <c r="AF12" s="21"/>
      <c r="AG12" s="21"/>
      <c r="AH12" s="21"/>
      <c r="AI12" s="21"/>
      <c r="AJ12" s="21"/>
      <c r="AK12" s="24">
        <f t="shared" si="18"/>
        <v>6</v>
      </c>
      <c r="AL12" s="25">
        <f t="shared" si="19"/>
        <v>72</v>
      </c>
      <c r="AM12" s="26">
        <f t="shared" si="20"/>
        <v>0</v>
      </c>
      <c r="AN12" s="151"/>
      <c r="AO12" s="145" t="str">
        <f t="shared" si="21"/>
        <v/>
      </c>
      <c r="AP12" s="144" t="str">
        <f t="shared" si="22"/>
        <v/>
      </c>
    </row>
    <row r="13" spans="1:49" x14ac:dyDescent="0.25">
      <c r="C13" s="12" t="str">
        <f>IFERROR(IF(AvisoErro&lt;&gt;"","",IF(C12+1&gt;PAINEL!$H$8,"",C12+1)),"")</f>
        <v/>
      </c>
      <c r="E13" s="23" t="str">
        <f t="shared" si="6"/>
        <v/>
      </c>
      <c r="F13" s="13" t="str">
        <f>IF(C13="","",IF(E13&lt;&gt;"",E13*PAINEL!$H$7,0))</f>
        <v/>
      </c>
      <c r="G13" s="13" t="str">
        <f>IF(C13="","",IF(PAINEL!$A$4=1,K12/(QTDEParc-C12),IF(AND(PAINEL!$A$4=2,C13&lt;=MomentoContemplação),ValorParcelamento/QTDEParc,K12/(QTDEParc-C12))))</f>
        <v/>
      </c>
      <c r="H13" s="13" t="str">
        <f t="shared" si="7"/>
        <v/>
      </c>
      <c r="I13" s="32" t="str">
        <f t="shared" si="8"/>
        <v/>
      </c>
      <c r="J13" s="14" t="str">
        <f>IF(C13="","",IF(C13=MomentoContemplação,PAINEL!$P$10,0))</f>
        <v/>
      </c>
      <c r="K13" s="14" t="str">
        <f t="shared" si="9"/>
        <v/>
      </c>
      <c r="L13" s="21"/>
      <c r="M13" s="51" t="str">
        <f t="shared" si="10"/>
        <v/>
      </c>
      <c r="N13" s="27" t="str">
        <f t="shared" si="13"/>
        <v/>
      </c>
      <c r="O13" s="27" t="str">
        <f>IF(C13="","",(I13*(1+M13))*(QTDEParc-CÁLCULO!C13)+$F$5-SUM($F$6:F13)-J13)</f>
        <v/>
      </c>
      <c r="P13" s="7" t="str">
        <f t="shared" si="11"/>
        <v/>
      </c>
      <c r="R13" s="44" t="str">
        <f t="shared" si="12"/>
        <v/>
      </c>
      <c r="S13" s="97"/>
      <c r="T13" s="28" t="str">
        <f t="shared" si="14"/>
        <v/>
      </c>
      <c r="U13" s="28" t="str">
        <f t="shared" si="1"/>
        <v/>
      </c>
      <c r="V13" s="7" t="str">
        <f t="shared" si="15"/>
        <v/>
      </c>
      <c r="W13" s="93" t="str">
        <f t="shared" si="23"/>
        <v/>
      </c>
      <c r="X13" s="28" t="str">
        <f t="shared" si="16"/>
        <v/>
      </c>
      <c r="Y13" s="28" t="str">
        <f t="shared" si="2"/>
        <v/>
      </c>
      <c r="Z13" s="28" t="str">
        <f t="shared" si="3"/>
        <v/>
      </c>
      <c r="AA13" s="28" t="str">
        <f t="shared" si="4"/>
        <v/>
      </c>
      <c r="AB13" s="28" t="str">
        <f t="shared" si="5"/>
        <v/>
      </c>
      <c r="AC13" s="28" t="str">
        <f t="shared" si="17"/>
        <v/>
      </c>
      <c r="AD13" s="27"/>
      <c r="AE13" s="21"/>
      <c r="AF13" s="21"/>
      <c r="AG13" s="21"/>
      <c r="AH13" s="21"/>
      <c r="AI13" s="21"/>
      <c r="AJ13" s="21"/>
      <c r="AK13" s="24">
        <f t="shared" si="18"/>
        <v>7</v>
      </c>
      <c r="AL13" s="25">
        <f t="shared" si="19"/>
        <v>84</v>
      </c>
      <c r="AM13" s="26">
        <f t="shared" si="20"/>
        <v>0</v>
      </c>
      <c r="AN13" s="151"/>
      <c r="AO13" s="145" t="str">
        <f t="shared" si="21"/>
        <v/>
      </c>
      <c r="AP13" s="144" t="str">
        <f t="shared" si="22"/>
        <v/>
      </c>
    </row>
    <row r="14" spans="1:49" x14ac:dyDescent="0.25">
      <c r="C14" s="12" t="str">
        <f>IFERROR(IF(AvisoErro&lt;&gt;"","",IF(C13+1&gt;PAINEL!$H$8,"",C13+1)),"")</f>
        <v/>
      </c>
      <c r="E14" s="23" t="str">
        <f t="shared" si="6"/>
        <v/>
      </c>
      <c r="F14" s="13" t="str">
        <f>IF(C14="","",IF(E14&lt;&gt;"",E14*PAINEL!$H$7,0))</f>
        <v/>
      </c>
      <c r="G14" s="13" t="str">
        <f>IF(C14="","",IF(PAINEL!$A$4=1,K13/(QTDEParc-C13),IF(AND(PAINEL!$A$4=2,C14&lt;=MomentoContemplação),ValorParcelamento/QTDEParc,K13/(QTDEParc-C13))))</f>
        <v/>
      </c>
      <c r="H14" s="13" t="str">
        <f t="shared" si="7"/>
        <v/>
      </c>
      <c r="I14" s="32" t="str">
        <f t="shared" si="8"/>
        <v/>
      </c>
      <c r="J14" s="14" t="str">
        <f>IF(C14="","",IF(C14=MomentoContemplação,PAINEL!$P$10,0))</f>
        <v/>
      </c>
      <c r="K14" s="14" t="str">
        <f t="shared" si="9"/>
        <v/>
      </c>
      <c r="L14" s="21"/>
      <c r="M14" s="51" t="str">
        <f t="shared" si="10"/>
        <v/>
      </c>
      <c r="N14" s="27" t="str">
        <f t="shared" si="13"/>
        <v/>
      </c>
      <c r="O14" s="27" t="str">
        <f>IF(C14="","",(I14*(1+M14))*(QTDEParc-CÁLCULO!C14)+$F$5-SUM($F$6:F14)-J14)</f>
        <v/>
      </c>
      <c r="P14" s="7" t="str">
        <f t="shared" si="11"/>
        <v/>
      </c>
      <c r="R14" s="44" t="str">
        <f t="shared" si="12"/>
        <v/>
      </c>
      <c r="S14" s="97"/>
      <c r="T14" s="28" t="str">
        <f t="shared" si="14"/>
        <v/>
      </c>
      <c r="U14" s="28" t="str">
        <f t="shared" si="1"/>
        <v/>
      </c>
      <c r="V14" s="7" t="str">
        <f t="shared" si="15"/>
        <v/>
      </c>
      <c r="W14" s="93" t="str">
        <f t="shared" si="23"/>
        <v/>
      </c>
      <c r="X14" s="28" t="str">
        <f t="shared" si="16"/>
        <v/>
      </c>
      <c r="Y14" s="28" t="str">
        <f t="shared" si="2"/>
        <v/>
      </c>
      <c r="Z14" s="28" t="str">
        <f t="shared" si="3"/>
        <v/>
      </c>
      <c r="AA14" s="28" t="str">
        <f t="shared" si="4"/>
        <v/>
      </c>
      <c r="AB14" s="28" t="str">
        <f t="shared" si="5"/>
        <v/>
      </c>
      <c r="AC14" s="28" t="str">
        <f t="shared" si="17"/>
        <v/>
      </c>
      <c r="AD14" s="27"/>
      <c r="AE14" s="21"/>
      <c r="AF14" s="21"/>
      <c r="AG14" s="21"/>
      <c r="AH14" s="21"/>
      <c r="AI14" s="21"/>
      <c r="AJ14" s="21"/>
      <c r="AK14" s="24">
        <f t="shared" si="18"/>
        <v>8</v>
      </c>
      <c r="AL14" s="25">
        <f t="shared" si="19"/>
        <v>96</v>
      </c>
      <c r="AM14" s="26">
        <f t="shared" si="20"/>
        <v>0</v>
      </c>
      <c r="AN14" s="151"/>
      <c r="AO14" s="145" t="str">
        <f t="shared" si="21"/>
        <v/>
      </c>
      <c r="AP14" s="144" t="str">
        <f t="shared" si="22"/>
        <v/>
      </c>
    </row>
    <row r="15" spans="1:49" x14ac:dyDescent="0.25">
      <c r="C15" s="12" t="str">
        <f>IFERROR(IF(AvisoErro&lt;&gt;"","",IF(C14+1&gt;PAINEL!$H$8,"",C14+1)),"")</f>
        <v/>
      </c>
      <c r="E15" s="23" t="str">
        <f t="shared" si="6"/>
        <v/>
      </c>
      <c r="F15" s="13" t="str">
        <f>IF(C15="","",IF(E15&lt;&gt;"",E15*PAINEL!$H$7,0))</f>
        <v/>
      </c>
      <c r="G15" s="13" t="str">
        <f>IF(C15="","",IF(PAINEL!$A$4=1,K14/(QTDEParc-C14),IF(AND(PAINEL!$A$4=2,C15&lt;=MomentoContemplação),ValorParcelamento/QTDEParc,K14/(QTDEParc-C14))))</f>
        <v/>
      </c>
      <c r="H15" s="13" t="str">
        <f t="shared" si="7"/>
        <v/>
      </c>
      <c r="I15" s="32" t="str">
        <f t="shared" si="8"/>
        <v/>
      </c>
      <c r="J15" s="14" t="str">
        <f>IF(C15="","",IF(C15=MomentoContemplação,PAINEL!$P$10,0))</f>
        <v/>
      </c>
      <c r="K15" s="14" t="str">
        <f t="shared" si="9"/>
        <v/>
      </c>
      <c r="M15" s="51" t="str">
        <f t="shared" si="10"/>
        <v/>
      </c>
      <c r="N15" s="27" t="str">
        <f t="shared" si="13"/>
        <v/>
      </c>
      <c r="O15" s="27" t="str">
        <f>IF(C15="","",(I15*(1+M15))*(QTDEParc-CÁLCULO!C15)+$F$5-SUM($F$6:F15)-J15)</f>
        <v/>
      </c>
      <c r="P15" s="7" t="str">
        <f t="shared" si="11"/>
        <v/>
      </c>
      <c r="R15" s="44" t="str">
        <f t="shared" si="12"/>
        <v/>
      </c>
      <c r="S15" s="97"/>
      <c r="T15" s="28" t="str">
        <f t="shared" si="14"/>
        <v/>
      </c>
      <c r="U15" s="28" t="str">
        <f t="shared" si="1"/>
        <v/>
      </c>
      <c r="V15" s="7" t="str">
        <f t="shared" si="15"/>
        <v/>
      </c>
      <c r="W15" s="93" t="str">
        <f t="shared" si="23"/>
        <v/>
      </c>
      <c r="X15" s="28" t="str">
        <f t="shared" si="16"/>
        <v/>
      </c>
      <c r="Y15" s="28" t="str">
        <f t="shared" si="2"/>
        <v/>
      </c>
      <c r="Z15" s="28" t="str">
        <f t="shared" si="3"/>
        <v/>
      </c>
      <c r="AA15" s="28" t="str">
        <f t="shared" si="4"/>
        <v/>
      </c>
      <c r="AB15" s="28" t="str">
        <f t="shared" si="5"/>
        <v/>
      </c>
      <c r="AC15" s="28" t="str">
        <f t="shared" si="17"/>
        <v/>
      </c>
      <c r="AD15" s="27"/>
      <c r="AK15" s="24">
        <f t="shared" si="18"/>
        <v>9</v>
      </c>
      <c r="AL15" s="25">
        <f t="shared" si="19"/>
        <v>108</v>
      </c>
      <c r="AM15" s="26">
        <f t="shared" si="20"/>
        <v>0</v>
      </c>
      <c r="AN15" s="151"/>
      <c r="AO15" s="145" t="str">
        <f t="shared" si="21"/>
        <v/>
      </c>
      <c r="AP15" s="144" t="str">
        <f t="shared" si="22"/>
        <v/>
      </c>
    </row>
    <row r="16" spans="1:49" x14ac:dyDescent="0.25">
      <c r="C16" s="12" t="str">
        <f>IFERROR(IF(AvisoErro&lt;&gt;"","",IF(C15+1&gt;PAINEL!$H$8,"",C15+1)),"")</f>
        <v/>
      </c>
      <c r="E16" s="23" t="str">
        <f t="shared" si="6"/>
        <v/>
      </c>
      <c r="F16" s="13" t="str">
        <f>IF(C16="","",IF(E16&lt;&gt;"",E16*PAINEL!$H$7,0))</f>
        <v/>
      </c>
      <c r="G16" s="13" t="str">
        <f>IF(C16="","",IF(PAINEL!$A$4=1,K15/(QTDEParc-C15),IF(AND(PAINEL!$A$4=2,C16&lt;=MomentoContemplação),ValorParcelamento/QTDEParc,K15/(QTDEParc-C15))))</f>
        <v/>
      </c>
      <c r="H16" s="13" t="str">
        <f t="shared" si="7"/>
        <v/>
      </c>
      <c r="I16" s="32" t="str">
        <f t="shared" si="8"/>
        <v/>
      </c>
      <c r="J16" s="14" t="str">
        <f>IF(C16="","",IF(C16=MomentoContemplação,PAINEL!$P$10,0))</f>
        <v/>
      </c>
      <c r="K16" s="14" t="str">
        <f t="shared" si="9"/>
        <v/>
      </c>
      <c r="M16" s="51" t="str">
        <f t="shared" si="10"/>
        <v/>
      </c>
      <c r="N16" s="27" t="str">
        <f t="shared" si="13"/>
        <v/>
      </c>
      <c r="O16" s="27" t="str">
        <f>IF(C16="","",(I16*(1+M16))*(QTDEParc-CÁLCULO!C16)+$F$5-SUM($F$6:F16)-J16)</f>
        <v/>
      </c>
      <c r="P16" s="7" t="str">
        <f t="shared" si="11"/>
        <v/>
      </c>
      <c r="R16" s="44" t="str">
        <f t="shared" si="12"/>
        <v/>
      </c>
      <c r="S16" s="97"/>
      <c r="T16" s="28" t="str">
        <f t="shared" si="14"/>
        <v/>
      </c>
      <c r="U16" s="28" t="str">
        <f t="shared" si="1"/>
        <v/>
      </c>
      <c r="V16" s="7" t="str">
        <f t="shared" si="15"/>
        <v/>
      </c>
      <c r="W16" s="93" t="str">
        <f t="shared" si="23"/>
        <v/>
      </c>
      <c r="X16" s="28" t="str">
        <f t="shared" si="16"/>
        <v/>
      </c>
      <c r="Y16" s="28" t="str">
        <f t="shared" si="2"/>
        <v/>
      </c>
      <c r="Z16" s="28" t="str">
        <f t="shared" si="3"/>
        <v/>
      </c>
      <c r="AA16" s="28" t="str">
        <f t="shared" si="4"/>
        <v/>
      </c>
      <c r="AB16" s="28" t="str">
        <f t="shared" si="5"/>
        <v/>
      </c>
      <c r="AC16" s="28" t="str">
        <f t="shared" si="17"/>
        <v/>
      </c>
      <c r="AD16" s="27"/>
      <c r="AE16" s="124"/>
      <c r="AK16" s="24">
        <f t="shared" si="18"/>
        <v>10</v>
      </c>
      <c r="AL16" s="25">
        <f t="shared" si="19"/>
        <v>120</v>
      </c>
      <c r="AM16" s="26">
        <f t="shared" si="20"/>
        <v>0</v>
      </c>
      <c r="AN16" s="151"/>
      <c r="AO16" s="145" t="str">
        <f t="shared" si="21"/>
        <v/>
      </c>
      <c r="AP16" s="144" t="str">
        <f t="shared" si="22"/>
        <v/>
      </c>
    </row>
    <row r="17" spans="3:42" x14ac:dyDescent="0.25">
      <c r="C17" s="12" t="str">
        <f>IFERROR(IF(AvisoErro&lt;&gt;"","",IF(C16+1&gt;PAINEL!$H$8,"",C16+1)),"")</f>
        <v/>
      </c>
      <c r="E17" s="23" t="str">
        <f t="shared" si="6"/>
        <v/>
      </c>
      <c r="F17" s="13" t="str">
        <f>IF(C17="","",IF(E17&lt;&gt;"",E17*PAINEL!$H$7,0))</f>
        <v/>
      </c>
      <c r="G17" s="13" t="str">
        <f>IF(C17="","",IF(PAINEL!$A$4=1,K16/(QTDEParc-C16),IF(AND(PAINEL!$A$4=2,C17&lt;=MomentoContemplação),ValorParcelamento/QTDEParc,K16/(QTDEParc-C16))))</f>
        <v/>
      </c>
      <c r="H17" s="13" t="str">
        <f t="shared" si="7"/>
        <v/>
      </c>
      <c r="I17" s="32" t="str">
        <f t="shared" si="8"/>
        <v/>
      </c>
      <c r="J17" s="14" t="str">
        <f>IF(C17="","",IF(C17=MomentoContemplação,PAINEL!$P$10,0))</f>
        <v/>
      </c>
      <c r="K17" s="14" t="str">
        <f t="shared" si="9"/>
        <v/>
      </c>
      <c r="M17" s="51" t="str">
        <f t="shared" si="10"/>
        <v/>
      </c>
      <c r="N17" s="27" t="str">
        <f t="shared" si="13"/>
        <v/>
      </c>
      <c r="O17" s="27" t="str">
        <f>IF(C17="","",(I17*(1+M17))*(QTDEParc-CÁLCULO!C17)+$F$5-SUM($F$6:F17)-J17)</f>
        <v/>
      </c>
      <c r="P17" s="7" t="str">
        <f t="shared" si="11"/>
        <v/>
      </c>
      <c r="R17" s="44" t="str">
        <f t="shared" si="12"/>
        <v/>
      </c>
      <c r="S17" s="97"/>
      <c r="T17" s="28" t="str">
        <f t="shared" si="14"/>
        <v/>
      </c>
      <c r="U17" s="28" t="str">
        <f t="shared" si="1"/>
        <v/>
      </c>
      <c r="V17" s="7" t="str">
        <f t="shared" si="15"/>
        <v/>
      </c>
      <c r="W17" s="93" t="str">
        <f t="shared" si="23"/>
        <v/>
      </c>
      <c r="X17" s="28" t="str">
        <f t="shared" si="16"/>
        <v/>
      </c>
      <c r="Y17" s="28" t="str">
        <f t="shared" si="2"/>
        <v/>
      </c>
      <c r="Z17" s="28" t="str">
        <f t="shared" si="3"/>
        <v/>
      </c>
      <c r="AA17" s="28" t="str">
        <f t="shared" si="4"/>
        <v/>
      </c>
      <c r="AB17" s="28" t="str">
        <f t="shared" si="5"/>
        <v/>
      </c>
      <c r="AC17" s="28" t="str">
        <f t="shared" si="17"/>
        <v/>
      </c>
      <c r="AD17" s="27"/>
      <c r="AK17" s="24">
        <f t="shared" si="18"/>
        <v>11</v>
      </c>
      <c r="AL17" s="25">
        <f t="shared" si="19"/>
        <v>132</v>
      </c>
      <c r="AM17" s="26">
        <f t="shared" si="20"/>
        <v>0</v>
      </c>
      <c r="AN17" s="151"/>
      <c r="AO17" s="145" t="str">
        <f t="shared" si="21"/>
        <v/>
      </c>
      <c r="AP17" s="144" t="str">
        <f t="shared" si="22"/>
        <v/>
      </c>
    </row>
    <row r="18" spans="3:42" x14ac:dyDescent="0.25">
      <c r="C18" s="12" t="str">
        <f>IFERROR(IF(AvisoErro&lt;&gt;"","",IF(C17+1&gt;PAINEL!$H$8,"",C17+1)),"")</f>
        <v/>
      </c>
      <c r="E18" s="23" t="str">
        <f t="shared" si="6"/>
        <v/>
      </c>
      <c r="F18" s="13" t="str">
        <f>IF(C18="","",IF(E18&lt;&gt;"",E18*PAINEL!$H$7,0))</f>
        <v/>
      </c>
      <c r="G18" s="13" t="str">
        <f>IF(C18="","",IF(PAINEL!$A$4=1,K17/(QTDEParc-C17),IF(AND(PAINEL!$A$4=2,C18&lt;=MomentoContemplação),ValorParcelamento/QTDEParc,K17/(QTDEParc-C17))))</f>
        <v/>
      </c>
      <c r="H18" s="13" t="str">
        <f t="shared" si="7"/>
        <v/>
      </c>
      <c r="I18" s="32" t="str">
        <f t="shared" si="8"/>
        <v/>
      </c>
      <c r="J18" s="14" t="str">
        <f>IF(C18="","",IF(C18=MomentoContemplação,PAINEL!$P$10,0))</f>
        <v/>
      </c>
      <c r="K18" s="14" t="str">
        <f t="shared" si="9"/>
        <v/>
      </c>
      <c r="L18" s="29"/>
      <c r="M18" s="51" t="str">
        <f t="shared" si="10"/>
        <v/>
      </c>
      <c r="N18" s="27" t="str">
        <f t="shared" si="13"/>
        <v/>
      </c>
      <c r="O18" s="27" t="str">
        <f>IF(C18="","",(I18*(1+M18))*(QTDEParc-CÁLCULO!C18)+$F$5-SUM($F$6:F18)-J18)</f>
        <v/>
      </c>
      <c r="P18" s="7" t="str">
        <f t="shared" si="11"/>
        <v/>
      </c>
      <c r="R18" s="44" t="str">
        <f t="shared" si="12"/>
        <v/>
      </c>
      <c r="S18" s="97"/>
      <c r="T18" s="28" t="str">
        <f t="shared" si="14"/>
        <v/>
      </c>
      <c r="U18" s="28" t="str">
        <f t="shared" si="1"/>
        <v/>
      </c>
      <c r="V18" s="7" t="str">
        <f t="shared" si="15"/>
        <v/>
      </c>
      <c r="W18" s="93" t="str">
        <f t="shared" si="23"/>
        <v/>
      </c>
      <c r="X18" s="28" t="str">
        <f t="shared" si="16"/>
        <v/>
      </c>
      <c r="Y18" s="28" t="str">
        <f t="shared" si="2"/>
        <v/>
      </c>
      <c r="Z18" s="28" t="str">
        <f t="shared" si="3"/>
        <v/>
      </c>
      <c r="AA18" s="28" t="str">
        <f t="shared" si="4"/>
        <v/>
      </c>
      <c r="AB18" s="28" t="str">
        <f t="shared" si="5"/>
        <v/>
      </c>
      <c r="AC18" s="28" t="str">
        <f t="shared" si="17"/>
        <v/>
      </c>
      <c r="AD18" s="27"/>
      <c r="AK18" s="24">
        <f t="shared" si="18"/>
        <v>12</v>
      </c>
      <c r="AL18" s="25">
        <f t="shared" si="19"/>
        <v>144</v>
      </c>
      <c r="AM18" s="26">
        <f t="shared" si="20"/>
        <v>0</v>
      </c>
      <c r="AN18" s="151"/>
      <c r="AO18" s="145" t="str">
        <f t="shared" si="21"/>
        <v/>
      </c>
      <c r="AP18" s="144" t="str">
        <f t="shared" si="22"/>
        <v/>
      </c>
    </row>
    <row r="19" spans="3:42" x14ac:dyDescent="0.25">
      <c r="C19" s="12" t="str">
        <f>IFERROR(IF(AvisoErro&lt;&gt;"","",IF(C18+1&gt;PAINEL!$H$8,"",C18+1)),"")</f>
        <v/>
      </c>
      <c r="E19" s="23" t="str">
        <f t="shared" si="6"/>
        <v/>
      </c>
      <c r="F19" s="13" t="str">
        <f>IF(C19="","",IF(E19&lt;&gt;"",E19*PAINEL!$H$7,0))</f>
        <v/>
      </c>
      <c r="G19" s="13" t="str">
        <f>IF(C19="","",IF(PAINEL!$A$4=1,K18/(QTDEParc-C18),IF(AND(PAINEL!$A$4=2,C19&lt;=MomentoContemplação),ValorParcelamento/QTDEParc,K18/(QTDEParc-C18))))</f>
        <v/>
      </c>
      <c r="H19" s="13" t="str">
        <f t="shared" si="7"/>
        <v/>
      </c>
      <c r="I19" s="32" t="str">
        <f t="shared" si="8"/>
        <v/>
      </c>
      <c r="J19" s="14" t="str">
        <f>IF(C19="","",IF(C19=MomentoContemplação,PAINEL!$P$10,0))</f>
        <v/>
      </c>
      <c r="K19" s="14" t="str">
        <f t="shared" si="9"/>
        <v/>
      </c>
      <c r="M19" s="51" t="str">
        <f t="shared" si="10"/>
        <v/>
      </c>
      <c r="N19" s="27" t="str">
        <f t="shared" si="13"/>
        <v/>
      </c>
      <c r="O19" s="27" t="str">
        <f>IF(C19="","",(I19*(1+M19))*(QTDEParc-CÁLCULO!C19)+$F$5-SUM($F$6:F19)-J19)</f>
        <v/>
      </c>
      <c r="P19" s="7" t="str">
        <f t="shared" si="11"/>
        <v/>
      </c>
      <c r="R19" s="44" t="str">
        <f t="shared" si="12"/>
        <v/>
      </c>
      <c r="S19" s="97"/>
      <c r="T19" s="28" t="str">
        <f t="shared" si="14"/>
        <v/>
      </c>
      <c r="U19" s="28" t="str">
        <f t="shared" si="1"/>
        <v/>
      </c>
      <c r="V19" s="7" t="str">
        <f t="shared" si="15"/>
        <v/>
      </c>
      <c r="W19" s="93" t="str">
        <f t="shared" si="23"/>
        <v/>
      </c>
      <c r="X19" s="28" t="str">
        <f t="shared" si="16"/>
        <v/>
      </c>
      <c r="Y19" s="28" t="str">
        <f t="shared" si="2"/>
        <v/>
      </c>
      <c r="Z19" s="28" t="str">
        <f t="shared" si="3"/>
        <v/>
      </c>
      <c r="AA19" s="28" t="str">
        <f t="shared" si="4"/>
        <v/>
      </c>
      <c r="AB19" s="28" t="str">
        <f t="shared" si="5"/>
        <v/>
      </c>
      <c r="AC19" s="28" t="str">
        <f t="shared" si="17"/>
        <v/>
      </c>
      <c r="AD19" s="27"/>
      <c r="AK19" s="24">
        <f t="shared" si="18"/>
        <v>13</v>
      </c>
      <c r="AL19" s="25">
        <f t="shared" si="19"/>
        <v>156</v>
      </c>
      <c r="AM19" s="26">
        <f t="shared" si="20"/>
        <v>0</v>
      </c>
      <c r="AN19" s="151"/>
      <c r="AO19" s="145" t="str">
        <f t="shared" si="21"/>
        <v/>
      </c>
      <c r="AP19" s="144" t="str">
        <f t="shared" si="22"/>
        <v/>
      </c>
    </row>
    <row r="20" spans="3:42" x14ac:dyDescent="0.25">
      <c r="C20" s="12" t="str">
        <f>IFERROR(IF(AvisoErro&lt;&gt;"","",IF(C19+1&gt;PAINEL!$H$8,"",C19+1)),"")</f>
        <v/>
      </c>
      <c r="E20" s="23" t="str">
        <f t="shared" si="6"/>
        <v/>
      </c>
      <c r="F20" s="13" t="str">
        <f>IF(C20="","",IF(E20&lt;&gt;"",E20*PAINEL!$H$7,0))</f>
        <v/>
      </c>
      <c r="G20" s="13" t="str">
        <f>IF(C20="","",IF(PAINEL!$A$4=1,K19/(QTDEParc-C19),IF(AND(PAINEL!$A$4=2,C20&lt;=MomentoContemplação),ValorParcelamento/QTDEParc,K19/(QTDEParc-C19))))</f>
        <v/>
      </c>
      <c r="H20" s="13" t="str">
        <f t="shared" si="7"/>
        <v/>
      </c>
      <c r="I20" s="32" t="str">
        <f t="shared" si="8"/>
        <v/>
      </c>
      <c r="J20" s="14" t="str">
        <f>IF(C20="","",IF(C20=MomentoContemplação,PAINEL!$P$10,0))</f>
        <v/>
      </c>
      <c r="K20" s="14" t="str">
        <f t="shared" si="9"/>
        <v/>
      </c>
      <c r="M20" s="51" t="str">
        <f t="shared" si="10"/>
        <v/>
      </c>
      <c r="N20" s="27" t="str">
        <f t="shared" si="13"/>
        <v/>
      </c>
      <c r="O20" s="27" t="str">
        <f>IF(C20="","",(I20*(1+M20))*(QTDEParc-CÁLCULO!C20)+$F$5-SUM($F$6:F20)-J20)</f>
        <v/>
      </c>
      <c r="P20" s="7" t="str">
        <f t="shared" si="11"/>
        <v/>
      </c>
      <c r="R20" s="44" t="str">
        <f t="shared" si="12"/>
        <v/>
      </c>
      <c r="S20" s="97"/>
      <c r="T20" s="28" t="str">
        <f t="shared" si="14"/>
        <v/>
      </c>
      <c r="U20" s="28" t="str">
        <f t="shared" si="1"/>
        <v/>
      </c>
      <c r="V20" s="7" t="str">
        <f t="shared" si="15"/>
        <v/>
      </c>
      <c r="W20" s="93" t="str">
        <f t="shared" si="23"/>
        <v/>
      </c>
      <c r="X20" s="28" t="str">
        <f t="shared" si="16"/>
        <v/>
      </c>
      <c r="Y20" s="28" t="str">
        <f t="shared" si="2"/>
        <v/>
      </c>
      <c r="Z20" s="28" t="str">
        <f t="shared" si="3"/>
        <v/>
      </c>
      <c r="AA20" s="28" t="str">
        <f t="shared" si="4"/>
        <v/>
      </c>
      <c r="AB20" s="28" t="str">
        <f t="shared" si="5"/>
        <v/>
      </c>
      <c r="AC20" s="28" t="str">
        <f t="shared" si="17"/>
        <v/>
      </c>
      <c r="AD20" s="27"/>
      <c r="AK20" s="24">
        <f t="shared" si="18"/>
        <v>14</v>
      </c>
      <c r="AL20" s="25">
        <f t="shared" si="19"/>
        <v>168</v>
      </c>
      <c r="AM20" s="26">
        <f t="shared" si="20"/>
        <v>0</v>
      </c>
      <c r="AN20" s="151"/>
      <c r="AO20" s="145" t="str">
        <f t="shared" si="21"/>
        <v/>
      </c>
      <c r="AP20" s="144" t="str">
        <f t="shared" si="22"/>
        <v/>
      </c>
    </row>
    <row r="21" spans="3:42" x14ac:dyDescent="0.25">
      <c r="C21" s="12" t="str">
        <f>IFERROR(IF(AvisoErro&lt;&gt;"","",IF(C20+1&gt;PAINEL!$H$8,"",C20+1)),"")</f>
        <v/>
      </c>
      <c r="E21" s="23" t="str">
        <f t="shared" si="6"/>
        <v/>
      </c>
      <c r="F21" s="13" t="str">
        <f>IF(C21="","",IF(E21&lt;&gt;"",E21*PAINEL!$H$7,0))</f>
        <v/>
      </c>
      <c r="G21" s="13" t="str">
        <f>IF(C21="","",IF(PAINEL!$A$4=1,K20/(QTDEParc-C20),IF(AND(PAINEL!$A$4=2,C21&lt;=MomentoContemplação),ValorParcelamento/QTDEParc,K20/(QTDEParc-C20))))</f>
        <v/>
      </c>
      <c r="H21" s="13" t="str">
        <f t="shared" si="7"/>
        <v/>
      </c>
      <c r="I21" s="32" t="str">
        <f t="shared" si="8"/>
        <v/>
      </c>
      <c r="J21" s="14" t="str">
        <f>IF(C21="","",IF(C21=MomentoContemplação,PAINEL!$P$10,0))</f>
        <v/>
      </c>
      <c r="K21" s="14" t="str">
        <f t="shared" si="9"/>
        <v/>
      </c>
      <c r="M21" s="51" t="str">
        <f t="shared" si="10"/>
        <v/>
      </c>
      <c r="N21" s="27" t="str">
        <f t="shared" si="13"/>
        <v/>
      </c>
      <c r="O21" s="27" t="str">
        <f>IF(C21="","",(I21*(1+M21))*(QTDEParc-CÁLCULO!C21)+$F$5-SUM($F$6:F21)-J21)</f>
        <v/>
      </c>
      <c r="P21" s="7" t="str">
        <f t="shared" si="11"/>
        <v/>
      </c>
      <c r="R21" s="44" t="str">
        <f t="shared" si="12"/>
        <v/>
      </c>
      <c r="S21" s="97"/>
      <c r="T21" s="28" t="str">
        <f t="shared" si="14"/>
        <v/>
      </c>
      <c r="U21" s="28" t="str">
        <f t="shared" si="1"/>
        <v/>
      </c>
      <c r="V21" s="7" t="str">
        <f t="shared" si="15"/>
        <v/>
      </c>
      <c r="W21" s="93" t="str">
        <f t="shared" si="23"/>
        <v/>
      </c>
      <c r="X21" s="28" t="str">
        <f t="shared" si="16"/>
        <v/>
      </c>
      <c r="Y21" s="28" t="str">
        <f t="shared" si="2"/>
        <v/>
      </c>
      <c r="Z21" s="28" t="str">
        <f t="shared" si="3"/>
        <v/>
      </c>
      <c r="AA21" s="28" t="str">
        <f t="shared" si="4"/>
        <v/>
      </c>
      <c r="AB21" s="28" t="str">
        <f t="shared" si="5"/>
        <v/>
      </c>
      <c r="AC21" s="28" t="str">
        <f t="shared" si="17"/>
        <v/>
      </c>
      <c r="AD21" s="27"/>
      <c r="AK21" s="24">
        <f t="shared" si="18"/>
        <v>15</v>
      </c>
      <c r="AL21" s="25">
        <f t="shared" si="19"/>
        <v>180</v>
      </c>
      <c r="AM21" s="26">
        <f t="shared" si="20"/>
        <v>0</v>
      </c>
      <c r="AN21" s="151"/>
      <c r="AO21" s="145" t="str">
        <f t="shared" si="21"/>
        <v/>
      </c>
      <c r="AP21" s="144" t="str">
        <f t="shared" si="22"/>
        <v/>
      </c>
    </row>
    <row r="22" spans="3:42" x14ac:dyDescent="0.25">
      <c r="C22" s="12" t="str">
        <f>IFERROR(IF(AvisoErro&lt;&gt;"","",IF(C21+1&gt;PAINEL!$H$8,"",C21+1)),"")</f>
        <v/>
      </c>
      <c r="E22" s="23" t="str">
        <f t="shared" si="6"/>
        <v/>
      </c>
      <c r="F22" s="13" t="str">
        <f>IF(C22="","",IF(E22&lt;&gt;"",E22*PAINEL!$H$7,0))</f>
        <v/>
      </c>
      <c r="G22" s="13" t="str">
        <f>IF(C22="","",IF(PAINEL!$A$4=1,K21/(QTDEParc-C21),IF(AND(PAINEL!$A$4=2,C22&lt;=MomentoContemplação),ValorParcelamento/QTDEParc,K21/(QTDEParc-C21))))</f>
        <v/>
      </c>
      <c r="H22" s="13" t="str">
        <f t="shared" si="7"/>
        <v/>
      </c>
      <c r="I22" s="32" t="str">
        <f t="shared" si="8"/>
        <v/>
      </c>
      <c r="J22" s="14" t="str">
        <f>IF(C22="","",IF(C22=MomentoContemplação,PAINEL!$P$10,0))</f>
        <v/>
      </c>
      <c r="K22" s="14" t="str">
        <f t="shared" si="9"/>
        <v/>
      </c>
      <c r="M22" s="51" t="str">
        <f t="shared" si="10"/>
        <v/>
      </c>
      <c r="N22" s="27" t="str">
        <f t="shared" si="13"/>
        <v/>
      </c>
      <c r="O22" s="27" t="str">
        <f>IF(C22="","",(I22*(1+M22))*(QTDEParc-CÁLCULO!C22)+$F$5-SUM($F$6:F22)-J22)</f>
        <v/>
      </c>
      <c r="P22" s="7" t="str">
        <f t="shared" si="11"/>
        <v/>
      </c>
      <c r="R22" s="44" t="str">
        <f t="shared" si="12"/>
        <v/>
      </c>
      <c r="S22" s="97"/>
      <c r="T22" s="28" t="str">
        <f t="shared" si="14"/>
        <v/>
      </c>
      <c r="U22" s="28" t="str">
        <f t="shared" si="1"/>
        <v/>
      </c>
      <c r="V22" s="7" t="str">
        <f t="shared" si="15"/>
        <v/>
      </c>
      <c r="W22" s="93" t="str">
        <f t="shared" si="23"/>
        <v/>
      </c>
      <c r="X22" s="28" t="str">
        <f t="shared" si="16"/>
        <v/>
      </c>
      <c r="Y22" s="28" t="str">
        <f t="shared" si="2"/>
        <v/>
      </c>
      <c r="Z22" s="28" t="str">
        <f t="shared" si="3"/>
        <v/>
      </c>
      <c r="AA22" s="28" t="str">
        <f t="shared" si="4"/>
        <v/>
      </c>
      <c r="AB22" s="28" t="str">
        <f t="shared" si="5"/>
        <v/>
      </c>
      <c r="AC22" s="28" t="str">
        <f t="shared" si="17"/>
        <v/>
      </c>
      <c r="AD22" s="27"/>
      <c r="AK22" s="24">
        <f t="shared" si="18"/>
        <v>16</v>
      </c>
      <c r="AL22" s="25">
        <f t="shared" si="19"/>
        <v>192</v>
      </c>
      <c r="AM22" s="26">
        <f t="shared" si="20"/>
        <v>0</v>
      </c>
      <c r="AN22" s="151"/>
      <c r="AO22" s="145" t="str">
        <f t="shared" si="21"/>
        <v/>
      </c>
      <c r="AP22" s="144" t="str">
        <f t="shared" si="22"/>
        <v/>
      </c>
    </row>
    <row r="23" spans="3:42" x14ac:dyDescent="0.25">
      <c r="C23" s="12" t="str">
        <f>IFERROR(IF(AvisoErro&lt;&gt;"","",IF(C22+1&gt;PAINEL!$H$8,"",C22+1)),"")</f>
        <v/>
      </c>
      <c r="E23" s="23" t="str">
        <f t="shared" si="6"/>
        <v/>
      </c>
      <c r="F23" s="13" t="str">
        <f>IF(C23="","",IF(E23&lt;&gt;"",E23*PAINEL!$H$7,0))</f>
        <v/>
      </c>
      <c r="G23" s="13" t="str">
        <f>IF(C23="","",IF(PAINEL!$A$4=1,K22/(QTDEParc-C22),IF(AND(PAINEL!$A$4=2,C23&lt;=MomentoContemplação),ValorParcelamento/QTDEParc,K22/(QTDEParc-C22))))</f>
        <v/>
      </c>
      <c r="H23" s="13" t="str">
        <f t="shared" si="7"/>
        <v/>
      </c>
      <c r="I23" s="32" t="str">
        <f t="shared" si="8"/>
        <v/>
      </c>
      <c r="J23" s="14" t="str">
        <f>IF(C23="","",IF(C23=MomentoContemplação,PAINEL!$P$10,0))</f>
        <v/>
      </c>
      <c r="K23" s="14" t="str">
        <f t="shared" si="9"/>
        <v/>
      </c>
      <c r="M23" s="51" t="str">
        <f t="shared" si="10"/>
        <v/>
      </c>
      <c r="N23" s="27" t="str">
        <f t="shared" si="13"/>
        <v/>
      </c>
      <c r="O23" s="27" t="str">
        <f>IF(C23="","",(I23*(1+M23))*(QTDEParc-CÁLCULO!C23)+$F$5-SUM($F$6:F23)-J23)</f>
        <v/>
      </c>
      <c r="P23" s="7" t="str">
        <f t="shared" si="11"/>
        <v/>
      </c>
      <c r="R23" s="44" t="str">
        <f t="shared" si="12"/>
        <v/>
      </c>
      <c r="S23" s="97"/>
      <c r="T23" s="28" t="str">
        <f t="shared" si="14"/>
        <v/>
      </c>
      <c r="U23" s="28" t="str">
        <f t="shared" si="1"/>
        <v/>
      </c>
      <c r="V23" s="7" t="str">
        <f t="shared" si="15"/>
        <v/>
      </c>
      <c r="W23" s="93" t="str">
        <f t="shared" si="23"/>
        <v/>
      </c>
      <c r="X23" s="28" t="str">
        <f t="shared" si="16"/>
        <v/>
      </c>
      <c r="Y23" s="28" t="str">
        <f t="shared" si="2"/>
        <v/>
      </c>
      <c r="Z23" s="28" t="str">
        <f t="shared" si="3"/>
        <v/>
      </c>
      <c r="AA23" s="28" t="str">
        <f t="shared" si="4"/>
        <v/>
      </c>
      <c r="AB23" s="28" t="str">
        <f t="shared" si="5"/>
        <v/>
      </c>
      <c r="AC23" s="28" t="str">
        <f t="shared" si="17"/>
        <v/>
      </c>
      <c r="AD23" s="27"/>
      <c r="AK23" s="24">
        <f t="shared" si="18"/>
        <v>17</v>
      </c>
      <c r="AL23" s="25">
        <f t="shared" si="19"/>
        <v>204</v>
      </c>
      <c r="AM23" s="26">
        <f t="shared" si="20"/>
        <v>0</v>
      </c>
      <c r="AN23" s="151"/>
      <c r="AO23" s="145" t="str">
        <f t="shared" si="21"/>
        <v/>
      </c>
      <c r="AP23" s="144" t="str">
        <f t="shared" si="22"/>
        <v/>
      </c>
    </row>
    <row r="24" spans="3:42" x14ac:dyDescent="0.25">
      <c r="C24" s="12" t="str">
        <f>IFERROR(IF(AvisoErro&lt;&gt;"","",IF(C23+1&gt;PAINEL!$H$8,"",C23+1)),"")</f>
        <v/>
      </c>
      <c r="E24" s="23" t="str">
        <f t="shared" si="6"/>
        <v/>
      </c>
      <c r="F24" s="13" t="str">
        <f>IF(C24="","",IF(E24&lt;&gt;"",E24*PAINEL!$H$7,0))</f>
        <v/>
      </c>
      <c r="G24" s="13" t="str">
        <f>IF(C24="","",IF(PAINEL!$A$4=1,K23/(QTDEParc-C23),IF(AND(PAINEL!$A$4=2,C24&lt;=MomentoContemplação),ValorParcelamento/QTDEParc,K23/(QTDEParc-C23))))</f>
        <v/>
      </c>
      <c r="H24" s="13" t="str">
        <f t="shared" si="7"/>
        <v/>
      </c>
      <c r="I24" s="32" t="str">
        <f t="shared" si="8"/>
        <v/>
      </c>
      <c r="J24" s="14" t="str">
        <f>IF(C24="","",IF(C24=MomentoContemplação,PAINEL!$P$10,0))</f>
        <v/>
      </c>
      <c r="K24" s="14" t="str">
        <f t="shared" si="9"/>
        <v/>
      </c>
      <c r="M24" s="51" t="str">
        <f t="shared" si="10"/>
        <v/>
      </c>
      <c r="N24" s="27" t="str">
        <f t="shared" si="13"/>
        <v/>
      </c>
      <c r="O24" s="27" t="str">
        <f>IF(C24="","",(I24*(1+M24))*(QTDEParc-CÁLCULO!C24)+$F$5-SUM($F$6:F24)-J24)</f>
        <v/>
      </c>
      <c r="P24" s="7" t="str">
        <f t="shared" si="11"/>
        <v/>
      </c>
      <c r="R24" s="44" t="str">
        <f t="shared" si="12"/>
        <v/>
      </c>
      <c r="S24" s="97"/>
      <c r="T24" s="28" t="str">
        <f t="shared" si="14"/>
        <v/>
      </c>
      <c r="U24" s="28" t="str">
        <f t="shared" si="1"/>
        <v/>
      </c>
      <c r="V24" s="7" t="str">
        <f t="shared" si="15"/>
        <v/>
      </c>
      <c r="W24" s="93" t="str">
        <f t="shared" si="23"/>
        <v/>
      </c>
      <c r="X24" s="28" t="str">
        <f t="shared" si="16"/>
        <v/>
      </c>
      <c r="Y24" s="28" t="str">
        <f t="shared" si="2"/>
        <v/>
      </c>
      <c r="Z24" s="28" t="str">
        <f t="shared" si="3"/>
        <v/>
      </c>
      <c r="AA24" s="28" t="str">
        <f t="shared" si="4"/>
        <v/>
      </c>
      <c r="AB24" s="28" t="str">
        <f t="shared" si="5"/>
        <v/>
      </c>
      <c r="AC24" s="28" t="str">
        <f t="shared" si="17"/>
        <v/>
      </c>
      <c r="AD24" s="27"/>
      <c r="AK24" s="24">
        <f t="shared" si="18"/>
        <v>18</v>
      </c>
      <c r="AL24" s="25">
        <f t="shared" si="19"/>
        <v>216</v>
      </c>
      <c r="AM24" s="26">
        <f t="shared" si="20"/>
        <v>0</v>
      </c>
      <c r="AN24" s="151"/>
      <c r="AO24" s="145" t="str">
        <f t="shared" si="21"/>
        <v/>
      </c>
      <c r="AP24" s="144" t="str">
        <f t="shared" si="22"/>
        <v/>
      </c>
    </row>
    <row r="25" spans="3:42" x14ac:dyDescent="0.25">
      <c r="C25" s="12" t="str">
        <f>IFERROR(IF(AvisoErro&lt;&gt;"","",IF(C24+1&gt;PAINEL!$H$8,"",C24+1)),"")</f>
        <v/>
      </c>
      <c r="E25" s="23" t="str">
        <f t="shared" si="6"/>
        <v/>
      </c>
      <c r="F25" s="13" t="str">
        <f>IF(C25="","",IF(E25&lt;&gt;"",E25*PAINEL!$H$7,0))</f>
        <v/>
      </c>
      <c r="G25" s="13" t="str">
        <f>IF(C25="","",IF(PAINEL!$A$4=1,K24/(QTDEParc-C24),IF(AND(PAINEL!$A$4=2,C25&lt;=MomentoContemplação),ValorParcelamento/QTDEParc,K24/(QTDEParc-C24))))</f>
        <v/>
      </c>
      <c r="H25" s="13" t="str">
        <f t="shared" si="7"/>
        <v/>
      </c>
      <c r="I25" s="32" t="str">
        <f t="shared" si="8"/>
        <v/>
      </c>
      <c r="J25" s="14" t="str">
        <f>IF(C25="","",IF(C25=MomentoContemplação,PAINEL!$P$10,0))</f>
        <v/>
      </c>
      <c r="K25" s="14" t="str">
        <f t="shared" si="9"/>
        <v/>
      </c>
      <c r="M25" s="51" t="str">
        <f t="shared" si="10"/>
        <v/>
      </c>
      <c r="N25" s="27" t="str">
        <f t="shared" si="13"/>
        <v/>
      </c>
      <c r="O25" s="27" t="str">
        <f>IF(C25="","",(I25*(1+M25))*(QTDEParc-CÁLCULO!C25)+$F$5-SUM($F$6:F25)-J25)</f>
        <v/>
      </c>
      <c r="P25" s="7" t="str">
        <f t="shared" si="11"/>
        <v/>
      </c>
      <c r="R25" s="44" t="str">
        <f t="shared" si="12"/>
        <v/>
      </c>
      <c r="S25" s="97"/>
      <c r="T25" s="28" t="str">
        <f t="shared" si="14"/>
        <v/>
      </c>
      <c r="U25" s="28" t="str">
        <f t="shared" si="1"/>
        <v/>
      </c>
      <c r="V25" s="7" t="str">
        <f t="shared" si="15"/>
        <v/>
      </c>
      <c r="W25" s="93" t="str">
        <f t="shared" si="23"/>
        <v/>
      </c>
      <c r="X25" s="28" t="str">
        <f t="shared" si="16"/>
        <v/>
      </c>
      <c r="Y25" s="28" t="str">
        <f t="shared" si="2"/>
        <v/>
      </c>
      <c r="Z25" s="28" t="str">
        <f t="shared" si="3"/>
        <v/>
      </c>
      <c r="AA25" s="28" t="str">
        <f t="shared" si="4"/>
        <v/>
      </c>
      <c r="AB25" s="28" t="str">
        <f t="shared" si="5"/>
        <v/>
      </c>
      <c r="AC25" s="28" t="str">
        <f t="shared" si="17"/>
        <v/>
      </c>
      <c r="AD25" s="27"/>
      <c r="AK25" s="24">
        <f t="shared" si="18"/>
        <v>19</v>
      </c>
      <c r="AL25" s="25">
        <f t="shared" si="19"/>
        <v>228</v>
      </c>
      <c r="AM25" s="26">
        <f t="shared" si="20"/>
        <v>0</v>
      </c>
      <c r="AN25" s="151"/>
      <c r="AO25" s="145" t="str">
        <f t="shared" si="21"/>
        <v/>
      </c>
      <c r="AP25" s="144" t="str">
        <f t="shared" si="22"/>
        <v/>
      </c>
    </row>
    <row r="26" spans="3:42" x14ac:dyDescent="0.25">
      <c r="C26" s="12" t="str">
        <f>IFERROR(IF(AvisoErro&lt;&gt;"","",IF(C25+1&gt;PAINEL!$H$8,"",C25+1)),"")</f>
        <v/>
      </c>
      <c r="E26" s="23" t="str">
        <f t="shared" si="6"/>
        <v/>
      </c>
      <c r="F26" s="13" t="str">
        <f>IF(C26="","",IF(E26&lt;&gt;"",E26*PAINEL!$H$7,0))</f>
        <v/>
      </c>
      <c r="G26" s="13" t="str">
        <f>IF(C26="","",IF(PAINEL!$A$4=1,K25/(QTDEParc-C25),IF(AND(PAINEL!$A$4=2,C26&lt;=MomentoContemplação),ValorParcelamento/QTDEParc,K25/(QTDEParc-C25))))</f>
        <v/>
      </c>
      <c r="H26" s="13" t="str">
        <f t="shared" si="7"/>
        <v/>
      </c>
      <c r="I26" s="32" t="str">
        <f t="shared" si="8"/>
        <v/>
      </c>
      <c r="J26" s="14" t="str">
        <f>IF(C26="","",IF(C26=MomentoContemplação,PAINEL!$P$10,0))</f>
        <v/>
      </c>
      <c r="K26" s="14" t="str">
        <f t="shared" si="9"/>
        <v/>
      </c>
      <c r="M26" s="51" t="str">
        <f t="shared" si="10"/>
        <v/>
      </c>
      <c r="N26" s="27" t="str">
        <f t="shared" si="13"/>
        <v/>
      </c>
      <c r="O26" s="27" t="str">
        <f>IF(C26="","",(I26*(1+M26))*(QTDEParc-CÁLCULO!C26)+$F$5-SUM($F$6:F26)-J26)</f>
        <v/>
      </c>
      <c r="P26" s="7" t="str">
        <f t="shared" si="11"/>
        <v/>
      </c>
      <c r="R26" s="44" t="str">
        <f t="shared" si="12"/>
        <v/>
      </c>
      <c r="S26" s="97"/>
      <c r="T26" s="28" t="str">
        <f t="shared" si="14"/>
        <v/>
      </c>
      <c r="U26" s="28" t="str">
        <f t="shared" si="1"/>
        <v/>
      </c>
      <c r="V26" s="7" t="str">
        <f t="shared" si="15"/>
        <v/>
      </c>
      <c r="W26" s="93" t="str">
        <f t="shared" si="23"/>
        <v/>
      </c>
      <c r="X26" s="28" t="str">
        <f t="shared" si="16"/>
        <v/>
      </c>
      <c r="Y26" s="28" t="str">
        <f t="shared" si="2"/>
        <v/>
      </c>
      <c r="Z26" s="28" t="str">
        <f t="shared" si="3"/>
        <v/>
      </c>
      <c r="AA26" s="28" t="str">
        <f t="shared" si="4"/>
        <v/>
      </c>
      <c r="AB26" s="28" t="str">
        <f t="shared" si="5"/>
        <v/>
      </c>
      <c r="AC26" s="28" t="str">
        <f t="shared" si="17"/>
        <v/>
      </c>
      <c r="AD26" s="27"/>
      <c r="AK26" s="24">
        <f t="shared" si="18"/>
        <v>20</v>
      </c>
      <c r="AL26" s="25">
        <f t="shared" si="19"/>
        <v>240</v>
      </c>
      <c r="AM26" s="26">
        <f t="shared" si="20"/>
        <v>0</v>
      </c>
      <c r="AN26" s="151"/>
      <c r="AO26" s="145" t="str">
        <f t="shared" si="21"/>
        <v/>
      </c>
      <c r="AP26" s="144" t="str">
        <f t="shared" si="22"/>
        <v/>
      </c>
    </row>
    <row r="27" spans="3:42" x14ac:dyDescent="0.25">
      <c r="C27" s="12" t="str">
        <f>IFERROR(IF(AvisoErro&lt;&gt;"","",IF(C26+1&gt;PAINEL!$H$8,"",C26+1)),"")</f>
        <v/>
      </c>
      <c r="E27" s="23" t="str">
        <f t="shared" si="6"/>
        <v/>
      </c>
      <c r="F27" s="13" t="str">
        <f>IF(C27="","",IF(E27&lt;&gt;"",E27*PAINEL!$H$7,0))</f>
        <v/>
      </c>
      <c r="G27" s="13" t="str">
        <f>IF(C27="","",IF(PAINEL!$A$4=1,K26/(QTDEParc-C26),IF(AND(PAINEL!$A$4=2,C27&lt;=MomentoContemplação),ValorParcelamento/QTDEParc,K26/(QTDEParc-C26))))</f>
        <v/>
      </c>
      <c r="H27" s="13" t="str">
        <f t="shared" si="7"/>
        <v/>
      </c>
      <c r="I27" s="32" t="str">
        <f t="shared" si="8"/>
        <v/>
      </c>
      <c r="J27" s="14" t="str">
        <f>IF(C27="","",IF(C27=MomentoContemplação,PAINEL!$P$10,0))</f>
        <v/>
      </c>
      <c r="K27" s="14" t="str">
        <f t="shared" si="9"/>
        <v/>
      </c>
      <c r="M27" s="51" t="str">
        <f t="shared" si="10"/>
        <v/>
      </c>
      <c r="N27" s="27" t="str">
        <f t="shared" si="13"/>
        <v/>
      </c>
      <c r="O27" s="27" t="str">
        <f>IF(C27="","",(I27*(1+M27))*(QTDEParc-CÁLCULO!C27)+$F$5-SUM($F$6:F27)-J27)</f>
        <v/>
      </c>
      <c r="P27" s="7" t="str">
        <f t="shared" si="11"/>
        <v/>
      </c>
      <c r="R27" s="44" t="str">
        <f t="shared" si="12"/>
        <v/>
      </c>
      <c r="S27" s="97"/>
      <c r="T27" s="28" t="str">
        <f t="shared" si="14"/>
        <v/>
      </c>
      <c r="U27" s="28" t="str">
        <f t="shared" si="1"/>
        <v/>
      </c>
      <c r="V27" s="7" t="str">
        <f t="shared" si="15"/>
        <v/>
      </c>
      <c r="W27" s="93" t="str">
        <f t="shared" si="23"/>
        <v/>
      </c>
      <c r="X27" s="28" t="str">
        <f t="shared" si="16"/>
        <v/>
      </c>
      <c r="Y27" s="28" t="str">
        <f t="shared" si="2"/>
        <v/>
      </c>
      <c r="Z27" s="28" t="str">
        <f t="shared" si="3"/>
        <v/>
      </c>
      <c r="AA27" s="28" t="str">
        <f t="shared" si="4"/>
        <v/>
      </c>
      <c r="AB27" s="28" t="str">
        <f t="shared" si="5"/>
        <v/>
      </c>
      <c r="AC27" s="28" t="str">
        <f t="shared" si="17"/>
        <v/>
      </c>
      <c r="AD27" s="27"/>
      <c r="AK27" s="24">
        <f t="shared" si="18"/>
        <v>21</v>
      </c>
      <c r="AL27" s="25">
        <f t="shared" si="19"/>
        <v>252</v>
      </c>
      <c r="AM27" s="26">
        <f t="shared" si="20"/>
        <v>0</v>
      </c>
      <c r="AN27" s="151"/>
      <c r="AO27" s="145" t="str">
        <f t="shared" si="21"/>
        <v/>
      </c>
      <c r="AP27" s="144" t="str">
        <f t="shared" si="22"/>
        <v/>
      </c>
    </row>
    <row r="28" spans="3:42" x14ac:dyDescent="0.25">
      <c r="C28" s="12" t="str">
        <f>IFERROR(IF(AvisoErro&lt;&gt;"","",IF(C27+1&gt;PAINEL!$H$8,"",C27+1)),"")</f>
        <v/>
      </c>
      <c r="E28" s="23" t="str">
        <f t="shared" si="6"/>
        <v/>
      </c>
      <c r="F28" s="13" t="str">
        <f>IF(C28="","",IF(E28&lt;&gt;"",E28*PAINEL!$H$7,0))</f>
        <v/>
      </c>
      <c r="G28" s="13" t="str">
        <f>IF(C28="","",IF(PAINEL!$A$4=1,K27/(QTDEParc-C27),IF(AND(PAINEL!$A$4=2,C28&lt;=MomentoContemplação),ValorParcelamento/QTDEParc,K27/(QTDEParc-C27))))</f>
        <v/>
      </c>
      <c r="H28" s="13" t="str">
        <f t="shared" si="7"/>
        <v/>
      </c>
      <c r="I28" s="32" t="str">
        <f t="shared" si="8"/>
        <v/>
      </c>
      <c r="J28" s="14" t="str">
        <f>IF(C28="","",IF(C28=MomentoContemplação,PAINEL!$P$10,0))</f>
        <v/>
      </c>
      <c r="K28" s="14" t="str">
        <f t="shared" si="9"/>
        <v/>
      </c>
      <c r="M28" s="51" t="str">
        <f t="shared" si="10"/>
        <v/>
      </c>
      <c r="N28" s="27" t="str">
        <f t="shared" si="13"/>
        <v/>
      </c>
      <c r="O28" s="27" t="str">
        <f>IF(C28="","",(I28*(1+M28))*(QTDEParc-CÁLCULO!C28)+$F$5-SUM($F$6:F28)-J28)</f>
        <v/>
      </c>
      <c r="P28" s="7" t="str">
        <f t="shared" si="11"/>
        <v/>
      </c>
      <c r="R28" s="44" t="str">
        <f t="shared" si="12"/>
        <v/>
      </c>
      <c r="S28" s="97"/>
      <c r="T28" s="28" t="str">
        <f t="shared" si="14"/>
        <v/>
      </c>
      <c r="U28" s="28" t="str">
        <f t="shared" si="1"/>
        <v/>
      </c>
      <c r="V28" s="7" t="str">
        <f t="shared" si="15"/>
        <v/>
      </c>
      <c r="W28" s="93" t="str">
        <f t="shared" si="23"/>
        <v/>
      </c>
      <c r="X28" s="28" t="str">
        <f t="shared" si="16"/>
        <v/>
      </c>
      <c r="Y28" s="28" t="str">
        <f t="shared" si="2"/>
        <v/>
      </c>
      <c r="Z28" s="28" t="str">
        <f t="shared" si="3"/>
        <v/>
      </c>
      <c r="AA28" s="28" t="str">
        <f t="shared" si="4"/>
        <v/>
      </c>
      <c r="AB28" s="28" t="str">
        <f t="shared" si="5"/>
        <v/>
      </c>
      <c r="AC28" s="28" t="str">
        <f t="shared" si="17"/>
        <v/>
      </c>
      <c r="AD28" s="27"/>
      <c r="AK28" s="24">
        <f t="shared" si="18"/>
        <v>22</v>
      </c>
      <c r="AL28" s="25">
        <f t="shared" si="19"/>
        <v>264</v>
      </c>
      <c r="AM28" s="26">
        <f t="shared" si="20"/>
        <v>0</v>
      </c>
      <c r="AN28" s="151"/>
      <c r="AO28" s="145" t="str">
        <f t="shared" si="21"/>
        <v/>
      </c>
      <c r="AP28" s="144" t="str">
        <f t="shared" si="22"/>
        <v/>
      </c>
    </row>
    <row r="29" spans="3:42" x14ac:dyDescent="0.25">
      <c r="C29" s="12" t="str">
        <f>IFERROR(IF(AvisoErro&lt;&gt;"","",IF(C28+1&gt;PAINEL!$H$8,"",C28+1)),"")</f>
        <v/>
      </c>
      <c r="E29" s="23" t="str">
        <f t="shared" si="6"/>
        <v/>
      </c>
      <c r="F29" s="13" t="str">
        <f>IF(C29="","",IF(E29&lt;&gt;"",E29*PAINEL!$H$7,0))</f>
        <v/>
      </c>
      <c r="G29" s="13" t="str">
        <f>IF(C29="","",IF(PAINEL!$A$4=1,K28/(QTDEParc-C28),IF(AND(PAINEL!$A$4=2,C29&lt;=MomentoContemplação),ValorParcelamento/QTDEParc,K28/(QTDEParc-C28))))</f>
        <v/>
      </c>
      <c r="H29" s="13" t="str">
        <f t="shared" si="7"/>
        <v/>
      </c>
      <c r="I29" s="32" t="str">
        <f t="shared" si="8"/>
        <v/>
      </c>
      <c r="J29" s="14" t="str">
        <f>IF(C29="","",IF(C29=MomentoContemplação,PAINEL!$P$10,0))</f>
        <v/>
      </c>
      <c r="K29" s="14" t="str">
        <f t="shared" si="9"/>
        <v/>
      </c>
      <c r="M29" s="51" t="str">
        <f t="shared" si="10"/>
        <v/>
      </c>
      <c r="N29" s="27" t="str">
        <f t="shared" si="13"/>
        <v/>
      </c>
      <c r="O29" s="27" t="str">
        <f>IF(C29="","",(I29*(1+M29))*(QTDEParc-CÁLCULO!C29)+$F$5-SUM($F$6:F29)-J29)</f>
        <v/>
      </c>
      <c r="P29" s="7" t="str">
        <f t="shared" si="11"/>
        <v/>
      </c>
      <c r="R29" s="44" t="str">
        <f t="shared" si="12"/>
        <v/>
      </c>
      <c r="S29" s="97"/>
      <c r="T29" s="28" t="str">
        <f t="shared" si="14"/>
        <v/>
      </c>
      <c r="U29" s="28" t="str">
        <f t="shared" si="1"/>
        <v/>
      </c>
      <c r="V29" s="7" t="str">
        <f t="shared" si="15"/>
        <v/>
      </c>
      <c r="W29" s="93" t="str">
        <f t="shared" si="23"/>
        <v/>
      </c>
      <c r="X29" s="28" t="str">
        <f t="shared" si="16"/>
        <v/>
      </c>
      <c r="Y29" s="28" t="str">
        <f t="shared" si="2"/>
        <v/>
      </c>
      <c r="Z29" s="28" t="str">
        <f t="shared" si="3"/>
        <v/>
      </c>
      <c r="AA29" s="28" t="str">
        <f t="shared" si="4"/>
        <v/>
      </c>
      <c r="AB29" s="28" t="str">
        <f t="shared" si="5"/>
        <v/>
      </c>
      <c r="AC29" s="28" t="str">
        <f t="shared" si="17"/>
        <v/>
      </c>
      <c r="AD29" s="27"/>
      <c r="AK29" s="24">
        <f t="shared" si="18"/>
        <v>23</v>
      </c>
      <c r="AL29" s="25">
        <f t="shared" si="19"/>
        <v>276</v>
      </c>
      <c r="AM29" s="26">
        <f t="shared" si="20"/>
        <v>0</v>
      </c>
      <c r="AN29" s="151"/>
      <c r="AO29" s="145" t="str">
        <f t="shared" si="21"/>
        <v/>
      </c>
      <c r="AP29" s="144" t="str">
        <f t="shared" si="22"/>
        <v/>
      </c>
    </row>
    <row r="30" spans="3:42" x14ac:dyDescent="0.25">
      <c r="C30" s="12" t="str">
        <f>IFERROR(IF(AvisoErro&lt;&gt;"","",IF(C29+1&gt;PAINEL!$H$8,"",C29+1)),"")</f>
        <v/>
      </c>
      <c r="E30" s="23" t="str">
        <f t="shared" si="6"/>
        <v/>
      </c>
      <c r="F30" s="13" t="str">
        <f>IF(C30="","",IF(E30&lt;&gt;"",E30*PAINEL!$H$7,0))</f>
        <v/>
      </c>
      <c r="G30" s="13" t="str">
        <f>IF(C30="","",IF(PAINEL!$A$4=1,K29/(QTDEParc-C29),IF(AND(PAINEL!$A$4=2,C30&lt;=MomentoContemplação),ValorParcelamento/QTDEParc,K29/(QTDEParc-C29))))</f>
        <v/>
      </c>
      <c r="H30" s="13" t="str">
        <f t="shared" si="7"/>
        <v/>
      </c>
      <c r="I30" s="32" t="str">
        <f t="shared" si="8"/>
        <v/>
      </c>
      <c r="J30" s="14" t="str">
        <f>IF(C30="","",IF(C30=MomentoContemplação,PAINEL!$P$10,0))</f>
        <v/>
      </c>
      <c r="K30" s="14" t="str">
        <f t="shared" si="9"/>
        <v/>
      </c>
      <c r="M30" s="51" t="str">
        <f t="shared" si="10"/>
        <v/>
      </c>
      <c r="N30" s="27" t="str">
        <f t="shared" si="13"/>
        <v/>
      </c>
      <c r="O30" s="27" t="str">
        <f>IF(C30="","",(I30*(1+M30))*(QTDEParc-CÁLCULO!C30)+$F$5-SUM($F$6:F30)-J30)</f>
        <v/>
      </c>
      <c r="P30" s="7" t="str">
        <f t="shared" si="11"/>
        <v/>
      </c>
      <c r="R30" s="44" t="str">
        <f t="shared" si="12"/>
        <v/>
      </c>
      <c r="S30" s="97"/>
      <c r="T30" s="28" t="str">
        <f t="shared" si="14"/>
        <v/>
      </c>
      <c r="U30" s="28" t="str">
        <f t="shared" si="1"/>
        <v/>
      </c>
      <c r="V30" s="7" t="str">
        <f t="shared" si="15"/>
        <v/>
      </c>
      <c r="W30" s="93" t="str">
        <f t="shared" si="23"/>
        <v/>
      </c>
      <c r="X30" s="28" t="str">
        <f t="shared" si="16"/>
        <v/>
      </c>
      <c r="Y30" s="28" t="str">
        <f t="shared" si="2"/>
        <v/>
      </c>
      <c r="Z30" s="28" t="str">
        <f t="shared" si="3"/>
        <v/>
      </c>
      <c r="AA30" s="28" t="str">
        <f t="shared" si="4"/>
        <v/>
      </c>
      <c r="AB30" s="28" t="str">
        <f t="shared" si="5"/>
        <v/>
      </c>
      <c r="AC30" s="28" t="str">
        <f t="shared" si="17"/>
        <v/>
      </c>
      <c r="AD30" s="27"/>
      <c r="AK30" s="24">
        <f t="shared" si="18"/>
        <v>24</v>
      </c>
      <c r="AL30" s="25">
        <f t="shared" si="19"/>
        <v>288</v>
      </c>
      <c r="AM30" s="26">
        <f t="shared" si="20"/>
        <v>0</v>
      </c>
      <c r="AN30" s="151"/>
      <c r="AO30" s="145" t="str">
        <f t="shared" si="21"/>
        <v/>
      </c>
      <c r="AP30" s="144" t="str">
        <f t="shared" si="22"/>
        <v/>
      </c>
    </row>
    <row r="31" spans="3:42" x14ac:dyDescent="0.25">
      <c r="C31" s="12" t="str">
        <f>IFERROR(IF(AvisoErro&lt;&gt;"","",IF(C30+1&gt;PAINEL!$H$8,"",C30+1)),"")</f>
        <v/>
      </c>
      <c r="E31" s="23" t="str">
        <f t="shared" si="6"/>
        <v/>
      </c>
      <c r="F31" s="13" t="str">
        <f>IF(C31="","",IF(E31&lt;&gt;"",E31*PAINEL!$H$7,0))</f>
        <v/>
      </c>
      <c r="G31" s="13" t="str">
        <f>IF(C31="","",IF(PAINEL!$A$4=1,K30/(QTDEParc-C30),IF(AND(PAINEL!$A$4=2,C31&lt;=MomentoContemplação),ValorParcelamento/QTDEParc,K30/(QTDEParc-C30))))</f>
        <v/>
      </c>
      <c r="H31" s="13" t="str">
        <f t="shared" si="7"/>
        <v/>
      </c>
      <c r="I31" s="32" t="str">
        <f t="shared" si="8"/>
        <v/>
      </c>
      <c r="J31" s="14" t="str">
        <f>IF(C31="","",IF(C31=MomentoContemplação,PAINEL!$P$10,0))</f>
        <v/>
      </c>
      <c r="K31" s="14" t="str">
        <f t="shared" si="9"/>
        <v/>
      </c>
      <c r="M31" s="51" t="str">
        <f t="shared" si="10"/>
        <v/>
      </c>
      <c r="N31" s="27" t="str">
        <f t="shared" si="13"/>
        <v/>
      </c>
      <c r="O31" s="27" t="str">
        <f>IF(C31="","",(I31*(1+M31))*(QTDEParc-CÁLCULO!C31)+$F$5-SUM($F$6:F31)-J31)</f>
        <v/>
      </c>
      <c r="P31" s="7" t="str">
        <f t="shared" si="11"/>
        <v/>
      </c>
      <c r="R31" s="44" t="str">
        <f t="shared" si="12"/>
        <v/>
      </c>
      <c r="S31" s="97"/>
      <c r="T31" s="28" t="str">
        <f t="shared" si="14"/>
        <v/>
      </c>
      <c r="U31" s="28" t="str">
        <f t="shared" si="1"/>
        <v/>
      </c>
      <c r="V31" s="7" t="str">
        <f t="shared" si="15"/>
        <v/>
      </c>
      <c r="W31" s="93" t="str">
        <f t="shared" si="23"/>
        <v/>
      </c>
      <c r="X31" s="28" t="str">
        <f t="shared" si="16"/>
        <v/>
      </c>
      <c r="Y31" s="28" t="str">
        <f t="shared" si="2"/>
        <v/>
      </c>
      <c r="Z31" s="28" t="str">
        <f t="shared" si="3"/>
        <v/>
      </c>
      <c r="AA31" s="28" t="str">
        <f t="shared" si="4"/>
        <v/>
      </c>
      <c r="AB31" s="28" t="str">
        <f t="shared" si="5"/>
        <v/>
      </c>
      <c r="AC31" s="28" t="str">
        <f t="shared" si="17"/>
        <v/>
      </c>
      <c r="AD31" s="27"/>
      <c r="AK31" s="24">
        <f t="shared" si="18"/>
        <v>25</v>
      </c>
      <c r="AL31" s="25">
        <f t="shared" si="19"/>
        <v>300</v>
      </c>
      <c r="AM31" s="26">
        <f t="shared" si="20"/>
        <v>0</v>
      </c>
      <c r="AN31" s="151"/>
      <c r="AO31" s="145" t="str">
        <f t="shared" si="21"/>
        <v/>
      </c>
      <c r="AP31" s="144" t="str">
        <f t="shared" si="22"/>
        <v/>
      </c>
    </row>
    <row r="32" spans="3:42" x14ac:dyDescent="0.25">
      <c r="C32" s="12" t="str">
        <f>IFERROR(IF(AvisoErro&lt;&gt;"","",IF(C31+1&gt;PAINEL!$H$8,"",C31+1)),"")</f>
        <v/>
      </c>
      <c r="E32" s="23" t="str">
        <f t="shared" si="6"/>
        <v/>
      </c>
      <c r="F32" s="13" t="str">
        <f>IF(C32="","",IF(E32&lt;&gt;"",E32*PAINEL!$H$7,0))</f>
        <v/>
      </c>
      <c r="G32" s="13" t="str">
        <f>IF(C32="","",IF(PAINEL!$A$4=1,K31/(QTDEParc-C31),IF(AND(PAINEL!$A$4=2,C32&lt;=MomentoContemplação),ValorParcelamento/QTDEParc,K31/(QTDEParc-C31))))</f>
        <v/>
      </c>
      <c r="H32" s="13" t="str">
        <f t="shared" si="7"/>
        <v/>
      </c>
      <c r="I32" s="32" t="str">
        <f t="shared" si="8"/>
        <v/>
      </c>
      <c r="J32" s="14" t="str">
        <f>IF(C32="","",IF(C32=MomentoContemplação,PAINEL!$P$10,0))</f>
        <v/>
      </c>
      <c r="K32" s="14" t="str">
        <f t="shared" si="9"/>
        <v/>
      </c>
      <c r="M32" s="51" t="str">
        <f t="shared" si="10"/>
        <v/>
      </c>
      <c r="N32" s="27" t="str">
        <f t="shared" si="13"/>
        <v/>
      </c>
      <c r="O32" s="27" t="str">
        <f>IF(C32="","",(I32*(1+M32))*(QTDEParc-CÁLCULO!C32)+$F$5-SUM($F$6:F32)-J32)</f>
        <v/>
      </c>
      <c r="P32" s="7" t="str">
        <f t="shared" si="11"/>
        <v/>
      </c>
      <c r="R32" s="44" t="str">
        <f t="shared" si="12"/>
        <v/>
      </c>
      <c r="S32" s="97"/>
      <c r="T32" s="28" t="str">
        <f t="shared" si="14"/>
        <v/>
      </c>
      <c r="U32" s="28" t="str">
        <f t="shared" si="1"/>
        <v/>
      </c>
      <c r="V32" s="7" t="str">
        <f t="shared" si="15"/>
        <v/>
      </c>
      <c r="W32" s="93" t="str">
        <f t="shared" si="23"/>
        <v/>
      </c>
      <c r="X32" s="28" t="str">
        <f t="shared" si="16"/>
        <v/>
      </c>
      <c r="Y32" s="28" t="str">
        <f t="shared" si="2"/>
        <v/>
      </c>
      <c r="Z32" s="28" t="str">
        <f t="shared" si="3"/>
        <v/>
      </c>
      <c r="AA32" s="28" t="str">
        <f t="shared" si="4"/>
        <v/>
      </c>
      <c r="AB32" s="28" t="str">
        <f t="shared" si="5"/>
        <v/>
      </c>
      <c r="AC32" s="28" t="str">
        <f t="shared" si="17"/>
        <v/>
      </c>
      <c r="AD32" s="27"/>
      <c r="AK32" s="24">
        <f t="shared" si="18"/>
        <v>26</v>
      </c>
      <c r="AL32" s="25">
        <f t="shared" si="19"/>
        <v>312</v>
      </c>
      <c r="AM32" s="26">
        <f t="shared" si="20"/>
        <v>0</v>
      </c>
      <c r="AN32" s="151"/>
      <c r="AO32" s="145" t="str">
        <f t="shared" si="21"/>
        <v/>
      </c>
      <c r="AP32" s="144" t="str">
        <f t="shared" si="22"/>
        <v/>
      </c>
    </row>
    <row r="33" spans="3:42" x14ac:dyDescent="0.25">
      <c r="C33" s="12" t="str">
        <f>IFERROR(IF(AvisoErro&lt;&gt;"","",IF(C32+1&gt;PAINEL!$H$8,"",C32+1)),"")</f>
        <v/>
      </c>
      <c r="E33" s="23" t="str">
        <f t="shared" si="6"/>
        <v/>
      </c>
      <c r="F33" s="13" t="str">
        <f>IF(C33="","",IF(E33&lt;&gt;"",E33*PAINEL!$H$7,0))</f>
        <v/>
      </c>
      <c r="G33" s="13" t="str">
        <f>IF(C33="","",IF(PAINEL!$A$4=1,K32/(QTDEParc-C32),IF(AND(PAINEL!$A$4=2,C33&lt;=MomentoContemplação),ValorParcelamento/QTDEParc,K32/(QTDEParc-C32))))</f>
        <v/>
      </c>
      <c r="H33" s="13" t="str">
        <f t="shared" si="7"/>
        <v/>
      </c>
      <c r="I33" s="32" t="str">
        <f t="shared" si="8"/>
        <v/>
      </c>
      <c r="J33" s="14" t="str">
        <f>IF(C33="","",IF(C33=MomentoContemplação,PAINEL!$P$10,0))</f>
        <v/>
      </c>
      <c r="K33" s="14" t="str">
        <f t="shared" si="9"/>
        <v/>
      </c>
      <c r="M33" s="51" t="str">
        <f t="shared" si="10"/>
        <v/>
      </c>
      <c r="N33" s="27" t="str">
        <f t="shared" si="13"/>
        <v/>
      </c>
      <c r="O33" s="27" t="str">
        <f>IF(C33="","",(I33*(1+M33))*(QTDEParc-CÁLCULO!C33)+$F$5-SUM($F$6:F33)-J33)</f>
        <v/>
      </c>
      <c r="P33" s="7" t="str">
        <f t="shared" si="11"/>
        <v/>
      </c>
      <c r="R33" s="44" t="str">
        <f t="shared" si="12"/>
        <v/>
      </c>
      <c r="S33" s="97"/>
      <c r="T33" s="28" t="str">
        <f t="shared" si="14"/>
        <v/>
      </c>
      <c r="U33" s="28" t="str">
        <f t="shared" si="1"/>
        <v/>
      </c>
      <c r="V33" s="7" t="str">
        <f t="shared" si="15"/>
        <v/>
      </c>
      <c r="W33" s="93" t="str">
        <f t="shared" si="23"/>
        <v/>
      </c>
      <c r="X33" s="28" t="str">
        <f t="shared" si="16"/>
        <v/>
      </c>
      <c r="Y33" s="28" t="str">
        <f t="shared" si="2"/>
        <v/>
      </c>
      <c r="Z33" s="28" t="str">
        <f t="shared" si="3"/>
        <v/>
      </c>
      <c r="AA33" s="28" t="str">
        <f t="shared" si="4"/>
        <v/>
      </c>
      <c r="AB33" s="28" t="str">
        <f t="shared" si="5"/>
        <v/>
      </c>
      <c r="AC33" s="28" t="str">
        <f t="shared" si="17"/>
        <v/>
      </c>
      <c r="AD33" s="27"/>
      <c r="AK33" s="24">
        <f t="shared" si="18"/>
        <v>27</v>
      </c>
      <c r="AL33" s="25">
        <f t="shared" si="19"/>
        <v>324</v>
      </c>
      <c r="AM33" s="26">
        <f t="shared" si="20"/>
        <v>0</v>
      </c>
      <c r="AN33" s="151"/>
      <c r="AO33" s="145" t="str">
        <f t="shared" si="21"/>
        <v/>
      </c>
      <c r="AP33" s="144" t="str">
        <f t="shared" si="22"/>
        <v/>
      </c>
    </row>
    <row r="34" spans="3:42" x14ac:dyDescent="0.25">
      <c r="C34" s="12" t="str">
        <f>IFERROR(IF(AvisoErro&lt;&gt;"","",IF(C33+1&gt;PAINEL!$H$8,"",C33+1)),"")</f>
        <v/>
      </c>
      <c r="E34" s="23" t="str">
        <f t="shared" si="6"/>
        <v/>
      </c>
      <c r="F34" s="13" t="str">
        <f>IF(C34="","",IF(E34&lt;&gt;"",E34*PAINEL!$H$7,0))</f>
        <v/>
      </c>
      <c r="G34" s="13" t="str">
        <f>IF(C34="","",IF(PAINEL!$A$4=1,K33/(QTDEParc-C33),IF(AND(PAINEL!$A$4=2,C34&lt;=MomentoContemplação),ValorParcelamento/QTDEParc,K33/(QTDEParc-C33))))</f>
        <v/>
      </c>
      <c r="H34" s="13" t="str">
        <f t="shared" si="7"/>
        <v/>
      </c>
      <c r="I34" s="32" t="str">
        <f t="shared" si="8"/>
        <v/>
      </c>
      <c r="J34" s="14" t="str">
        <f>IF(C34="","",IF(C34=MomentoContemplação,PAINEL!$P$10,0))</f>
        <v/>
      </c>
      <c r="K34" s="14" t="str">
        <f t="shared" si="9"/>
        <v/>
      </c>
      <c r="M34" s="51" t="str">
        <f t="shared" si="10"/>
        <v/>
      </c>
      <c r="N34" s="27" t="str">
        <f t="shared" si="13"/>
        <v/>
      </c>
      <c r="O34" s="27" t="str">
        <f>IF(C34="","",(I34*(1+M34))*(QTDEParc-CÁLCULO!C34)+$F$5-SUM($F$6:F34)-J34)</f>
        <v/>
      </c>
      <c r="P34" s="7" t="str">
        <f t="shared" si="11"/>
        <v/>
      </c>
      <c r="R34" s="44" t="str">
        <f t="shared" si="12"/>
        <v/>
      </c>
      <c r="S34" s="97"/>
      <c r="T34" s="28" t="str">
        <f t="shared" si="14"/>
        <v/>
      </c>
      <c r="U34" s="28" t="str">
        <f t="shared" si="1"/>
        <v/>
      </c>
      <c r="V34" s="7" t="str">
        <f t="shared" si="15"/>
        <v/>
      </c>
      <c r="W34" s="93" t="str">
        <f t="shared" si="23"/>
        <v/>
      </c>
      <c r="X34" s="28" t="str">
        <f t="shared" si="16"/>
        <v/>
      </c>
      <c r="Y34" s="28" t="str">
        <f t="shared" si="2"/>
        <v/>
      </c>
      <c r="Z34" s="28" t="str">
        <f t="shared" si="3"/>
        <v/>
      </c>
      <c r="AA34" s="28" t="str">
        <f t="shared" si="4"/>
        <v/>
      </c>
      <c r="AB34" s="28" t="str">
        <f t="shared" si="5"/>
        <v/>
      </c>
      <c r="AC34" s="28" t="str">
        <f t="shared" si="17"/>
        <v/>
      </c>
      <c r="AD34" s="27"/>
      <c r="AK34" s="24">
        <f t="shared" si="18"/>
        <v>28</v>
      </c>
      <c r="AL34" s="25">
        <f t="shared" si="19"/>
        <v>336</v>
      </c>
      <c r="AM34" s="26">
        <f t="shared" si="20"/>
        <v>0</v>
      </c>
      <c r="AN34" s="151"/>
      <c r="AO34" s="145" t="str">
        <f t="shared" si="21"/>
        <v/>
      </c>
      <c r="AP34" s="144" t="str">
        <f t="shared" si="22"/>
        <v/>
      </c>
    </row>
    <row r="35" spans="3:42" x14ac:dyDescent="0.25">
      <c r="C35" s="12" t="str">
        <f>IFERROR(IF(AvisoErro&lt;&gt;"","",IF(C34+1&gt;PAINEL!$H$8,"",C34+1)),"")</f>
        <v/>
      </c>
      <c r="E35" s="23" t="str">
        <f t="shared" si="6"/>
        <v/>
      </c>
      <c r="F35" s="13" t="str">
        <f>IF(C35="","",IF(E35&lt;&gt;"",E35*PAINEL!$H$7,0))</f>
        <v/>
      </c>
      <c r="G35" s="13" t="str">
        <f>IF(C35="","",IF(PAINEL!$A$4=1,K34/(QTDEParc-C34),IF(AND(PAINEL!$A$4=2,C35&lt;=MomentoContemplação),ValorParcelamento/QTDEParc,K34/(QTDEParc-C34))))</f>
        <v/>
      </c>
      <c r="H35" s="13" t="str">
        <f t="shared" si="7"/>
        <v/>
      </c>
      <c r="I35" s="32" t="str">
        <f t="shared" si="8"/>
        <v/>
      </c>
      <c r="J35" s="14" t="str">
        <f>IF(C35="","",IF(C35=MomentoContemplação,PAINEL!$P$10,0))</f>
        <v/>
      </c>
      <c r="K35" s="14" t="str">
        <f t="shared" si="9"/>
        <v/>
      </c>
      <c r="M35" s="51" t="str">
        <f t="shared" si="10"/>
        <v/>
      </c>
      <c r="N35" s="27" t="str">
        <f t="shared" si="13"/>
        <v/>
      </c>
      <c r="O35" s="27" t="str">
        <f>IF(C35="","",(I35*(1+M35))*(QTDEParc-CÁLCULO!C35)+$F$5-SUM($F$6:F35)-J35)</f>
        <v/>
      </c>
      <c r="P35" s="7" t="str">
        <f t="shared" si="11"/>
        <v/>
      </c>
      <c r="R35" s="44" t="str">
        <f t="shared" si="12"/>
        <v/>
      </c>
      <c r="S35" s="97"/>
      <c r="T35" s="28" t="str">
        <f t="shared" si="14"/>
        <v/>
      </c>
      <c r="U35" s="28" t="str">
        <f t="shared" si="1"/>
        <v/>
      </c>
      <c r="V35" s="7" t="str">
        <f t="shared" si="15"/>
        <v/>
      </c>
      <c r="W35" s="93" t="str">
        <f t="shared" si="23"/>
        <v/>
      </c>
      <c r="X35" s="28" t="str">
        <f t="shared" si="16"/>
        <v/>
      </c>
      <c r="Y35" s="28" t="str">
        <f t="shared" si="2"/>
        <v/>
      </c>
      <c r="Z35" s="28" t="str">
        <f t="shared" si="3"/>
        <v/>
      </c>
      <c r="AA35" s="28" t="str">
        <f t="shared" si="4"/>
        <v/>
      </c>
      <c r="AB35" s="28" t="str">
        <f t="shared" si="5"/>
        <v/>
      </c>
      <c r="AC35" s="28" t="str">
        <f t="shared" si="17"/>
        <v/>
      </c>
      <c r="AD35" s="27"/>
      <c r="AK35" s="24">
        <f t="shared" si="18"/>
        <v>29</v>
      </c>
      <c r="AL35" s="25">
        <f t="shared" si="19"/>
        <v>348</v>
      </c>
      <c r="AM35" s="26">
        <f t="shared" si="20"/>
        <v>0</v>
      </c>
      <c r="AN35" s="151"/>
      <c r="AO35" s="145" t="str">
        <f t="shared" si="21"/>
        <v/>
      </c>
      <c r="AP35" s="144" t="str">
        <f t="shared" si="22"/>
        <v/>
      </c>
    </row>
    <row r="36" spans="3:42" x14ac:dyDescent="0.25">
      <c r="C36" s="12" t="str">
        <f>IFERROR(IF(AvisoErro&lt;&gt;"","",IF(C35+1&gt;PAINEL!$H$8,"",C35+1)),"")</f>
        <v/>
      </c>
      <c r="E36" s="23" t="str">
        <f t="shared" si="6"/>
        <v/>
      </c>
      <c r="F36" s="13" t="str">
        <f>IF(C36="","",IF(E36&lt;&gt;"",E36*PAINEL!$H$7,0))</f>
        <v/>
      </c>
      <c r="G36" s="13" t="str">
        <f>IF(C36="","",IF(PAINEL!$A$4=1,K35/(QTDEParc-C35),IF(AND(PAINEL!$A$4=2,C36&lt;=MomentoContemplação),ValorParcelamento/QTDEParc,K35/(QTDEParc-C35))))</f>
        <v/>
      </c>
      <c r="H36" s="13" t="str">
        <f t="shared" si="7"/>
        <v/>
      </c>
      <c r="I36" s="32" t="str">
        <f t="shared" si="8"/>
        <v/>
      </c>
      <c r="J36" s="14" t="str">
        <f>IF(C36="","",IF(C36=MomentoContemplação,PAINEL!$P$10,0))</f>
        <v/>
      </c>
      <c r="K36" s="14" t="str">
        <f t="shared" si="9"/>
        <v/>
      </c>
      <c r="M36" s="51" t="str">
        <f t="shared" si="10"/>
        <v/>
      </c>
      <c r="N36" s="27" t="str">
        <f t="shared" si="13"/>
        <v/>
      </c>
      <c r="O36" s="27" t="str">
        <f>IF(C36="","",(I36*(1+M36))*(QTDEParc-CÁLCULO!C36)+$F$5-SUM($F$6:F36)-J36)</f>
        <v/>
      </c>
      <c r="P36" s="7" t="str">
        <f t="shared" si="11"/>
        <v/>
      </c>
      <c r="R36" s="44" t="str">
        <f t="shared" si="12"/>
        <v/>
      </c>
      <c r="S36" s="97"/>
      <c r="T36" s="28" t="str">
        <f t="shared" si="14"/>
        <v/>
      </c>
      <c r="U36" s="28" t="str">
        <f t="shared" si="1"/>
        <v/>
      </c>
      <c r="V36" s="7" t="str">
        <f t="shared" si="15"/>
        <v/>
      </c>
      <c r="W36" s="93" t="str">
        <f t="shared" si="23"/>
        <v/>
      </c>
      <c r="X36" s="28" t="str">
        <f t="shared" si="16"/>
        <v/>
      </c>
      <c r="Y36" s="28" t="str">
        <f t="shared" si="2"/>
        <v/>
      </c>
      <c r="Z36" s="28" t="str">
        <f t="shared" si="3"/>
        <v/>
      </c>
      <c r="AA36" s="28" t="str">
        <f t="shared" si="4"/>
        <v/>
      </c>
      <c r="AB36" s="28" t="str">
        <f t="shared" si="5"/>
        <v/>
      </c>
      <c r="AC36" s="28" t="str">
        <f t="shared" si="17"/>
        <v/>
      </c>
      <c r="AD36" s="27"/>
      <c r="AK36" s="24">
        <f t="shared" si="18"/>
        <v>30</v>
      </c>
      <c r="AL36" s="25">
        <f t="shared" si="19"/>
        <v>360</v>
      </c>
      <c r="AM36" s="26">
        <f t="shared" si="20"/>
        <v>0</v>
      </c>
      <c r="AN36" s="151"/>
      <c r="AO36" s="145" t="str">
        <f t="shared" si="21"/>
        <v/>
      </c>
      <c r="AP36" s="144" t="str">
        <f t="shared" si="22"/>
        <v/>
      </c>
    </row>
    <row r="37" spans="3:42" x14ac:dyDescent="0.25">
      <c r="C37" s="12" t="str">
        <f>IFERROR(IF(AvisoErro&lt;&gt;"","",IF(C36+1&gt;PAINEL!$H$8,"",C36+1)),"")</f>
        <v/>
      </c>
      <c r="E37" s="23" t="str">
        <f t="shared" si="6"/>
        <v/>
      </c>
      <c r="F37" s="13" t="str">
        <f>IF(C37="","",IF(E37&lt;&gt;"",E37*PAINEL!$H$7,0))</f>
        <v/>
      </c>
      <c r="G37" s="13" t="str">
        <f>IF(C37="","",IF(PAINEL!$A$4=1,K36/(QTDEParc-C36),IF(AND(PAINEL!$A$4=2,C37&lt;=MomentoContemplação),ValorParcelamento/QTDEParc,K36/(QTDEParc-C36))))</f>
        <v/>
      </c>
      <c r="H37" s="13" t="str">
        <f t="shared" si="7"/>
        <v/>
      </c>
      <c r="I37" s="32" t="str">
        <f t="shared" si="8"/>
        <v/>
      </c>
      <c r="J37" s="14" t="str">
        <f>IF(C37="","",IF(C37=MomentoContemplação,PAINEL!$P$10,0))</f>
        <v/>
      </c>
      <c r="K37" s="14" t="str">
        <f t="shared" si="9"/>
        <v/>
      </c>
      <c r="M37" s="51" t="str">
        <f t="shared" si="10"/>
        <v/>
      </c>
      <c r="N37" s="27" t="str">
        <f t="shared" si="13"/>
        <v/>
      </c>
      <c r="O37" s="27" t="str">
        <f>IF(C37="","",(I37*(1+M37))*(QTDEParc-CÁLCULO!C37)+$F$5-SUM($F$6:F37)-J37)</f>
        <v/>
      </c>
      <c r="P37" s="7" t="str">
        <f t="shared" si="11"/>
        <v/>
      </c>
      <c r="R37" s="44" t="str">
        <f t="shared" si="12"/>
        <v/>
      </c>
      <c r="S37" s="97"/>
      <c r="T37" s="28" t="str">
        <f t="shared" si="14"/>
        <v/>
      </c>
      <c r="U37" s="28" t="str">
        <f t="shared" si="1"/>
        <v/>
      </c>
      <c r="V37" s="7" t="str">
        <f t="shared" si="15"/>
        <v/>
      </c>
      <c r="W37" s="93" t="str">
        <f t="shared" si="23"/>
        <v/>
      </c>
      <c r="X37" s="28" t="str">
        <f t="shared" si="16"/>
        <v/>
      </c>
      <c r="Y37" s="28" t="str">
        <f t="shared" si="2"/>
        <v/>
      </c>
      <c r="Z37" s="28" t="str">
        <f t="shared" si="3"/>
        <v/>
      </c>
      <c r="AA37" s="28" t="str">
        <f t="shared" si="4"/>
        <v/>
      </c>
      <c r="AB37" s="28" t="str">
        <f t="shared" si="5"/>
        <v/>
      </c>
      <c r="AC37" s="28" t="str">
        <f t="shared" si="17"/>
        <v/>
      </c>
      <c r="AD37" s="27"/>
      <c r="AK37" s="24">
        <f t="shared" si="18"/>
        <v>31</v>
      </c>
      <c r="AL37" s="25">
        <f t="shared" si="19"/>
        <v>372</v>
      </c>
      <c r="AM37" s="26">
        <f t="shared" si="20"/>
        <v>0</v>
      </c>
      <c r="AN37" s="151"/>
      <c r="AO37" s="145" t="str">
        <f t="shared" si="21"/>
        <v/>
      </c>
      <c r="AP37" s="144" t="str">
        <f t="shared" si="22"/>
        <v/>
      </c>
    </row>
    <row r="38" spans="3:42" x14ac:dyDescent="0.25">
      <c r="C38" s="12" t="str">
        <f>IFERROR(IF(AvisoErro&lt;&gt;"","",IF(C37+1&gt;PAINEL!$H$8,"",C37+1)),"")</f>
        <v/>
      </c>
      <c r="E38" s="23" t="str">
        <f t="shared" si="6"/>
        <v/>
      </c>
      <c r="F38" s="13" t="str">
        <f>IF(C38="","",IF(E38&lt;&gt;"",E38*PAINEL!$H$7,0))</f>
        <v/>
      </c>
      <c r="G38" s="13" t="str">
        <f>IF(C38="","",IF(PAINEL!$A$4=1,K37/(QTDEParc-C37),IF(AND(PAINEL!$A$4=2,C38&lt;=MomentoContemplação),ValorParcelamento/QTDEParc,K37/(QTDEParc-C37))))</f>
        <v/>
      </c>
      <c r="H38" s="13" t="str">
        <f t="shared" si="7"/>
        <v/>
      </c>
      <c r="I38" s="32" t="str">
        <f t="shared" si="8"/>
        <v/>
      </c>
      <c r="J38" s="14" t="str">
        <f>IF(C38="","",IF(C38=MomentoContemplação,PAINEL!$P$10,0))</f>
        <v/>
      </c>
      <c r="K38" s="14" t="str">
        <f t="shared" si="9"/>
        <v/>
      </c>
      <c r="M38" s="51" t="str">
        <f t="shared" si="10"/>
        <v/>
      </c>
      <c r="N38" s="27" t="str">
        <f t="shared" si="13"/>
        <v/>
      </c>
      <c r="O38" s="27" t="str">
        <f>IF(C38="","",(I38*(1+M38))*(QTDEParc-CÁLCULO!C38)+$F$5-SUM($F$6:F38)-J38)</f>
        <v/>
      </c>
      <c r="P38" s="7" t="str">
        <f t="shared" si="11"/>
        <v/>
      </c>
      <c r="R38" s="44" t="str">
        <f t="shared" si="12"/>
        <v/>
      </c>
      <c r="S38" s="97"/>
      <c r="T38" s="28" t="str">
        <f t="shared" si="14"/>
        <v/>
      </c>
      <c r="U38" s="28" t="str">
        <f t="shared" si="1"/>
        <v/>
      </c>
      <c r="V38" s="7" t="str">
        <f t="shared" si="15"/>
        <v/>
      </c>
      <c r="W38" s="93" t="str">
        <f t="shared" si="23"/>
        <v/>
      </c>
      <c r="X38" s="28" t="str">
        <f t="shared" si="16"/>
        <v/>
      </c>
      <c r="Y38" s="28" t="str">
        <f t="shared" si="2"/>
        <v/>
      </c>
      <c r="Z38" s="28" t="str">
        <f t="shared" si="3"/>
        <v/>
      </c>
      <c r="AA38" s="28" t="str">
        <f t="shared" si="4"/>
        <v/>
      </c>
      <c r="AB38" s="28" t="str">
        <f t="shared" si="5"/>
        <v/>
      </c>
      <c r="AC38" s="28" t="str">
        <f t="shared" si="17"/>
        <v/>
      </c>
      <c r="AD38" s="27"/>
      <c r="AK38" s="24">
        <f t="shared" si="18"/>
        <v>32</v>
      </c>
      <c r="AL38" s="25">
        <f t="shared" si="19"/>
        <v>384</v>
      </c>
      <c r="AM38" s="26">
        <f t="shared" si="20"/>
        <v>0</v>
      </c>
      <c r="AN38" s="151"/>
      <c r="AO38" s="145" t="str">
        <f t="shared" si="21"/>
        <v/>
      </c>
      <c r="AP38" s="144" t="str">
        <f t="shared" si="22"/>
        <v/>
      </c>
    </row>
    <row r="39" spans="3:42" x14ac:dyDescent="0.25">
      <c r="C39" s="12" t="str">
        <f>IFERROR(IF(AvisoErro&lt;&gt;"","",IF(C38+1&gt;PAINEL!$H$8,"",C38+1)),"")</f>
        <v/>
      </c>
      <c r="E39" s="23" t="str">
        <f t="shared" si="6"/>
        <v/>
      </c>
      <c r="F39" s="13" t="str">
        <f>IF(C39="","",IF(E39&lt;&gt;"",E39*PAINEL!$H$7,0))</f>
        <v/>
      </c>
      <c r="G39" s="13" t="str">
        <f>IF(C39="","",IF(PAINEL!$A$4=1,K38/(QTDEParc-C38),IF(AND(PAINEL!$A$4=2,C39&lt;=MomentoContemplação),ValorParcelamento/QTDEParc,K38/(QTDEParc-C38))))</f>
        <v/>
      </c>
      <c r="H39" s="13" t="str">
        <f t="shared" si="7"/>
        <v/>
      </c>
      <c r="I39" s="32" t="str">
        <f t="shared" si="8"/>
        <v/>
      </c>
      <c r="J39" s="14" t="str">
        <f>IF(C39="","",IF(C39=MomentoContemplação,PAINEL!$P$10,0))</f>
        <v/>
      </c>
      <c r="K39" s="14" t="str">
        <f t="shared" si="9"/>
        <v/>
      </c>
      <c r="M39" s="51" t="str">
        <f t="shared" si="10"/>
        <v/>
      </c>
      <c r="N39" s="27" t="str">
        <f t="shared" si="13"/>
        <v/>
      </c>
      <c r="O39" s="27" t="str">
        <f>IF(C39="","",(I39*(1+M39))*(QTDEParc-CÁLCULO!C39)+$F$5-SUM($F$6:F39)-J39)</f>
        <v/>
      </c>
      <c r="P39" s="7" t="str">
        <f t="shared" si="11"/>
        <v/>
      </c>
      <c r="R39" s="44" t="str">
        <f t="shared" si="12"/>
        <v/>
      </c>
      <c r="S39" s="97"/>
      <c r="T39" s="28" t="str">
        <f t="shared" si="14"/>
        <v/>
      </c>
      <c r="U39" s="28" t="str">
        <f t="shared" si="1"/>
        <v/>
      </c>
      <c r="V39" s="7" t="str">
        <f t="shared" si="15"/>
        <v/>
      </c>
      <c r="W39" s="93" t="str">
        <f t="shared" si="23"/>
        <v/>
      </c>
      <c r="X39" s="28" t="str">
        <f t="shared" si="16"/>
        <v/>
      </c>
      <c r="Y39" s="28" t="str">
        <f t="shared" si="2"/>
        <v/>
      </c>
      <c r="Z39" s="28" t="str">
        <f t="shared" si="3"/>
        <v/>
      </c>
      <c r="AA39" s="28" t="str">
        <f t="shared" si="4"/>
        <v/>
      </c>
      <c r="AB39" s="28" t="str">
        <f t="shared" si="5"/>
        <v/>
      </c>
      <c r="AC39" s="28" t="str">
        <f t="shared" si="17"/>
        <v/>
      </c>
      <c r="AD39" s="27"/>
      <c r="AK39" s="24">
        <f t="shared" si="18"/>
        <v>33</v>
      </c>
      <c r="AL39" s="25">
        <f t="shared" si="19"/>
        <v>396</v>
      </c>
      <c r="AM39" s="26">
        <f t="shared" si="20"/>
        <v>0</v>
      </c>
      <c r="AN39" s="151"/>
      <c r="AO39" s="145" t="str">
        <f t="shared" si="21"/>
        <v/>
      </c>
      <c r="AP39" s="144" t="str">
        <f t="shared" si="22"/>
        <v/>
      </c>
    </row>
    <row r="40" spans="3:42" x14ac:dyDescent="0.25">
      <c r="C40" s="12" t="str">
        <f>IFERROR(IF(AvisoErro&lt;&gt;"","",IF(C39+1&gt;PAINEL!$H$8,"",C39+1)),"")</f>
        <v/>
      </c>
      <c r="E40" s="23" t="str">
        <f t="shared" si="6"/>
        <v/>
      </c>
      <c r="F40" s="13" t="str">
        <f>IF(C40="","",IF(E40&lt;&gt;"",E40*PAINEL!$H$7,0))</f>
        <v/>
      </c>
      <c r="G40" s="13" t="str">
        <f>IF(C40="","",IF(PAINEL!$A$4=1,K39/(QTDEParc-C39),IF(AND(PAINEL!$A$4=2,C40&lt;=MomentoContemplação),ValorParcelamento/QTDEParc,K39/(QTDEParc-C39))))</f>
        <v/>
      </c>
      <c r="H40" s="13" t="str">
        <f t="shared" si="7"/>
        <v/>
      </c>
      <c r="I40" s="32" t="str">
        <f t="shared" si="8"/>
        <v/>
      </c>
      <c r="J40" s="14" t="str">
        <f>IF(C40="","",IF(C40=MomentoContemplação,PAINEL!$P$10,0))</f>
        <v/>
      </c>
      <c r="K40" s="14" t="str">
        <f t="shared" si="9"/>
        <v/>
      </c>
      <c r="M40" s="51" t="str">
        <f t="shared" si="10"/>
        <v/>
      </c>
      <c r="N40" s="27" t="str">
        <f t="shared" si="13"/>
        <v/>
      </c>
      <c r="O40" s="27" t="str">
        <f>IF(C40="","",(I40*(1+M40))*(QTDEParc-CÁLCULO!C40)+$F$5-SUM($F$6:F40)-J40)</f>
        <v/>
      </c>
      <c r="P40" s="7" t="str">
        <f t="shared" si="11"/>
        <v/>
      </c>
      <c r="R40" s="44" t="str">
        <f t="shared" si="12"/>
        <v/>
      </c>
      <c r="S40" s="97"/>
      <c r="T40" s="28" t="str">
        <f t="shared" si="14"/>
        <v/>
      </c>
      <c r="U40" s="28" t="str">
        <f t="shared" si="1"/>
        <v/>
      </c>
      <c r="V40" s="7" t="str">
        <f t="shared" si="15"/>
        <v/>
      </c>
      <c r="W40" s="93" t="str">
        <f t="shared" si="23"/>
        <v/>
      </c>
      <c r="X40" s="28" t="str">
        <f t="shared" si="16"/>
        <v/>
      </c>
      <c r="Y40" s="28" t="str">
        <f t="shared" si="2"/>
        <v/>
      </c>
      <c r="Z40" s="28" t="str">
        <f t="shared" si="3"/>
        <v/>
      </c>
      <c r="AA40" s="28" t="str">
        <f t="shared" si="4"/>
        <v/>
      </c>
      <c r="AB40" s="28" t="str">
        <f t="shared" si="5"/>
        <v/>
      </c>
      <c r="AC40" s="28" t="str">
        <f t="shared" si="17"/>
        <v/>
      </c>
      <c r="AD40" s="27"/>
      <c r="AO40" s="145" t="str">
        <f t="shared" si="21"/>
        <v/>
      </c>
      <c r="AP40" s="144" t="str">
        <f t="shared" si="22"/>
        <v/>
      </c>
    </row>
    <row r="41" spans="3:42" x14ac:dyDescent="0.25">
      <c r="C41" s="12" t="str">
        <f>IFERROR(IF(AvisoErro&lt;&gt;"","",IF(C40+1&gt;PAINEL!$H$8,"",C40+1)),"")</f>
        <v/>
      </c>
      <c r="E41" s="23" t="str">
        <f t="shared" si="6"/>
        <v/>
      </c>
      <c r="F41" s="13" t="str">
        <f>IF(C41="","",IF(E41&lt;&gt;"",E41*PAINEL!$H$7,0))</f>
        <v/>
      </c>
      <c r="G41" s="13" t="str">
        <f>IF(C41="","",IF(PAINEL!$A$4=1,K40/(QTDEParc-C40),IF(AND(PAINEL!$A$4=2,C41&lt;=MomentoContemplação),ValorParcelamento/QTDEParc,K40/(QTDEParc-C40))))</f>
        <v/>
      </c>
      <c r="H41" s="13" t="str">
        <f t="shared" si="7"/>
        <v/>
      </c>
      <c r="I41" s="32" t="str">
        <f t="shared" si="8"/>
        <v/>
      </c>
      <c r="J41" s="14" t="str">
        <f>IF(C41="","",IF(C41=MomentoContemplação,PAINEL!$P$10,0))</f>
        <v/>
      </c>
      <c r="K41" s="14" t="str">
        <f t="shared" si="9"/>
        <v/>
      </c>
      <c r="M41" s="51" t="str">
        <f t="shared" si="10"/>
        <v/>
      </c>
      <c r="N41" s="27" t="str">
        <f t="shared" si="13"/>
        <v/>
      </c>
      <c r="O41" s="27" t="str">
        <f>IF(C41="","",(I41*(1+M41))*(QTDEParc-CÁLCULO!C41)+$F$5-SUM($F$6:F41)-J41)</f>
        <v/>
      </c>
      <c r="P41" s="7" t="str">
        <f t="shared" si="11"/>
        <v/>
      </c>
      <c r="R41" s="44" t="str">
        <f t="shared" si="12"/>
        <v/>
      </c>
      <c r="S41" s="97"/>
      <c r="T41" s="28" t="str">
        <f t="shared" si="14"/>
        <v/>
      </c>
      <c r="U41" s="28" t="str">
        <f t="shared" si="1"/>
        <v/>
      </c>
      <c r="V41" s="7" t="str">
        <f t="shared" si="15"/>
        <v/>
      </c>
      <c r="W41" s="93" t="str">
        <f t="shared" si="23"/>
        <v/>
      </c>
      <c r="X41" s="28" t="str">
        <f t="shared" si="16"/>
        <v/>
      </c>
      <c r="Y41" s="28" t="str">
        <f t="shared" si="2"/>
        <v/>
      </c>
      <c r="Z41" s="28" t="str">
        <f t="shared" si="3"/>
        <v/>
      </c>
      <c r="AA41" s="28" t="str">
        <f t="shared" si="4"/>
        <v/>
      </c>
      <c r="AB41" s="28" t="str">
        <f t="shared" si="5"/>
        <v/>
      </c>
      <c r="AC41" s="28" t="str">
        <f t="shared" si="17"/>
        <v/>
      </c>
      <c r="AD41" s="27"/>
      <c r="AO41" s="145" t="str">
        <f t="shared" si="21"/>
        <v/>
      </c>
      <c r="AP41" s="144" t="str">
        <f t="shared" si="22"/>
        <v/>
      </c>
    </row>
    <row r="42" spans="3:42" x14ac:dyDescent="0.25">
      <c r="C42" s="12" t="str">
        <f>IFERROR(IF(AvisoErro&lt;&gt;"","",IF(C41+1&gt;PAINEL!$H$8,"",C41+1)),"")</f>
        <v/>
      </c>
      <c r="E42" s="23" t="str">
        <f t="shared" si="6"/>
        <v/>
      </c>
      <c r="F42" s="13" t="str">
        <f>IF(C42="","",IF(E42&lt;&gt;"",E42*PAINEL!$H$7,0))</f>
        <v/>
      </c>
      <c r="G42" s="13" t="str">
        <f>IF(C42="","",IF(PAINEL!$A$4=1,K41/(QTDEParc-C41),IF(AND(PAINEL!$A$4=2,C42&lt;=MomentoContemplação),ValorParcelamento/QTDEParc,K41/(QTDEParc-C41))))</f>
        <v/>
      </c>
      <c r="H42" s="13" t="str">
        <f t="shared" si="7"/>
        <v/>
      </c>
      <c r="I42" s="32" t="str">
        <f t="shared" si="8"/>
        <v/>
      </c>
      <c r="J42" s="14" t="str">
        <f>IF(C42="","",IF(C42=MomentoContemplação,PAINEL!$P$10,0))</f>
        <v/>
      </c>
      <c r="K42" s="14" t="str">
        <f t="shared" si="9"/>
        <v/>
      </c>
      <c r="M42" s="51" t="str">
        <f t="shared" si="10"/>
        <v/>
      </c>
      <c r="N42" s="27" t="str">
        <f t="shared" si="13"/>
        <v/>
      </c>
      <c r="O42" s="27" t="str">
        <f>IF(C42="","",(I42*(1+M42))*(QTDEParc-CÁLCULO!C42)+$F$5-SUM($F$6:F42)-J42)</f>
        <v/>
      </c>
      <c r="P42" s="7" t="str">
        <f t="shared" si="11"/>
        <v/>
      </c>
      <c r="R42" s="44" t="str">
        <f t="shared" si="12"/>
        <v/>
      </c>
      <c r="S42" s="97"/>
      <c r="T42" s="28" t="str">
        <f t="shared" si="14"/>
        <v/>
      </c>
      <c r="U42" s="28" t="str">
        <f t="shared" si="1"/>
        <v/>
      </c>
      <c r="V42" s="7" t="str">
        <f t="shared" si="15"/>
        <v/>
      </c>
      <c r="W42" s="93" t="str">
        <f t="shared" si="23"/>
        <v/>
      </c>
      <c r="X42" s="28" t="str">
        <f t="shared" si="16"/>
        <v/>
      </c>
      <c r="Y42" s="28" t="str">
        <f t="shared" si="2"/>
        <v/>
      </c>
      <c r="Z42" s="28" t="str">
        <f t="shared" si="3"/>
        <v/>
      </c>
      <c r="AA42" s="28" t="str">
        <f t="shared" si="4"/>
        <v/>
      </c>
      <c r="AB42" s="28" t="str">
        <f t="shared" si="5"/>
        <v/>
      </c>
      <c r="AC42" s="28" t="str">
        <f t="shared" si="17"/>
        <v/>
      </c>
      <c r="AD42" s="27"/>
      <c r="AO42" s="145" t="str">
        <f t="shared" si="21"/>
        <v/>
      </c>
      <c r="AP42" s="144" t="str">
        <f t="shared" si="22"/>
        <v/>
      </c>
    </row>
    <row r="43" spans="3:42" x14ac:dyDescent="0.25">
      <c r="C43" s="12" t="str">
        <f>IFERROR(IF(AvisoErro&lt;&gt;"","",IF(C42+1&gt;PAINEL!$H$8,"",C42+1)),"")</f>
        <v/>
      </c>
      <c r="E43" s="23" t="str">
        <f t="shared" si="6"/>
        <v/>
      </c>
      <c r="F43" s="13" t="str">
        <f>IF(C43="","",IF(E43&lt;&gt;"",E43*PAINEL!$H$7,0))</f>
        <v/>
      </c>
      <c r="G43" s="13" t="str">
        <f>IF(C43="","",IF(PAINEL!$A$4=1,K42/(QTDEParc-C42),IF(AND(PAINEL!$A$4=2,C43&lt;=MomentoContemplação),ValorParcelamento/QTDEParc,K42/(QTDEParc-C42))))</f>
        <v/>
      </c>
      <c r="H43" s="13" t="str">
        <f t="shared" si="7"/>
        <v/>
      </c>
      <c r="I43" s="32" t="str">
        <f t="shared" si="8"/>
        <v/>
      </c>
      <c r="J43" s="14" t="str">
        <f>IF(C43="","",IF(C43=MomentoContemplação,PAINEL!$P$10,0))</f>
        <v/>
      </c>
      <c r="K43" s="14" t="str">
        <f t="shared" si="9"/>
        <v/>
      </c>
      <c r="M43" s="51" t="str">
        <f t="shared" si="10"/>
        <v/>
      </c>
      <c r="N43" s="27" t="str">
        <f t="shared" si="13"/>
        <v/>
      </c>
      <c r="O43" s="27" t="str">
        <f>IF(C43="","",(I43*(1+M43))*(QTDEParc-CÁLCULO!C43)+$F$5-SUM($F$6:F43)-J43)</f>
        <v/>
      </c>
      <c r="P43" s="7" t="str">
        <f t="shared" si="11"/>
        <v/>
      </c>
      <c r="R43" s="44" t="str">
        <f t="shared" si="12"/>
        <v/>
      </c>
      <c r="S43" s="97"/>
      <c r="T43" s="28" t="str">
        <f t="shared" si="14"/>
        <v/>
      </c>
      <c r="U43" s="28" t="str">
        <f t="shared" si="1"/>
        <v/>
      </c>
      <c r="V43" s="7" t="str">
        <f t="shared" si="15"/>
        <v/>
      </c>
      <c r="W43" s="93" t="str">
        <f t="shared" si="23"/>
        <v/>
      </c>
      <c r="X43" s="28" t="str">
        <f t="shared" si="16"/>
        <v/>
      </c>
      <c r="Y43" s="28" t="str">
        <f t="shared" si="2"/>
        <v/>
      </c>
      <c r="Z43" s="28" t="str">
        <f t="shared" si="3"/>
        <v/>
      </c>
      <c r="AA43" s="28" t="str">
        <f t="shared" si="4"/>
        <v/>
      </c>
      <c r="AB43" s="28" t="str">
        <f t="shared" si="5"/>
        <v/>
      </c>
      <c r="AC43" s="28" t="str">
        <f t="shared" si="17"/>
        <v/>
      </c>
      <c r="AD43" s="27"/>
      <c r="AO43" s="145" t="str">
        <f t="shared" si="21"/>
        <v/>
      </c>
      <c r="AP43" s="144" t="str">
        <f t="shared" si="22"/>
        <v/>
      </c>
    </row>
    <row r="44" spans="3:42" x14ac:dyDescent="0.25">
      <c r="C44" s="12" t="str">
        <f>IFERROR(IF(AvisoErro&lt;&gt;"","",IF(C43+1&gt;PAINEL!$H$8,"",C43+1)),"")</f>
        <v/>
      </c>
      <c r="E44" s="23" t="str">
        <f t="shared" si="6"/>
        <v/>
      </c>
      <c r="F44" s="13" t="str">
        <f>IF(C44="","",IF(E44&lt;&gt;"",E44*PAINEL!$H$7,0))</f>
        <v/>
      </c>
      <c r="G44" s="13" t="str">
        <f>IF(C44="","",IF(PAINEL!$A$4=1,K43/(QTDEParc-C43),IF(AND(PAINEL!$A$4=2,C44&lt;=MomentoContemplação),ValorParcelamento/QTDEParc,K43/(QTDEParc-C43))))</f>
        <v/>
      </c>
      <c r="H44" s="13" t="str">
        <f t="shared" si="7"/>
        <v/>
      </c>
      <c r="I44" s="32" t="str">
        <f t="shared" si="8"/>
        <v/>
      </c>
      <c r="J44" s="14" t="str">
        <f>IF(C44="","",IF(C44=MomentoContemplação,PAINEL!$P$10,0))</f>
        <v/>
      </c>
      <c r="K44" s="14" t="str">
        <f t="shared" si="9"/>
        <v/>
      </c>
      <c r="M44" s="51" t="str">
        <f t="shared" si="10"/>
        <v/>
      </c>
      <c r="N44" s="27" t="str">
        <f t="shared" si="13"/>
        <v/>
      </c>
      <c r="O44" s="27" t="str">
        <f>IF(C44="","",(I44*(1+M44))*(QTDEParc-CÁLCULO!C44)+$F$5-SUM($F$6:F44)-J44)</f>
        <v/>
      </c>
      <c r="P44" s="7" t="str">
        <f t="shared" si="11"/>
        <v/>
      </c>
      <c r="R44" s="44" t="str">
        <f t="shared" si="12"/>
        <v/>
      </c>
      <c r="S44" s="97"/>
      <c r="T44" s="28" t="str">
        <f t="shared" si="14"/>
        <v/>
      </c>
      <c r="U44" s="28" t="str">
        <f t="shared" si="1"/>
        <v/>
      </c>
      <c r="V44" s="7" t="str">
        <f t="shared" si="15"/>
        <v/>
      </c>
      <c r="W44" s="93" t="str">
        <f t="shared" si="23"/>
        <v/>
      </c>
      <c r="X44" s="28" t="str">
        <f t="shared" si="16"/>
        <v/>
      </c>
      <c r="Y44" s="28" t="str">
        <f t="shared" si="2"/>
        <v/>
      </c>
      <c r="Z44" s="28" t="str">
        <f t="shared" si="3"/>
        <v/>
      </c>
      <c r="AA44" s="28" t="str">
        <f t="shared" si="4"/>
        <v/>
      </c>
      <c r="AB44" s="28" t="str">
        <f t="shared" si="5"/>
        <v/>
      </c>
      <c r="AC44" s="28" t="str">
        <f t="shared" si="17"/>
        <v/>
      </c>
      <c r="AD44" s="27"/>
      <c r="AO44" s="145" t="str">
        <f t="shared" si="21"/>
        <v/>
      </c>
      <c r="AP44" s="144" t="str">
        <f t="shared" si="22"/>
        <v/>
      </c>
    </row>
    <row r="45" spans="3:42" x14ac:dyDescent="0.25">
      <c r="C45" s="12" t="str">
        <f>IFERROR(IF(AvisoErro&lt;&gt;"","",IF(C44+1&gt;PAINEL!$H$8,"",C44+1)),"")</f>
        <v/>
      </c>
      <c r="E45" s="23" t="str">
        <f t="shared" si="6"/>
        <v/>
      </c>
      <c r="F45" s="13" t="str">
        <f>IF(C45="","",IF(E45&lt;&gt;"",E45*PAINEL!$H$7,0))</f>
        <v/>
      </c>
      <c r="G45" s="13" t="str">
        <f>IF(C45="","",IF(PAINEL!$A$4=1,K44/(QTDEParc-C44),IF(AND(PAINEL!$A$4=2,C45&lt;=MomentoContemplação),ValorParcelamento/QTDEParc,K44/(QTDEParc-C44))))</f>
        <v/>
      </c>
      <c r="H45" s="13" t="str">
        <f t="shared" si="7"/>
        <v/>
      </c>
      <c r="I45" s="32" t="str">
        <f t="shared" si="8"/>
        <v/>
      </c>
      <c r="J45" s="14" t="str">
        <f>IF(C45="","",IF(C45=MomentoContemplação,PAINEL!$P$10,0))</f>
        <v/>
      </c>
      <c r="K45" s="14" t="str">
        <f t="shared" si="9"/>
        <v/>
      </c>
      <c r="M45" s="51" t="str">
        <f t="shared" si="10"/>
        <v/>
      </c>
      <c r="N45" s="27" t="str">
        <f t="shared" si="13"/>
        <v/>
      </c>
      <c r="O45" s="27" t="str">
        <f>IF(C45="","",(I45*(1+M45))*(QTDEParc-CÁLCULO!C45)+$F$5-SUM($F$6:F45)-J45)</f>
        <v/>
      </c>
      <c r="P45" s="7" t="str">
        <f t="shared" si="11"/>
        <v/>
      </c>
      <c r="R45" s="44" t="str">
        <f t="shared" si="12"/>
        <v/>
      </c>
      <c r="S45" s="97"/>
      <c r="T45" s="28" t="str">
        <f t="shared" si="14"/>
        <v/>
      </c>
      <c r="U45" s="28" t="str">
        <f t="shared" si="1"/>
        <v/>
      </c>
      <c r="V45" s="7" t="str">
        <f t="shared" si="15"/>
        <v/>
      </c>
      <c r="W45" s="93" t="str">
        <f t="shared" si="23"/>
        <v/>
      </c>
      <c r="X45" s="28" t="str">
        <f t="shared" si="16"/>
        <v/>
      </c>
      <c r="Y45" s="28" t="str">
        <f t="shared" si="2"/>
        <v/>
      </c>
      <c r="Z45" s="28" t="str">
        <f t="shared" si="3"/>
        <v/>
      </c>
      <c r="AA45" s="28" t="str">
        <f t="shared" si="4"/>
        <v/>
      </c>
      <c r="AB45" s="28" t="str">
        <f t="shared" si="5"/>
        <v/>
      </c>
      <c r="AC45" s="28" t="str">
        <f t="shared" si="17"/>
        <v/>
      </c>
      <c r="AD45" s="27"/>
      <c r="AO45" s="145" t="str">
        <f t="shared" si="21"/>
        <v/>
      </c>
      <c r="AP45" s="144" t="str">
        <f t="shared" si="22"/>
        <v/>
      </c>
    </row>
    <row r="46" spans="3:42" x14ac:dyDescent="0.25">
      <c r="C46" s="12" t="str">
        <f>IFERROR(IF(AvisoErro&lt;&gt;"","",IF(C45+1&gt;PAINEL!$H$8,"",C45+1)),"")</f>
        <v/>
      </c>
      <c r="E46" s="23" t="str">
        <f t="shared" si="6"/>
        <v/>
      </c>
      <c r="F46" s="13" t="str">
        <f>IF(C46="","",IF(E46&lt;&gt;"",E46*PAINEL!$H$7,0))</f>
        <v/>
      </c>
      <c r="G46" s="13" t="str">
        <f>IF(C46="","",IF(PAINEL!$A$4=1,K45/(QTDEParc-C45),IF(AND(PAINEL!$A$4=2,C46&lt;=MomentoContemplação),ValorParcelamento/QTDEParc,K45/(QTDEParc-C45))))</f>
        <v/>
      </c>
      <c r="H46" s="13" t="str">
        <f t="shared" si="7"/>
        <v/>
      </c>
      <c r="I46" s="32" t="str">
        <f t="shared" si="8"/>
        <v/>
      </c>
      <c r="J46" s="14" t="str">
        <f>IF(C46="","",IF(C46=MomentoContemplação,PAINEL!$P$10,0))</f>
        <v/>
      </c>
      <c r="K46" s="14" t="str">
        <f t="shared" si="9"/>
        <v/>
      </c>
      <c r="M46" s="51" t="str">
        <f t="shared" si="10"/>
        <v/>
      </c>
      <c r="N46" s="27" t="str">
        <f t="shared" si="13"/>
        <v/>
      </c>
      <c r="O46" s="27" t="str">
        <f>IF(C46="","",(I46*(1+M46))*(QTDEParc-CÁLCULO!C46)+$F$5-SUM($F$6:F46)-J46)</f>
        <v/>
      </c>
      <c r="P46" s="7" t="str">
        <f t="shared" si="11"/>
        <v/>
      </c>
      <c r="R46" s="44" t="str">
        <f t="shared" si="12"/>
        <v/>
      </c>
      <c r="S46" s="97"/>
      <c r="T46" s="28" t="str">
        <f t="shared" si="14"/>
        <v/>
      </c>
      <c r="U46" s="28" t="str">
        <f t="shared" si="1"/>
        <v/>
      </c>
      <c r="V46" s="7" t="str">
        <f t="shared" si="15"/>
        <v/>
      </c>
      <c r="W46" s="93" t="str">
        <f t="shared" si="23"/>
        <v/>
      </c>
      <c r="X46" s="28" t="str">
        <f t="shared" si="16"/>
        <v/>
      </c>
      <c r="Y46" s="28" t="str">
        <f t="shared" si="2"/>
        <v/>
      </c>
      <c r="Z46" s="28" t="str">
        <f t="shared" si="3"/>
        <v/>
      </c>
      <c r="AA46" s="28" t="str">
        <f t="shared" si="4"/>
        <v/>
      </c>
      <c r="AB46" s="28" t="str">
        <f t="shared" si="5"/>
        <v/>
      </c>
      <c r="AC46" s="28" t="str">
        <f t="shared" si="17"/>
        <v/>
      </c>
      <c r="AD46" s="27"/>
      <c r="AO46" s="145" t="str">
        <f t="shared" si="21"/>
        <v/>
      </c>
      <c r="AP46" s="144" t="str">
        <f t="shared" si="22"/>
        <v/>
      </c>
    </row>
    <row r="47" spans="3:42" x14ac:dyDescent="0.25">
      <c r="C47" s="12" t="str">
        <f>IFERROR(IF(AvisoErro&lt;&gt;"","",IF(C46+1&gt;PAINEL!$H$8,"",C46+1)),"")</f>
        <v/>
      </c>
      <c r="E47" s="23" t="str">
        <f t="shared" si="6"/>
        <v/>
      </c>
      <c r="F47" s="13" t="str">
        <f>IF(C47="","",IF(E47&lt;&gt;"",E47*PAINEL!$H$7,0))</f>
        <v/>
      </c>
      <c r="G47" s="13" t="str">
        <f>IF(C47="","",IF(PAINEL!$A$4=1,K46/(QTDEParc-C46),IF(AND(PAINEL!$A$4=2,C47&lt;=MomentoContemplação),ValorParcelamento/QTDEParc,K46/(QTDEParc-C46))))</f>
        <v/>
      </c>
      <c r="H47" s="13" t="str">
        <f t="shared" si="7"/>
        <v/>
      </c>
      <c r="I47" s="32" t="str">
        <f t="shared" si="8"/>
        <v/>
      </c>
      <c r="J47" s="14" t="str">
        <f>IF(C47="","",IF(C47=MomentoContemplação,PAINEL!$P$10,0))</f>
        <v/>
      </c>
      <c r="K47" s="14" t="str">
        <f t="shared" si="9"/>
        <v/>
      </c>
      <c r="M47" s="51" t="str">
        <f t="shared" si="10"/>
        <v/>
      </c>
      <c r="N47" s="27" t="str">
        <f t="shared" si="13"/>
        <v/>
      </c>
      <c r="O47" s="27" t="str">
        <f>IF(C47="","",(I47*(1+M47))*(QTDEParc-CÁLCULO!C47)+$F$5-SUM($F$6:F47)-J47)</f>
        <v/>
      </c>
      <c r="P47" s="7" t="str">
        <f t="shared" si="11"/>
        <v/>
      </c>
      <c r="R47" s="44" t="str">
        <f t="shared" si="12"/>
        <v/>
      </c>
      <c r="S47" s="97"/>
      <c r="T47" s="28" t="str">
        <f t="shared" si="14"/>
        <v/>
      </c>
      <c r="U47" s="28" t="str">
        <f t="shared" si="1"/>
        <v/>
      </c>
      <c r="V47" s="7" t="str">
        <f t="shared" si="15"/>
        <v/>
      </c>
      <c r="W47" s="93" t="str">
        <f t="shared" si="23"/>
        <v/>
      </c>
      <c r="X47" s="28" t="str">
        <f t="shared" si="16"/>
        <v/>
      </c>
      <c r="Y47" s="28" t="str">
        <f t="shared" si="2"/>
        <v/>
      </c>
      <c r="Z47" s="28" t="str">
        <f t="shared" si="3"/>
        <v/>
      </c>
      <c r="AA47" s="28" t="str">
        <f t="shared" si="4"/>
        <v/>
      </c>
      <c r="AB47" s="28" t="str">
        <f t="shared" si="5"/>
        <v/>
      </c>
      <c r="AC47" s="28" t="str">
        <f t="shared" si="17"/>
        <v/>
      </c>
      <c r="AD47" s="27"/>
      <c r="AO47" s="145" t="str">
        <f t="shared" si="21"/>
        <v/>
      </c>
      <c r="AP47" s="144" t="str">
        <f t="shared" si="22"/>
        <v/>
      </c>
    </row>
    <row r="48" spans="3:42" x14ac:dyDescent="0.25">
      <c r="C48" s="12" t="str">
        <f>IFERROR(IF(AvisoErro&lt;&gt;"","",IF(C47+1&gt;PAINEL!$H$8,"",C47+1)),"")</f>
        <v/>
      </c>
      <c r="E48" s="23" t="str">
        <f t="shared" si="6"/>
        <v/>
      </c>
      <c r="F48" s="13" t="str">
        <f>IF(C48="","",IF(E48&lt;&gt;"",E48*PAINEL!$H$7,0))</f>
        <v/>
      </c>
      <c r="G48" s="13" t="str">
        <f>IF(C48="","",IF(PAINEL!$A$4=1,K47/(QTDEParc-C47),IF(AND(PAINEL!$A$4=2,C48&lt;=MomentoContemplação),ValorParcelamento/QTDEParc,K47/(QTDEParc-C47))))</f>
        <v/>
      </c>
      <c r="H48" s="13" t="str">
        <f t="shared" si="7"/>
        <v/>
      </c>
      <c r="I48" s="32" t="str">
        <f t="shared" si="8"/>
        <v/>
      </c>
      <c r="J48" s="14" t="str">
        <f>IF(C48="","",IF(C48=MomentoContemplação,PAINEL!$P$10,0))</f>
        <v/>
      </c>
      <c r="K48" s="14" t="str">
        <f t="shared" si="9"/>
        <v/>
      </c>
      <c r="M48" s="51" t="str">
        <f t="shared" si="10"/>
        <v/>
      </c>
      <c r="N48" s="27" t="str">
        <f t="shared" si="13"/>
        <v/>
      </c>
      <c r="O48" s="27" t="str">
        <f>IF(C48="","",(I48*(1+M48))*(QTDEParc-CÁLCULO!C48)+$F$5-SUM($F$6:F48)-J48)</f>
        <v/>
      </c>
      <c r="P48" s="7" t="str">
        <f t="shared" si="11"/>
        <v/>
      </c>
      <c r="R48" s="44" t="str">
        <f t="shared" si="12"/>
        <v/>
      </c>
      <c r="S48" s="97"/>
      <c r="T48" s="28" t="str">
        <f t="shared" si="14"/>
        <v/>
      </c>
      <c r="U48" s="28" t="str">
        <f t="shared" si="1"/>
        <v/>
      </c>
      <c r="V48" s="7" t="str">
        <f t="shared" si="15"/>
        <v/>
      </c>
      <c r="W48" s="93" t="str">
        <f t="shared" si="23"/>
        <v/>
      </c>
      <c r="X48" s="28" t="str">
        <f t="shared" si="16"/>
        <v/>
      </c>
      <c r="Y48" s="28" t="str">
        <f t="shared" si="2"/>
        <v/>
      </c>
      <c r="Z48" s="28" t="str">
        <f t="shared" si="3"/>
        <v/>
      </c>
      <c r="AA48" s="28" t="str">
        <f t="shared" si="4"/>
        <v/>
      </c>
      <c r="AB48" s="28" t="str">
        <f t="shared" si="5"/>
        <v/>
      </c>
      <c r="AC48" s="28" t="str">
        <f t="shared" si="17"/>
        <v/>
      </c>
      <c r="AD48" s="27"/>
      <c r="AO48" s="145" t="str">
        <f t="shared" si="21"/>
        <v/>
      </c>
      <c r="AP48" s="144" t="str">
        <f t="shared" si="22"/>
        <v/>
      </c>
    </row>
    <row r="49" spans="3:42" x14ac:dyDescent="0.25">
      <c r="C49" s="12" t="str">
        <f>IFERROR(IF(AvisoErro&lt;&gt;"","",IF(C48+1&gt;PAINEL!$H$8,"",C48+1)),"")</f>
        <v/>
      </c>
      <c r="E49" s="23" t="str">
        <f t="shared" si="6"/>
        <v/>
      </c>
      <c r="F49" s="13" t="str">
        <f>IF(C49="","",IF(E49&lt;&gt;"",E49*PAINEL!$H$7,0))</f>
        <v/>
      </c>
      <c r="G49" s="13" t="str">
        <f>IF(C49="","",IF(PAINEL!$A$4=1,K48/(QTDEParc-C48),IF(AND(PAINEL!$A$4=2,C49&lt;=MomentoContemplação),ValorParcelamento/QTDEParc,K48/(QTDEParc-C48))))</f>
        <v/>
      </c>
      <c r="H49" s="13" t="str">
        <f t="shared" si="7"/>
        <v/>
      </c>
      <c r="I49" s="32" t="str">
        <f t="shared" si="8"/>
        <v/>
      </c>
      <c r="J49" s="14" t="str">
        <f>IF(C49="","",IF(C49=MomentoContemplação,PAINEL!$P$10,0))</f>
        <v/>
      </c>
      <c r="K49" s="14" t="str">
        <f t="shared" si="9"/>
        <v/>
      </c>
      <c r="M49" s="51" t="str">
        <f t="shared" si="10"/>
        <v/>
      </c>
      <c r="N49" s="27" t="str">
        <f t="shared" si="13"/>
        <v/>
      </c>
      <c r="O49" s="27" t="str">
        <f>IF(C49="","",(I49*(1+M49))*(QTDEParc-CÁLCULO!C49)+$F$5-SUM($F$6:F49)-J49)</f>
        <v/>
      </c>
      <c r="P49" s="7" t="str">
        <f t="shared" si="11"/>
        <v/>
      </c>
      <c r="R49" s="44" t="str">
        <f t="shared" si="12"/>
        <v/>
      </c>
      <c r="S49" s="97"/>
      <c r="T49" s="28" t="str">
        <f t="shared" si="14"/>
        <v/>
      </c>
      <c r="U49" s="28" t="str">
        <f t="shared" si="1"/>
        <v/>
      </c>
      <c r="V49" s="7" t="str">
        <f t="shared" si="15"/>
        <v/>
      </c>
      <c r="W49" s="93" t="str">
        <f t="shared" si="23"/>
        <v/>
      </c>
      <c r="X49" s="28" t="str">
        <f t="shared" si="16"/>
        <v/>
      </c>
      <c r="Y49" s="28" t="str">
        <f t="shared" si="2"/>
        <v/>
      </c>
      <c r="Z49" s="28" t="str">
        <f t="shared" si="3"/>
        <v/>
      </c>
      <c r="AA49" s="28" t="str">
        <f t="shared" si="4"/>
        <v/>
      </c>
      <c r="AB49" s="28" t="str">
        <f t="shared" si="5"/>
        <v/>
      </c>
      <c r="AC49" s="28" t="str">
        <f t="shared" si="17"/>
        <v/>
      </c>
      <c r="AD49" s="27"/>
      <c r="AO49" s="145" t="str">
        <f t="shared" si="21"/>
        <v/>
      </c>
      <c r="AP49" s="144" t="str">
        <f t="shared" si="22"/>
        <v/>
      </c>
    </row>
    <row r="50" spans="3:42" x14ac:dyDescent="0.25">
      <c r="C50" s="12" t="str">
        <f>IFERROR(IF(AvisoErro&lt;&gt;"","",IF(C49+1&gt;PAINEL!$H$8,"",C49+1)),"")</f>
        <v/>
      </c>
      <c r="E50" s="23" t="str">
        <f t="shared" si="6"/>
        <v/>
      </c>
      <c r="F50" s="13" t="str">
        <f>IF(C50="","",IF(E50&lt;&gt;"",E50*PAINEL!$H$7,0))</f>
        <v/>
      </c>
      <c r="G50" s="13" t="str">
        <f>IF(C50="","",IF(PAINEL!$A$4=1,K49/(QTDEParc-C49),IF(AND(PAINEL!$A$4=2,C50&lt;=MomentoContemplação),ValorParcelamento/QTDEParc,K49/(QTDEParc-C49))))</f>
        <v/>
      </c>
      <c r="H50" s="13" t="str">
        <f t="shared" si="7"/>
        <v/>
      </c>
      <c r="I50" s="32" t="str">
        <f t="shared" si="8"/>
        <v/>
      </c>
      <c r="J50" s="14" t="str">
        <f>IF(C50="","",IF(C50=MomentoContemplação,PAINEL!$P$10,0))</f>
        <v/>
      </c>
      <c r="K50" s="14" t="str">
        <f t="shared" si="9"/>
        <v/>
      </c>
      <c r="M50" s="51" t="str">
        <f t="shared" si="10"/>
        <v/>
      </c>
      <c r="N50" s="27" t="str">
        <f t="shared" si="13"/>
        <v/>
      </c>
      <c r="O50" s="27" t="str">
        <f>IF(C50="","",(I50*(1+M50))*(QTDEParc-CÁLCULO!C50)+$F$5-SUM($F$6:F50)-J50)</f>
        <v/>
      </c>
      <c r="P50" s="7" t="str">
        <f t="shared" si="11"/>
        <v/>
      </c>
      <c r="R50" s="44" t="str">
        <f t="shared" si="12"/>
        <v/>
      </c>
      <c r="S50" s="97"/>
      <c r="T50" s="28" t="str">
        <f t="shared" si="14"/>
        <v/>
      </c>
      <c r="U50" s="28" t="str">
        <f t="shared" si="1"/>
        <v/>
      </c>
      <c r="V50" s="7" t="str">
        <f t="shared" si="15"/>
        <v/>
      </c>
      <c r="W50" s="93" t="str">
        <f t="shared" si="23"/>
        <v/>
      </c>
      <c r="X50" s="28" t="str">
        <f t="shared" si="16"/>
        <v/>
      </c>
      <c r="Y50" s="28" t="str">
        <f t="shared" si="2"/>
        <v/>
      </c>
      <c r="Z50" s="28" t="str">
        <f t="shared" si="3"/>
        <v/>
      </c>
      <c r="AA50" s="28" t="str">
        <f t="shared" si="4"/>
        <v/>
      </c>
      <c r="AB50" s="28" t="str">
        <f t="shared" si="5"/>
        <v/>
      </c>
      <c r="AC50" s="28" t="str">
        <f t="shared" si="17"/>
        <v/>
      </c>
      <c r="AD50" s="27"/>
      <c r="AO50" s="145" t="str">
        <f t="shared" si="21"/>
        <v/>
      </c>
      <c r="AP50" s="144" t="str">
        <f t="shared" si="22"/>
        <v/>
      </c>
    </row>
    <row r="51" spans="3:42" x14ac:dyDescent="0.25">
      <c r="C51" s="12" t="str">
        <f>IFERROR(IF(AvisoErro&lt;&gt;"","",IF(C50+1&gt;PAINEL!$H$8,"",C50+1)),"")</f>
        <v/>
      </c>
      <c r="E51" s="23" t="str">
        <f t="shared" si="6"/>
        <v/>
      </c>
      <c r="F51" s="13" t="str">
        <f>IF(C51="","",IF(E51&lt;&gt;"",E51*PAINEL!$H$7,0))</f>
        <v/>
      </c>
      <c r="G51" s="13" t="str">
        <f>IF(C51="","",IF(PAINEL!$A$4=1,K50/(QTDEParc-C50),IF(AND(PAINEL!$A$4=2,C51&lt;=MomentoContemplação),ValorParcelamento/QTDEParc,K50/(QTDEParc-C50))))</f>
        <v/>
      </c>
      <c r="H51" s="13" t="str">
        <f t="shared" si="7"/>
        <v/>
      </c>
      <c r="I51" s="32" t="str">
        <f t="shared" si="8"/>
        <v/>
      </c>
      <c r="J51" s="14" t="str">
        <f>IF(C51="","",IF(C51=MomentoContemplação,PAINEL!$P$10,0))</f>
        <v/>
      </c>
      <c r="K51" s="14" t="str">
        <f t="shared" si="9"/>
        <v/>
      </c>
      <c r="M51" s="51" t="str">
        <f t="shared" si="10"/>
        <v/>
      </c>
      <c r="N51" s="27" t="str">
        <f t="shared" si="13"/>
        <v/>
      </c>
      <c r="O51" s="27" t="str">
        <f>IF(C51="","",(I51*(1+M51))*(QTDEParc-CÁLCULO!C51)+$F$5-SUM($F$6:F51)-J51)</f>
        <v/>
      </c>
      <c r="P51" s="7" t="str">
        <f t="shared" si="11"/>
        <v/>
      </c>
      <c r="R51" s="44" t="str">
        <f t="shared" si="12"/>
        <v/>
      </c>
      <c r="S51" s="97"/>
      <c r="T51" s="28" t="str">
        <f t="shared" si="14"/>
        <v/>
      </c>
      <c r="U51" s="28" t="str">
        <f t="shared" si="1"/>
        <v/>
      </c>
      <c r="V51" s="7" t="str">
        <f t="shared" si="15"/>
        <v/>
      </c>
      <c r="W51" s="93" t="str">
        <f t="shared" si="23"/>
        <v/>
      </c>
      <c r="X51" s="28" t="str">
        <f t="shared" si="16"/>
        <v/>
      </c>
      <c r="Y51" s="28" t="str">
        <f t="shared" si="2"/>
        <v/>
      </c>
      <c r="Z51" s="28" t="str">
        <f t="shared" si="3"/>
        <v/>
      </c>
      <c r="AA51" s="28" t="str">
        <f t="shared" si="4"/>
        <v/>
      </c>
      <c r="AB51" s="28" t="str">
        <f t="shared" si="5"/>
        <v/>
      </c>
      <c r="AC51" s="28" t="str">
        <f t="shared" si="17"/>
        <v/>
      </c>
      <c r="AD51" s="27"/>
      <c r="AO51" s="145" t="str">
        <f t="shared" si="21"/>
        <v/>
      </c>
      <c r="AP51" s="144" t="str">
        <f t="shared" si="22"/>
        <v/>
      </c>
    </row>
    <row r="52" spans="3:42" x14ac:dyDescent="0.25">
      <c r="C52" s="12" t="str">
        <f>IFERROR(IF(AvisoErro&lt;&gt;"","",IF(C51+1&gt;PAINEL!$H$8,"",C51+1)),"")</f>
        <v/>
      </c>
      <c r="E52" s="23" t="str">
        <f t="shared" si="6"/>
        <v/>
      </c>
      <c r="F52" s="13" t="str">
        <f>IF(C52="","",IF(E52&lt;&gt;"",E52*PAINEL!$H$7,0))</f>
        <v/>
      </c>
      <c r="G52" s="13" t="str">
        <f>IF(C52="","",IF(PAINEL!$A$4=1,K51/(QTDEParc-C51),IF(AND(PAINEL!$A$4=2,C52&lt;=MomentoContemplação),ValorParcelamento/QTDEParc,K51/(QTDEParc-C51))))</f>
        <v/>
      </c>
      <c r="H52" s="13" t="str">
        <f t="shared" si="7"/>
        <v/>
      </c>
      <c r="I52" s="32" t="str">
        <f t="shared" si="8"/>
        <v/>
      </c>
      <c r="J52" s="14" t="str">
        <f>IF(C52="","",IF(C52=MomentoContemplação,PAINEL!$P$10,0))</f>
        <v/>
      </c>
      <c r="K52" s="14" t="str">
        <f t="shared" si="9"/>
        <v/>
      </c>
      <c r="M52" s="51" t="str">
        <f t="shared" si="10"/>
        <v/>
      </c>
      <c r="N52" s="27" t="str">
        <f t="shared" si="13"/>
        <v/>
      </c>
      <c r="O52" s="27" t="str">
        <f>IF(C52="","",(I52*(1+M52))*(QTDEParc-CÁLCULO!C52)+$F$5-SUM($F$6:F52)-J52)</f>
        <v/>
      </c>
      <c r="P52" s="7" t="str">
        <f t="shared" si="11"/>
        <v/>
      </c>
      <c r="R52" s="44" t="str">
        <f t="shared" si="12"/>
        <v/>
      </c>
      <c r="S52" s="97"/>
      <c r="T52" s="28" t="str">
        <f t="shared" si="14"/>
        <v/>
      </c>
      <c r="U52" s="28" t="str">
        <f t="shared" si="1"/>
        <v/>
      </c>
      <c r="V52" s="7" t="str">
        <f t="shared" si="15"/>
        <v/>
      </c>
      <c r="W52" s="93" t="str">
        <f t="shared" si="23"/>
        <v/>
      </c>
      <c r="X52" s="28" t="str">
        <f t="shared" si="16"/>
        <v/>
      </c>
      <c r="Y52" s="28" t="str">
        <f t="shared" si="2"/>
        <v/>
      </c>
      <c r="Z52" s="28" t="str">
        <f t="shared" si="3"/>
        <v/>
      </c>
      <c r="AA52" s="28" t="str">
        <f t="shared" si="4"/>
        <v/>
      </c>
      <c r="AB52" s="28" t="str">
        <f t="shared" si="5"/>
        <v/>
      </c>
      <c r="AC52" s="28" t="str">
        <f t="shared" si="17"/>
        <v/>
      </c>
      <c r="AD52" s="27"/>
      <c r="AO52" s="145" t="str">
        <f t="shared" si="21"/>
        <v/>
      </c>
      <c r="AP52" s="144" t="str">
        <f t="shared" si="22"/>
        <v/>
      </c>
    </row>
    <row r="53" spans="3:42" x14ac:dyDescent="0.25">
      <c r="C53" s="12" t="str">
        <f>IFERROR(IF(AvisoErro&lt;&gt;"","",IF(C52+1&gt;PAINEL!$H$8,"",C52+1)),"")</f>
        <v/>
      </c>
      <c r="E53" s="23" t="str">
        <f t="shared" si="6"/>
        <v/>
      </c>
      <c r="F53" s="13" t="str">
        <f>IF(C53="","",IF(E53&lt;&gt;"",E53*PAINEL!$H$7,0))</f>
        <v/>
      </c>
      <c r="G53" s="13" t="str">
        <f>IF(C53="","",IF(PAINEL!$A$4=1,K52/(QTDEParc-C52),IF(AND(PAINEL!$A$4=2,C53&lt;=MomentoContemplação),ValorParcelamento/QTDEParc,K52/(QTDEParc-C52))))</f>
        <v/>
      </c>
      <c r="H53" s="13" t="str">
        <f t="shared" si="7"/>
        <v/>
      </c>
      <c r="I53" s="32" t="str">
        <f t="shared" si="8"/>
        <v/>
      </c>
      <c r="J53" s="14" t="str">
        <f>IF(C53="","",IF(C53=MomentoContemplação,PAINEL!$P$10,0))</f>
        <v/>
      </c>
      <c r="K53" s="14" t="str">
        <f t="shared" si="9"/>
        <v/>
      </c>
      <c r="M53" s="51" t="str">
        <f t="shared" si="10"/>
        <v/>
      </c>
      <c r="N53" s="27" t="str">
        <f t="shared" si="13"/>
        <v/>
      </c>
      <c r="O53" s="27" t="str">
        <f>IF(C53="","",(I53*(1+M53))*(QTDEParc-CÁLCULO!C53)+$F$5-SUM($F$6:F53)-J53)</f>
        <v/>
      </c>
      <c r="P53" s="7" t="str">
        <f t="shared" si="11"/>
        <v/>
      </c>
      <c r="R53" s="44" t="str">
        <f t="shared" si="12"/>
        <v/>
      </c>
      <c r="S53" s="97"/>
      <c r="T53" s="28" t="str">
        <f t="shared" si="14"/>
        <v/>
      </c>
      <c r="U53" s="28" t="str">
        <f t="shared" si="1"/>
        <v/>
      </c>
      <c r="V53" s="7" t="str">
        <f t="shared" si="15"/>
        <v/>
      </c>
      <c r="W53" s="93" t="str">
        <f t="shared" si="23"/>
        <v/>
      </c>
      <c r="X53" s="28" t="str">
        <f t="shared" si="16"/>
        <v/>
      </c>
      <c r="Y53" s="28" t="str">
        <f t="shared" si="2"/>
        <v/>
      </c>
      <c r="Z53" s="28" t="str">
        <f t="shared" si="3"/>
        <v/>
      </c>
      <c r="AA53" s="28" t="str">
        <f t="shared" si="4"/>
        <v/>
      </c>
      <c r="AB53" s="28" t="str">
        <f t="shared" si="5"/>
        <v/>
      </c>
      <c r="AC53" s="28" t="str">
        <f t="shared" si="17"/>
        <v/>
      </c>
      <c r="AD53" s="27"/>
      <c r="AO53" s="145" t="str">
        <f t="shared" si="21"/>
        <v/>
      </c>
      <c r="AP53" s="144" t="str">
        <f t="shared" si="22"/>
        <v/>
      </c>
    </row>
    <row r="54" spans="3:42" x14ac:dyDescent="0.25">
      <c r="C54" s="12" t="str">
        <f>IFERROR(IF(AvisoErro&lt;&gt;"","",IF(C53+1&gt;PAINEL!$H$8,"",C53+1)),"")</f>
        <v/>
      </c>
      <c r="E54" s="23" t="str">
        <f t="shared" si="6"/>
        <v/>
      </c>
      <c r="F54" s="13" t="str">
        <f>IF(C54="","",IF(E54&lt;&gt;"",E54*PAINEL!$H$7,0))</f>
        <v/>
      </c>
      <c r="G54" s="13" t="str">
        <f>IF(C54="","",IF(PAINEL!$A$4=1,K53/(QTDEParc-C53),IF(AND(PAINEL!$A$4=2,C54&lt;=MomentoContemplação),ValorParcelamento/QTDEParc,K53/(QTDEParc-C53))))</f>
        <v/>
      </c>
      <c r="H54" s="13" t="str">
        <f t="shared" si="7"/>
        <v/>
      </c>
      <c r="I54" s="32" t="str">
        <f t="shared" si="8"/>
        <v/>
      </c>
      <c r="J54" s="14" t="str">
        <f>IF(C54="","",IF(C54=MomentoContemplação,PAINEL!$P$10,0))</f>
        <v/>
      </c>
      <c r="K54" s="14" t="str">
        <f t="shared" si="9"/>
        <v/>
      </c>
      <c r="M54" s="51" t="str">
        <f t="shared" si="10"/>
        <v/>
      </c>
      <c r="N54" s="27" t="str">
        <f t="shared" si="13"/>
        <v/>
      </c>
      <c r="O54" s="27" t="str">
        <f>IF(C54="","",(I54*(1+M54))*(QTDEParc-CÁLCULO!C54)+$F$5-SUM($F$6:F54)-J54)</f>
        <v/>
      </c>
      <c r="P54" s="7" t="str">
        <f t="shared" si="11"/>
        <v/>
      </c>
      <c r="R54" s="44" t="str">
        <f t="shared" si="12"/>
        <v/>
      </c>
      <c r="S54" s="97"/>
      <c r="T54" s="28" t="str">
        <f t="shared" si="14"/>
        <v/>
      </c>
      <c r="U54" s="28" t="str">
        <f t="shared" si="1"/>
        <v/>
      </c>
      <c r="V54" s="7" t="str">
        <f t="shared" si="15"/>
        <v/>
      </c>
      <c r="W54" s="93" t="str">
        <f t="shared" si="23"/>
        <v/>
      </c>
      <c r="X54" s="28" t="str">
        <f t="shared" si="16"/>
        <v/>
      </c>
      <c r="Y54" s="28" t="str">
        <f t="shared" si="2"/>
        <v/>
      </c>
      <c r="Z54" s="28" t="str">
        <f t="shared" si="3"/>
        <v/>
      </c>
      <c r="AA54" s="28" t="str">
        <f t="shared" si="4"/>
        <v/>
      </c>
      <c r="AB54" s="28" t="str">
        <f t="shared" si="5"/>
        <v/>
      </c>
      <c r="AC54" s="28" t="str">
        <f t="shared" si="17"/>
        <v/>
      </c>
      <c r="AD54" s="27"/>
      <c r="AO54" s="145" t="str">
        <f t="shared" si="21"/>
        <v/>
      </c>
      <c r="AP54" s="144" t="str">
        <f t="shared" si="22"/>
        <v/>
      </c>
    </row>
    <row r="55" spans="3:42" x14ac:dyDescent="0.25">
      <c r="C55" s="12" t="str">
        <f>IFERROR(IF(AvisoErro&lt;&gt;"","",IF(C54+1&gt;PAINEL!$H$8,"",C54+1)),"")</f>
        <v/>
      </c>
      <c r="E55" s="23" t="str">
        <f t="shared" si="6"/>
        <v/>
      </c>
      <c r="F55" s="13" t="str">
        <f>IF(C55="","",IF(E55&lt;&gt;"",E55*PAINEL!$H$7,0))</f>
        <v/>
      </c>
      <c r="G55" s="13" t="str">
        <f>IF(C55="","",IF(PAINEL!$A$4=1,K54/(QTDEParc-C54),IF(AND(PAINEL!$A$4=2,C55&lt;=MomentoContemplação),ValorParcelamento/QTDEParc,K54/(QTDEParc-C54))))</f>
        <v/>
      </c>
      <c r="H55" s="13" t="str">
        <f t="shared" si="7"/>
        <v/>
      </c>
      <c r="I55" s="32" t="str">
        <f t="shared" si="8"/>
        <v/>
      </c>
      <c r="J55" s="14" t="str">
        <f>IF(C55="","",IF(C55=MomentoContemplação,PAINEL!$P$10,0))</f>
        <v/>
      </c>
      <c r="K55" s="14" t="str">
        <f t="shared" si="9"/>
        <v/>
      </c>
      <c r="M55" s="51" t="str">
        <f t="shared" si="10"/>
        <v/>
      </c>
      <c r="N55" s="27" t="str">
        <f t="shared" si="13"/>
        <v/>
      </c>
      <c r="O55" s="27" t="str">
        <f>IF(C55="","",(I55*(1+M55))*(QTDEParc-CÁLCULO!C55)+$F$5-SUM($F$6:F55)-J55)</f>
        <v/>
      </c>
      <c r="P55" s="7" t="str">
        <f t="shared" si="11"/>
        <v/>
      </c>
      <c r="R55" s="44" t="str">
        <f t="shared" si="12"/>
        <v/>
      </c>
      <c r="S55" s="97"/>
      <c r="T55" s="28" t="str">
        <f t="shared" si="14"/>
        <v/>
      </c>
      <c r="U55" s="28" t="str">
        <f t="shared" si="1"/>
        <v/>
      </c>
      <c r="V55" s="7" t="str">
        <f t="shared" si="15"/>
        <v/>
      </c>
      <c r="W55" s="93" t="str">
        <f t="shared" si="23"/>
        <v/>
      </c>
      <c r="X55" s="28" t="str">
        <f t="shared" si="16"/>
        <v/>
      </c>
      <c r="Y55" s="28" t="str">
        <f t="shared" si="2"/>
        <v/>
      </c>
      <c r="Z55" s="28" t="str">
        <f t="shared" si="3"/>
        <v/>
      </c>
      <c r="AA55" s="28" t="str">
        <f t="shared" si="4"/>
        <v/>
      </c>
      <c r="AB55" s="28" t="str">
        <f t="shared" si="5"/>
        <v/>
      </c>
      <c r="AC55" s="28" t="str">
        <f t="shared" si="17"/>
        <v/>
      </c>
      <c r="AD55" s="27"/>
      <c r="AO55" s="145" t="str">
        <f t="shared" si="21"/>
        <v/>
      </c>
      <c r="AP55" s="144" t="str">
        <f t="shared" si="22"/>
        <v/>
      </c>
    </row>
    <row r="56" spans="3:42" x14ac:dyDescent="0.25">
      <c r="C56" s="12" t="str">
        <f>IFERROR(IF(AvisoErro&lt;&gt;"","",IF(C55+1&gt;PAINEL!$H$8,"",C55+1)),"")</f>
        <v/>
      </c>
      <c r="E56" s="23" t="str">
        <f t="shared" si="6"/>
        <v/>
      </c>
      <c r="F56" s="13" t="str">
        <f>IF(C56="","",IF(E56&lt;&gt;"",E56*PAINEL!$H$7,0))</f>
        <v/>
      </c>
      <c r="G56" s="13" t="str">
        <f>IF(C56="","",IF(PAINEL!$A$4=1,K55/(QTDEParc-C55),IF(AND(PAINEL!$A$4=2,C56&lt;=MomentoContemplação),ValorParcelamento/QTDEParc,K55/(QTDEParc-C55))))</f>
        <v/>
      </c>
      <c r="H56" s="13" t="str">
        <f t="shared" si="7"/>
        <v/>
      </c>
      <c r="I56" s="32" t="str">
        <f t="shared" si="8"/>
        <v/>
      </c>
      <c r="J56" s="14" t="str">
        <f>IF(C56="","",IF(C56=MomentoContemplação,PAINEL!$P$10,0))</f>
        <v/>
      </c>
      <c r="K56" s="14" t="str">
        <f t="shared" si="9"/>
        <v/>
      </c>
      <c r="M56" s="51" t="str">
        <f t="shared" si="10"/>
        <v/>
      </c>
      <c r="N56" s="27" t="str">
        <f t="shared" si="13"/>
        <v/>
      </c>
      <c r="O56" s="27" t="str">
        <f>IF(C56="","",(I56*(1+M56))*(QTDEParc-CÁLCULO!C56)+$F$5-SUM($F$6:F56)-J56)</f>
        <v/>
      </c>
      <c r="P56" s="7" t="str">
        <f t="shared" si="11"/>
        <v/>
      </c>
      <c r="R56" s="44" t="str">
        <f t="shared" si="12"/>
        <v/>
      </c>
      <c r="S56" s="97"/>
      <c r="T56" s="28" t="str">
        <f t="shared" si="14"/>
        <v/>
      </c>
      <c r="U56" s="28" t="str">
        <f t="shared" si="1"/>
        <v/>
      </c>
      <c r="V56" s="7" t="str">
        <f t="shared" si="15"/>
        <v/>
      </c>
      <c r="W56" s="93" t="str">
        <f t="shared" si="23"/>
        <v/>
      </c>
      <c r="X56" s="28" t="str">
        <f t="shared" si="16"/>
        <v/>
      </c>
      <c r="Y56" s="28" t="str">
        <f t="shared" si="2"/>
        <v/>
      </c>
      <c r="Z56" s="28" t="str">
        <f t="shared" si="3"/>
        <v/>
      </c>
      <c r="AA56" s="28" t="str">
        <f t="shared" si="4"/>
        <v/>
      </c>
      <c r="AB56" s="28" t="str">
        <f t="shared" si="5"/>
        <v/>
      </c>
      <c r="AC56" s="28" t="str">
        <f t="shared" si="17"/>
        <v/>
      </c>
      <c r="AD56" s="27"/>
      <c r="AO56" s="145" t="str">
        <f t="shared" si="21"/>
        <v/>
      </c>
      <c r="AP56" s="144" t="str">
        <f t="shared" si="22"/>
        <v/>
      </c>
    </row>
    <row r="57" spans="3:42" x14ac:dyDescent="0.25">
      <c r="C57" s="12" t="str">
        <f>IFERROR(IF(AvisoErro&lt;&gt;"","",IF(C56+1&gt;PAINEL!$H$8,"",C56+1)),"")</f>
        <v/>
      </c>
      <c r="E57" s="23" t="str">
        <f t="shared" si="6"/>
        <v/>
      </c>
      <c r="F57" s="13" t="str">
        <f>IF(C57="","",IF(E57&lt;&gt;"",E57*PAINEL!$H$7,0))</f>
        <v/>
      </c>
      <c r="G57" s="13" t="str">
        <f>IF(C57="","",IF(PAINEL!$A$4=1,K56/(QTDEParc-C56),IF(AND(PAINEL!$A$4=2,C57&lt;=MomentoContemplação),ValorParcelamento/QTDEParc,K56/(QTDEParc-C56))))</f>
        <v/>
      </c>
      <c r="H57" s="13" t="str">
        <f t="shared" si="7"/>
        <v/>
      </c>
      <c r="I57" s="32" t="str">
        <f t="shared" si="8"/>
        <v/>
      </c>
      <c r="J57" s="14" t="str">
        <f>IF(C57="","",IF(C57=MomentoContemplação,PAINEL!$P$10,0))</f>
        <v/>
      </c>
      <c r="K57" s="14" t="str">
        <f t="shared" si="9"/>
        <v/>
      </c>
      <c r="M57" s="51" t="str">
        <f t="shared" si="10"/>
        <v/>
      </c>
      <c r="N57" s="27" t="str">
        <f t="shared" si="13"/>
        <v/>
      </c>
      <c r="O57" s="27" t="str">
        <f>IF(C57="","",(I57*(1+M57))*(QTDEParc-CÁLCULO!C57)+$F$5-SUM($F$6:F57)-J57)</f>
        <v/>
      </c>
      <c r="P57" s="7" t="str">
        <f t="shared" si="11"/>
        <v/>
      </c>
      <c r="R57" s="44" t="str">
        <f t="shared" si="12"/>
        <v/>
      </c>
      <c r="S57" s="97"/>
      <c r="T57" s="28" t="str">
        <f t="shared" si="14"/>
        <v/>
      </c>
      <c r="U57" s="28" t="str">
        <f t="shared" si="1"/>
        <v/>
      </c>
      <c r="V57" s="7" t="str">
        <f t="shared" si="15"/>
        <v/>
      </c>
      <c r="W57" s="93" t="str">
        <f t="shared" si="23"/>
        <v/>
      </c>
      <c r="X57" s="28" t="str">
        <f t="shared" si="16"/>
        <v/>
      </c>
      <c r="Y57" s="28" t="str">
        <f t="shared" si="2"/>
        <v/>
      </c>
      <c r="Z57" s="28" t="str">
        <f t="shared" si="3"/>
        <v/>
      </c>
      <c r="AA57" s="28" t="str">
        <f t="shared" si="4"/>
        <v/>
      </c>
      <c r="AB57" s="28" t="str">
        <f t="shared" si="5"/>
        <v/>
      </c>
      <c r="AC57" s="28" t="str">
        <f t="shared" si="17"/>
        <v/>
      </c>
      <c r="AD57" s="27"/>
      <c r="AO57" s="145" t="str">
        <f t="shared" si="21"/>
        <v/>
      </c>
      <c r="AP57" s="144" t="str">
        <f t="shared" si="22"/>
        <v/>
      </c>
    </row>
    <row r="58" spans="3:42" x14ac:dyDescent="0.25">
      <c r="C58" s="12" t="str">
        <f>IFERROR(IF(AvisoErro&lt;&gt;"","",IF(C57+1&gt;PAINEL!$H$8,"",C57+1)),"")</f>
        <v/>
      </c>
      <c r="E58" s="23" t="str">
        <f t="shared" si="6"/>
        <v/>
      </c>
      <c r="F58" s="13" t="str">
        <f>IF(C58="","",IF(E58&lt;&gt;"",E58*PAINEL!$H$7,0))</f>
        <v/>
      </c>
      <c r="G58" s="13" t="str">
        <f>IF(C58="","",IF(PAINEL!$A$4=1,K57/(QTDEParc-C57),IF(AND(PAINEL!$A$4=2,C58&lt;=MomentoContemplação),ValorParcelamento/QTDEParc,K57/(QTDEParc-C57))))</f>
        <v/>
      </c>
      <c r="H58" s="13" t="str">
        <f t="shared" si="7"/>
        <v/>
      </c>
      <c r="I58" s="32" t="str">
        <f t="shared" si="8"/>
        <v/>
      </c>
      <c r="J58" s="14" t="str">
        <f>IF(C58="","",IF(C58=MomentoContemplação,PAINEL!$P$10,0))</f>
        <v/>
      </c>
      <c r="K58" s="14" t="str">
        <f t="shared" si="9"/>
        <v/>
      </c>
      <c r="M58" s="51" t="str">
        <f t="shared" si="10"/>
        <v/>
      </c>
      <c r="N58" s="27" t="str">
        <f t="shared" si="13"/>
        <v/>
      </c>
      <c r="O58" s="27" t="str">
        <f>IF(C58="","",(I58*(1+M58))*(QTDEParc-CÁLCULO!C58)+$F$5-SUM($F$6:F58)-J58)</f>
        <v/>
      </c>
      <c r="P58" s="7" t="str">
        <f t="shared" si="11"/>
        <v/>
      </c>
      <c r="R58" s="44" t="str">
        <f t="shared" si="12"/>
        <v/>
      </c>
      <c r="S58" s="97"/>
      <c r="T58" s="28" t="str">
        <f t="shared" si="14"/>
        <v/>
      </c>
      <c r="U58" s="28" t="str">
        <f t="shared" si="1"/>
        <v/>
      </c>
      <c r="V58" s="7" t="str">
        <f t="shared" si="15"/>
        <v/>
      </c>
      <c r="W58" s="93" t="str">
        <f t="shared" si="23"/>
        <v/>
      </c>
      <c r="X58" s="28" t="str">
        <f t="shared" si="16"/>
        <v/>
      </c>
      <c r="Y58" s="28" t="str">
        <f t="shared" si="2"/>
        <v/>
      </c>
      <c r="Z58" s="28" t="str">
        <f t="shared" si="3"/>
        <v/>
      </c>
      <c r="AA58" s="28" t="str">
        <f t="shared" si="4"/>
        <v/>
      </c>
      <c r="AB58" s="28" t="str">
        <f t="shared" si="5"/>
        <v/>
      </c>
      <c r="AC58" s="28" t="str">
        <f t="shared" si="17"/>
        <v/>
      </c>
      <c r="AD58" s="27"/>
      <c r="AO58" s="145" t="str">
        <f t="shared" si="21"/>
        <v/>
      </c>
      <c r="AP58" s="144" t="str">
        <f t="shared" si="22"/>
        <v/>
      </c>
    </row>
    <row r="59" spans="3:42" x14ac:dyDescent="0.25">
      <c r="C59" s="12" t="str">
        <f>IFERROR(IF(AvisoErro&lt;&gt;"","",IF(C58+1&gt;PAINEL!$H$8,"",C58+1)),"")</f>
        <v/>
      </c>
      <c r="E59" s="23" t="str">
        <f t="shared" si="6"/>
        <v/>
      </c>
      <c r="F59" s="13" t="str">
        <f>IF(C59="","",IF(E59&lt;&gt;"",E59*PAINEL!$H$7,0))</f>
        <v/>
      </c>
      <c r="G59" s="13" t="str">
        <f>IF(C59="","",IF(PAINEL!$A$4=1,K58/(QTDEParc-C58),IF(AND(PAINEL!$A$4=2,C59&lt;=MomentoContemplação),ValorParcelamento/QTDEParc,K58/(QTDEParc-C58))))</f>
        <v/>
      </c>
      <c r="H59" s="13" t="str">
        <f t="shared" si="7"/>
        <v/>
      </c>
      <c r="I59" s="32" t="str">
        <f t="shared" si="8"/>
        <v/>
      </c>
      <c r="J59" s="14" t="str">
        <f>IF(C59="","",IF(C59=MomentoContemplação,PAINEL!$P$10,0))</f>
        <v/>
      </c>
      <c r="K59" s="14" t="str">
        <f t="shared" si="9"/>
        <v/>
      </c>
      <c r="M59" s="51" t="str">
        <f t="shared" si="10"/>
        <v/>
      </c>
      <c r="N59" s="27" t="str">
        <f t="shared" si="13"/>
        <v/>
      </c>
      <c r="O59" s="27" t="str">
        <f>IF(C59="","",(I59*(1+M59))*(QTDEParc-CÁLCULO!C59)+$F$5-SUM($F$6:F59)-J59)</f>
        <v/>
      </c>
      <c r="P59" s="7" t="str">
        <f t="shared" si="11"/>
        <v/>
      </c>
      <c r="R59" s="44" t="str">
        <f t="shared" si="12"/>
        <v/>
      </c>
      <c r="S59" s="97"/>
      <c r="T59" s="28" t="str">
        <f t="shared" si="14"/>
        <v/>
      </c>
      <c r="U59" s="28" t="str">
        <f t="shared" si="1"/>
        <v/>
      </c>
      <c r="V59" s="7" t="str">
        <f t="shared" si="15"/>
        <v/>
      </c>
      <c r="W59" s="93" t="str">
        <f t="shared" si="23"/>
        <v/>
      </c>
      <c r="X59" s="28" t="str">
        <f t="shared" si="16"/>
        <v/>
      </c>
      <c r="Y59" s="28" t="str">
        <f t="shared" si="2"/>
        <v/>
      </c>
      <c r="Z59" s="28" t="str">
        <f t="shared" si="3"/>
        <v/>
      </c>
      <c r="AA59" s="28" t="str">
        <f t="shared" si="4"/>
        <v/>
      </c>
      <c r="AB59" s="28" t="str">
        <f t="shared" si="5"/>
        <v/>
      </c>
      <c r="AC59" s="28" t="str">
        <f t="shared" si="17"/>
        <v/>
      </c>
      <c r="AD59" s="27"/>
      <c r="AO59" s="145" t="str">
        <f t="shared" si="21"/>
        <v/>
      </c>
      <c r="AP59" s="144" t="str">
        <f t="shared" si="22"/>
        <v/>
      </c>
    </row>
    <row r="60" spans="3:42" x14ac:dyDescent="0.25">
      <c r="C60" s="12" t="str">
        <f>IFERROR(IF(AvisoErro&lt;&gt;"","",IF(C59+1&gt;PAINEL!$H$8,"",C59+1)),"")</f>
        <v/>
      </c>
      <c r="E60" s="23" t="str">
        <f t="shared" si="6"/>
        <v/>
      </c>
      <c r="F60" s="13" t="str">
        <f>IF(C60="","",IF(E60&lt;&gt;"",E60*PAINEL!$H$7,0))</f>
        <v/>
      </c>
      <c r="G60" s="13" t="str">
        <f>IF(C60="","",IF(PAINEL!$A$4=1,K59/(QTDEParc-C59),IF(AND(PAINEL!$A$4=2,C60&lt;=MomentoContemplação),ValorParcelamento/QTDEParc,K59/(QTDEParc-C59))))</f>
        <v/>
      </c>
      <c r="H60" s="13" t="str">
        <f t="shared" si="7"/>
        <v/>
      </c>
      <c r="I60" s="32" t="str">
        <f t="shared" si="8"/>
        <v/>
      </c>
      <c r="J60" s="14" t="str">
        <f>IF(C60="","",IF(C60=MomentoContemplação,PAINEL!$P$10,0))</f>
        <v/>
      </c>
      <c r="K60" s="14" t="str">
        <f t="shared" si="9"/>
        <v/>
      </c>
      <c r="M60" s="51" t="str">
        <f t="shared" si="10"/>
        <v/>
      </c>
      <c r="N60" s="27" t="str">
        <f t="shared" si="13"/>
        <v/>
      </c>
      <c r="O60" s="27" t="str">
        <f>IF(C60="","",(I60*(1+M60))*(QTDEParc-CÁLCULO!C60)+$F$5-SUM($F$6:F60)-J60)</f>
        <v/>
      </c>
      <c r="P60" s="7" t="str">
        <f t="shared" si="11"/>
        <v/>
      </c>
      <c r="R60" s="44" t="str">
        <f t="shared" si="12"/>
        <v/>
      </c>
      <c r="S60" s="97"/>
      <c r="T60" s="28" t="str">
        <f t="shared" si="14"/>
        <v/>
      </c>
      <c r="U60" s="28" t="str">
        <f t="shared" si="1"/>
        <v/>
      </c>
      <c r="V60" s="7" t="str">
        <f t="shared" si="15"/>
        <v/>
      </c>
      <c r="W60" s="93" t="str">
        <f t="shared" si="23"/>
        <v/>
      </c>
      <c r="X60" s="28" t="str">
        <f t="shared" si="16"/>
        <v/>
      </c>
      <c r="Y60" s="28" t="str">
        <f t="shared" si="2"/>
        <v/>
      </c>
      <c r="Z60" s="28" t="str">
        <f t="shared" si="3"/>
        <v/>
      </c>
      <c r="AA60" s="28" t="str">
        <f t="shared" si="4"/>
        <v/>
      </c>
      <c r="AB60" s="28" t="str">
        <f t="shared" si="5"/>
        <v/>
      </c>
      <c r="AC60" s="28" t="str">
        <f t="shared" si="17"/>
        <v/>
      </c>
      <c r="AD60" s="27"/>
      <c r="AO60" s="145" t="str">
        <f t="shared" si="21"/>
        <v/>
      </c>
      <c r="AP60" s="144" t="str">
        <f t="shared" si="22"/>
        <v/>
      </c>
    </row>
    <row r="61" spans="3:42" x14ac:dyDescent="0.25">
      <c r="C61" s="12" t="str">
        <f>IFERROR(IF(AvisoErro&lt;&gt;"","",IF(C60+1&gt;PAINEL!$H$8,"",C60+1)),"")</f>
        <v/>
      </c>
      <c r="E61" s="23" t="str">
        <f t="shared" si="6"/>
        <v/>
      </c>
      <c r="F61" s="13" t="str">
        <f>IF(C61="","",IF(E61&lt;&gt;"",E61*PAINEL!$H$7,0))</f>
        <v/>
      </c>
      <c r="G61" s="13" t="str">
        <f>IF(C61="","",IF(PAINEL!$A$4=1,K60/(QTDEParc-C60),IF(AND(PAINEL!$A$4=2,C61&lt;=MomentoContemplação),ValorParcelamento/QTDEParc,K60/(QTDEParc-C60))))</f>
        <v/>
      </c>
      <c r="H61" s="13" t="str">
        <f t="shared" si="7"/>
        <v/>
      </c>
      <c r="I61" s="32" t="str">
        <f t="shared" si="8"/>
        <v/>
      </c>
      <c r="J61" s="14" t="str">
        <f>IF(C61="","",IF(C61=MomentoContemplação,PAINEL!$P$10,0))</f>
        <v/>
      </c>
      <c r="K61" s="14" t="str">
        <f t="shared" si="9"/>
        <v/>
      </c>
      <c r="M61" s="51" t="str">
        <f t="shared" si="10"/>
        <v/>
      </c>
      <c r="N61" s="27" t="str">
        <f t="shared" si="13"/>
        <v/>
      </c>
      <c r="O61" s="27" t="str">
        <f>IF(C61="","",(I61*(1+M61))*(QTDEParc-CÁLCULO!C61)+$F$5-SUM($F$6:F61)-J61)</f>
        <v/>
      </c>
      <c r="P61" s="7" t="str">
        <f t="shared" si="11"/>
        <v/>
      </c>
      <c r="R61" s="44" t="str">
        <f t="shared" si="12"/>
        <v/>
      </c>
      <c r="S61" s="97"/>
      <c r="T61" s="28" t="str">
        <f t="shared" si="14"/>
        <v/>
      </c>
      <c r="U61" s="28" t="str">
        <f t="shared" si="1"/>
        <v/>
      </c>
      <c r="V61" s="7" t="str">
        <f t="shared" si="15"/>
        <v/>
      </c>
      <c r="W61" s="93" t="str">
        <f t="shared" si="23"/>
        <v/>
      </c>
      <c r="X61" s="28" t="str">
        <f t="shared" si="16"/>
        <v/>
      </c>
      <c r="Y61" s="28" t="str">
        <f t="shared" si="2"/>
        <v/>
      </c>
      <c r="Z61" s="28" t="str">
        <f t="shared" si="3"/>
        <v/>
      </c>
      <c r="AA61" s="28" t="str">
        <f t="shared" si="4"/>
        <v/>
      </c>
      <c r="AB61" s="28" t="str">
        <f t="shared" si="5"/>
        <v/>
      </c>
      <c r="AC61" s="28" t="str">
        <f t="shared" si="17"/>
        <v/>
      </c>
      <c r="AD61" s="27"/>
      <c r="AO61" s="145" t="str">
        <f t="shared" si="21"/>
        <v/>
      </c>
      <c r="AP61" s="144" t="str">
        <f t="shared" si="22"/>
        <v/>
      </c>
    </row>
    <row r="62" spans="3:42" x14ac:dyDescent="0.25">
      <c r="C62" s="12" t="str">
        <f>IFERROR(IF(AvisoErro&lt;&gt;"","",IF(C61+1&gt;PAINEL!$H$8,"",C61+1)),"")</f>
        <v/>
      </c>
      <c r="E62" s="23" t="str">
        <f t="shared" si="6"/>
        <v/>
      </c>
      <c r="F62" s="13" t="str">
        <f>IF(C62="","",IF(E62&lt;&gt;"",E62*PAINEL!$H$7,0))</f>
        <v/>
      </c>
      <c r="G62" s="13" t="str">
        <f>IF(C62="","",IF(PAINEL!$A$4=1,K61/(QTDEParc-C61),IF(AND(PAINEL!$A$4=2,C62&lt;=MomentoContemplação),ValorParcelamento/QTDEParc,K61/(QTDEParc-C61))))</f>
        <v/>
      </c>
      <c r="H62" s="13" t="str">
        <f t="shared" si="7"/>
        <v/>
      </c>
      <c r="I62" s="32" t="str">
        <f t="shared" si="8"/>
        <v/>
      </c>
      <c r="J62" s="14" t="str">
        <f>IF(C62="","",IF(C62=MomentoContemplação,PAINEL!$P$10,0))</f>
        <v/>
      </c>
      <c r="K62" s="14" t="str">
        <f t="shared" si="9"/>
        <v/>
      </c>
      <c r="M62" s="51" t="str">
        <f t="shared" si="10"/>
        <v/>
      </c>
      <c r="N62" s="27" t="str">
        <f t="shared" si="13"/>
        <v/>
      </c>
      <c r="O62" s="27" t="str">
        <f>IF(C62="","",(I62*(1+M62))*(QTDEParc-CÁLCULO!C62)+$F$5-SUM($F$6:F62)-J62)</f>
        <v/>
      </c>
      <c r="P62" s="7" t="str">
        <f t="shared" si="11"/>
        <v/>
      </c>
      <c r="R62" s="44" t="str">
        <f t="shared" si="12"/>
        <v/>
      </c>
      <c r="S62" s="97"/>
      <c r="T62" s="28" t="str">
        <f t="shared" si="14"/>
        <v/>
      </c>
      <c r="U62" s="28" t="str">
        <f t="shared" si="1"/>
        <v/>
      </c>
      <c r="V62" s="7" t="str">
        <f t="shared" si="15"/>
        <v/>
      </c>
      <c r="W62" s="93" t="str">
        <f t="shared" si="23"/>
        <v/>
      </c>
      <c r="X62" s="28" t="str">
        <f t="shared" si="16"/>
        <v/>
      </c>
      <c r="Y62" s="28" t="str">
        <f t="shared" si="2"/>
        <v/>
      </c>
      <c r="Z62" s="28" t="str">
        <f t="shared" si="3"/>
        <v/>
      </c>
      <c r="AA62" s="28" t="str">
        <f t="shared" si="4"/>
        <v/>
      </c>
      <c r="AB62" s="28" t="str">
        <f t="shared" si="5"/>
        <v/>
      </c>
      <c r="AC62" s="28" t="str">
        <f t="shared" si="17"/>
        <v/>
      </c>
      <c r="AD62" s="27"/>
      <c r="AO62" s="145" t="str">
        <f t="shared" si="21"/>
        <v/>
      </c>
      <c r="AP62" s="144" t="str">
        <f t="shared" si="22"/>
        <v/>
      </c>
    </row>
    <row r="63" spans="3:42" x14ac:dyDescent="0.25">
      <c r="C63" s="12" t="str">
        <f>IFERROR(IF(AvisoErro&lt;&gt;"","",IF(C62+1&gt;PAINEL!$H$8,"",C62+1)),"")</f>
        <v/>
      </c>
      <c r="E63" s="23" t="str">
        <f t="shared" si="6"/>
        <v/>
      </c>
      <c r="F63" s="13" t="str">
        <f>IF(C63="","",IF(E63&lt;&gt;"",E63*PAINEL!$H$7,0))</f>
        <v/>
      </c>
      <c r="G63" s="13" t="str">
        <f>IF(C63="","",IF(PAINEL!$A$4=1,K62/(QTDEParc-C62),IF(AND(PAINEL!$A$4=2,C63&lt;=MomentoContemplação),ValorParcelamento/QTDEParc,K62/(QTDEParc-C62))))</f>
        <v/>
      </c>
      <c r="H63" s="13" t="str">
        <f t="shared" si="7"/>
        <v/>
      </c>
      <c r="I63" s="32" t="str">
        <f t="shared" si="8"/>
        <v/>
      </c>
      <c r="J63" s="14" t="str">
        <f>IF(C63="","",IF(C63=MomentoContemplação,PAINEL!$P$10,0))</f>
        <v/>
      </c>
      <c r="K63" s="14" t="str">
        <f t="shared" si="9"/>
        <v/>
      </c>
      <c r="M63" s="51" t="str">
        <f t="shared" si="10"/>
        <v/>
      </c>
      <c r="N63" s="27" t="str">
        <f t="shared" si="13"/>
        <v/>
      </c>
      <c r="O63" s="27" t="str">
        <f>IF(C63="","",(I63*(1+M63))*(QTDEParc-CÁLCULO!C63)+$F$5-SUM($F$6:F63)-J63)</f>
        <v/>
      </c>
      <c r="P63" s="7" t="str">
        <f t="shared" si="11"/>
        <v/>
      </c>
      <c r="R63" s="44" t="str">
        <f t="shared" si="12"/>
        <v/>
      </c>
      <c r="S63" s="97"/>
      <c r="T63" s="28" t="str">
        <f t="shared" si="14"/>
        <v/>
      </c>
      <c r="U63" s="28" t="str">
        <f t="shared" si="1"/>
        <v/>
      </c>
      <c r="V63" s="7" t="str">
        <f t="shared" si="15"/>
        <v/>
      </c>
      <c r="W63" s="93" t="str">
        <f t="shared" si="23"/>
        <v/>
      </c>
      <c r="X63" s="28" t="str">
        <f t="shared" si="16"/>
        <v/>
      </c>
      <c r="Y63" s="28" t="str">
        <f t="shared" si="2"/>
        <v/>
      </c>
      <c r="Z63" s="28" t="str">
        <f t="shared" si="3"/>
        <v/>
      </c>
      <c r="AA63" s="28" t="str">
        <f t="shared" si="4"/>
        <v/>
      </c>
      <c r="AB63" s="28" t="str">
        <f t="shared" si="5"/>
        <v/>
      </c>
      <c r="AC63" s="28" t="str">
        <f t="shared" si="17"/>
        <v/>
      </c>
      <c r="AD63" s="27"/>
      <c r="AO63" s="145" t="str">
        <f t="shared" si="21"/>
        <v/>
      </c>
      <c r="AP63" s="144" t="str">
        <f t="shared" si="22"/>
        <v/>
      </c>
    </row>
    <row r="64" spans="3:42" x14ac:dyDescent="0.25">
      <c r="C64" s="12" t="str">
        <f>IFERROR(IF(AvisoErro&lt;&gt;"","",IF(C63+1&gt;PAINEL!$H$8,"",C63+1)),"")</f>
        <v/>
      </c>
      <c r="E64" s="23" t="str">
        <f t="shared" si="6"/>
        <v/>
      </c>
      <c r="F64" s="13" t="str">
        <f>IF(C64="","",IF(E64&lt;&gt;"",E64*PAINEL!$H$7,0))</f>
        <v/>
      </c>
      <c r="G64" s="13" t="str">
        <f>IF(C64="","",IF(PAINEL!$A$4=1,K63/(QTDEParc-C63),IF(AND(PAINEL!$A$4=2,C64&lt;=MomentoContemplação),ValorParcelamento/QTDEParc,K63/(QTDEParc-C63))))</f>
        <v/>
      </c>
      <c r="H64" s="13" t="str">
        <f t="shared" si="7"/>
        <v/>
      </c>
      <c r="I64" s="32" t="str">
        <f t="shared" si="8"/>
        <v/>
      </c>
      <c r="J64" s="14" t="str">
        <f>IF(C64="","",IF(C64=MomentoContemplação,PAINEL!$P$10,0))</f>
        <v/>
      </c>
      <c r="K64" s="14" t="str">
        <f t="shared" si="9"/>
        <v/>
      </c>
      <c r="M64" s="51" t="str">
        <f t="shared" si="10"/>
        <v/>
      </c>
      <c r="N64" s="27" t="str">
        <f t="shared" si="13"/>
        <v/>
      </c>
      <c r="O64" s="27" t="str">
        <f>IF(C64="","",(I64*(1+M64))*(QTDEParc-CÁLCULO!C64)+$F$5-SUM($F$6:F64)-J64)</f>
        <v/>
      </c>
      <c r="P64" s="7" t="str">
        <f t="shared" si="11"/>
        <v/>
      </c>
      <c r="R64" s="44" t="str">
        <f t="shared" si="12"/>
        <v/>
      </c>
      <c r="S64" s="97"/>
      <c r="T64" s="28" t="str">
        <f t="shared" si="14"/>
        <v/>
      </c>
      <c r="U64" s="28" t="str">
        <f t="shared" si="1"/>
        <v/>
      </c>
      <c r="V64" s="7" t="str">
        <f t="shared" si="15"/>
        <v/>
      </c>
      <c r="W64" s="93" t="str">
        <f t="shared" si="23"/>
        <v/>
      </c>
      <c r="X64" s="28" t="str">
        <f t="shared" si="16"/>
        <v/>
      </c>
      <c r="Y64" s="28" t="str">
        <f t="shared" si="2"/>
        <v/>
      </c>
      <c r="Z64" s="28" t="str">
        <f t="shared" si="3"/>
        <v/>
      </c>
      <c r="AA64" s="28" t="str">
        <f t="shared" si="4"/>
        <v/>
      </c>
      <c r="AB64" s="28" t="str">
        <f t="shared" si="5"/>
        <v/>
      </c>
      <c r="AC64" s="28" t="str">
        <f t="shared" si="17"/>
        <v/>
      </c>
      <c r="AD64" s="27"/>
      <c r="AO64" s="145" t="str">
        <f t="shared" si="21"/>
        <v/>
      </c>
      <c r="AP64" s="144" t="str">
        <f t="shared" si="22"/>
        <v/>
      </c>
    </row>
    <row r="65" spans="3:42" x14ac:dyDescent="0.25">
      <c r="C65" s="12" t="str">
        <f>IFERROR(IF(AvisoErro&lt;&gt;"","",IF(C64+1&gt;PAINEL!$H$8,"",C64+1)),"")</f>
        <v/>
      </c>
      <c r="E65" s="23" t="str">
        <f t="shared" si="6"/>
        <v/>
      </c>
      <c r="F65" s="13" t="str">
        <f>IF(C65="","",IF(E65&lt;&gt;"",E65*PAINEL!$H$7,0))</f>
        <v/>
      </c>
      <c r="G65" s="13" t="str">
        <f>IF(C65="","",IF(PAINEL!$A$4=1,K64/(QTDEParc-C64),IF(AND(PAINEL!$A$4=2,C65&lt;=MomentoContemplação),ValorParcelamento/QTDEParc,K64/(QTDEParc-C64))))</f>
        <v/>
      </c>
      <c r="H65" s="13" t="str">
        <f t="shared" si="7"/>
        <v/>
      </c>
      <c r="I65" s="32" t="str">
        <f t="shared" si="8"/>
        <v/>
      </c>
      <c r="J65" s="14" t="str">
        <f>IF(C65="","",IF(C65=MomentoContemplação,PAINEL!$P$10,0))</f>
        <v/>
      </c>
      <c r="K65" s="14" t="str">
        <f t="shared" si="9"/>
        <v/>
      </c>
      <c r="M65" s="51" t="str">
        <f t="shared" si="10"/>
        <v/>
      </c>
      <c r="N65" s="27" t="str">
        <f t="shared" si="13"/>
        <v/>
      </c>
      <c r="O65" s="27" t="str">
        <f>IF(C65="","",(I65*(1+M65))*(QTDEParc-CÁLCULO!C65)+$F$5-SUM($F$6:F65)-J65)</f>
        <v/>
      </c>
      <c r="P65" s="7" t="str">
        <f t="shared" si="11"/>
        <v/>
      </c>
      <c r="R65" s="44" t="str">
        <f t="shared" si="12"/>
        <v/>
      </c>
      <c r="S65" s="97"/>
      <c r="T65" s="28" t="str">
        <f t="shared" si="14"/>
        <v/>
      </c>
      <c r="U65" s="28" t="str">
        <f t="shared" si="1"/>
        <v/>
      </c>
      <c r="V65" s="7" t="str">
        <f t="shared" si="15"/>
        <v/>
      </c>
      <c r="W65" s="93" t="str">
        <f t="shared" si="23"/>
        <v/>
      </c>
      <c r="X65" s="28" t="str">
        <f t="shared" si="16"/>
        <v/>
      </c>
      <c r="Y65" s="28" t="str">
        <f t="shared" si="2"/>
        <v/>
      </c>
      <c r="Z65" s="28" t="str">
        <f t="shared" si="3"/>
        <v/>
      </c>
      <c r="AA65" s="28" t="str">
        <f t="shared" si="4"/>
        <v/>
      </c>
      <c r="AB65" s="28" t="str">
        <f t="shared" si="5"/>
        <v/>
      </c>
      <c r="AC65" s="28" t="str">
        <f t="shared" si="17"/>
        <v/>
      </c>
      <c r="AD65" s="27"/>
      <c r="AO65" s="145" t="str">
        <f t="shared" si="21"/>
        <v/>
      </c>
      <c r="AP65" s="144" t="str">
        <f t="shared" si="22"/>
        <v/>
      </c>
    </row>
    <row r="66" spans="3:42" x14ac:dyDescent="0.25">
      <c r="C66" s="12" t="str">
        <f>IFERROR(IF(AvisoErro&lt;&gt;"","",IF(C65+1&gt;PAINEL!$H$8,"",C65+1)),"")</f>
        <v/>
      </c>
      <c r="E66" s="23" t="str">
        <f t="shared" si="6"/>
        <v/>
      </c>
      <c r="F66" s="13" t="str">
        <f>IF(C66="","",IF(E66&lt;&gt;"",E66*PAINEL!$H$7,0))</f>
        <v/>
      </c>
      <c r="G66" s="13" t="str">
        <f>IF(C66="","",IF(PAINEL!$A$4=1,K65/(QTDEParc-C65),IF(AND(PAINEL!$A$4=2,C66&lt;=MomentoContemplação),ValorParcelamento/QTDEParc,K65/(QTDEParc-C65))))</f>
        <v/>
      </c>
      <c r="H66" s="13" t="str">
        <f t="shared" si="7"/>
        <v/>
      </c>
      <c r="I66" s="32" t="str">
        <f t="shared" si="8"/>
        <v/>
      </c>
      <c r="J66" s="14" t="str">
        <f>IF(C66="","",IF(C66=MomentoContemplação,PAINEL!$P$10,0))</f>
        <v/>
      </c>
      <c r="K66" s="14" t="str">
        <f t="shared" si="9"/>
        <v/>
      </c>
      <c r="M66" s="51" t="str">
        <f t="shared" si="10"/>
        <v/>
      </c>
      <c r="N66" s="27" t="str">
        <f t="shared" si="13"/>
        <v/>
      </c>
      <c r="O66" s="27" t="str">
        <f>IF(C66="","",(I66*(1+M66))*(QTDEParc-CÁLCULO!C66)+$F$5-SUM($F$6:F66)-J66)</f>
        <v/>
      </c>
      <c r="P66" s="7" t="str">
        <f t="shared" si="11"/>
        <v/>
      </c>
      <c r="R66" s="44" t="str">
        <f t="shared" si="12"/>
        <v/>
      </c>
      <c r="S66" s="97"/>
      <c r="T66" s="28" t="str">
        <f t="shared" si="14"/>
        <v/>
      </c>
      <c r="U66" s="28" t="str">
        <f t="shared" si="1"/>
        <v/>
      </c>
      <c r="V66" s="7" t="str">
        <f t="shared" si="15"/>
        <v/>
      </c>
      <c r="W66" s="93" t="str">
        <f t="shared" si="23"/>
        <v/>
      </c>
      <c r="X66" s="28" t="str">
        <f t="shared" si="16"/>
        <v/>
      </c>
      <c r="Y66" s="28" t="str">
        <f t="shared" si="2"/>
        <v/>
      </c>
      <c r="Z66" s="28" t="str">
        <f t="shared" si="3"/>
        <v/>
      </c>
      <c r="AA66" s="28" t="str">
        <f t="shared" si="4"/>
        <v/>
      </c>
      <c r="AB66" s="28" t="str">
        <f t="shared" si="5"/>
        <v/>
      </c>
      <c r="AC66" s="28" t="str">
        <f t="shared" si="17"/>
        <v/>
      </c>
      <c r="AD66" s="27"/>
      <c r="AO66" s="145" t="str">
        <f t="shared" si="21"/>
        <v/>
      </c>
      <c r="AP66" s="144" t="str">
        <f t="shared" si="22"/>
        <v/>
      </c>
    </row>
    <row r="67" spans="3:42" x14ac:dyDescent="0.25">
      <c r="C67" s="12" t="str">
        <f>IFERROR(IF(AvisoErro&lt;&gt;"","",IF(C66+1&gt;PAINEL!$H$8,"",C66+1)),"")</f>
        <v/>
      </c>
      <c r="E67" s="23" t="str">
        <f t="shared" si="6"/>
        <v/>
      </c>
      <c r="F67" s="13" t="str">
        <f>IF(C67="","",IF(E67&lt;&gt;"",E67*PAINEL!$H$7,0))</f>
        <v/>
      </c>
      <c r="G67" s="13" t="str">
        <f>IF(C67="","",IF(PAINEL!$A$4=1,K66/(QTDEParc-C66),IF(AND(PAINEL!$A$4=2,C67&lt;=MomentoContemplação),ValorParcelamento/QTDEParc,K66/(QTDEParc-C66))))</f>
        <v/>
      </c>
      <c r="H67" s="13" t="str">
        <f t="shared" si="7"/>
        <v/>
      </c>
      <c r="I67" s="32" t="str">
        <f t="shared" si="8"/>
        <v/>
      </c>
      <c r="J67" s="14" t="str">
        <f>IF(C67="","",IF(C67=MomentoContemplação,PAINEL!$P$10,0))</f>
        <v/>
      </c>
      <c r="K67" s="14" t="str">
        <f t="shared" si="9"/>
        <v/>
      </c>
      <c r="M67" s="51" t="str">
        <f t="shared" si="10"/>
        <v/>
      </c>
      <c r="N67" s="27" t="str">
        <f t="shared" si="13"/>
        <v/>
      </c>
      <c r="O67" s="27" t="str">
        <f>IF(C67="","",(I67*(1+M67))*(QTDEParc-CÁLCULO!C67)+$F$5-SUM($F$6:F67)-J67)</f>
        <v/>
      </c>
      <c r="P67" s="7" t="str">
        <f t="shared" si="11"/>
        <v/>
      </c>
      <c r="R67" s="44" t="str">
        <f t="shared" si="12"/>
        <v/>
      </c>
      <c r="S67" s="97"/>
      <c r="T67" s="28" t="str">
        <f t="shared" si="14"/>
        <v/>
      </c>
      <c r="U67" s="28" t="str">
        <f t="shared" si="1"/>
        <v/>
      </c>
      <c r="V67" s="7" t="str">
        <f t="shared" si="15"/>
        <v/>
      </c>
      <c r="W67" s="93" t="str">
        <f t="shared" si="23"/>
        <v/>
      </c>
      <c r="X67" s="28" t="str">
        <f t="shared" si="16"/>
        <v/>
      </c>
      <c r="Y67" s="28" t="str">
        <f t="shared" si="2"/>
        <v/>
      </c>
      <c r="Z67" s="28" t="str">
        <f t="shared" si="3"/>
        <v/>
      </c>
      <c r="AA67" s="28" t="str">
        <f t="shared" si="4"/>
        <v/>
      </c>
      <c r="AB67" s="28" t="str">
        <f t="shared" si="5"/>
        <v/>
      </c>
      <c r="AC67" s="28" t="str">
        <f t="shared" si="17"/>
        <v/>
      </c>
      <c r="AD67" s="27"/>
      <c r="AO67" s="145" t="str">
        <f t="shared" si="21"/>
        <v/>
      </c>
      <c r="AP67" s="144" t="str">
        <f t="shared" si="22"/>
        <v/>
      </c>
    </row>
    <row r="68" spans="3:42" x14ac:dyDescent="0.25">
      <c r="C68" s="12" t="str">
        <f>IFERROR(IF(AvisoErro&lt;&gt;"","",IF(C67+1&gt;PAINEL!$H$8,"",C67+1)),"")</f>
        <v/>
      </c>
      <c r="E68" s="23" t="str">
        <f t="shared" si="6"/>
        <v/>
      </c>
      <c r="F68" s="13" t="str">
        <f>IF(C68="","",IF(E68&lt;&gt;"",E68*PAINEL!$H$7,0))</f>
        <v/>
      </c>
      <c r="G68" s="13" t="str">
        <f>IF(C68="","",IF(PAINEL!$A$4=1,K67/(QTDEParc-C67),IF(AND(PAINEL!$A$4=2,C68&lt;=MomentoContemplação),ValorParcelamento/QTDEParc,K67/(QTDEParc-C67))))</f>
        <v/>
      </c>
      <c r="H68" s="13" t="str">
        <f t="shared" si="7"/>
        <v/>
      </c>
      <c r="I68" s="32" t="str">
        <f t="shared" si="8"/>
        <v/>
      </c>
      <c r="J68" s="14" t="str">
        <f>IF(C68="","",IF(C68=MomentoContemplação,PAINEL!$P$10,0))</f>
        <v/>
      </c>
      <c r="K68" s="14" t="str">
        <f t="shared" si="9"/>
        <v/>
      </c>
      <c r="M68" s="51" t="str">
        <f t="shared" si="10"/>
        <v/>
      </c>
      <c r="N68" s="27" t="str">
        <f t="shared" si="13"/>
        <v/>
      </c>
      <c r="O68" s="27" t="str">
        <f>IF(C68="","",(I68*(1+M68))*(QTDEParc-CÁLCULO!C68)+$F$5-SUM($F$6:F68)-J68)</f>
        <v/>
      </c>
      <c r="P68" s="7" t="str">
        <f t="shared" si="11"/>
        <v/>
      </c>
      <c r="R68" s="44" t="str">
        <f t="shared" si="12"/>
        <v/>
      </c>
      <c r="S68" s="97"/>
      <c r="T68" s="28" t="str">
        <f t="shared" si="14"/>
        <v/>
      </c>
      <c r="U68" s="28" t="str">
        <f t="shared" si="1"/>
        <v/>
      </c>
      <c r="V68" s="7" t="str">
        <f t="shared" si="15"/>
        <v/>
      </c>
      <c r="W68" s="93" t="str">
        <f t="shared" si="23"/>
        <v/>
      </c>
      <c r="X68" s="28" t="str">
        <f t="shared" si="16"/>
        <v/>
      </c>
      <c r="Y68" s="28" t="str">
        <f t="shared" si="2"/>
        <v/>
      </c>
      <c r="Z68" s="28" t="str">
        <f t="shared" si="3"/>
        <v/>
      </c>
      <c r="AA68" s="28" t="str">
        <f t="shared" si="4"/>
        <v/>
      </c>
      <c r="AB68" s="28" t="str">
        <f t="shared" si="5"/>
        <v/>
      </c>
      <c r="AC68" s="28" t="str">
        <f t="shared" si="17"/>
        <v/>
      </c>
      <c r="AD68" s="27"/>
      <c r="AO68" s="145" t="str">
        <f t="shared" si="21"/>
        <v/>
      </c>
      <c r="AP68" s="144" t="str">
        <f t="shared" si="22"/>
        <v/>
      </c>
    </row>
    <row r="69" spans="3:42" x14ac:dyDescent="0.25">
      <c r="C69" s="12" t="str">
        <f>IFERROR(IF(AvisoErro&lt;&gt;"","",IF(C68+1&gt;PAINEL!$H$8,"",C68+1)),"")</f>
        <v/>
      </c>
      <c r="E69" s="23" t="str">
        <f t="shared" si="6"/>
        <v/>
      </c>
      <c r="F69" s="13" t="str">
        <f>IF(C69="","",IF(E69&lt;&gt;"",E69*PAINEL!$H$7,0))</f>
        <v/>
      </c>
      <c r="G69" s="13" t="str">
        <f>IF(C69="","",IF(PAINEL!$A$4=1,K68/(QTDEParc-C68),IF(AND(PAINEL!$A$4=2,C69&lt;=MomentoContemplação),ValorParcelamento/QTDEParc,K68/(QTDEParc-C68))))</f>
        <v/>
      </c>
      <c r="H69" s="13" t="str">
        <f t="shared" si="7"/>
        <v/>
      </c>
      <c r="I69" s="32" t="str">
        <f t="shared" si="8"/>
        <v/>
      </c>
      <c r="J69" s="14" t="str">
        <f>IF(C69="","",IF(C69=MomentoContemplação,PAINEL!$P$10,0))</f>
        <v/>
      </c>
      <c r="K69" s="14" t="str">
        <f t="shared" si="9"/>
        <v/>
      </c>
      <c r="M69" s="51" t="str">
        <f t="shared" si="10"/>
        <v/>
      </c>
      <c r="N69" s="27" t="str">
        <f t="shared" si="13"/>
        <v/>
      </c>
      <c r="O69" s="27" t="str">
        <f>IF(C69="","",(I69*(1+M69))*(QTDEParc-CÁLCULO!C69)+$F$5-SUM($F$6:F69)-J69)</f>
        <v/>
      </c>
      <c r="P69" s="7" t="str">
        <f t="shared" si="11"/>
        <v/>
      </c>
      <c r="R69" s="44" t="str">
        <f t="shared" si="12"/>
        <v/>
      </c>
      <c r="S69" s="97"/>
      <c r="T69" s="28" t="str">
        <f t="shared" si="14"/>
        <v/>
      </c>
      <c r="U69" s="28" t="str">
        <f t="shared" si="1"/>
        <v/>
      </c>
      <c r="V69" s="7" t="str">
        <f t="shared" si="15"/>
        <v/>
      </c>
      <c r="W69" s="93" t="str">
        <f t="shared" si="23"/>
        <v/>
      </c>
      <c r="X69" s="28" t="str">
        <f t="shared" si="16"/>
        <v/>
      </c>
      <c r="Y69" s="28" t="str">
        <f t="shared" si="2"/>
        <v/>
      </c>
      <c r="Z69" s="28" t="str">
        <f t="shared" si="3"/>
        <v/>
      </c>
      <c r="AA69" s="28" t="str">
        <f t="shared" si="4"/>
        <v/>
      </c>
      <c r="AB69" s="28" t="str">
        <f t="shared" si="5"/>
        <v/>
      </c>
      <c r="AC69" s="28" t="str">
        <f t="shared" si="17"/>
        <v/>
      </c>
      <c r="AD69" s="27"/>
      <c r="AO69" s="145" t="str">
        <f t="shared" si="21"/>
        <v/>
      </c>
      <c r="AP69" s="144" t="str">
        <f t="shared" si="22"/>
        <v/>
      </c>
    </row>
    <row r="70" spans="3:42" x14ac:dyDescent="0.25">
      <c r="C70" s="12" t="str">
        <f>IFERROR(IF(AvisoErro&lt;&gt;"","",IF(C69+1&gt;PAINEL!$H$8,"",C69+1)),"")</f>
        <v/>
      </c>
      <c r="E70" s="23" t="str">
        <f t="shared" si="6"/>
        <v/>
      </c>
      <c r="F70" s="13" t="str">
        <f>IF(C70="","",IF(E70&lt;&gt;"",E70*PAINEL!$H$7,0))</f>
        <v/>
      </c>
      <c r="G70" s="13" t="str">
        <f>IF(C70="","",IF(PAINEL!$A$4=1,K69/(QTDEParc-C69),IF(AND(PAINEL!$A$4=2,C70&lt;=MomentoContemplação),ValorParcelamento/QTDEParc,K69/(QTDEParc-C69))))</f>
        <v/>
      </c>
      <c r="H70" s="13" t="str">
        <f t="shared" si="7"/>
        <v/>
      </c>
      <c r="I70" s="32" t="str">
        <f t="shared" si="8"/>
        <v/>
      </c>
      <c r="J70" s="14" t="str">
        <f>IF(C70="","",IF(C70=MomentoContemplação,PAINEL!$P$10,0))</f>
        <v/>
      </c>
      <c r="K70" s="14" t="str">
        <f t="shared" si="9"/>
        <v/>
      </c>
      <c r="M70" s="51" t="str">
        <f t="shared" si="10"/>
        <v/>
      </c>
      <c r="N70" s="27" t="str">
        <f t="shared" si="13"/>
        <v/>
      </c>
      <c r="O70" s="27" t="str">
        <f>IF(C70="","",(I70*(1+M70))*(QTDEParc-CÁLCULO!C70)+$F$5-SUM($F$6:F70)-J70)</f>
        <v/>
      </c>
      <c r="P70" s="7" t="str">
        <f t="shared" si="11"/>
        <v/>
      </c>
      <c r="R70" s="44" t="str">
        <f t="shared" si="12"/>
        <v/>
      </c>
      <c r="S70" s="97"/>
      <c r="T70" s="28" t="str">
        <f t="shared" si="14"/>
        <v/>
      </c>
      <c r="U70" s="28" t="str">
        <f t="shared" ref="U70:U133" si="24">IF(C70="","",(PercTxFRes*N70/(100%+PercTxAdm+PercTxFRes)))</f>
        <v/>
      </c>
      <c r="V70" s="7" t="str">
        <f t="shared" si="15"/>
        <v/>
      </c>
      <c r="W70" s="93" t="str">
        <f t="shared" si="23"/>
        <v/>
      </c>
      <c r="X70" s="28" t="str">
        <f t="shared" si="16"/>
        <v/>
      </c>
      <c r="Y70" s="28" t="str">
        <f t="shared" ref="Y70:Y133" si="25">IF($C70="","",PV(TMAFinal,$C70,,-T70))</f>
        <v/>
      </c>
      <c r="Z70" s="28" t="str">
        <f t="shared" ref="Z70:Z133" si="26">IF($C70="","",PV(TMAFinal,$C70,,-U70))</f>
        <v/>
      </c>
      <c r="AA70" s="28" t="str">
        <f t="shared" ref="AA70:AA133" si="27">IF($C70="","",PV(TMAFinal,$C70,,-V70))</f>
        <v/>
      </c>
      <c r="AB70" s="28" t="str">
        <f t="shared" ref="AB70:AB133" si="28">IF($C70="","",PV(TMAFinal,$C70,,-W70))</f>
        <v/>
      </c>
      <c r="AC70" s="28" t="str">
        <f t="shared" si="17"/>
        <v/>
      </c>
      <c r="AD70" s="27"/>
      <c r="AO70" s="145" t="str">
        <f t="shared" si="21"/>
        <v/>
      </c>
      <c r="AP70" s="144" t="str">
        <f t="shared" si="22"/>
        <v/>
      </c>
    </row>
    <row r="71" spans="3:42" x14ac:dyDescent="0.25">
      <c r="C71" s="12" t="str">
        <f>IFERROR(IF(AvisoErro&lt;&gt;"","",IF(C70+1&gt;PAINEL!$H$8,"",C70+1)),"")</f>
        <v/>
      </c>
      <c r="E71" s="23" t="str">
        <f t="shared" ref="E71:E134" si="29">IF(C71="","",IF(C71&lt;=NroParcAntecipadasCalc,PercTxAdmAntecipada/NroParcAntecipadasCalc,""))</f>
        <v/>
      </c>
      <c r="F71" s="13" t="str">
        <f>IF(C71="","",IF(E71&lt;&gt;"",E71*PAINEL!$H$7,0))</f>
        <v/>
      </c>
      <c r="G71" s="13" t="str">
        <f>IF(C71="","",IF(PAINEL!$A$4=1,K70/(QTDEParc-C70),IF(AND(PAINEL!$A$4=2,C71&lt;=MomentoContemplação),ValorParcelamento/QTDEParc,K70/(QTDEParc-C70))))</f>
        <v/>
      </c>
      <c r="H71" s="13" t="str">
        <f t="shared" ref="H71:H134" si="30">IF(C71="","",IF(AND(AposContemplacao=TRUE,OR(MomentoContemplação="",MomentoContemplação=0)),0,IF(AposContemplacao=FALSE,K70*PercSeguroVida,IF(C71&gt;MomentoContemplação,K70*PercSeguroVida,0))))</f>
        <v/>
      </c>
      <c r="I71" s="32" t="str">
        <f t="shared" ref="I71:I134" si="31">IF(C71="","",G71+H71)</f>
        <v/>
      </c>
      <c r="J71" s="14" t="str">
        <f>IF(C71="","",IF(C71=MomentoContemplação,PAINEL!$P$10,0))</f>
        <v/>
      </c>
      <c r="K71" s="14" t="str">
        <f t="shared" ref="K71:K134" si="32">IF(C71="","",K70+H71-I71-J71)</f>
        <v/>
      </c>
      <c r="M71" s="51" t="str">
        <f t="shared" ref="M71:M134" si="33">IF(OR(C71="",C71=0),"",VLOOKUP(C71,PV_Perc_Reajuste,2))</f>
        <v/>
      </c>
      <c r="N71" s="27" t="str">
        <f t="shared" si="13"/>
        <v/>
      </c>
      <c r="O71" s="27" t="str">
        <f>IF(C71="","",(I71*(1+M71))*(QTDEParc-CÁLCULO!C71)+$F$5-SUM($F$6:F71)-J71)</f>
        <v/>
      </c>
      <c r="P71" s="7" t="str">
        <f t="shared" ref="P71:P134" si="34">IF(C71="","",IF(ROW(C71)=6,0,IF(ROW(C71)=7,ValorCredito,ValorCredito*(1+M71))))</f>
        <v/>
      </c>
      <c r="R71" s="44" t="str">
        <f t="shared" ref="R71:R134" si="35">IF(C71="","",PV(TMAFinal,C71,,N71))</f>
        <v/>
      </c>
      <c r="S71" s="97"/>
      <c r="T71" s="28" t="str">
        <f t="shared" ref="T71:T134" si="36">IF(C71="","",((PercTxAdm-PercTxAdmAntecipada)*(N71-F71))/(100%+(PercTxAdm-PercTxAdmAntecipada)+PercTxFRes)+F71)</f>
        <v/>
      </c>
      <c r="U71" s="28" t="str">
        <f t="shared" si="24"/>
        <v/>
      </c>
      <c r="V71" s="7" t="str">
        <f t="shared" si="15"/>
        <v/>
      </c>
      <c r="W71" s="93" t="str">
        <f t="shared" si="23"/>
        <v/>
      </c>
      <c r="X71" s="28" t="str">
        <f t="shared" si="16"/>
        <v/>
      </c>
      <c r="Y71" s="28" t="str">
        <f t="shared" si="25"/>
        <v/>
      </c>
      <c r="Z71" s="28" t="str">
        <f t="shared" si="26"/>
        <v/>
      </c>
      <c r="AA71" s="28" t="str">
        <f t="shared" si="27"/>
        <v/>
      </c>
      <c r="AB71" s="28" t="str">
        <f t="shared" si="28"/>
        <v/>
      </c>
      <c r="AC71" s="28" t="str">
        <f t="shared" si="17"/>
        <v/>
      </c>
      <c r="AD71" s="27"/>
      <c r="AO71" s="145" t="str">
        <f t="shared" si="21"/>
        <v/>
      </c>
      <c r="AP71" s="144" t="str">
        <f t="shared" si="22"/>
        <v/>
      </c>
    </row>
    <row r="72" spans="3:42" x14ac:dyDescent="0.25">
      <c r="C72" s="12" t="str">
        <f>IFERROR(IF(AvisoErro&lt;&gt;"","",IF(C71+1&gt;PAINEL!$H$8,"",C71+1)),"")</f>
        <v/>
      </c>
      <c r="E72" s="23" t="str">
        <f t="shared" si="29"/>
        <v/>
      </c>
      <c r="F72" s="13" t="str">
        <f>IF(C72="","",IF(E72&lt;&gt;"",E72*PAINEL!$H$7,0))</f>
        <v/>
      </c>
      <c r="G72" s="13" t="str">
        <f>IF(C72="","",IF(PAINEL!$A$4=1,K71/(QTDEParc-C71),IF(AND(PAINEL!$A$4=2,C72&lt;=MomentoContemplação),ValorParcelamento/QTDEParc,K71/(QTDEParc-C71))))</f>
        <v/>
      </c>
      <c r="H72" s="13" t="str">
        <f t="shared" si="30"/>
        <v/>
      </c>
      <c r="I72" s="32" t="str">
        <f t="shared" si="31"/>
        <v/>
      </c>
      <c r="J72" s="14" t="str">
        <f>IF(C72="","",IF(C72=MomentoContemplação,PAINEL!$P$10,0))</f>
        <v/>
      </c>
      <c r="K72" s="14" t="str">
        <f t="shared" si="32"/>
        <v/>
      </c>
      <c r="M72" s="51" t="str">
        <f t="shared" si="33"/>
        <v/>
      </c>
      <c r="N72" s="27" t="str">
        <f t="shared" ref="N72:N135" si="37">IF(C72="","",(I72*(1+M72))+F72+J72)</f>
        <v/>
      </c>
      <c r="O72" s="27" t="str">
        <f>IF(C72="","",(I72*(1+M72))*(QTDEParc-CÁLCULO!C72)+$F$5-SUM($F$6:F72)-J72)</f>
        <v/>
      </c>
      <c r="P72" s="7" t="str">
        <f t="shared" si="34"/>
        <v/>
      </c>
      <c r="R72" s="44" t="str">
        <f t="shared" si="35"/>
        <v/>
      </c>
      <c r="S72" s="97"/>
      <c r="T72" s="28" t="str">
        <f t="shared" si="36"/>
        <v/>
      </c>
      <c r="U72" s="28" t="str">
        <f t="shared" si="24"/>
        <v/>
      </c>
      <c r="V72" s="7" t="str">
        <f t="shared" ref="V72:V135" si="38">IF(C72="","",H72)</f>
        <v/>
      </c>
      <c r="W72" s="93" t="str">
        <f t="shared" si="23"/>
        <v/>
      </c>
      <c r="X72" s="28" t="str">
        <f t="shared" ref="X72:X135" si="39">IF(C72="","",SUM(T72:W72))</f>
        <v/>
      </c>
      <c r="Y72" s="28" t="str">
        <f t="shared" si="25"/>
        <v/>
      </c>
      <c r="Z72" s="28" t="str">
        <f t="shared" si="26"/>
        <v/>
      </c>
      <c r="AA72" s="28" t="str">
        <f t="shared" si="27"/>
        <v/>
      </c>
      <c r="AB72" s="28" t="str">
        <f t="shared" si="28"/>
        <v/>
      </c>
      <c r="AC72" s="28" t="str">
        <f t="shared" ref="AC72:AC135" si="40">IF(I72="","",SUM(Y72:AB72))</f>
        <v/>
      </c>
      <c r="AD72" s="27"/>
      <c r="AO72" s="145" t="str">
        <f t="shared" ref="AO72:AO135" si="41">IF(C72="","",C72)</f>
        <v/>
      </c>
      <c r="AP72" s="144" t="str">
        <f t="shared" ref="AP72:AP135" si="42">IF(C72="","",$AP$6*(1+M72))</f>
        <v/>
      </c>
    </row>
    <row r="73" spans="3:42" x14ac:dyDescent="0.25">
      <c r="C73" s="12" t="str">
        <f>IFERROR(IF(AvisoErro&lt;&gt;"","",IF(C72+1&gt;PAINEL!$H$8,"",C72+1)),"")</f>
        <v/>
      </c>
      <c r="E73" s="23" t="str">
        <f t="shared" si="29"/>
        <v/>
      </c>
      <c r="F73" s="13" t="str">
        <f>IF(C73="","",IF(E73&lt;&gt;"",E73*PAINEL!$H$7,0))</f>
        <v/>
      </c>
      <c r="G73" s="13" t="str">
        <f>IF(C73="","",IF(PAINEL!$A$4=1,K72/(QTDEParc-C72),IF(AND(PAINEL!$A$4=2,C73&lt;=MomentoContemplação),ValorParcelamento/QTDEParc,K72/(QTDEParc-C72))))</f>
        <v/>
      </c>
      <c r="H73" s="13" t="str">
        <f t="shared" si="30"/>
        <v/>
      </c>
      <c r="I73" s="32" t="str">
        <f t="shared" si="31"/>
        <v/>
      </c>
      <c r="J73" s="14" t="str">
        <f>IF(C73="","",IF(C73=MomentoContemplação,PAINEL!$P$10,0))</f>
        <v/>
      </c>
      <c r="K73" s="14" t="str">
        <f t="shared" si="32"/>
        <v/>
      </c>
      <c r="M73" s="51" t="str">
        <f t="shared" si="33"/>
        <v/>
      </c>
      <c r="N73" s="27" t="str">
        <f t="shared" si="37"/>
        <v/>
      </c>
      <c r="O73" s="27" t="str">
        <f>IF(C73="","",(I73*(1+M73))*(QTDEParc-CÁLCULO!C73)+$F$5-SUM($F$6:F73)-J73)</f>
        <v/>
      </c>
      <c r="P73" s="7" t="str">
        <f t="shared" si="34"/>
        <v/>
      </c>
      <c r="R73" s="44" t="str">
        <f t="shared" si="35"/>
        <v/>
      </c>
      <c r="S73" s="97"/>
      <c r="T73" s="28" t="str">
        <f t="shared" si="36"/>
        <v/>
      </c>
      <c r="U73" s="28" t="str">
        <f t="shared" si="24"/>
        <v/>
      </c>
      <c r="V73" s="7" t="str">
        <f t="shared" si="38"/>
        <v/>
      </c>
      <c r="W73" s="93" t="str">
        <f t="shared" ref="W73:W136" si="43">IF(C73="","",0)</f>
        <v/>
      </c>
      <c r="X73" s="28" t="str">
        <f t="shared" si="39"/>
        <v/>
      </c>
      <c r="Y73" s="28" t="str">
        <f t="shared" si="25"/>
        <v/>
      </c>
      <c r="Z73" s="28" t="str">
        <f t="shared" si="26"/>
        <v/>
      </c>
      <c r="AA73" s="28" t="str">
        <f t="shared" si="27"/>
        <v/>
      </c>
      <c r="AB73" s="28" t="str">
        <f t="shared" si="28"/>
        <v/>
      </c>
      <c r="AC73" s="28" t="str">
        <f t="shared" si="40"/>
        <v/>
      </c>
      <c r="AD73" s="27"/>
      <c r="AO73" s="145" t="str">
        <f t="shared" si="41"/>
        <v/>
      </c>
      <c r="AP73" s="144" t="str">
        <f t="shared" si="42"/>
        <v/>
      </c>
    </row>
    <row r="74" spans="3:42" x14ac:dyDescent="0.25">
      <c r="C74" s="12" t="str">
        <f>IFERROR(IF(AvisoErro&lt;&gt;"","",IF(C73+1&gt;PAINEL!$H$8,"",C73+1)),"")</f>
        <v/>
      </c>
      <c r="E74" s="23" t="str">
        <f t="shared" si="29"/>
        <v/>
      </c>
      <c r="F74" s="13" t="str">
        <f>IF(C74="","",IF(E74&lt;&gt;"",E74*PAINEL!$H$7,0))</f>
        <v/>
      </c>
      <c r="G74" s="13" t="str">
        <f>IF(C74="","",IF(PAINEL!$A$4=1,K73/(QTDEParc-C73),IF(AND(PAINEL!$A$4=2,C74&lt;=MomentoContemplação),ValorParcelamento/QTDEParc,K73/(QTDEParc-C73))))</f>
        <v/>
      </c>
      <c r="H74" s="13" t="str">
        <f t="shared" si="30"/>
        <v/>
      </c>
      <c r="I74" s="32" t="str">
        <f t="shared" si="31"/>
        <v/>
      </c>
      <c r="J74" s="14" t="str">
        <f>IF(C74="","",IF(C74=MomentoContemplação,PAINEL!$P$10,0))</f>
        <v/>
      </c>
      <c r="K74" s="14" t="str">
        <f t="shared" si="32"/>
        <v/>
      </c>
      <c r="M74" s="51" t="str">
        <f t="shared" si="33"/>
        <v/>
      </c>
      <c r="N74" s="27" t="str">
        <f t="shared" si="37"/>
        <v/>
      </c>
      <c r="O74" s="27" t="str">
        <f>IF(C74="","",(I74*(1+M74))*(QTDEParc-CÁLCULO!C74)+$F$5-SUM($F$6:F74)-J74)</f>
        <v/>
      </c>
      <c r="P74" s="7" t="str">
        <f t="shared" si="34"/>
        <v/>
      </c>
      <c r="R74" s="44" t="str">
        <f t="shared" si="35"/>
        <v/>
      </c>
      <c r="S74" s="97"/>
      <c r="T74" s="28" t="str">
        <f t="shared" si="36"/>
        <v/>
      </c>
      <c r="U74" s="28" t="str">
        <f t="shared" si="24"/>
        <v/>
      </c>
      <c r="V74" s="7" t="str">
        <f t="shared" si="38"/>
        <v/>
      </c>
      <c r="W74" s="93" t="str">
        <f t="shared" si="43"/>
        <v/>
      </c>
      <c r="X74" s="28" t="str">
        <f t="shared" si="39"/>
        <v/>
      </c>
      <c r="Y74" s="28" t="str">
        <f t="shared" si="25"/>
        <v/>
      </c>
      <c r="Z74" s="28" t="str">
        <f t="shared" si="26"/>
        <v/>
      </c>
      <c r="AA74" s="28" t="str">
        <f t="shared" si="27"/>
        <v/>
      </c>
      <c r="AB74" s="28" t="str">
        <f t="shared" si="28"/>
        <v/>
      </c>
      <c r="AC74" s="28" t="str">
        <f t="shared" si="40"/>
        <v/>
      </c>
      <c r="AD74" s="27"/>
      <c r="AO74" s="145" t="str">
        <f t="shared" si="41"/>
        <v/>
      </c>
      <c r="AP74" s="144" t="str">
        <f t="shared" si="42"/>
        <v/>
      </c>
    </row>
    <row r="75" spans="3:42" x14ac:dyDescent="0.25">
      <c r="C75" s="12" t="str">
        <f>IFERROR(IF(AvisoErro&lt;&gt;"","",IF(C74+1&gt;PAINEL!$H$8,"",C74+1)),"")</f>
        <v/>
      </c>
      <c r="E75" s="23" t="str">
        <f t="shared" si="29"/>
        <v/>
      </c>
      <c r="F75" s="13" t="str">
        <f>IF(C75="","",IF(E75&lt;&gt;"",E75*PAINEL!$H$7,0))</f>
        <v/>
      </c>
      <c r="G75" s="13" t="str">
        <f>IF(C75="","",IF(PAINEL!$A$4=1,K74/(QTDEParc-C74),IF(AND(PAINEL!$A$4=2,C75&lt;=MomentoContemplação),ValorParcelamento/QTDEParc,K74/(QTDEParc-C74))))</f>
        <v/>
      </c>
      <c r="H75" s="13" t="str">
        <f t="shared" si="30"/>
        <v/>
      </c>
      <c r="I75" s="32" t="str">
        <f t="shared" si="31"/>
        <v/>
      </c>
      <c r="J75" s="14" t="str">
        <f>IF(C75="","",IF(C75=MomentoContemplação,PAINEL!$P$10,0))</f>
        <v/>
      </c>
      <c r="K75" s="14" t="str">
        <f t="shared" si="32"/>
        <v/>
      </c>
      <c r="M75" s="51" t="str">
        <f t="shared" si="33"/>
        <v/>
      </c>
      <c r="N75" s="27" t="str">
        <f t="shared" si="37"/>
        <v/>
      </c>
      <c r="O75" s="27" t="str">
        <f>IF(C75="","",(I75*(1+M75))*(QTDEParc-CÁLCULO!C75)+$F$5-SUM($F$6:F75)-J75)</f>
        <v/>
      </c>
      <c r="P75" s="7" t="str">
        <f t="shared" si="34"/>
        <v/>
      </c>
      <c r="R75" s="44" t="str">
        <f t="shared" si="35"/>
        <v/>
      </c>
      <c r="S75" s="97"/>
      <c r="T75" s="28" t="str">
        <f t="shared" si="36"/>
        <v/>
      </c>
      <c r="U75" s="28" t="str">
        <f t="shared" si="24"/>
        <v/>
      </c>
      <c r="V75" s="7" t="str">
        <f t="shared" si="38"/>
        <v/>
      </c>
      <c r="W75" s="93" t="str">
        <f t="shared" si="43"/>
        <v/>
      </c>
      <c r="X75" s="28" t="str">
        <f t="shared" si="39"/>
        <v/>
      </c>
      <c r="Y75" s="28" t="str">
        <f t="shared" si="25"/>
        <v/>
      </c>
      <c r="Z75" s="28" t="str">
        <f t="shared" si="26"/>
        <v/>
      </c>
      <c r="AA75" s="28" t="str">
        <f t="shared" si="27"/>
        <v/>
      </c>
      <c r="AB75" s="28" t="str">
        <f t="shared" si="28"/>
        <v/>
      </c>
      <c r="AC75" s="28" t="str">
        <f t="shared" si="40"/>
        <v/>
      </c>
      <c r="AD75" s="27"/>
      <c r="AO75" s="145" t="str">
        <f t="shared" si="41"/>
        <v/>
      </c>
      <c r="AP75" s="144" t="str">
        <f t="shared" si="42"/>
        <v/>
      </c>
    </row>
    <row r="76" spans="3:42" x14ac:dyDescent="0.25">
      <c r="C76" s="12" t="str">
        <f>IFERROR(IF(AvisoErro&lt;&gt;"","",IF(C75+1&gt;PAINEL!$H$8,"",C75+1)),"")</f>
        <v/>
      </c>
      <c r="E76" s="23" t="str">
        <f t="shared" si="29"/>
        <v/>
      </c>
      <c r="F76" s="13" t="str">
        <f>IF(C76="","",IF(E76&lt;&gt;"",E76*PAINEL!$H$7,0))</f>
        <v/>
      </c>
      <c r="G76" s="13" t="str">
        <f>IF(C76="","",IF(PAINEL!$A$4=1,K75/(QTDEParc-C75),IF(AND(PAINEL!$A$4=2,C76&lt;=MomentoContemplação),ValorParcelamento/QTDEParc,K75/(QTDEParc-C75))))</f>
        <v/>
      </c>
      <c r="H76" s="13" t="str">
        <f t="shared" si="30"/>
        <v/>
      </c>
      <c r="I76" s="32" t="str">
        <f t="shared" si="31"/>
        <v/>
      </c>
      <c r="J76" s="14" t="str">
        <f>IF(C76="","",IF(C76=MomentoContemplação,PAINEL!$P$10,0))</f>
        <v/>
      </c>
      <c r="K76" s="14" t="str">
        <f t="shared" si="32"/>
        <v/>
      </c>
      <c r="M76" s="51" t="str">
        <f t="shared" si="33"/>
        <v/>
      </c>
      <c r="N76" s="27" t="str">
        <f t="shared" si="37"/>
        <v/>
      </c>
      <c r="O76" s="27" t="str">
        <f>IF(C76="","",(I76*(1+M76))*(QTDEParc-CÁLCULO!C76)+$F$5-SUM($F$6:F76)-J76)</f>
        <v/>
      </c>
      <c r="P76" s="7" t="str">
        <f t="shared" si="34"/>
        <v/>
      </c>
      <c r="R76" s="44" t="str">
        <f t="shared" si="35"/>
        <v/>
      </c>
      <c r="S76" s="97"/>
      <c r="T76" s="28" t="str">
        <f t="shared" si="36"/>
        <v/>
      </c>
      <c r="U76" s="28" t="str">
        <f t="shared" si="24"/>
        <v/>
      </c>
      <c r="V76" s="7" t="str">
        <f t="shared" si="38"/>
        <v/>
      </c>
      <c r="W76" s="93" t="str">
        <f t="shared" si="43"/>
        <v/>
      </c>
      <c r="X76" s="28" t="str">
        <f t="shared" si="39"/>
        <v/>
      </c>
      <c r="Y76" s="28" t="str">
        <f t="shared" si="25"/>
        <v/>
      </c>
      <c r="Z76" s="28" t="str">
        <f t="shared" si="26"/>
        <v/>
      </c>
      <c r="AA76" s="28" t="str">
        <f t="shared" si="27"/>
        <v/>
      </c>
      <c r="AB76" s="28" t="str">
        <f t="shared" si="28"/>
        <v/>
      </c>
      <c r="AC76" s="28" t="str">
        <f t="shared" si="40"/>
        <v/>
      </c>
      <c r="AD76" s="27"/>
      <c r="AO76" s="145" t="str">
        <f t="shared" si="41"/>
        <v/>
      </c>
      <c r="AP76" s="144" t="str">
        <f t="shared" si="42"/>
        <v/>
      </c>
    </row>
    <row r="77" spans="3:42" x14ac:dyDescent="0.25">
      <c r="C77" s="12" t="str">
        <f>IFERROR(IF(AvisoErro&lt;&gt;"","",IF(C76+1&gt;PAINEL!$H$8,"",C76+1)),"")</f>
        <v/>
      </c>
      <c r="E77" s="23" t="str">
        <f t="shared" si="29"/>
        <v/>
      </c>
      <c r="F77" s="13" t="str">
        <f>IF(C77="","",IF(E77&lt;&gt;"",E77*PAINEL!$H$7,0))</f>
        <v/>
      </c>
      <c r="G77" s="13" t="str">
        <f>IF(C77="","",IF(PAINEL!$A$4=1,K76/(QTDEParc-C76),IF(AND(PAINEL!$A$4=2,C77&lt;=MomentoContemplação),ValorParcelamento/QTDEParc,K76/(QTDEParc-C76))))</f>
        <v/>
      </c>
      <c r="H77" s="13" t="str">
        <f t="shared" si="30"/>
        <v/>
      </c>
      <c r="I77" s="32" t="str">
        <f t="shared" si="31"/>
        <v/>
      </c>
      <c r="J77" s="14" t="str">
        <f>IF(C77="","",IF(C77=MomentoContemplação,PAINEL!$P$10,0))</f>
        <v/>
      </c>
      <c r="K77" s="14" t="str">
        <f t="shared" si="32"/>
        <v/>
      </c>
      <c r="M77" s="51" t="str">
        <f t="shared" si="33"/>
        <v/>
      </c>
      <c r="N77" s="27" t="str">
        <f t="shared" si="37"/>
        <v/>
      </c>
      <c r="O77" s="27" t="str">
        <f>IF(C77="","",(I77*(1+M77))*(QTDEParc-CÁLCULO!C77)+$F$5-SUM($F$6:F77)-J77)</f>
        <v/>
      </c>
      <c r="P77" s="7" t="str">
        <f t="shared" si="34"/>
        <v/>
      </c>
      <c r="R77" s="44" t="str">
        <f t="shared" si="35"/>
        <v/>
      </c>
      <c r="S77" s="97"/>
      <c r="T77" s="28" t="str">
        <f t="shared" si="36"/>
        <v/>
      </c>
      <c r="U77" s="28" t="str">
        <f t="shared" si="24"/>
        <v/>
      </c>
      <c r="V77" s="7" t="str">
        <f t="shared" si="38"/>
        <v/>
      </c>
      <c r="W77" s="93" t="str">
        <f t="shared" si="43"/>
        <v/>
      </c>
      <c r="X77" s="28" t="str">
        <f t="shared" si="39"/>
        <v/>
      </c>
      <c r="Y77" s="28" t="str">
        <f t="shared" si="25"/>
        <v/>
      </c>
      <c r="Z77" s="28" t="str">
        <f t="shared" si="26"/>
        <v/>
      </c>
      <c r="AA77" s="28" t="str">
        <f t="shared" si="27"/>
        <v/>
      </c>
      <c r="AB77" s="28" t="str">
        <f t="shared" si="28"/>
        <v/>
      </c>
      <c r="AC77" s="28" t="str">
        <f t="shared" si="40"/>
        <v/>
      </c>
      <c r="AD77" s="27"/>
      <c r="AO77" s="145" t="str">
        <f t="shared" si="41"/>
        <v/>
      </c>
      <c r="AP77" s="144" t="str">
        <f t="shared" si="42"/>
        <v/>
      </c>
    </row>
    <row r="78" spans="3:42" x14ac:dyDescent="0.25">
      <c r="C78" s="12" t="str">
        <f>IFERROR(IF(AvisoErro&lt;&gt;"","",IF(C77+1&gt;PAINEL!$H$8,"",C77+1)),"")</f>
        <v/>
      </c>
      <c r="E78" s="23" t="str">
        <f t="shared" si="29"/>
        <v/>
      </c>
      <c r="F78" s="13" t="str">
        <f>IF(C78="","",IF(E78&lt;&gt;"",E78*PAINEL!$H$7,0))</f>
        <v/>
      </c>
      <c r="G78" s="13" t="str">
        <f>IF(C78="","",IF(PAINEL!$A$4=1,K77/(QTDEParc-C77),IF(AND(PAINEL!$A$4=2,C78&lt;=MomentoContemplação),ValorParcelamento/QTDEParc,K77/(QTDEParc-C77))))</f>
        <v/>
      </c>
      <c r="H78" s="13" t="str">
        <f t="shared" si="30"/>
        <v/>
      </c>
      <c r="I78" s="32" t="str">
        <f t="shared" si="31"/>
        <v/>
      </c>
      <c r="J78" s="14" t="str">
        <f>IF(C78="","",IF(C78=MomentoContemplação,PAINEL!$P$10,0))</f>
        <v/>
      </c>
      <c r="K78" s="14" t="str">
        <f t="shared" si="32"/>
        <v/>
      </c>
      <c r="M78" s="51" t="str">
        <f t="shared" si="33"/>
        <v/>
      </c>
      <c r="N78" s="27" t="str">
        <f t="shared" si="37"/>
        <v/>
      </c>
      <c r="O78" s="27" t="str">
        <f>IF(C78="","",(I78*(1+M78))*(QTDEParc-CÁLCULO!C78)+$F$5-SUM($F$6:F78)-J78)</f>
        <v/>
      </c>
      <c r="P78" s="7" t="str">
        <f t="shared" si="34"/>
        <v/>
      </c>
      <c r="R78" s="44" t="str">
        <f t="shared" si="35"/>
        <v/>
      </c>
      <c r="S78" s="97"/>
      <c r="T78" s="28" t="str">
        <f t="shared" si="36"/>
        <v/>
      </c>
      <c r="U78" s="28" t="str">
        <f t="shared" si="24"/>
        <v/>
      </c>
      <c r="V78" s="7" t="str">
        <f t="shared" si="38"/>
        <v/>
      </c>
      <c r="W78" s="93" t="str">
        <f t="shared" si="43"/>
        <v/>
      </c>
      <c r="X78" s="28" t="str">
        <f t="shared" si="39"/>
        <v/>
      </c>
      <c r="Y78" s="28" t="str">
        <f t="shared" si="25"/>
        <v/>
      </c>
      <c r="Z78" s="28" t="str">
        <f t="shared" si="26"/>
        <v/>
      </c>
      <c r="AA78" s="28" t="str">
        <f t="shared" si="27"/>
        <v/>
      </c>
      <c r="AB78" s="28" t="str">
        <f t="shared" si="28"/>
        <v/>
      </c>
      <c r="AC78" s="28" t="str">
        <f t="shared" si="40"/>
        <v/>
      </c>
      <c r="AD78" s="27"/>
      <c r="AO78" s="145" t="str">
        <f t="shared" si="41"/>
        <v/>
      </c>
      <c r="AP78" s="144" t="str">
        <f t="shared" si="42"/>
        <v/>
      </c>
    </row>
    <row r="79" spans="3:42" x14ac:dyDescent="0.25">
      <c r="C79" s="12" t="str">
        <f>IFERROR(IF(AvisoErro&lt;&gt;"","",IF(C78+1&gt;PAINEL!$H$8,"",C78+1)),"")</f>
        <v/>
      </c>
      <c r="E79" s="23" t="str">
        <f t="shared" si="29"/>
        <v/>
      </c>
      <c r="F79" s="13" t="str">
        <f>IF(C79="","",IF(E79&lt;&gt;"",E79*PAINEL!$H$7,0))</f>
        <v/>
      </c>
      <c r="G79" s="13" t="str">
        <f>IF(C79="","",IF(PAINEL!$A$4=1,K78/(QTDEParc-C78),IF(AND(PAINEL!$A$4=2,C79&lt;=MomentoContemplação),ValorParcelamento/QTDEParc,K78/(QTDEParc-C78))))</f>
        <v/>
      </c>
      <c r="H79" s="13" t="str">
        <f t="shared" si="30"/>
        <v/>
      </c>
      <c r="I79" s="32" t="str">
        <f t="shared" si="31"/>
        <v/>
      </c>
      <c r="J79" s="14" t="str">
        <f>IF(C79="","",IF(C79=MomentoContemplação,PAINEL!$P$10,0))</f>
        <v/>
      </c>
      <c r="K79" s="14" t="str">
        <f t="shared" si="32"/>
        <v/>
      </c>
      <c r="M79" s="51" t="str">
        <f t="shared" si="33"/>
        <v/>
      </c>
      <c r="N79" s="27" t="str">
        <f t="shared" si="37"/>
        <v/>
      </c>
      <c r="O79" s="27" t="str">
        <f>IF(C79="","",(I79*(1+M79))*(QTDEParc-CÁLCULO!C79)+$F$5-SUM($F$6:F79)-J79)</f>
        <v/>
      </c>
      <c r="P79" s="7" t="str">
        <f t="shared" si="34"/>
        <v/>
      </c>
      <c r="R79" s="44" t="str">
        <f t="shared" si="35"/>
        <v/>
      </c>
      <c r="S79" s="97"/>
      <c r="T79" s="28" t="str">
        <f t="shared" si="36"/>
        <v/>
      </c>
      <c r="U79" s="28" t="str">
        <f t="shared" si="24"/>
        <v/>
      </c>
      <c r="V79" s="7" t="str">
        <f t="shared" si="38"/>
        <v/>
      </c>
      <c r="W79" s="93" t="str">
        <f t="shared" si="43"/>
        <v/>
      </c>
      <c r="X79" s="28" t="str">
        <f t="shared" si="39"/>
        <v/>
      </c>
      <c r="Y79" s="28" t="str">
        <f t="shared" si="25"/>
        <v/>
      </c>
      <c r="Z79" s="28" t="str">
        <f t="shared" si="26"/>
        <v/>
      </c>
      <c r="AA79" s="28" t="str">
        <f t="shared" si="27"/>
        <v/>
      </c>
      <c r="AB79" s="28" t="str">
        <f t="shared" si="28"/>
        <v/>
      </c>
      <c r="AC79" s="28" t="str">
        <f t="shared" si="40"/>
        <v/>
      </c>
      <c r="AD79" s="27"/>
      <c r="AO79" s="145" t="str">
        <f t="shared" si="41"/>
        <v/>
      </c>
      <c r="AP79" s="144" t="str">
        <f t="shared" si="42"/>
        <v/>
      </c>
    </row>
    <row r="80" spans="3:42" x14ac:dyDescent="0.25">
      <c r="C80" s="12" t="str">
        <f>IFERROR(IF(AvisoErro&lt;&gt;"","",IF(C79+1&gt;PAINEL!$H$8,"",C79+1)),"")</f>
        <v/>
      </c>
      <c r="E80" s="23" t="str">
        <f t="shared" si="29"/>
        <v/>
      </c>
      <c r="F80" s="13" t="str">
        <f>IF(C80="","",IF(E80&lt;&gt;"",E80*PAINEL!$H$7,0))</f>
        <v/>
      </c>
      <c r="G80" s="13" t="str">
        <f>IF(C80="","",IF(PAINEL!$A$4=1,K79/(QTDEParc-C79),IF(AND(PAINEL!$A$4=2,C80&lt;=MomentoContemplação),ValorParcelamento/QTDEParc,K79/(QTDEParc-C79))))</f>
        <v/>
      </c>
      <c r="H80" s="13" t="str">
        <f t="shared" si="30"/>
        <v/>
      </c>
      <c r="I80" s="32" t="str">
        <f t="shared" si="31"/>
        <v/>
      </c>
      <c r="J80" s="14" t="str">
        <f>IF(C80="","",IF(C80=MomentoContemplação,PAINEL!$P$10,0))</f>
        <v/>
      </c>
      <c r="K80" s="14" t="str">
        <f t="shared" si="32"/>
        <v/>
      </c>
      <c r="M80" s="51" t="str">
        <f t="shared" si="33"/>
        <v/>
      </c>
      <c r="N80" s="27" t="str">
        <f t="shared" si="37"/>
        <v/>
      </c>
      <c r="O80" s="27" t="str">
        <f>IF(C80="","",(I80*(1+M80))*(QTDEParc-CÁLCULO!C80)+$F$5-SUM($F$6:F80)-J80)</f>
        <v/>
      </c>
      <c r="P80" s="7" t="str">
        <f t="shared" si="34"/>
        <v/>
      </c>
      <c r="R80" s="44" t="str">
        <f t="shared" si="35"/>
        <v/>
      </c>
      <c r="S80" s="97"/>
      <c r="T80" s="28" t="str">
        <f t="shared" si="36"/>
        <v/>
      </c>
      <c r="U80" s="28" t="str">
        <f t="shared" si="24"/>
        <v/>
      </c>
      <c r="V80" s="7" t="str">
        <f t="shared" si="38"/>
        <v/>
      </c>
      <c r="W80" s="93" t="str">
        <f t="shared" si="43"/>
        <v/>
      </c>
      <c r="X80" s="28" t="str">
        <f t="shared" si="39"/>
        <v/>
      </c>
      <c r="Y80" s="28" t="str">
        <f t="shared" si="25"/>
        <v/>
      </c>
      <c r="Z80" s="28" t="str">
        <f t="shared" si="26"/>
        <v/>
      </c>
      <c r="AA80" s="28" t="str">
        <f t="shared" si="27"/>
        <v/>
      </c>
      <c r="AB80" s="28" t="str">
        <f t="shared" si="28"/>
        <v/>
      </c>
      <c r="AC80" s="28" t="str">
        <f t="shared" si="40"/>
        <v/>
      </c>
      <c r="AD80" s="27"/>
      <c r="AO80" s="145" t="str">
        <f t="shared" si="41"/>
        <v/>
      </c>
      <c r="AP80" s="144" t="str">
        <f t="shared" si="42"/>
        <v/>
      </c>
    </row>
    <row r="81" spans="3:42" x14ac:dyDescent="0.25">
      <c r="C81" s="12" t="str">
        <f>IFERROR(IF(AvisoErro&lt;&gt;"","",IF(C80+1&gt;PAINEL!$H$8,"",C80+1)),"")</f>
        <v/>
      </c>
      <c r="E81" s="23" t="str">
        <f t="shared" si="29"/>
        <v/>
      </c>
      <c r="F81" s="13" t="str">
        <f>IF(C81="","",IF(E81&lt;&gt;"",E81*PAINEL!$H$7,0))</f>
        <v/>
      </c>
      <c r="G81" s="13" t="str">
        <f>IF(C81="","",IF(PAINEL!$A$4=1,K80/(QTDEParc-C80),IF(AND(PAINEL!$A$4=2,C81&lt;=MomentoContemplação),ValorParcelamento/QTDEParc,K80/(QTDEParc-C80))))</f>
        <v/>
      </c>
      <c r="H81" s="13" t="str">
        <f t="shared" si="30"/>
        <v/>
      </c>
      <c r="I81" s="32" t="str">
        <f t="shared" si="31"/>
        <v/>
      </c>
      <c r="J81" s="14" t="str">
        <f>IF(C81="","",IF(C81=MomentoContemplação,PAINEL!$P$10,0))</f>
        <v/>
      </c>
      <c r="K81" s="14" t="str">
        <f t="shared" si="32"/>
        <v/>
      </c>
      <c r="M81" s="51" t="str">
        <f t="shared" si="33"/>
        <v/>
      </c>
      <c r="N81" s="27" t="str">
        <f t="shared" si="37"/>
        <v/>
      </c>
      <c r="O81" s="27" t="str">
        <f>IF(C81="","",(I81*(1+M81))*(QTDEParc-CÁLCULO!C81)+$F$5-SUM($F$6:F81)-J81)</f>
        <v/>
      </c>
      <c r="P81" s="7" t="str">
        <f t="shared" si="34"/>
        <v/>
      </c>
      <c r="R81" s="44" t="str">
        <f t="shared" si="35"/>
        <v/>
      </c>
      <c r="S81" s="97"/>
      <c r="T81" s="28" t="str">
        <f t="shared" si="36"/>
        <v/>
      </c>
      <c r="U81" s="28" t="str">
        <f t="shared" si="24"/>
        <v/>
      </c>
      <c r="V81" s="7" t="str">
        <f t="shared" si="38"/>
        <v/>
      </c>
      <c r="W81" s="93" t="str">
        <f t="shared" si="43"/>
        <v/>
      </c>
      <c r="X81" s="28" t="str">
        <f t="shared" si="39"/>
        <v/>
      </c>
      <c r="Y81" s="28" t="str">
        <f t="shared" si="25"/>
        <v/>
      </c>
      <c r="Z81" s="28" t="str">
        <f t="shared" si="26"/>
        <v/>
      </c>
      <c r="AA81" s="28" t="str">
        <f t="shared" si="27"/>
        <v/>
      </c>
      <c r="AB81" s="28" t="str">
        <f t="shared" si="28"/>
        <v/>
      </c>
      <c r="AC81" s="28" t="str">
        <f t="shared" si="40"/>
        <v/>
      </c>
      <c r="AD81" s="27"/>
      <c r="AO81" s="145" t="str">
        <f t="shared" si="41"/>
        <v/>
      </c>
      <c r="AP81" s="144" t="str">
        <f t="shared" si="42"/>
        <v/>
      </c>
    </row>
    <row r="82" spans="3:42" x14ac:dyDescent="0.25">
      <c r="C82" s="12" t="str">
        <f>IFERROR(IF(AvisoErro&lt;&gt;"","",IF(C81+1&gt;PAINEL!$H$8,"",C81+1)),"")</f>
        <v/>
      </c>
      <c r="E82" s="23" t="str">
        <f t="shared" si="29"/>
        <v/>
      </c>
      <c r="F82" s="13" t="str">
        <f>IF(C82="","",IF(E82&lt;&gt;"",E82*PAINEL!$H$7,0))</f>
        <v/>
      </c>
      <c r="G82" s="13" t="str">
        <f>IF(C82="","",IF(PAINEL!$A$4=1,K81/(QTDEParc-C81),IF(AND(PAINEL!$A$4=2,C82&lt;=MomentoContemplação),ValorParcelamento/QTDEParc,K81/(QTDEParc-C81))))</f>
        <v/>
      </c>
      <c r="H82" s="13" t="str">
        <f t="shared" si="30"/>
        <v/>
      </c>
      <c r="I82" s="32" t="str">
        <f t="shared" si="31"/>
        <v/>
      </c>
      <c r="J82" s="14" t="str">
        <f>IF(C82="","",IF(C82=MomentoContemplação,PAINEL!$P$10,0))</f>
        <v/>
      </c>
      <c r="K82" s="14" t="str">
        <f t="shared" si="32"/>
        <v/>
      </c>
      <c r="M82" s="51" t="str">
        <f t="shared" si="33"/>
        <v/>
      </c>
      <c r="N82" s="27" t="str">
        <f t="shared" si="37"/>
        <v/>
      </c>
      <c r="O82" s="27" t="str">
        <f>IF(C82="","",(I82*(1+M82))*(QTDEParc-CÁLCULO!C82)+$F$5-SUM($F$6:F82)-J82)</f>
        <v/>
      </c>
      <c r="P82" s="7" t="str">
        <f t="shared" si="34"/>
        <v/>
      </c>
      <c r="R82" s="44" t="str">
        <f t="shared" si="35"/>
        <v/>
      </c>
      <c r="S82" s="97"/>
      <c r="T82" s="28" t="str">
        <f t="shared" si="36"/>
        <v/>
      </c>
      <c r="U82" s="28" t="str">
        <f t="shared" si="24"/>
        <v/>
      </c>
      <c r="V82" s="7" t="str">
        <f t="shared" si="38"/>
        <v/>
      </c>
      <c r="W82" s="93" t="str">
        <f t="shared" si="43"/>
        <v/>
      </c>
      <c r="X82" s="28" t="str">
        <f t="shared" si="39"/>
        <v/>
      </c>
      <c r="Y82" s="28" t="str">
        <f t="shared" si="25"/>
        <v/>
      </c>
      <c r="Z82" s="28" t="str">
        <f t="shared" si="26"/>
        <v/>
      </c>
      <c r="AA82" s="28" t="str">
        <f t="shared" si="27"/>
        <v/>
      </c>
      <c r="AB82" s="28" t="str">
        <f t="shared" si="28"/>
        <v/>
      </c>
      <c r="AC82" s="28" t="str">
        <f t="shared" si="40"/>
        <v/>
      </c>
      <c r="AD82" s="27"/>
      <c r="AO82" s="145" t="str">
        <f t="shared" si="41"/>
        <v/>
      </c>
      <c r="AP82" s="144" t="str">
        <f t="shared" si="42"/>
        <v/>
      </c>
    </row>
    <row r="83" spans="3:42" x14ac:dyDescent="0.25">
      <c r="C83" s="12" t="str">
        <f>IFERROR(IF(AvisoErro&lt;&gt;"","",IF(C82+1&gt;PAINEL!$H$8,"",C82+1)),"")</f>
        <v/>
      </c>
      <c r="E83" s="23" t="str">
        <f t="shared" si="29"/>
        <v/>
      </c>
      <c r="F83" s="13" t="str">
        <f>IF(C83="","",IF(E83&lt;&gt;"",E83*PAINEL!$H$7,0))</f>
        <v/>
      </c>
      <c r="G83" s="13" t="str">
        <f>IF(C83="","",IF(PAINEL!$A$4=1,K82/(QTDEParc-C82),IF(AND(PAINEL!$A$4=2,C83&lt;=MomentoContemplação),ValorParcelamento/QTDEParc,K82/(QTDEParc-C82))))</f>
        <v/>
      </c>
      <c r="H83" s="13" t="str">
        <f t="shared" si="30"/>
        <v/>
      </c>
      <c r="I83" s="32" t="str">
        <f t="shared" si="31"/>
        <v/>
      </c>
      <c r="J83" s="14" t="str">
        <f>IF(C83="","",IF(C83=MomentoContemplação,PAINEL!$P$10,0))</f>
        <v/>
      </c>
      <c r="K83" s="14" t="str">
        <f t="shared" si="32"/>
        <v/>
      </c>
      <c r="M83" s="51" t="str">
        <f t="shared" si="33"/>
        <v/>
      </c>
      <c r="N83" s="27" t="str">
        <f t="shared" si="37"/>
        <v/>
      </c>
      <c r="O83" s="27" t="str">
        <f>IF(C83="","",(I83*(1+M83))*(QTDEParc-CÁLCULO!C83)+$F$5-SUM($F$6:F83)-J83)</f>
        <v/>
      </c>
      <c r="P83" s="7" t="str">
        <f t="shared" si="34"/>
        <v/>
      </c>
      <c r="R83" s="44" t="str">
        <f t="shared" si="35"/>
        <v/>
      </c>
      <c r="S83" s="97"/>
      <c r="T83" s="28" t="str">
        <f t="shared" si="36"/>
        <v/>
      </c>
      <c r="U83" s="28" t="str">
        <f t="shared" si="24"/>
        <v/>
      </c>
      <c r="V83" s="7" t="str">
        <f t="shared" si="38"/>
        <v/>
      </c>
      <c r="W83" s="93" t="str">
        <f t="shared" si="43"/>
        <v/>
      </c>
      <c r="X83" s="28" t="str">
        <f t="shared" si="39"/>
        <v/>
      </c>
      <c r="Y83" s="28" t="str">
        <f t="shared" si="25"/>
        <v/>
      </c>
      <c r="Z83" s="28" t="str">
        <f t="shared" si="26"/>
        <v/>
      </c>
      <c r="AA83" s="28" t="str">
        <f t="shared" si="27"/>
        <v/>
      </c>
      <c r="AB83" s="28" t="str">
        <f t="shared" si="28"/>
        <v/>
      </c>
      <c r="AC83" s="28" t="str">
        <f t="shared" si="40"/>
        <v/>
      </c>
      <c r="AD83" s="27"/>
      <c r="AO83" s="145" t="str">
        <f t="shared" si="41"/>
        <v/>
      </c>
      <c r="AP83" s="144" t="str">
        <f t="shared" si="42"/>
        <v/>
      </c>
    </row>
    <row r="84" spans="3:42" x14ac:dyDescent="0.25">
      <c r="C84" s="12" t="str">
        <f>IFERROR(IF(AvisoErro&lt;&gt;"","",IF(C83+1&gt;PAINEL!$H$8,"",C83+1)),"")</f>
        <v/>
      </c>
      <c r="E84" s="23" t="str">
        <f t="shared" si="29"/>
        <v/>
      </c>
      <c r="F84" s="13" t="str">
        <f>IF(C84="","",IF(E84&lt;&gt;"",E84*PAINEL!$H$7,0))</f>
        <v/>
      </c>
      <c r="G84" s="13" t="str">
        <f>IF(C84="","",IF(PAINEL!$A$4=1,K83/(QTDEParc-C83),IF(AND(PAINEL!$A$4=2,C84&lt;=MomentoContemplação),ValorParcelamento/QTDEParc,K83/(QTDEParc-C83))))</f>
        <v/>
      </c>
      <c r="H84" s="13" t="str">
        <f t="shared" si="30"/>
        <v/>
      </c>
      <c r="I84" s="32" t="str">
        <f t="shared" si="31"/>
        <v/>
      </c>
      <c r="J84" s="14" t="str">
        <f>IF(C84="","",IF(C84=MomentoContemplação,PAINEL!$P$10,0))</f>
        <v/>
      </c>
      <c r="K84" s="14" t="str">
        <f t="shared" si="32"/>
        <v/>
      </c>
      <c r="M84" s="51" t="str">
        <f t="shared" si="33"/>
        <v/>
      </c>
      <c r="N84" s="27" t="str">
        <f t="shared" si="37"/>
        <v/>
      </c>
      <c r="O84" s="27" t="str">
        <f>IF(C84="","",(I84*(1+M84))*(QTDEParc-CÁLCULO!C84)+$F$5-SUM($F$6:F84)-J84)</f>
        <v/>
      </c>
      <c r="P84" s="7" t="str">
        <f t="shared" si="34"/>
        <v/>
      </c>
      <c r="R84" s="44" t="str">
        <f t="shared" si="35"/>
        <v/>
      </c>
      <c r="S84" s="97"/>
      <c r="T84" s="28" t="str">
        <f t="shared" si="36"/>
        <v/>
      </c>
      <c r="U84" s="28" t="str">
        <f t="shared" si="24"/>
        <v/>
      </c>
      <c r="V84" s="7" t="str">
        <f t="shared" si="38"/>
        <v/>
      </c>
      <c r="W84" s="93" t="str">
        <f t="shared" si="43"/>
        <v/>
      </c>
      <c r="X84" s="28" t="str">
        <f t="shared" si="39"/>
        <v/>
      </c>
      <c r="Y84" s="28" t="str">
        <f t="shared" si="25"/>
        <v/>
      </c>
      <c r="Z84" s="28" t="str">
        <f t="shared" si="26"/>
        <v/>
      </c>
      <c r="AA84" s="28" t="str">
        <f t="shared" si="27"/>
        <v/>
      </c>
      <c r="AB84" s="28" t="str">
        <f t="shared" si="28"/>
        <v/>
      </c>
      <c r="AC84" s="28" t="str">
        <f t="shared" si="40"/>
        <v/>
      </c>
      <c r="AD84" s="27"/>
      <c r="AO84" s="145" t="str">
        <f t="shared" si="41"/>
        <v/>
      </c>
      <c r="AP84" s="144" t="str">
        <f t="shared" si="42"/>
        <v/>
      </c>
    </row>
    <row r="85" spans="3:42" x14ac:dyDescent="0.25">
      <c r="C85" s="12" t="str">
        <f>IFERROR(IF(AvisoErro&lt;&gt;"","",IF(C84+1&gt;PAINEL!$H$8,"",C84+1)),"")</f>
        <v/>
      </c>
      <c r="E85" s="23" t="str">
        <f t="shared" si="29"/>
        <v/>
      </c>
      <c r="F85" s="13" t="str">
        <f>IF(C85="","",IF(E85&lt;&gt;"",E85*PAINEL!$H$7,0))</f>
        <v/>
      </c>
      <c r="G85" s="13" t="str">
        <f>IF(C85="","",IF(PAINEL!$A$4=1,K84/(QTDEParc-C84),IF(AND(PAINEL!$A$4=2,C85&lt;=MomentoContemplação),ValorParcelamento/QTDEParc,K84/(QTDEParc-C84))))</f>
        <v/>
      </c>
      <c r="H85" s="13" t="str">
        <f t="shared" si="30"/>
        <v/>
      </c>
      <c r="I85" s="32" t="str">
        <f t="shared" si="31"/>
        <v/>
      </c>
      <c r="J85" s="14" t="str">
        <f>IF(C85="","",IF(C85=MomentoContemplação,PAINEL!$P$10,0))</f>
        <v/>
      </c>
      <c r="K85" s="14" t="str">
        <f t="shared" si="32"/>
        <v/>
      </c>
      <c r="M85" s="51" t="str">
        <f t="shared" si="33"/>
        <v/>
      </c>
      <c r="N85" s="27" t="str">
        <f t="shared" si="37"/>
        <v/>
      </c>
      <c r="O85" s="27" t="str">
        <f>IF(C85="","",(I85*(1+M85))*(QTDEParc-CÁLCULO!C85)+$F$5-SUM($F$6:F85)-J85)</f>
        <v/>
      </c>
      <c r="P85" s="7" t="str">
        <f t="shared" si="34"/>
        <v/>
      </c>
      <c r="R85" s="44" t="str">
        <f t="shared" si="35"/>
        <v/>
      </c>
      <c r="S85" s="97"/>
      <c r="T85" s="28" t="str">
        <f t="shared" si="36"/>
        <v/>
      </c>
      <c r="U85" s="28" t="str">
        <f t="shared" si="24"/>
        <v/>
      </c>
      <c r="V85" s="7" t="str">
        <f t="shared" si="38"/>
        <v/>
      </c>
      <c r="W85" s="93" t="str">
        <f t="shared" si="43"/>
        <v/>
      </c>
      <c r="X85" s="28" t="str">
        <f t="shared" si="39"/>
        <v/>
      </c>
      <c r="Y85" s="28" t="str">
        <f t="shared" si="25"/>
        <v/>
      </c>
      <c r="Z85" s="28" t="str">
        <f t="shared" si="26"/>
        <v/>
      </c>
      <c r="AA85" s="28" t="str">
        <f t="shared" si="27"/>
        <v/>
      </c>
      <c r="AB85" s="28" t="str">
        <f t="shared" si="28"/>
        <v/>
      </c>
      <c r="AC85" s="28" t="str">
        <f t="shared" si="40"/>
        <v/>
      </c>
      <c r="AD85" s="27"/>
      <c r="AO85" s="145" t="str">
        <f t="shared" si="41"/>
        <v/>
      </c>
      <c r="AP85" s="144" t="str">
        <f t="shared" si="42"/>
        <v/>
      </c>
    </row>
    <row r="86" spans="3:42" x14ac:dyDescent="0.25">
      <c r="C86" s="12" t="str">
        <f>IFERROR(IF(AvisoErro&lt;&gt;"","",IF(C85+1&gt;PAINEL!$H$8,"",C85+1)),"")</f>
        <v/>
      </c>
      <c r="E86" s="23" t="str">
        <f t="shared" si="29"/>
        <v/>
      </c>
      <c r="F86" s="13" t="str">
        <f>IF(C86="","",IF(E86&lt;&gt;"",E86*PAINEL!$H$7,0))</f>
        <v/>
      </c>
      <c r="G86" s="13" t="str">
        <f>IF(C86="","",IF(PAINEL!$A$4=1,K85/(QTDEParc-C85),IF(AND(PAINEL!$A$4=2,C86&lt;=MomentoContemplação),ValorParcelamento/QTDEParc,K85/(QTDEParc-C85))))</f>
        <v/>
      </c>
      <c r="H86" s="13" t="str">
        <f t="shared" si="30"/>
        <v/>
      </c>
      <c r="I86" s="32" t="str">
        <f t="shared" si="31"/>
        <v/>
      </c>
      <c r="J86" s="14" t="str">
        <f>IF(C86="","",IF(C86=MomentoContemplação,PAINEL!$P$10,0))</f>
        <v/>
      </c>
      <c r="K86" s="14" t="str">
        <f t="shared" si="32"/>
        <v/>
      </c>
      <c r="M86" s="51" t="str">
        <f t="shared" si="33"/>
        <v/>
      </c>
      <c r="N86" s="27" t="str">
        <f t="shared" si="37"/>
        <v/>
      </c>
      <c r="O86" s="27" t="str">
        <f>IF(C86="","",(I86*(1+M86))*(QTDEParc-CÁLCULO!C86)+$F$5-SUM($F$6:F86)-J86)</f>
        <v/>
      </c>
      <c r="P86" s="7" t="str">
        <f t="shared" si="34"/>
        <v/>
      </c>
      <c r="R86" s="44" t="str">
        <f t="shared" si="35"/>
        <v/>
      </c>
      <c r="S86" s="97"/>
      <c r="T86" s="28" t="str">
        <f t="shared" si="36"/>
        <v/>
      </c>
      <c r="U86" s="28" t="str">
        <f t="shared" si="24"/>
        <v/>
      </c>
      <c r="V86" s="7" t="str">
        <f t="shared" si="38"/>
        <v/>
      </c>
      <c r="W86" s="93" t="str">
        <f t="shared" si="43"/>
        <v/>
      </c>
      <c r="X86" s="28" t="str">
        <f t="shared" si="39"/>
        <v/>
      </c>
      <c r="Y86" s="28" t="str">
        <f t="shared" si="25"/>
        <v/>
      </c>
      <c r="Z86" s="28" t="str">
        <f t="shared" si="26"/>
        <v/>
      </c>
      <c r="AA86" s="28" t="str">
        <f t="shared" si="27"/>
        <v/>
      </c>
      <c r="AB86" s="28" t="str">
        <f t="shared" si="28"/>
        <v/>
      </c>
      <c r="AC86" s="28" t="str">
        <f t="shared" si="40"/>
        <v/>
      </c>
      <c r="AD86" s="27"/>
      <c r="AO86" s="145" t="str">
        <f t="shared" si="41"/>
        <v/>
      </c>
      <c r="AP86" s="144" t="str">
        <f t="shared" si="42"/>
        <v/>
      </c>
    </row>
    <row r="87" spans="3:42" x14ac:dyDescent="0.25">
      <c r="C87" s="12" t="str">
        <f>IFERROR(IF(AvisoErro&lt;&gt;"","",IF(C86+1&gt;PAINEL!$H$8,"",C86+1)),"")</f>
        <v/>
      </c>
      <c r="E87" s="23" t="str">
        <f t="shared" si="29"/>
        <v/>
      </c>
      <c r="F87" s="13" t="str">
        <f>IF(C87="","",IF(E87&lt;&gt;"",E87*PAINEL!$H$7,0))</f>
        <v/>
      </c>
      <c r="G87" s="13" t="str">
        <f>IF(C87="","",IF(PAINEL!$A$4=1,K86/(QTDEParc-C86),IF(AND(PAINEL!$A$4=2,C87&lt;=MomentoContemplação),ValorParcelamento/QTDEParc,K86/(QTDEParc-C86))))</f>
        <v/>
      </c>
      <c r="H87" s="13" t="str">
        <f t="shared" si="30"/>
        <v/>
      </c>
      <c r="I87" s="32" t="str">
        <f t="shared" si="31"/>
        <v/>
      </c>
      <c r="J87" s="14" t="str">
        <f>IF(C87="","",IF(C87=MomentoContemplação,PAINEL!$P$10,0))</f>
        <v/>
      </c>
      <c r="K87" s="14" t="str">
        <f t="shared" si="32"/>
        <v/>
      </c>
      <c r="M87" s="51" t="str">
        <f t="shared" si="33"/>
        <v/>
      </c>
      <c r="N87" s="27" t="str">
        <f t="shared" si="37"/>
        <v/>
      </c>
      <c r="O87" s="27" t="str">
        <f>IF(C87="","",(I87*(1+M87))*(QTDEParc-CÁLCULO!C87)+$F$5-SUM($F$6:F87)-J87)</f>
        <v/>
      </c>
      <c r="P87" s="7" t="str">
        <f t="shared" si="34"/>
        <v/>
      </c>
      <c r="R87" s="44" t="str">
        <f t="shared" si="35"/>
        <v/>
      </c>
      <c r="S87" s="97"/>
      <c r="T87" s="28" t="str">
        <f t="shared" si="36"/>
        <v/>
      </c>
      <c r="U87" s="28" t="str">
        <f t="shared" si="24"/>
        <v/>
      </c>
      <c r="V87" s="7" t="str">
        <f t="shared" si="38"/>
        <v/>
      </c>
      <c r="W87" s="93" t="str">
        <f t="shared" si="43"/>
        <v/>
      </c>
      <c r="X87" s="28" t="str">
        <f t="shared" si="39"/>
        <v/>
      </c>
      <c r="Y87" s="28" t="str">
        <f t="shared" si="25"/>
        <v/>
      </c>
      <c r="Z87" s="28" t="str">
        <f t="shared" si="26"/>
        <v/>
      </c>
      <c r="AA87" s="28" t="str">
        <f t="shared" si="27"/>
        <v/>
      </c>
      <c r="AB87" s="28" t="str">
        <f t="shared" si="28"/>
        <v/>
      </c>
      <c r="AC87" s="28" t="str">
        <f t="shared" si="40"/>
        <v/>
      </c>
      <c r="AD87" s="27"/>
      <c r="AO87" s="145" t="str">
        <f t="shared" si="41"/>
        <v/>
      </c>
      <c r="AP87" s="144" t="str">
        <f t="shared" si="42"/>
        <v/>
      </c>
    </row>
    <row r="88" spans="3:42" x14ac:dyDescent="0.25">
      <c r="C88" s="12" t="str">
        <f>IFERROR(IF(AvisoErro&lt;&gt;"","",IF(C87+1&gt;PAINEL!$H$8,"",C87+1)),"")</f>
        <v/>
      </c>
      <c r="E88" s="23" t="str">
        <f t="shared" si="29"/>
        <v/>
      </c>
      <c r="F88" s="13" t="str">
        <f>IF(C88="","",IF(E88&lt;&gt;"",E88*PAINEL!$H$7,0))</f>
        <v/>
      </c>
      <c r="G88" s="13" t="str">
        <f>IF(C88="","",IF(PAINEL!$A$4=1,K87/(QTDEParc-C87),IF(AND(PAINEL!$A$4=2,C88&lt;=MomentoContemplação),ValorParcelamento/QTDEParc,K87/(QTDEParc-C87))))</f>
        <v/>
      </c>
      <c r="H88" s="13" t="str">
        <f t="shared" si="30"/>
        <v/>
      </c>
      <c r="I88" s="32" t="str">
        <f t="shared" si="31"/>
        <v/>
      </c>
      <c r="J88" s="14" t="str">
        <f>IF(C88="","",IF(C88=MomentoContemplação,PAINEL!$P$10,0))</f>
        <v/>
      </c>
      <c r="K88" s="14" t="str">
        <f t="shared" si="32"/>
        <v/>
      </c>
      <c r="M88" s="51" t="str">
        <f t="shared" si="33"/>
        <v/>
      </c>
      <c r="N88" s="27" t="str">
        <f t="shared" si="37"/>
        <v/>
      </c>
      <c r="O88" s="27" t="str">
        <f>IF(C88="","",(I88*(1+M88))*(QTDEParc-CÁLCULO!C88)+$F$5-SUM($F$6:F88)-J88)</f>
        <v/>
      </c>
      <c r="P88" s="7" t="str">
        <f t="shared" si="34"/>
        <v/>
      </c>
      <c r="R88" s="44" t="str">
        <f t="shared" si="35"/>
        <v/>
      </c>
      <c r="S88" s="97"/>
      <c r="T88" s="28" t="str">
        <f t="shared" si="36"/>
        <v/>
      </c>
      <c r="U88" s="28" t="str">
        <f t="shared" si="24"/>
        <v/>
      </c>
      <c r="V88" s="7" t="str">
        <f t="shared" si="38"/>
        <v/>
      </c>
      <c r="W88" s="93" t="str">
        <f t="shared" si="43"/>
        <v/>
      </c>
      <c r="X88" s="28" t="str">
        <f t="shared" si="39"/>
        <v/>
      </c>
      <c r="Y88" s="28" t="str">
        <f t="shared" si="25"/>
        <v/>
      </c>
      <c r="Z88" s="28" t="str">
        <f t="shared" si="26"/>
        <v/>
      </c>
      <c r="AA88" s="28" t="str">
        <f t="shared" si="27"/>
        <v/>
      </c>
      <c r="AB88" s="28" t="str">
        <f t="shared" si="28"/>
        <v/>
      </c>
      <c r="AC88" s="28" t="str">
        <f t="shared" si="40"/>
        <v/>
      </c>
      <c r="AD88" s="27"/>
      <c r="AO88" s="145" t="str">
        <f t="shared" si="41"/>
        <v/>
      </c>
      <c r="AP88" s="144" t="str">
        <f t="shared" si="42"/>
        <v/>
      </c>
    </row>
    <row r="89" spans="3:42" x14ac:dyDescent="0.25">
      <c r="C89" s="12" t="str">
        <f>IFERROR(IF(AvisoErro&lt;&gt;"","",IF(C88+1&gt;PAINEL!$H$8,"",C88+1)),"")</f>
        <v/>
      </c>
      <c r="E89" s="23" t="str">
        <f t="shared" si="29"/>
        <v/>
      </c>
      <c r="F89" s="13" t="str">
        <f>IF(C89="","",IF(E89&lt;&gt;"",E89*PAINEL!$H$7,0))</f>
        <v/>
      </c>
      <c r="G89" s="13" t="str">
        <f>IF(C89="","",IF(PAINEL!$A$4=1,K88/(QTDEParc-C88),IF(AND(PAINEL!$A$4=2,C89&lt;=MomentoContemplação),ValorParcelamento/QTDEParc,K88/(QTDEParc-C88))))</f>
        <v/>
      </c>
      <c r="H89" s="13" t="str">
        <f t="shared" si="30"/>
        <v/>
      </c>
      <c r="I89" s="32" t="str">
        <f t="shared" si="31"/>
        <v/>
      </c>
      <c r="J89" s="14" t="str">
        <f>IF(C89="","",IF(C89=MomentoContemplação,PAINEL!$P$10,0))</f>
        <v/>
      </c>
      <c r="K89" s="14" t="str">
        <f t="shared" si="32"/>
        <v/>
      </c>
      <c r="M89" s="51" t="str">
        <f t="shared" si="33"/>
        <v/>
      </c>
      <c r="N89" s="27" t="str">
        <f t="shared" si="37"/>
        <v/>
      </c>
      <c r="O89" s="27" t="str">
        <f>IF(C89="","",(I89*(1+M89))*(QTDEParc-CÁLCULO!C89)+$F$5-SUM($F$6:F89)-J89)</f>
        <v/>
      </c>
      <c r="P89" s="7" t="str">
        <f t="shared" si="34"/>
        <v/>
      </c>
      <c r="R89" s="44" t="str">
        <f t="shared" si="35"/>
        <v/>
      </c>
      <c r="S89" s="97"/>
      <c r="T89" s="28" t="str">
        <f t="shared" si="36"/>
        <v/>
      </c>
      <c r="U89" s="28" t="str">
        <f t="shared" si="24"/>
        <v/>
      </c>
      <c r="V89" s="7" t="str">
        <f t="shared" si="38"/>
        <v/>
      </c>
      <c r="W89" s="93" t="str">
        <f t="shared" si="43"/>
        <v/>
      </c>
      <c r="X89" s="28" t="str">
        <f t="shared" si="39"/>
        <v/>
      </c>
      <c r="Y89" s="28" t="str">
        <f t="shared" si="25"/>
        <v/>
      </c>
      <c r="Z89" s="28" t="str">
        <f t="shared" si="26"/>
        <v/>
      </c>
      <c r="AA89" s="28" t="str">
        <f t="shared" si="27"/>
        <v/>
      </c>
      <c r="AB89" s="28" t="str">
        <f t="shared" si="28"/>
        <v/>
      </c>
      <c r="AC89" s="28" t="str">
        <f t="shared" si="40"/>
        <v/>
      </c>
      <c r="AD89" s="27"/>
      <c r="AO89" s="145" t="str">
        <f t="shared" si="41"/>
        <v/>
      </c>
      <c r="AP89" s="144" t="str">
        <f t="shared" si="42"/>
        <v/>
      </c>
    </row>
    <row r="90" spans="3:42" x14ac:dyDescent="0.25">
      <c r="C90" s="12" t="str">
        <f>IFERROR(IF(AvisoErro&lt;&gt;"","",IF(C89+1&gt;PAINEL!$H$8,"",C89+1)),"")</f>
        <v/>
      </c>
      <c r="E90" s="23" t="str">
        <f t="shared" si="29"/>
        <v/>
      </c>
      <c r="F90" s="13" t="str">
        <f>IF(C90="","",IF(E90&lt;&gt;"",E90*PAINEL!$H$7,0))</f>
        <v/>
      </c>
      <c r="G90" s="13" t="str">
        <f>IF(C90="","",IF(PAINEL!$A$4=1,K89/(QTDEParc-C89),IF(AND(PAINEL!$A$4=2,C90&lt;=MomentoContemplação),ValorParcelamento/QTDEParc,K89/(QTDEParc-C89))))</f>
        <v/>
      </c>
      <c r="H90" s="13" t="str">
        <f t="shared" si="30"/>
        <v/>
      </c>
      <c r="I90" s="32" t="str">
        <f t="shared" si="31"/>
        <v/>
      </c>
      <c r="J90" s="14" t="str">
        <f>IF(C90="","",IF(C90=MomentoContemplação,PAINEL!$P$10,0))</f>
        <v/>
      </c>
      <c r="K90" s="14" t="str">
        <f t="shared" si="32"/>
        <v/>
      </c>
      <c r="M90" s="51" t="str">
        <f t="shared" si="33"/>
        <v/>
      </c>
      <c r="N90" s="27" t="str">
        <f t="shared" si="37"/>
        <v/>
      </c>
      <c r="O90" s="27" t="str">
        <f>IF(C90="","",(I90*(1+M90))*(QTDEParc-CÁLCULO!C90)+$F$5-SUM($F$6:F90)-J90)</f>
        <v/>
      </c>
      <c r="P90" s="7" t="str">
        <f t="shared" si="34"/>
        <v/>
      </c>
      <c r="R90" s="44" t="str">
        <f t="shared" si="35"/>
        <v/>
      </c>
      <c r="S90" s="97"/>
      <c r="T90" s="28" t="str">
        <f t="shared" si="36"/>
        <v/>
      </c>
      <c r="U90" s="28" t="str">
        <f t="shared" si="24"/>
        <v/>
      </c>
      <c r="V90" s="7" t="str">
        <f t="shared" si="38"/>
        <v/>
      </c>
      <c r="W90" s="93" t="str">
        <f t="shared" si="43"/>
        <v/>
      </c>
      <c r="X90" s="28" t="str">
        <f t="shared" si="39"/>
        <v/>
      </c>
      <c r="Y90" s="28" t="str">
        <f t="shared" si="25"/>
        <v/>
      </c>
      <c r="Z90" s="28" t="str">
        <f t="shared" si="26"/>
        <v/>
      </c>
      <c r="AA90" s="28" t="str">
        <f t="shared" si="27"/>
        <v/>
      </c>
      <c r="AB90" s="28" t="str">
        <f t="shared" si="28"/>
        <v/>
      </c>
      <c r="AC90" s="28" t="str">
        <f t="shared" si="40"/>
        <v/>
      </c>
      <c r="AD90" s="27"/>
      <c r="AO90" s="145" t="str">
        <f t="shared" si="41"/>
        <v/>
      </c>
      <c r="AP90" s="144" t="str">
        <f t="shared" si="42"/>
        <v/>
      </c>
    </row>
    <row r="91" spans="3:42" x14ac:dyDescent="0.25">
      <c r="C91" s="12" t="str">
        <f>IFERROR(IF(AvisoErro&lt;&gt;"","",IF(C90+1&gt;PAINEL!$H$8,"",C90+1)),"")</f>
        <v/>
      </c>
      <c r="E91" s="23" t="str">
        <f t="shared" si="29"/>
        <v/>
      </c>
      <c r="F91" s="13" t="str">
        <f>IF(C91="","",IF(E91&lt;&gt;"",E91*PAINEL!$H$7,0))</f>
        <v/>
      </c>
      <c r="G91" s="13" t="str">
        <f>IF(C91="","",IF(PAINEL!$A$4=1,K90/(QTDEParc-C90),IF(AND(PAINEL!$A$4=2,C91&lt;=MomentoContemplação),ValorParcelamento/QTDEParc,K90/(QTDEParc-C90))))</f>
        <v/>
      </c>
      <c r="H91" s="13" t="str">
        <f t="shared" si="30"/>
        <v/>
      </c>
      <c r="I91" s="32" t="str">
        <f t="shared" si="31"/>
        <v/>
      </c>
      <c r="J91" s="14" t="str">
        <f>IF(C91="","",IF(C91=MomentoContemplação,PAINEL!$P$10,0))</f>
        <v/>
      </c>
      <c r="K91" s="14" t="str">
        <f t="shared" si="32"/>
        <v/>
      </c>
      <c r="M91" s="51" t="str">
        <f t="shared" si="33"/>
        <v/>
      </c>
      <c r="N91" s="27" t="str">
        <f t="shared" si="37"/>
        <v/>
      </c>
      <c r="O91" s="27" t="str">
        <f>IF(C91="","",(I91*(1+M91))*(QTDEParc-CÁLCULO!C91)+$F$5-SUM($F$6:F91)-J91)</f>
        <v/>
      </c>
      <c r="P91" s="7" t="str">
        <f t="shared" si="34"/>
        <v/>
      </c>
      <c r="R91" s="44" t="str">
        <f t="shared" si="35"/>
        <v/>
      </c>
      <c r="S91" s="97"/>
      <c r="T91" s="28" t="str">
        <f t="shared" si="36"/>
        <v/>
      </c>
      <c r="U91" s="28" t="str">
        <f t="shared" si="24"/>
        <v/>
      </c>
      <c r="V91" s="7" t="str">
        <f t="shared" si="38"/>
        <v/>
      </c>
      <c r="W91" s="93" t="str">
        <f t="shared" si="43"/>
        <v/>
      </c>
      <c r="X91" s="28" t="str">
        <f t="shared" si="39"/>
        <v/>
      </c>
      <c r="Y91" s="28" t="str">
        <f t="shared" si="25"/>
        <v/>
      </c>
      <c r="Z91" s="28" t="str">
        <f t="shared" si="26"/>
        <v/>
      </c>
      <c r="AA91" s="28" t="str">
        <f t="shared" si="27"/>
        <v/>
      </c>
      <c r="AB91" s="28" t="str">
        <f t="shared" si="28"/>
        <v/>
      </c>
      <c r="AC91" s="28" t="str">
        <f t="shared" si="40"/>
        <v/>
      </c>
      <c r="AD91" s="27"/>
      <c r="AO91" s="145" t="str">
        <f t="shared" si="41"/>
        <v/>
      </c>
      <c r="AP91" s="144" t="str">
        <f t="shared" si="42"/>
        <v/>
      </c>
    </row>
    <row r="92" spans="3:42" x14ac:dyDescent="0.25">
      <c r="C92" s="12" t="str">
        <f>IFERROR(IF(AvisoErro&lt;&gt;"","",IF(C91+1&gt;PAINEL!$H$8,"",C91+1)),"")</f>
        <v/>
      </c>
      <c r="E92" s="23" t="str">
        <f t="shared" si="29"/>
        <v/>
      </c>
      <c r="F92" s="13" t="str">
        <f>IF(C92="","",IF(E92&lt;&gt;"",E92*PAINEL!$H$7,0))</f>
        <v/>
      </c>
      <c r="G92" s="13" t="str">
        <f>IF(C92="","",IF(PAINEL!$A$4=1,K91/(QTDEParc-C91),IF(AND(PAINEL!$A$4=2,C92&lt;=MomentoContemplação),ValorParcelamento/QTDEParc,K91/(QTDEParc-C91))))</f>
        <v/>
      </c>
      <c r="H92" s="13" t="str">
        <f t="shared" si="30"/>
        <v/>
      </c>
      <c r="I92" s="32" t="str">
        <f t="shared" si="31"/>
        <v/>
      </c>
      <c r="J92" s="14" t="str">
        <f>IF(C92="","",IF(C92=MomentoContemplação,PAINEL!$P$10,0))</f>
        <v/>
      </c>
      <c r="K92" s="14" t="str">
        <f t="shared" si="32"/>
        <v/>
      </c>
      <c r="M92" s="51" t="str">
        <f t="shared" si="33"/>
        <v/>
      </c>
      <c r="N92" s="27" t="str">
        <f t="shared" si="37"/>
        <v/>
      </c>
      <c r="O92" s="27" t="str">
        <f>IF(C92="","",(I92*(1+M92))*(QTDEParc-CÁLCULO!C92)+$F$5-SUM($F$6:F92)-J92)</f>
        <v/>
      </c>
      <c r="P92" s="7" t="str">
        <f t="shared" si="34"/>
        <v/>
      </c>
      <c r="R92" s="44" t="str">
        <f t="shared" si="35"/>
        <v/>
      </c>
      <c r="S92" s="97"/>
      <c r="T92" s="28" t="str">
        <f t="shared" si="36"/>
        <v/>
      </c>
      <c r="U92" s="28" t="str">
        <f t="shared" si="24"/>
        <v/>
      </c>
      <c r="V92" s="7" t="str">
        <f t="shared" si="38"/>
        <v/>
      </c>
      <c r="W92" s="93" t="str">
        <f t="shared" si="43"/>
        <v/>
      </c>
      <c r="X92" s="28" t="str">
        <f t="shared" si="39"/>
        <v/>
      </c>
      <c r="Y92" s="28" t="str">
        <f t="shared" si="25"/>
        <v/>
      </c>
      <c r="Z92" s="28" t="str">
        <f t="shared" si="26"/>
        <v/>
      </c>
      <c r="AA92" s="28" t="str">
        <f t="shared" si="27"/>
        <v/>
      </c>
      <c r="AB92" s="28" t="str">
        <f t="shared" si="28"/>
        <v/>
      </c>
      <c r="AC92" s="28" t="str">
        <f t="shared" si="40"/>
        <v/>
      </c>
      <c r="AD92" s="27"/>
      <c r="AO92" s="145" t="str">
        <f t="shared" si="41"/>
        <v/>
      </c>
      <c r="AP92" s="144" t="str">
        <f t="shared" si="42"/>
        <v/>
      </c>
    </row>
    <row r="93" spans="3:42" x14ac:dyDescent="0.25">
      <c r="C93" s="12" t="str">
        <f>IFERROR(IF(AvisoErro&lt;&gt;"","",IF(C92+1&gt;PAINEL!$H$8,"",C92+1)),"")</f>
        <v/>
      </c>
      <c r="E93" s="23" t="str">
        <f t="shared" si="29"/>
        <v/>
      </c>
      <c r="F93" s="13" t="str">
        <f>IF(C93="","",IF(E93&lt;&gt;"",E93*PAINEL!$H$7,0))</f>
        <v/>
      </c>
      <c r="G93" s="13" t="str">
        <f>IF(C93="","",IF(PAINEL!$A$4=1,K92/(QTDEParc-C92),IF(AND(PAINEL!$A$4=2,C93&lt;=MomentoContemplação),ValorParcelamento/QTDEParc,K92/(QTDEParc-C92))))</f>
        <v/>
      </c>
      <c r="H93" s="13" t="str">
        <f t="shared" si="30"/>
        <v/>
      </c>
      <c r="I93" s="32" t="str">
        <f t="shared" si="31"/>
        <v/>
      </c>
      <c r="J93" s="14" t="str">
        <f>IF(C93="","",IF(C93=MomentoContemplação,PAINEL!$P$10,0))</f>
        <v/>
      </c>
      <c r="K93" s="14" t="str">
        <f t="shared" si="32"/>
        <v/>
      </c>
      <c r="M93" s="51" t="str">
        <f t="shared" si="33"/>
        <v/>
      </c>
      <c r="N93" s="27" t="str">
        <f t="shared" si="37"/>
        <v/>
      </c>
      <c r="O93" s="27" t="str">
        <f>IF(C93="","",(I93*(1+M93))*(QTDEParc-CÁLCULO!C93)+$F$5-SUM($F$6:F93)-J93)</f>
        <v/>
      </c>
      <c r="P93" s="7" t="str">
        <f t="shared" si="34"/>
        <v/>
      </c>
      <c r="R93" s="44" t="str">
        <f t="shared" si="35"/>
        <v/>
      </c>
      <c r="S93" s="97"/>
      <c r="T93" s="28" t="str">
        <f t="shared" si="36"/>
        <v/>
      </c>
      <c r="U93" s="28" t="str">
        <f t="shared" si="24"/>
        <v/>
      </c>
      <c r="V93" s="7" t="str">
        <f t="shared" si="38"/>
        <v/>
      </c>
      <c r="W93" s="93" t="str">
        <f t="shared" si="43"/>
        <v/>
      </c>
      <c r="X93" s="28" t="str">
        <f t="shared" si="39"/>
        <v/>
      </c>
      <c r="Y93" s="28" t="str">
        <f t="shared" si="25"/>
        <v/>
      </c>
      <c r="Z93" s="28" t="str">
        <f t="shared" si="26"/>
        <v/>
      </c>
      <c r="AA93" s="28" t="str">
        <f t="shared" si="27"/>
        <v/>
      </c>
      <c r="AB93" s="28" t="str">
        <f t="shared" si="28"/>
        <v/>
      </c>
      <c r="AC93" s="28" t="str">
        <f t="shared" si="40"/>
        <v/>
      </c>
      <c r="AD93" s="27"/>
      <c r="AO93" s="145" t="str">
        <f t="shared" si="41"/>
        <v/>
      </c>
      <c r="AP93" s="144" t="str">
        <f t="shared" si="42"/>
        <v/>
      </c>
    </row>
    <row r="94" spans="3:42" x14ac:dyDescent="0.25">
      <c r="C94" s="12" t="str">
        <f>IFERROR(IF(AvisoErro&lt;&gt;"","",IF(C93+1&gt;PAINEL!$H$8,"",C93+1)),"")</f>
        <v/>
      </c>
      <c r="E94" s="23" t="str">
        <f t="shared" si="29"/>
        <v/>
      </c>
      <c r="F94" s="13" t="str">
        <f>IF(C94="","",IF(E94&lt;&gt;"",E94*PAINEL!$H$7,0))</f>
        <v/>
      </c>
      <c r="G94" s="13" t="str">
        <f>IF(C94="","",IF(PAINEL!$A$4=1,K93/(QTDEParc-C93),IF(AND(PAINEL!$A$4=2,C94&lt;=MomentoContemplação),ValorParcelamento/QTDEParc,K93/(QTDEParc-C93))))</f>
        <v/>
      </c>
      <c r="H94" s="13" t="str">
        <f t="shared" si="30"/>
        <v/>
      </c>
      <c r="I94" s="32" t="str">
        <f t="shared" si="31"/>
        <v/>
      </c>
      <c r="J94" s="14" t="str">
        <f>IF(C94="","",IF(C94=MomentoContemplação,PAINEL!$P$10,0))</f>
        <v/>
      </c>
      <c r="K94" s="14" t="str">
        <f t="shared" si="32"/>
        <v/>
      </c>
      <c r="M94" s="51" t="str">
        <f t="shared" si="33"/>
        <v/>
      </c>
      <c r="N94" s="27" t="str">
        <f t="shared" si="37"/>
        <v/>
      </c>
      <c r="O94" s="27" t="str">
        <f>IF(C94="","",(I94*(1+M94))*(QTDEParc-CÁLCULO!C94)+$F$5-SUM($F$6:F94)-J94)</f>
        <v/>
      </c>
      <c r="P94" s="7" t="str">
        <f t="shared" si="34"/>
        <v/>
      </c>
      <c r="R94" s="44" t="str">
        <f t="shared" si="35"/>
        <v/>
      </c>
      <c r="S94" s="97"/>
      <c r="T94" s="28" t="str">
        <f t="shared" si="36"/>
        <v/>
      </c>
      <c r="U94" s="28" t="str">
        <f t="shared" si="24"/>
        <v/>
      </c>
      <c r="V94" s="7" t="str">
        <f t="shared" si="38"/>
        <v/>
      </c>
      <c r="W94" s="93" t="str">
        <f t="shared" si="43"/>
        <v/>
      </c>
      <c r="X94" s="28" t="str">
        <f t="shared" si="39"/>
        <v/>
      </c>
      <c r="Y94" s="28" t="str">
        <f t="shared" si="25"/>
        <v/>
      </c>
      <c r="Z94" s="28" t="str">
        <f t="shared" si="26"/>
        <v/>
      </c>
      <c r="AA94" s="28" t="str">
        <f t="shared" si="27"/>
        <v/>
      </c>
      <c r="AB94" s="28" t="str">
        <f t="shared" si="28"/>
        <v/>
      </c>
      <c r="AC94" s="28" t="str">
        <f t="shared" si="40"/>
        <v/>
      </c>
      <c r="AD94" s="27"/>
      <c r="AO94" s="145" t="str">
        <f t="shared" si="41"/>
        <v/>
      </c>
      <c r="AP94" s="144" t="str">
        <f t="shared" si="42"/>
        <v/>
      </c>
    </row>
    <row r="95" spans="3:42" x14ac:dyDescent="0.25">
      <c r="C95" s="12" t="str">
        <f>IFERROR(IF(AvisoErro&lt;&gt;"","",IF(C94+1&gt;PAINEL!$H$8,"",C94+1)),"")</f>
        <v/>
      </c>
      <c r="E95" s="23" t="str">
        <f t="shared" si="29"/>
        <v/>
      </c>
      <c r="F95" s="13" t="str">
        <f>IF(C95="","",IF(E95&lt;&gt;"",E95*PAINEL!$H$7,0))</f>
        <v/>
      </c>
      <c r="G95" s="13" t="str">
        <f>IF(C95="","",IF(PAINEL!$A$4=1,K94/(QTDEParc-C94),IF(AND(PAINEL!$A$4=2,C95&lt;=MomentoContemplação),ValorParcelamento/QTDEParc,K94/(QTDEParc-C94))))</f>
        <v/>
      </c>
      <c r="H95" s="13" t="str">
        <f t="shared" si="30"/>
        <v/>
      </c>
      <c r="I95" s="32" t="str">
        <f t="shared" si="31"/>
        <v/>
      </c>
      <c r="J95" s="14" t="str">
        <f>IF(C95="","",IF(C95=MomentoContemplação,PAINEL!$P$10,0))</f>
        <v/>
      </c>
      <c r="K95" s="14" t="str">
        <f t="shared" si="32"/>
        <v/>
      </c>
      <c r="M95" s="51" t="str">
        <f t="shared" si="33"/>
        <v/>
      </c>
      <c r="N95" s="27" t="str">
        <f t="shared" si="37"/>
        <v/>
      </c>
      <c r="O95" s="27" t="str">
        <f>IF(C95="","",(I95*(1+M95))*(QTDEParc-CÁLCULO!C95)+$F$5-SUM($F$6:F95)-J95)</f>
        <v/>
      </c>
      <c r="P95" s="7" t="str">
        <f t="shared" si="34"/>
        <v/>
      </c>
      <c r="R95" s="44" t="str">
        <f t="shared" si="35"/>
        <v/>
      </c>
      <c r="S95" s="97"/>
      <c r="T95" s="28" t="str">
        <f t="shared" si="36"/>
        <v/>
      </c>
      <c r="U95" s="28" t="str">
        <f t="shared" si="24"/>
        <v/>
      </c>
      <c r="V95" s="7" t="str">
        <f t="shared" si="38"/>
        <v/>
      </c>
      <c r="W95" s="93" t="str">
        <f t="shared" si="43"/>
        <v/>
      </c>
      <c r="X95" s="28" t="str">
        <f t="shared" si="39"/>
        <v/>
      </c>
      <c r="Y95" s="28" t="str">
        <f t="shared" si="25"/>
        <v/>
      </c>
      <c r="Z95" s="28" t="str">
        <f t="shared" si="26"/>
        <v/>
      </c>
      <c r="AA95" s="28" t="str">
        <f t="shared" si="27"/>
        <v/>
      </c>
      <c r="AB95" s="28" t="str">
        <f t="shared" si="28"/>
        <v/>
      </c>
      <c r="AC95" s="28" t="str">
        <f t="shared" si="40"/>
        <v/>
      </c>
      <c r="AD95" s="27"/>
      <c r="AO95" s="145" t="str">
        <f t="shared" si="41"/>
        <v/>
      </c>
      <c r="AP95" s="144" t="str">
        <f t="shared" si="42"/>
        <v/>
      </c>
    </row>
    <row r="96" spans="3:42" x14ac:dyDescent="0.25">
      <c r="C96" s="12" t="str">
        <f>IFERROR(IF(AvisoErro&lt;&gt;"","",IF(C95+1&gt;PAINEL!$H$8,"",C95+1)),"")</f>
        <v/>
      </c>
      <c r="E96" s="23" t="str">
        <f t="shared" si="29"/>
        <v/>
      </c>
      <c r="F96" s="13" t="str">
        <f>IF(C96="","",IF(E96&lt;&gt;"",E96*PAINEL!$H$7,0))</f>
        <v/>
      </c>
      <c r="G96" s="13" t="str">
        <f>IF(C96="","",IF(PAINEL!$A$4=1,K95/(QTDEParc-C95),IF(AND(PAINEL!$A$4=2,C96&lt;=MomentoContemplação),ValorParcelamento/QTDEParc,K95/(QTDEParc-C95))))</f>
        <v/>
      </c>
      <c r="H96" s="13" t="str">
        <f t="shared" si="30"/>
        <v/>
      </c>
      <c r="I96" s="32" t="str">
        <f t="shared" si="31"/>
        <v/>
      </c>
      <c r="J96" s="14" t="str">
        <f>IF(C96="","",IF(C96=MomentoContemplação,PAINEL!$P$10,0))</f>
        <v/>
      </c>
      <c r="K96" s="14" t="str">
        <f t="shared" si="32"/>
        <v/>
      </c>
      <c r="M96" s="51" t="str">
        <f t="shared" si="33"/>
        <v/>
      </c>
      <c r="N96" s="27" t="str">
        <f t="shared" si="37"/>
        <v/>
      </c>
      <c r="O96" s="27" t="str">
        <f>IF(C96="","",(I96*(1+M96))*(QTDEParc-CÁLCULO!C96)+$F$5-SUM($F$6:F96)-J96)</f>
        <v/>
      </c>
      <c r="P96" s="7" t="str">
        <f t="shared" si="34"/>
        <v/>
      </c>
      <c r="R96" s="44" t="str">
        <f t="shared" si="35"/>
        <v/>
      </c>
      <c r="S96" s="97"/>
      <c r="T96" s="28" t="str">
        <f t="shared" si="36"/>
        <v/>
      </c>
      <c r="U96" s="28" t="str">
        <f t="shared" si="24"/>
        <v/>
      </c>
      <c r="V96" s="7" t="str">
        <f t="shared" si="38"/>
        <v/>
      </c>
      <c r="W96" s="93" t="str">
        <f t="shared" si="43"/>
        <v/>
      </c>
      <c r="X96" s="28" t="str">
        <f t="shared" si="39"/>
        <v/>
      </c>
      <c r="Y96" s="28" t="str">
        <f t="shared" si="25"/>
        <v/>
      </c>
      <c r="Z96" s="28" t="str">
        <f t="shared" si="26"/>
        <v/>
      </c>
      <c r="AA96" s="28" t="str">
        <f t="shared" si="27"/>
        <v/>
      </c>
      <c r="AB96" s="28" t="str">
        <f t="shared" si="28"/>
        <v/>
      </c>
      <c r="AC96" s="28" t="str">
        <f t="shared" si="40"/>
        <v/>
      </c>
      <c r="AD96" s="27"/>
      <c r="AO96" s="145" t="str">
        <f t="shared" si="41"/>
        <v/>
      </c>
      <c r="AP96" s="144" t="str">
        <f t="shared" si="42"/>
        <v/>
      </c>
    </row>
    <row r="97" spans="3:42" x14ac:dyDescent="0.25">
      <c r="C97" s="12" t="str">
        <f>IFERROR(IF(AvisoErro&lt;&gt;"","",IF(C96+1&gt;PAINEL!$H$8,"",C96+1)),"")</f>
        <v/>
      </c>
      <c r="E97" s="23" t="str">
        <f t="shared" si="29"/>
        <v/>
      </c>
      <c r="F97" s="13" t="str">
        <f>IF(C97="","",IF(E97&lt;&gt;"",E97*PAINEL!$H$7,0))</f>
        <v/>
      </c>
      <c r="G97" s="13" t="str">
        <f>IF(C97="","",IF(PAINEL!$A$4=1,K96/(QTDEParc-C96),IF(AND(PAINEL!$A$4=2,C97&lt;=MomentoContemplação),ValorParcelamento/QTDEParc,K96/(QTDEParc-C96))))</f>
        <v/>
      </c>
      <c r="H97" s="13" t="str">
        <f t="shared" si="30"/>
        <v/>
      </c>
      <c r="I97" s="32" t="str">
        <f t="shared" si="31"/>
        <v/>
      </c>
      <c r="J97" s="14" t="str">
        <f>IF(C97="","",IF(C97=MomentoContemplação,PAINEL!$P$10,0))</f>
        <v/>
      </c>
      <c r="K97" s="14" t="str">
        <f t="shared" si="32"/>
        <v/>
      </c>
      <c r="M97" s="51" t="str">
        <f t="shared" si="33"/>
        <v/>
      </c>
      <c r="N97" s="27" t="str">
        <f t="shared" si="37"/>
        <v/>
      </c>
      <c r="O97" s="27" t="str">
        <f>IF(C97="","",(I97*(1+M97))*(QTDEParc-CÁLCULO!C97)+$F$5-SUM($F$6:F97)-J97)</f>
        <v/>
      </c>
      <c r="P97" s="7" t="str">
        <f t="shared" si="34"/>
        <v/>
      </c>
      <c r="R97" s="44" t="str">
        <f t="shared" si="35"/>
        <v/>
      </c>
      <c r="S97" s="97"/>
      <c r="T97" s="28" t="str">
        <f t="shared" si="36"/>
        <v/>
      </c>
      <c r="U97" s="28" t="str">
        <f t="shared" si="24"/>
        <v/>
      </c>
      <c r="V97" s="7" t="str">
        <f t="shared" si="38"/>
        <v/>
      </c>
      <c r="W97" s="93" t="str">
        <f t="shared" si="43"/>
        <v/>
      </c>
      <c r="X97" s="28" t="str">
        <f t="shared" si="39"/>
        <v/>
      </c>
      <c r="Y97" s="28" t="str">
        <f t="shared" si="25"/>
        <v/>
      </c>
      <c r="Z97" s="28" t="str">
        <f t="shared" si="26"/>
        <v/>
      </c>
      <c r="AA97" s="28" t="str">
        <f t="shared" si="27"/>
        <v/>
      </c>
      <c r="AB97" s="28" t="str">
        <f t="shared" si="28"/>
        <v/>
      </c>
      <c r="AC97" s="28" t="str">
        <f t="shared" si="40"/>
        <v/>
      </c>
      <c r="AD97" s="27"/>
      <c r="AO97" s="145" t="str">
        <f t="shared" si="41"/>
        <v/>
      </c>
      <c r="AP97" s="144" t="str">
        <f t="shared" si="42"/>
        <v/>
      </c>
    </row>
    <row r="98" spans="3:42" x14ac:dyDescent="0.25">
      <c r="C98" s="12" t="str">
        <f>IFERROR(IF(AvisoErro&lt;&gt;"","",IF(C97+1&gt;PAINEL!$H$8,"",C97+1)),"")</f>
        <v/>
      </c>
      <c r="E98" s="23" t="str">
        <f t="shared" si="29"/>
        <v/>
      </c>
      <c r="F98" s="13" t="str">
        <f>IF(C98="","",IF(E98&lt;&gt;"",E98*PAINEL!$H$7,0))</f>
        <v/>
      </c>
      <c r="G98" s="13" t="str">
        <f>IF(C98="","",IF(PAINEL!$A$4=1,K97/(QTDEParc-C97),IF(AND(PAINEL!$A$4=2,C98&lt;=MomentoContemplação),ValorParcelamento/QTDEParc,K97/(QTDEParc-C97))))</f>
        <v/>
      </c>
      <c r="H98" s="13" t="str">
        <f t="shared" si="30"/>
        <v/>
      </c>
      <c r="I98" s="32" t="str">
        <f t="shared" si="31"/>
        <v/>
      </c>
      <c r="J98" s="14" t="str">
        <f>IF(C98="","",IF(C98=MomentoContemplação,PAINEL!$P$10,0))</f>
        <v/>
      </c>
      <c r="K98" s="14" t="str">
        <f t="shared" si="32"/>
        <v/>
      </c>
      <c r="M98" s="51" t="str">
        <f t="shared" si="33"/>
        <v/>
      </c>
      <c r="N98" s="27" t="str">
        <f t="shared" si="37"/>
        <v/>
      </c>
      <c r="O98" s="27" t="str">
        <f>IF(C98="","",(I98*(1+M98))*(QTDEParc-CÁLCULO!C98)+$F$5-SUM($F$6:F98)-J98)</f>
        <v/>
      </c>
      <c r="P98" s="7" t="str">
        <f t="shared" si="34"/>
        <v/>
      </c>
      <c r="R98" s="44" t="str">
        <f t="shared" si="35"/>
        <v/>
      </c>
      <c r="S98" s="97"/>
      <c r="T98" s="28" t="str">
        <f t="shared" si="36"/>
        <v/>
      </c>
      <c r="U98" s="28" t="str">
        <f t="shared" si="24"/>
        <v/>
      </c>
      <c r="V98" s="7" t="str">
        <f t="shared" si="38"/>
        <v/>
      </c>
      <c r="W98" s="93" t="str">
        <f t="shared" si="43"/>
        <v/>
      </c>
      <c r="X98" s="28" t="str">
        <f t="shared" si="39"/>
        <v/>
      </c>
      <c r="Y98" s="28" t="str">
        <f t="shared" si="25"/>
        <v/>
      </c>
      <c r="Z98" s="28" t="str">
        <f t="shared" si="26"/>
        <v/>
      </c>
      <c r="AA98" s="28" t="str">
        <f t="shared" si="27"/>
        <v/>
      </c>
      <c r="AB98" s="28" t="str">
        <f t="shared" si="28"/>
        <v/>
      </c>
      <c r="AC98" s="28" t="str">
        <f t="shared" si="40"/>
        <v/>
      </c>
      <c r="AD98" s="27"/>
      <c r="AO98" s="145" t="str">
        <f t="shared" si="41"/>
        <v/>
      </c>
      <c r="AP98" s="144" t="str">
        <f t="shared" si="42"/>
        <v/>
      </c>
    </row>
    <row r="99" spans="3:42" x14ac:dyDescent="0.25">
      <c r="C99" s="12" t="str">
        <f>IFERROR(IF(AvisoErro&lt;&gt;"","",IF(C98+1&gt;PAINEL!$H$8,"",C98+1)),"")</f>
        <v/>
      </c>
      <c r="E99" s="23" t="str">
        <f t="shared" si="29"/>
        <v/>
      </c>
      <c r="F99" s="13" t="str">
        <f>IF(C99="","",IF(E99&lt;&gt;"",E99*PAINEL!$H$7,0))</f>
        <v/>
      </c>
      <c r="G99" s="13" t="str">
        <f>IF(C99="","",IF(PAINEL!$A$4=1,K98/(QTDEParc-C98),IF(AND(PAINEL!$A$4=2,C99&lt;=MomentoContemplação),ValorParcelamento/QTDEParc,K98/(QTDEParc-C98))))</f>
        <v/>
      </c>
      <c r="H99" s="13" t="str">
        <f t="shared" si="30"/>
        <v/>
      </c>
      <c r="I99" s="32" t="str">
        <f t="shared" si="31"/>
        <v/>
      </c>
      <c r="J99" s="14" t="str">
        <f>IF(C99="","",IF(C99=MomentoContemplação,PAINEL!$P$10,0))</f>
        <v/>
      </c>
      <c r="K99" s="14" t="str">
        <f t="shared" si="32"/>
        <v/>
      </c>
      <c r="M99" s="51" t="str">
        <f t="shared" si="33"/>
        <v/>
      </c>
      <c r="N99" s="27" t="str">
        <f t="shared" si="37"/>
        <v/>
      </c>
      <c r="O99" s="27" t="str">
        <f>IF(C99="","",(I99*(1+M99))*(QTDEParc-CÁLCULO!C99)+$F$5-SUM($F$6:F99)-J99)</f>
        <v/>
      </c>
      <c r="P99" s="7" t="str">
        <f t="shared" si="34"/>
        <v/>
      </c>
      <c r="R99" s="44" t="str">
        <f t="shared" si="35"/>
        <v/>
      </c>
      <c r="S99" s="97"/>
      <c r="T99" s="28" t="str">
        <f t="shared" si="36"/>
        <v/>
      </c>
      <c r="U99" s="28" t="str">
        <f t="shared" si="24"/>
        <v/>
      </c>
      <c r="V99" s="7" t="str">
        <f t="shared" si="38"/>
        <v/>
      </c>
      <c r="W99" s="93" t="str">
        <f t="shared" si="43"/>
        <v/>
      </c>
      <c r="X99" s="28" t="str">
        <f t="shared" si="39"/>
        <v/>
      </c>
      <c r="Y99" s="28" t="str">
        <f t="shared" si="25"/>
        <v/>
      </c>
      <c r="Z99" s="28" t="str">
        <f t="shared" si="26"/>
        <v/>
      </c>
      <c r="AA99" s="28" t="str">
        <f t="shared" si="27"/>
        <v/>
      </c>
      <c r="AB99" s="28" t="str">
        <f t="shared" si="28"/>
        <v/>
      </c>
      <c r="AC99" s="28" t="str">
        <f t="shared" si="40"/>
        <v/>
      </c>
      <c r="AD99" s="27"/>
      <c r="AO99" s="145" t="str">
        <f t="shared" si="41"/>
        <v/>
      </c>
      <c r="AP99" s="144" t="str">
        <f t="shared" si="42"/>
        <v/>
      </c>
    </row>
    <row r="100" spans="3:42" x14ac:dyDescent="0.25">
      <c r="C100" s="12" t="str">
        <f>IFERROR(IF(AvisoErro&lt;&gt;"","",IF(C99+1&gt;PAINEL!$H$8,"",C99+1)),"")</f>
        <v/>
      </c>
      <c r="E100" s="23" t="str">
        <f t="shared" si="29"/>
        <v/>
      </c>
      <c r="F100" s="13" t="str">
        <f>IF(C100="","",IF(E100&lt;&gt;"",E100*PAINEL!$H$7,0))</f>
        <v/>
      </c>
      <c r="G100" s="13" t="str">
        <f>IF(C100="","",IF(PAINEL!$A$4=1,K99/(QTDEParc-C99),IF(AND(PAINEL!$A$4=2,C100&lt;=MomentoContemplação),ValorParcelamento/QTDEParc,K99/(QTDEParc-C99))))</f>
        <v/>
      </c>
      <c r="H100" s="13" t="str">
        <f t="shared" si="30"/>
        <v/>
      </c>
      <c r="I100" s="32" t="str">
        <f t="shared" si="31"/>
        <v/>
      </c>
      <c r="J100" s="14" t="str">
        <f>IF(C100="","",IF(C100=MomentoContemplação,PAINEL!$P$10,0))</f>
        <v/>
      </c>
      <c r="K100" s="14" t="str">
        <f t="shared" si="32"/>
        <v/>
      </c>
      <c r="M100" s="51" t="str">
        <f t="shared" si="33"/>
        <v/>
      </c>
      <c r="N100" s="27" t="str">
        <f t="shared" si="37"/>
        <v/>
      </c>
      <c r="O100" s="27" t="str">
        <f>IF(C100="","",(I100*(1+M100))*(QTDEParc-CÁLCULO!C100)+$F$5-SUM($F$6:F100)-J100)</f>
        <v/>
      </c>
      <c r="P100" s="7" t="str">
        <f t="shared" si="34"/>
        <v/>
      </c>
      <c r="R100" s="44" t="str">
        <f t="shared" si="35"/>
        <v/>
      </c>
      <c r="S100" s="97"/>
      <c r="T100" s="28" t="str">
        <f t="shared" si="36"/>
        <v/>
      </c>
      <c r="U100" s="28" t="str">
        <f t="shared" si="24"/>
        <v/>
      </c>
      <c r="V100" s="7" t="str">
        <f t="shared" si="38"/>
        <v/>
      </c>
      <c r="W100" s="93" t="str">
        <f t="shared" si="43"/>
        <v/>
      </c>
      <c r="X100" s="28" t="str">
        <f t="shared" si="39"/>
        <v/>
      </c>
      <c r="Y100" s="28" t="str">
        <f t="shared" si="25"/>
        <v/>
      </c>
      <c r="Z100" s="28" t="str">
        <f t="shared" si="26"/>
        <v/>
      </c>
      <c r="AA100" s="28" t="str">
        <f t="shared" si="27"/>
        <v/>
      </c>
      <c r="AB100" s="28" t="str">
        <f t="shared" si="28"/>
        <v/>
      </c>
      <c r="AC100" s="28" t="str">
        <f t="shared" si="40"/>
        <v/>
      </c>
      <c r="AD100" s="27"/>
      <c r="AO100" s="145" t="str">
        <f t="shared" si="41"/>
        <v/>
      </c>
      <c r="AP100" s="144" t="str">
        <f t="shared" si="42"/>
        <v/>
      </c>
    </row>
    <row r="101" spans="3:42" x14ac:dyDescent="0.25">
      <c r="C101" s="12" t="str">
        <f>IFERROR(IF(AvisoErro&lt;&gt;"","",IF(C100+1&gt;PAINEL!$H$8,"",C100+1)),"")</f>
        <v/>
      </c>
      <c r="E101" s="23" t="str">
        <f t="shared" si="29"/>
        <v/>
      </c>
      <c r="F101" s="13" t="str">
        <f>IF(C101="","",IF(E101&lt;&gt;"",E101*PAINEL!$H$7,0))</f>
        <v/>
      </c>
      <c r="G101" s="13" t="str">
        <f>IF(C101="","",IF(PAINEL!$A$4=1,K100/(QTDEParc-C100),IF(AND(PAINEL!$A$4=2,C101&lt;=MomentoContemplação),ValorParcelamento/QTDEParc,K100/(QTDEParc-C100))))</f>
        <v/>
      </c>
      <c r="H101" s="13" t="str">
        <f t="shared" si="30"/>
        <v/>
      </c>
      <c r="I101" s="32" t="str">
        <f t="shared" si="31"/>
        <v/>
      </c>
      <c r="J101" s="14" t="str">
        <f>IF(C101="","",IF(C101=MomentoContemplação,PAINEL!$P$10,0))</f>
        <v/>
      </c>
      <c r="K101" s="14" t="str">
        <f t="shared" si="32"/>
        <v/>
      </c>
      <c r="M101" s="51" t="str">
        <f t="shared" si="33"/>
        <v/>
      </c>
      <c r="N101" s="27" t="str">
        <f t="shared" si="37"/>
        <v/>
      </c>
      <c r="O101" s="27" t="str">
        <f>IF(C101="","",(I101*(1+M101))*(QTDEParc-CÁLCULO!C101)+$F$5-SUM($F$6:F101)-J101)</f>
        <v/>
      </c>
      <c r="P101" s="7" t="str">
        <f t="shared" si="34"/>
        <v/>
      </c>
      <c r="R101" s="44" t="str">
        <f t="shared" si="35"/>
        <v/>
      </c>
      <c r="S101" s="97"/>
      <c r="T101" s="28" t="str">
        <f t="shared" si="36"/>
        <v/>
      </c>
      <c r="U101" s="28" t="str">
        <f t="shared" si="24"/>
        <v/>
      </c>
      <c r="V101" s="7" t="str">
        <f t="shared" si="38"/>
        <v/>
      </c>
      <c r="W101" s="93" t="str">
        <f t="shared" si="43"/>
        <v/>
      </c>
      <c r="X101" s="28" t="str">
        <f t="shared" si="39"/>
        <v/>
      </c>
      <c r="Y101" s="28" t="str">
        <f t="shared" si="25"/>
        <v/>
      </c>
      <c r="Z101" s="28" t="str">
        <f t="shared" si="26"/>
        <v/>
      </c>
      <c r="AA101" s="28" t="str">
        <f t="shared" si="27"/>
        <v/>
      </c>
      <c r="AB101" s="28" t="str">
        <f t="shared" si="28"/>
        <v/>
      </c>
      <c r="AC101" s="28" t="str">
        <f t="shared" si="40"/>
        <v/>
      </c>
      <c r="AD101" s="27"/>
      <c r="AO101" s="145" t="str">
        <f t="shared" si="41"/>
        <v/>
      </c>
      <c r="AP101" s="144" t="str">
        <f t="shared" si="42"/>
        <v/>
      </c>
    </row>
    <row r="102" spans="3:42" x14ac:dyDescent="0.25">
      <c r="C102" s="12" t="str">
        <f>IFERROR(IF(AvisoErro&lt;&gt;"","",IF(C101+1&gt;PAINEL!$H$8,"",C101+1)),"")</f>
        <v/>
      </c>
      <c r="E102" s="23" t="str">
        <f t="shared" si="29"/>
        <v/>
      </c>
      <c r="F102" s="13" t="str">
        <f>IF(C102="","",IF(E102&lt;&gt;"",E102*PAINEL!$H$7,0))</f>
        <v/>
      </c>
      <c r="G102" s="13" t="str">
        <f>IF(C102="","",IF(PAINEL!$A$4=1,K101/(QTDEParc-C101),IF(AND(PAINEL!$A$4=2,C102&lt;=MomentoContemplação),ValorParcelamento/QTDEParc,K101/(QTDEParc-C101))))</f>
        <v/>
      </c>
      <c r="H102" s="13" t="str">
        <f t="shared" si="30"/>
        <v/>
      </c>
      <c r="I102" s="32" t="str">
        <f t="shared" si="31"/>
        <v/>
      </c>
      <c r="J102" s="14" t="str">
        <f>IF(C102="","",IF(C102=MomentoContemplação,PAINEL!$P$10,0))</f>
        <v/>
      </c>
      <c r="K102" s="14" t="str">
        <f t="shared" si="32"/>
        <v/>
      </c>
      <c r="M102" s="51" t="str">
        <f t="shared" si="33"/>
        <v/>
      </c>
      <c r="N102" s="27" t="str">
        <f t="shared" si="37"/>
        <v/>
      </c>
      <c r="O102" s="27" t="str">
        <f>IF(C102="","",(I102*(1+M102))*(QTDEParc-CÁLCULO!C102)+$F$5-SUM($F$6:F102)-J102)</f>
        <v/>
      </c>
      <c r="P102" s="7" t="str">
        <f t="shared" si="34"/>
        <v/>
      </c>
      <c r="R102" s="44" t="str">
        <f t="shared" si="35"/>
        <v/>
      </c>
      <c r="S102" s="97"/>
      <c r="T102" s="28" t="str">
        <f t="shared" si="36"/>
        <v/>
      </c>
      <c r="U102" s="28" t="str">
        <f t="shared" si="24"/>
        <v/>
      </c>
      <c r="V102" s="7" t="str">
        <f t="shared" si="38"/>
        <v/>
      </c>
      <c r="W102" s="93" t="str">
        <f t="shared" si="43"/>
        <v/>
      </c>
      <c r="X102" s="28" t="str">
        <f t="shared" si="39"/>
        <v/>
      </c>
      <c r="Y102" s="28" t="str">
        <f t="shared" si="25"/>
        <v/>
      </c>
      <c r="Z102" s="28" t="str">
        <f t="shared" si="26"/>
        <v/>
      </c>
      <c r="AA102" s="28" t="str">
        <f t="shared" si="27"/>
        <v/>
      </c>
      <c r="AB102" s="28" t="str">
        <f t="shared" si="28"/>
        <v/>
      </c>
      <c r="AC102" s="28" t="str">
        <f t="shared" si="40"/>
        <v/>
      </c>
      <c r="AD102" s="27"/>
      <c r="AO102" s="145" t="str">
        <f t="shared" si="41"/>
        <v/>
      </c>
      <c r="AP102" s="144" t="str">
        <f t="shared" si="42"/>
        <v/>
      </c>
    </row>
    <row r="103" spans="3:42" x14ac:dyDescent="0.25">
      <c r="C103" s="12" t="str">
        <f>IFERROR(IF(AvisoErro&lt;&gt;"","",IF(C102+1&gt;PAINEL!$H$8,"",C102+1)),"")</f>
        <v/>
      </c>
      <c r="E103" s="23" t="str">
        <f t="shared" si="29"/>
        <v/>
      </c>
      <c r="F103" s="13" t="str">
        <f>IF(C103="","",IF(E103&lt;&gt;"",E103*PAINEL!$H$7,0))</f>
        <v/>
      </c>
      <c r="G103" s="13" t="str">
        <f>IF(C103="","",IF(PAINEL!$A$4=1,K102/(QTDEParc-C102),IF(AND(PAINEL!$A$4=2,C103&lt;=MomentoContemplação),ValorParcelamento/QTDEParc,K102/(QTDEParc-C102))))</f>
        <v/>
      </c>
      <c r="H103" s="13" t="str">
        <f t="shared" si="30"/>
        <v/>
      </c>
      <c r="I103" s="32" t="str">
        <f t="shared" si="31"/>
        <v/>
      </c>
      <c r="J103" s="14" t="str">
        <f>IF(C103="","",IF(C103=MomentoContemplação,PAINEL!$P$10,0))</f>
        <v/>
      </c>
      <c r="K103" s="14" t="str">
        <f t="shared" si="32"/>
        <v/>
      </c>
      <c r="M103" s="51" t="str">
        <f t="shared" si="33"/>
        <v/>
      </c>
      <c r="N103" s="27" t="str">
        <f t="shared" si="37"/>
        <v/>
      </c>
      <c r="O103" s="27" t="str">
        <f>IF(C103="","",(I103*(1+M103))*(QTDEParc-CÁLCULO!C103)+$F$5-SUM($F$6:F103)-J103)</f>
        <v/>
      </c>
      <c r="P103" s="7" t="str">
        <f t="shared" si="34"/>
        <v/>
      </c>
      <c r="R103" s="44" t="str">
        <f t="shared" si="35"/>
        <v/>
      </c>
      <c r="S103" s="97"/>
      <c r="T103" s="28" t="str">
        <f t="shared" si="36"/>
        <v/>
      </c>
      <c r="U103" s="28" t="str">
        <f t="shared" si="24"/>
        <v/>
      </c>
      <c r="V103" s="7" t="str">
        <f t="shared" si="38"/>
        <v/>
      </c>
      <c r="W103" s="93" t="str">
        <f t="shared" si="43"/>
        <v/>
      </c>
      <c r="X103" s="28" t="str">
        <f t="shared" si="39"/>
        <v/>
      </c>
      <c r="Y103" s="28" t="str">
        <f t="shared" si="25"/>
        <v/>
      </c>
      <c r="Z103" s="28" t="str">
        <f t="shared" si="26"/>
        <v/>
      </c>
      <c r="AA103" s="28" t="str">
        <f t="shared" si="27"/>
        <v/>
      </c>
      <c r="AB103" s="28" t="str">
        <f t="shared" si="28"/>
        <v/>
      </c>
      <c r="AC103" s="28" t="str">
        <f t="shared" si="40"/>
        <v/>
      </c>
      <c r="AD103" s="27"/>
      <c r="AO103" s="145" t="str">
        <f t="shared" si="41"/>
        <v/>
      </c>
      <c r="AP103" s="144" t="str">
        <f t="shared" si="42"/>
        <v/>
      </c>
    </row>
    <row r="104" spans="3:42" x14ac:dyDescent="0.25">
      <c r="C104" s="12" t="str">
        <f>IFERROR(IF(AvisoErro&lt;&gt;"","",IF(C103+1&gt;PAINEL!$H$8,"",C103+1)),"")</f>
        <v/>
      </c>
      <c r="E104" s="23" t="str">
        <f t="shared" si="29"/>
        <v/>
      </c>
      <c r="F104" s="13" t="str">
        <f>IF(C104="","",IF(E104&lt;&gt;"",E104*PAINEL!$H$7,0))</f>
        <v/>
      </c>
      <c r="G104" s="13" t="str">
        <f>IF(C104="","",IF(PAINEL!$A$4=1,K103/(QTDEParc-C103),IF(AND(PAINEL!$A$4=2,C104&lt;=MomentoContemplação),ValorParcelamento/QTDEParc,K103/(QTDEParc-C103))))</f>
        <v/>
      </c>
      <c r="H104" s="13" t="str">
        <f t="shared" si="30"/>
        <v/>
      </c>
      <c r="I104" s="32" t="str">
        <f t="shared" si="31"/>
        <v/>
      </c>
      <c r="J104" s="14" t="str">
        <f>IF(C104="","",IF(C104=MomentoContemplação,PAINEL!$P$10,0))</f>
        <v/>
      </c>
      <c r="K104" s="14" t="str">
        <f t="shared" si="32"/>
        <v/>
      </c>
      <c r="M104" s="51" t="str">
        <f t="shared" si="33"/>
        <v/>
      </c>
      <c r="N104" s="27" t="str">
        <f t="shared" si="37"/>
        <v/>
      </c>
      <c r="O104" s="27" t="str">
        <f>IF(C104="","",(I104*(1+M104))*(QTDEParc-CÁLCULO!C104)+$F$5-SUM($F$6:F104)-J104)</f>
        <v/>
      </c>
      <c r="P104" s="7" t="str">
        <f t="shared" si="34"/>
        <v/>
      </c>
      <c r="R104" s="44" t="str">
        <f t="shared" si="35"/>
        <v/>
      </c>
      <c r="S104" s="97"/>
      <c r="T104" s="28" t="str">
        <f t="shared" si="36"/>
        <v/>
      </c>
      <c r="U104" s="28" t="str">
        <f t="shared" si="24"/>
        <v/>
      </c>
      <c r="V104" s="7" t="str">
        <f t="shared" si="38"/>
        <v/>
      </c>
      <c r="W104" s="93" t="str">
        <f t="shared" si="43"/>
        <v/>
      </c>
      <c r="X104" s="28" t="str">
        <f t="shared" si="39"/>
        <v/>
      </c>
      <c r="Y104" s="28" t="str">
        <f t="shared" si="25"/>
        <v/>
      </c>
      <c r="Z104" s="28" t="str">
        <f t="shared" si="26"/>
        <v/>
      </c>
      <c r="AA104" s="28" t="str">
        <f t="shared" si="27"/>
        <v/>
      </c>
      <c r="AB104" s="28" t="str">
        <f t="shared" si="28"/>
        <v/>
      </c>
      <c r="AC104" s="28" t="str">
        <f t="shared" si="40"/>
        <v/>
      </c>
      <c r="AD104" s="27"/>
      <c r="AO104" s="145" t="str">
        <f t="shared" si="41"/>
        <v/>
      </c>
      <c r="AP104" s="144" t="str">
        <f t="shared" si="42"/>
        <v/>
      </c>
    </row>
    <row r="105" spans="3:42" x14ac:dyDescent="0.25">
      <c r="C105" s="12" t="str">
        <f>IFERROR(IF(AvisoErro&lt;&gt;"","",IF(C104+1&gt;PAINEL!$H$8,"",C104+1)),"")</f>
        <v/>
      </c>
      <c r="E105" s="23" t="str">
        <f t="shared" si="29"/>
        <v/>
      </c>
      <c r="F105" s="13" t="str">
        <f>IF(C105="","",IF(E105&lt;&gt;"",E105*PAINEL!$H$7,0))</f>
        <v/>
      </c>
      <c r="G105" s="13" t="str">
        <f>IF(C105="","",IF(PAINEL!$A$4=1,K104/(QTDEParc-C104),IF(AND(PAINEL!$A$4=2,C105&lt;=MomentoContemplação),ValorParcelamento/QTDEParc,K104/(QTDEParc-C104))))</f>
        <v/>
      </c>
      <c r="H105" s="13" t="str">
        <f t="shared" si="30"/>
        <v/>
      </c>
      <c r="I105" s="32" t="str">
        <f t="shared" si="31"/>
        <v/>
      </c>
      <c r="J105" s="14" t="str">
        <f>IF(C105="","",IF(C105=MomentoContemplação,PAINEL!$P$10,0))</f>
        <v/>
      </c>
      <c r="K105" s="14" t="str">
        <f t="shared" si="32"/>
        <v/>
      </c>
      <c r="M105" s="51" t="str">
        <f t="shared" si="33"/>
        <v/>
      </c>
      <c r="N105" s="27" t="str">
        <f t="shared" si="37"/>
        <v/>
      </c>
      <c r="O105" s="27" t="str">
        <f>IF(C105="","",(I105*(1+M105))*(QTDEParc-CÁLCULO!C105)+$F$5-SUM($F$6:F105)-J105)</f>
        <v/>
      </c>
      <c r="P105" s="7" t="str">
        <f t="shared" si="34"/>
        <v/>
      </c>
      <c r="R105" s="44" t="str">
        <f t="shared" si="35"/>
        <v/>
      </c>
      <c r="S105" s="97"/>
      <c r="T105" s="28" t="str">
        <f t="shared" si="36"/>
        <v/>
      </c>
      <c r="U105" s="28" t="str">
        <f t="shared" si="24"/>
        <v/>
      </c>
      <c r="V105" s="7" t="str">
        <f t="shared" si="38"/>
        <v/>
      </c>
      <c r="W105" s="93" t="str">
        <f t="shared" si="43"/>
        <v/>
      </c>
      <c r="X105" s="28" t="str">
        <f t="shared" si="39"/>
        <v/>
      </c>
      <c r="Y105" s="28" t="str">
        <f t="shared" si="25"/>
        <v/>
      </c>
      <c r="Z105" s="28" t="str">
        <f t="shared" si="26"/>
        <v/>
      </c>
      <c r="AA105" s="28" t="str">
        <f t="shared" si="27"/>
        <v/>
      </c>
      <c r="AB105" s="28" t="str">
        <f t="shared" si="28"/>
        <v/>
      </c>
      <c r="AC105" s="28" t="str">
        <f t="shared" si="40"/>
        <v/>
      </c>
      <c r="AD105" s="27"/>
      <c r="AO105" s="145" t="str">
        <f t="shared" si="41"/>
        <v/>
      </c>
      <c r="AP105" s="144" t="str">
        <f t="shared" si="42"/>
        <v/>
      </c>
    </row>
    <row r="106" spans="3:42" x14ac:dyDescent="0.25">
      <c r="C106" s="12" t="str">
        <f>IFERROR(IF(AvisoErro&lt;&gt;"","",IF(C105+1&gt;PAINEL!$H$8,"",C105+1)),"")</f>
        <v/>
      </c>
      <c r="E106" s="23" t="str">
        <f t="shared" si="29"/>
        <v/>
      </c>
      <c r="F106" s="13" t="str">
        <f>IF(C106="","",IF(E106&lt;&gt;"",E106*PAINEL!$H$7,0))</f>
        <v/>
      </c>
      <c r="G106" s="13" t="str">
        <f>IF(C106="","",IF(PAINEL!$A$4=1,K105/(QTDEParc-C105),IF(AND(PAINEL!$A$4=2,C106&lt;=MomentoContemplação),ValorParcelamento/QTDEParc,K105/(QTDEParc-C105))))</f>
        <v/>
      </c>
      <c r="H106" s="13" t="str">
        <f t="shared" si="30"/>
        <v/>
      </c>
      <c r="I106" s="32" t="str">
        <f t="shared" si="31"/>
        <v/>
      </c>
      <c r="J106" s="14" t="str">
        <f>IF(C106="","",IF(C106=MomentoContemplação,PAINEL!$P$10,0))</f>
        <v/>
      </c>
      <c r="K106" s="14" t="str">
        <f t="shared" si="32"/>
        <v/>
      </c>
      <c r="M106" s="51" t="str">
        <f t="shared" si="33"/>
        <v/>
      </c>
      <c r="N106" s="27" t="str">
        <f t="shared" si="37"/>
        <v/>
      </c>
      <c r="O106" s="27" t="str">
        <f>IF(C106="","",(I106*(1+M106))*(QTDEParc-CÁLCULO!C106)+$F$5-SUM($F$6:F106)-J106)</f>
        <v/>
      </c>
      <c r="P106" s="7" t="str">
        <f t="shared" si="34"/>
        <v/>
      </c>
      <c r="R106" s="44" t="str">
        <f t="shared" si="35"/>
        <v/>
      </c>
      <c r="S106" s="97"/>
      <c r="T106" s="28" t="str">
        <f t="shared" si="36"/>
        <v/>
      </c>
      <c r="U106" s="28" t="str">
        <f t="shared" si="24"/>
        <v/>
      </c>
      <c r="V106" s="7" t="str">
        <f t="shared" si="38"/>
        <v/>
      </c>
      <c r="W106" s="93" t="str">
        <f t="shared" si="43"/>
        <v/>
      </c>
      <c r="X106" s="28" t="str">
        <f t="shared" si="39"/>
        <v/>
      </c>
      <c r="Y106" s="28" t="str">
        <f t="shared" si="25"/>
        <v/>
      </c>
      <c r="Z106" s="28" t="str">
        <f t="shared" si="26"/>
        <v/>
      </c>
      <c r="AA106" s="28" t="str">
        <f t="shared" si="27"/>
        <v/>
      </c>
      <c r="AB106" s="28" t="str">
        <f t="shared" si="28"/>
        <v/>
      </c>
      <c r="AC106" s="28" t="str">
        <f t="shared" si="40"/>
        <v/>
      </c>
      <c r="AD106" s="27"/>
      <c r="AO106" s="145" t="str">
        <f t="shared" si="41"/>
        <v/>
      </c>
      <c r="AP106" s="144" t="str">
        <f t="shared" si="42"/>
        <v/>
      </c>
    </row>
    <row r="107" spans="3:42" x14ac:dyDescent="0.25">
      <c r="C107" s="12" t="str">
        <f>IFERROR(IF(AvisoErro&lt;&gt;"","",IF(C106+1&gt;PAINEL!$H$8,"",C106+1)),"")</f>
        <v/>
      </c>
      <c r="E107" s="23" t="str">
        <f t="shared" si="29"/>
        <v/>
      </c>
      <c r="F107" s="13" t="str">
        <f>IF(C107="","",IF(E107&lt;&gt;"",E107*PAINEL!$H$7,0))</f>
        <v/>
      </c>
      <c r="G107" s="13" t="str">
        <f>IF(C107="","",IF(PAINEL!$A$4=1,K106/(QTDEParc-C106),IF(AND(PAINEL!$A$4=2,C107&lt;=MomentoContemplação),ValorParcelamento/QTDEParc,K106/(QTDEParc-C106))))</f>
        <v/>
      </c>
      <c r="H107" s="13" t="str">
        <f t="shared" si="30"/>
        <v/>
      </c>
      <c r="I107" s="32" t="str">
        <f t="shared" si="31"/>
        <v/>
      </c>
      <c r="J107" s="14" t="str">
        <f>IF(C107="","",IF(C107=MomentoContemplação,PAINEL!$P$10,0))</f>
        <v/>
      </c>
      <c r="K107" s="14" t="str">
        <f t="shared" si="32"/>
        <v/>
      </c>
      <c r="M107" s="51" t="str">
        <f t="shared" si="33"/>
        <v/>
      </c>
      <c r="N107" s="27" t="str">
        <f t="shared" si="37"/>
        <v/>
      </c>
      <c r="O107" s="27" t="str">
        <f>IF(C107="","",(I107*(1+M107))*(QTDEParc-CÁLCULO!C107)+$F$5-SUM($F$6:F107)-J107)</f>
        <v/>
      </c>
      <c r="P107" s="7" t="str">
        <f t="shared" si="34"/>
        <v/>
      </c>
      <c r="R107" s="44" t="str">
        <f t="shared" si="35"/>
        <v/>
      </c>
      <c r="S107" s="97"/>
      <c r="T107" s="28" t="str">
        <f t="shared" si="36"/>
        <v/>
      </c>
      <c r="U107" s="28" t="str">
        <f t="shared" si="24"/>
        <v/>
      </c>
      <c r="V107" s="7" t="str">
        <f t="shared" si="38"/>
        <v/>
      </c>
      <c r="W107" s="93" t="str">
        <f t="shared" si="43"/>
        <v/>
      </c>
      <c r="X107" s="28" t="str">
        <f t="shared" si="39"/>
        <v/>
      </c>
      <c r="Y107" s="28" t="str">
        <f t="shared" si="25"/>
        <v/>
      </c>
      <c r="Z107" s="28" t="str">
        <f t="shared" si="26"/>
        <v/>
      </c>
      <c r="AA107" s="28" t="str">
        <f t="shared" si="27"/>
        <v/>
      </c>
      <c r="AB107" s="28" t="str">
        <f t="shared" si="28"/>
        <v/>
      </c>
      <c r="AC107" s="28" t="str">
        <f t="shared" si="40"/>
        <v/>
      </c>
      <c r="AD107" s="27"/>
      <c r="AO107" s="145" t="str">
        <f t="shared" si="41"/>
        <v/>
      </c>
      <c r="AP107" s="144" t="str">
        <f t="shared" si="42"/>
        <v/>
      </c>
    </row>
    <row r="108" spans="3:42" x14ac:dyDescent="0.25">
      <c r="C108" s="12" t="str">
        <f>IFERROR(IF(AvisoErro&lt;&gt;"","",IF(C107+1&gt;PAINEL!$H$8,"",C107+1)),"")</f>
        <v/>
      </c>
      <c r="E108" s="23" t="str">
        <f t="shared" si="29"/>
        <v/>
      </c>
      <c r="F108" s="13" t="str">
        <f>IF(C108="","",IF(E108&lt;&gt;"",E108*PAINEL!$H$7,0))</f>
        <v/>
      </c>
      <c r="G108" s="13" t="str">
        <f>IF(C108="","",IF(PAINEL!$A$4=1,K107/(QTDEParc-C107),IF(AND(PAINEL!$A$4=2,C108&lt;=MomentoContemplação),ValorParcelamento/QTDEParc,K107/(QTDEParc-C107))))</f>
        <v/>
      </c>
      <c r="H108" s="13" t="str">
        <f t="shared" si="30"/>
        <v/>
      </c>
      <c r="I108" s="32" t="str">
        <f t="shared" si="31"/>
        <v/>
      </c>
      <c r="J108" s="14" t="str">
        <f>IF(C108="","",IF(C108=MomentoContemplação,PAINEL!$P$10,0))</f>
        <v/>
      </c>
      <c r="K108" s="14" t="str">
        <f t="shared" si="32"/>
        <v/>
      </c>
      <c r="M108" s="51" t="str">
        <f t="shared" si="33"/>
        <v/>
      </c>
      <c r="N108" s="27" t="str">
        <f t="shared" si="37"/>
        <v/>
      </c>
      <c r="O108" s="27" t="str">
        <f>IF(C108="","",(I108*(1+M108))*(QTDEParc-CÁLCULO!C108)+$F$5-SUM($F$6:F108)-J108)</f>
        <v/>
      </c>
      <c r="P108" s="7" t="str">
        <f t="shared" si="34"/>
        <v/>
      </c>
      <c r="R108" s="44" t="str">
        <f t="shared" si="35"/>
        <v/>
      </c>
      <c r="S108" s="97"/>
      <c r="T108" s="28" t="str">
        <f t="shared" si="36"/>
        <v/>
      </c>
      <c r="U108" s="28" t="str">
        <f t="shared" si="24"/>
        <v/>
      </c>
      <c r="V108" s="7" t="str">
        <f t="shared" si="38"/>
        <v/>
      </c>
      <c r="W108" s="93" t="str">
        <f t="shared" si="43"/>
        <v/>
      </c>
      <c r="X108" s="28" t="str">
        <f t="shared" si="39"/>
        <v/>
      </c>
      <c r="Y108" s="28" t="str">
        <f t="shared" si="25"/>
        <v/>
      </c>
      <c r="Z108" s="28" t="str">
        <f t="shared" si="26"/>
        <v/>
      </c>
      <c r="AA108" s="28" t="str">
        <f t="shared" si="27"/>
        <v/>
      </c>
      <c r="AB108" s="28" t="str">
        <f t="shared" si="28"/>
        <v/>
      </c>
      <c r="AC108" s="28" t="str">
        <f t="shared" si="40"/>
        <v/>
      </c>
      <c r="AD108" s="27"/>
      <c r="AO108" s="145" t="str">
        <f t="shared" si="41"/>
        <v/>
      </c>
      <c r="AP108" s="144" t="str">
        <f t="shared" si="42"/>
        <v/>
      </c>
    </row>
    <row r="109" spans="3:42" x14ac:dyDescent="0.25">
      <c r="C109" s="12" t="str">
        <f>IFERROR(IF(AvisoErro&lt;&gt;"","",IF(C108+1&gt;PAINEL!$H$8,"",C108+1)),"")</f>
        <v/>
      </c>
      <c r="E109" s="23" t="str">
        <f t="shared" si="29"/>
        <v/>
      </c>
      <c r="F109" s="13" t="str">
        <f>IF(C109="","",IF(E109&lt;&gt;"",E109*PAINEL!$H$7,0))</f>
        <v/>
      </c>
      <c r="G109" s="13" t="str">
        <f>IF(C109="","",IF(PAINEL!$A$4=1,K108/(QTDEParc-C108),IF(AND(PAINEL!$A$4=2,C109&lt;=MomentoContemplação),ValorParcelamento/QTDEParc,K108/(QTDEParc-C108))))</f>
        <v/>
      </c>
      <c r="H109" s="13" t="str">
        <f t="shared" si="30"/>
        <v/>
      </c>
      <c r="I109" s="32" t="str">
        <f t="shared" si="31"/>
        <v/>
      </c>
      <c r="J109" s="14" t="str">
        <f>IF(C109="","",IF(C109=MomentoContemplação,PAINEL!$P$10,0))</f>
        <v/>
      </c>
      <c r="K109" s="14" t="str">
        <f t="shared" si="32"/>
        <v/>
      </c>
      <c r="M109" s="51" t="str">
        <f t="shared" si="33"/>
        <v/>
      </c>
      <c r="N109" s="27" t="str">
        <f t="shared" si="37"/>
        <v/>
      </c>
      <c r="O109" s="27" t="str">
        <f>IF(C109="","",(I109*(1+M109))*(QTDEParc-CÁLCULO!C109)+$F$5-SUM($F$6:F109)-J109)</f>
        <v/>
      </c>
      <c r="P109" s="7" t="str">
        <f t="shared" si="34"/>
        <v/>
      </c>
      <c r="R109" s="44" t="str">
        <f t="shared" si="35"/>
        <v/>
      </c>
      <c r="S109" s="97"/>
      <c r="T109" s="28" t="str">
        <f t="shared" si="36"/>
        <v/>
      </c>
      <c r="U109" s="28" t="str">
        <f t="shared" si="24"/>
        <v/>
      </c>
      <c r="V109" s="7" t="str">
        <f t="shared" si="38"/>
        <v/>
      </c>
      <c r="W109" s="93" t="str">
        <f t="shared" si="43"/>
        <v/>
      </c>
      <c r="X109" s="28" t="str">
        <f t="shared" si="39"/>
        <v/>
      </c>
      <c r="Y109" s="28" t="str">
        <f t="shared" si="25"/>
        <v/>
      </c>
      <c r="Z109" s="28" t="str">
        <f t="shared" si="26"/>
        <v/>
      </c>
      <c r="AA109" s="28" t="str">
        <f t="shared" si="27"/>
        <v/>
      </c>
      <c r="AB109" s="28" t="str">
        <f t="shared" si="28"/>
        <v/>
      </c>
      <c r="AC109" s="28" t="str">
        <f t="shared" si="40"/>
        <v/>
      </c>
      <c r="AD109" s="27"/>
      <c r="AO109" s="145" t="str">
        <f t="shared" si="41"/>
        <v/>
      </c>
      <c r="AP109" s="144" t="str">
        <f t="shared" si="42"/>
        <v/>
      </c>
    </row>
    <row r="110" spans="3:42" x14ac:dyDescent="0.25">
      <c r="C110" s="12" t="str">
        <f>IFERROR(IF(AvisoErro&lt;&gt;"","",IF(C109+1&gt;PAINEL!$H$8,"",C109+1)),"")</f>
        <v/>
      </c>
      <c r="E110" s="23" t="str">
        <f t="shared" si="29"/>
        <v/>
      </c>
      <c r="F110" s="13" t="str">
        <f>IF(C110="","",IF(E110&lt;&gt;"",E110*PAINEL!$H$7,0))</f>
        <v/>
      </c>
      <c r="G110" s="13" t="str">
        <f>IF(C110="","",IF(PAINEL!$A$4=1,K109/(QTDEParc-C109),IF(AND(PAINEL!$A$4=2,C110&lt;=MomentoContemplação),ValorParcelamento/QTDEParc,K109/(QTDEParc-C109))))</f>
        <v/>
      </c>
      <c r="H110" s="13" t="str">
        <f t="shared" si="30"/>
        <v/>
      </c>
      <c r="I110" s="32" t="str">
        <f t="shared" si="31"/>
        <v/>
      </c>
      <c r="J110" s="14" t="str">
        <f>IF(C110="","",IF(C110=MomentoContemplação,PAINEL!$P$10,0))</f>
        <v/>
      </c>
      <c r="K110" s="14" t="str">
        <f t="shared" si="32"/>
        <v/>
      </c>
      <c r="M110" s="51" t="str">
        <f t="shared" si="33"/>
        <v/>
      </c>
      <c r="N110" s="27" t="str">
        <f t="shared" si="37"/>
        <v/>
      </c>
      <c r="O110" s="27" t="str">
        <f>IF(C110="","",(I110*(1+M110))*(QTDEParc-CÁLCULO!C110)+$F$5-SUM($F$6:F110)-J110)</f>
        <v/>
      </c>
      <c r="P110" s="7" t="str">
        <f t="shared" si="34"/>
        <v/>
      </c>
      <c r="R110" s="44" t="str">
        <f t="shared" si="35"/>
        <v/>
      </c>
      <c r="S110" s="97"/>
      <c r="T110" s="28" t="str">
        <f t="shared" si="36"/>
        <v/>
      </c>
      <c r="U110" s="28" t="str">
        <f t="shared" si="24"/>
        <v/>
      </c>
      <c r="V110" s="7" t="str">
        <f t="shared" si="38"/>
        <v/>
      </c>
      <c r="W110" s="93" t="str">
        <f t="shared" si="43"/>
        <v/>
      </c>
      <c r="X110" s="28" t="str">
        <f t="shared" si="39"/>
        <v/>
      </c>
      <c r="Y110" s="28" t="str">
        <f t="shared" si="25"/>
        <v/>
      </c>
      <c r="Z110" s="28" t="str">
        <f t="shared" si="26"/>
        <v/>
      </c>
      <c r="AA110" s="28" t="str">
        <f t="shared" si="27"/>
        <v/>
      </c>
      <c r="AB110" s="28" t="str">
        <f t="shared" si="28"/>
        <v/>
      </c>
      <c r="AC110" s="28" t="str">
        <f t="shared" si="40"/>
        <v/>
      </c>
      <c r="AD110" s="27"/>
      <c r="AO110" s="145" t="str">
        <f t="shared" si="41"/>
        <v/>
      </c>
      <c r="AP110" s="144" t="str">
        <f t="shared" si="42"/>
        <v/>
      </c>
    </row>
    <row r="111" spans="3:42" x14ac:dyDescent="0.25">
      <c r="C111" s="12" t="str">
        <f>IFERROR(IF(AvisoErro&lt;&gt;"","",IF(C110+1&gt;PAINEL!$H$8,"",C110+1)),"")</f>
        <v/>
      </c>
      <c r="E111" s="23" t="str">
        <f t="shared" si="29"/>
        <v/>
      </c>
      <c r="F111" s="13" t="str">
        <f>IF(C111="","",IF(E111&lt;&gt;"",E111*PAINEL!$H$7,0))</f>
        <v/>
      </c>
      <c r="G111" s="13" t="str">
        <f>IF(C111="","",IF(PAINEL!$A$4=1,K110/(QTDEParc-C110),IF(AND(PAINEL!$A$4=2,C111&lt;=MomentoContemplação),ValorParcelamento/QTDEParc,K110/(QTDEParc-C110))))</f>
        <v/>
      </c>
      <c r="H111" s="13" t="str">
        <f t="shared" si="30"/>
        <v/>
      </c>
      <c r="I111" s="32" t="str">
        <f t="shared" si="31"/>
        <v/>
      </c>
      <c r="J111" s="14" t="str">
        <f>IF(C111="","",IF(C111=MomentoContemplação,PAINEL!$P$10,0))</f>
        <v/>
      </c>
      <c r="K111" s="14" t="str">
        <f t="shared" si="32"/>
        <v/>
      </c>
      <c r="M111" s="51" t="str">
        <f t="shared" si="33"/>
        <v/>
      </c>
      <c r="N111" s="27" t="str">
        <f t="shared" si="37"/>
        <v/>
      </c>
      <c r="O111" s="27" t="str">
        <f>IF(C111="","",(I111*(1+M111))*(QTDEParc-CÁLCULO!C111)+$F$5-SUM($F$6:F111)-J111)</f>
        <v/>
      </c>
      <c r="P111" s="7" t="str">
        <f t="shared" si="34"/>
        <v/>
      </c>
      <c r="R111" s="44" t="str">
        <f t="shared" si="35"/>
        <v/>
      </c>
      <c r="S111" s="97"/>
      <c r="T111" s="28" t="str">
        <f t="shared" si="36"/>
        <v/>
      </c>
      <c r="U111" s="28" t="str">
        <f t="shared" si="24"/>
        <v/>
      </c>
      <c r="V111" s="7" t="str">
        <f t="shared" si="38"/>
        <v/>
      </c>
      <c r="W111" s="93" t="str">
        <f t="shared" si="43"/>
        <v/>
      </c>
      <c r="X111" s="28" t="str">
        <f t="shared" si="39"/>
        <v/>
      </c>
      <c r="Y111" s="28" t="str">
        <f t="shared" si="25"/>
        <v/>
      </c>
      <c r="Z111" s="28" t="str">
        <f t="shared" si="26"/>
        <v/>
      </c>
      <c r="AA111" s="28" t="str">
        <f t="shared" si="27"/>
        <v/>
      </c>
      <c r="AB111" s="28" t="str">
        <f t="shared" si="28"/>
        <v/>
      </c>
      <c r="AC111" s="28" t="str">
        <f t="shared" si="40"/>
        <v/>
      </c>
      <c r="AD111" s="27"/>
      <c r="AO111" s="145" t="str">
        <f t="shared" si="41"/>
        <v/>
      </c>
      <c r="AP111" s="144" t="str">
        <f t="shared" si="42"/>
        <v/>
      </c>
    </row>
    <row r="112" spans="3:42" x14ac:dyDescent="0.25">
      <c r="C112" s="12" t="str">
        <f>IFERROR(IF(AvisoErro&lt;&gt;"","",IF(C111+1&gt;PAINEL!$H$8,"",C111+1)),"")</f>
        <v/>
      </c>
      <c r="E112" s="23" t="str">
        <f t="shared" si="29"/>
        <v/>
      </c>
      <c r="F112" s="13" t="str">
        <f>IF(C112="","",IF(E112&lt;&gt;"",E112*PAINEL!$H$7,0))</f>
        <v/>
      </c>
      <c r="G112" s="13" t="str">
        <f>IF(C112="","",IF(PAINEL!$A$4=1,K111/(QTDEParc-C111),IF(AND(PAINEL!$A$4=2,C112&lt;=MomentoContemplação),ValorParcelamento/QTDEParc,K111/(QTDEParc-C111))))</f>
        <v/>
      </c>
      <c r="H112" s="13" t="str">
        <f t="shared" si="30"/>
        <v/>
      </c>
      <c r="I112" s="32" t="str">
        <f t="shared" si="31"/>
        <v/>
      </c>
      <c r="J112" s="14" t="str">
        <f>IF(C112="","",IF(C112=MomentoContemplação,PAINEL!$P$10,0))</f>
        <v/>
      </c>
      <c r="K112" s="14" t="str">
        <f t="shared" si="32"/>
        <v/>
      </c>
      <c r="M112" s="51" t="str">
        <f t="shared" si="33"/>
        <v/>
      </c>
      <c r="N112" s="27" t="str">
        <f t="shared" si="37"/>
        <v/>
      </c>
      <c r="O112" s="27" t="str">
        <f>IF(C112="","",(I112*(1+M112))*(QTDEParc-CÁLCULO!C112)+$F$5-SUM($F$6:F112)-J112)</f>
        <v/>
      </c>
      <c r="P112" s="7" t="str">
        <f t="shared" si="34"/>
        <v/>
      </c>
      <c r="R112" s="44" t="str">
        <f t="shared" si="35"/>
        <v/>
      </c>
      <c r="S112" s="97"/>
      <c r="T112" s="28" t="str">
        <f t="shared" si="36"/>
        <v/>
      </c>
      <c r="U112" s="28" t="str">
        <f t="shared" si="24"/>
        <v/>
      </c>
      <c r="V112" s="7" t="str">
        <f t="shared" si="38"/>
        <v/>
      </c>
      <c r="W112" s="93" t="str">
        <f t="shared" si="43"/>
        <v/>
      </c>
      <c r="X112" s="28" t="str">
        <f t="shared" si="39"/>
        <v/>
      </c>
      <c r="Y112" s="28" t="str">
        <f t="shared" si="25"/>
        <v/>
      </c>
      <c r="Z112" s="28" t="str">
        <f t="shared" si="26"/>
        <v/>
      </c>
      <c r="AA112" s="28" t="str">
        <f t="shared" si="27"/>
        <v/>
      </c>
      <c r="AB112" s="28" t="str">
        <f t="shared" si="28"/>
        <v/>
      </c>
      <c r="AC112" s="28" t="str">
        <f t="shared" si="40"/>
        <v/>
      </c>
      <c r="AD112" s="27"/>
      <c r="AO112" s="145" t="str">
        <f t="shared" si="41"/>
        <v/>
      </c>
      <c r="AP112" s="144" t="str">
        <f t="shared" si="42"/>
        <v/>
      </c>
    </row>
    <row r="113" spans="3:42" x14ac:dyDescent="0.25">
      <c r="C113" s="12" t="str">
        <f>IFERROR(IF(AvisoErro&lt;&gt;"","",IF(C112+1&gt;PAINEL!$H$8,"",C112+1)),"")</f>
        <v/>
      </c>
      <c r="E113" s="23" t="str">
        <f t="shared" si="29"/>
        <v/>
      </c>
      <c r="F113" s="13" t="str">
        <f>IF(C113="","",IF(E113&lt;&gt;"",E113*PAINEL!$H$7,0))</f>
        <v/>
      </c>
      <c r="G113" s="13" t="str">
        <f>IF(C113="","",IF(PAINEL!$A$4=1,K112/(QTDEParc-C112),IF(AND(PAINEL!$A$4=2,C113&lt;=MomentoContemplação),ValorParcelamento/QTDEParc,K112/(QTDEParc-C112))))</f>
        <v/>
      </c>
      <c r="H113" s="13" t="str">
        <f t="shared" si="30"/>
        <v/>
      </c>
      <c r="I113" s="32" t="str">
        <f t="shared" si="31"/>
        <v/>
      </c>
      <c r="J113" s="14" t="str">
        <f>IF(C113="","",IF(C113=MomentoContemplação,PAINEL!$P$10,0))</f>
        <v/>
      </c>
      <c r="K113" s="14" t="str">
        <f t="shared" si="32"/>
        <v/>
      </c>
      <c r="M113" s="51" t="str">
        <f t="shared" si="33"/>
        <v/>
      </c>
      <c r="N113" s="27" t="str">
        <f t="shared" si="37"/>
        <v/>
      </c>
      <c r="O113" s="27" t="str">
        <f>IF(C113="","",(I113*(1+M113))*(QTDEParc-CÁLCULO!C113)+$F$5-SUM($F$6:F113)-J113)</f>
        <v/>
      </c>
      <c r="P113" s="7" t="str">
        <f t="shared" si="34"/>
        <v/>
      </c>
      <c r="R113" s="44" t="str">
        <f t="shared" si="35"/>
        <v/>
      </c>
      <c r="S113" s="97"/>
      <c r="T113" s="28" t="str">
        <f t="shared" si="36"/>
        <v/>
      </c>
      <c r="U113" s="28" t="str">
        <f t="shared" si="24"/>
        <v/>
      </c>
      <c r="V113" s="7" t="str">
        <f t="shared" si="38"/>
        <v/>
      </c>
      <c r="W113" s="93" t="str">
        <f t="shared" si="43"/>
        <v/>
      </c>
      <c r="X113" s="28" t="str">
        <f t="shared" si="39"/>
        <v/>
      </c>
      <c r="Y113" s="28" t="str">
        <f t="shared" si="25"/>
        <v/>
      </c>
      <c r="Z113" s="28" t="str">
        <f t="shared" si="26"/>
        <v/>
      </c>
      <c r="AA113" s="28" t="str">
        <f t="shared" si="27"/>
        <v/>
      </c>
      <c r="AB113" s="28" t="str">
        <f t="shared" si="28"/>
        <v/>
      </c>
      <c r="AC113" s="28" t="str">
        <f t="shared" si="40"/>
        <v/>
      </c>
      <c r="AD113" s="27"/>
      <c r="AO113" s="145" t="str">
        <f t="shared" si="41"/>
        <v/>
      </c>
      <c r="AP113" s="144" t="str">
        <f t="shared" si="42"/>
        <v/>
      </c>
    </row>
    <row r="114" spans="3:42" x14ac:dyDescent="0.25">
      <c r="C114" s="12" t="str">
        <f>IFERROR(IF(AvisoErro&lt;&gt;"","",IF(C113+1&gt;PAINEL!$H$8,"",C113+1)),"")</f>
        <v/>
      </c>
      <c r="E114" s="23" t="str">
        <f t="shared" si="29"/>
        <v/>
      </c>
      <c r="F114" s="13" t="str">
        <f>IF(C114="","",IF(E114&lt;&gt;"",E114*PAINEL!$H$7,0))</f>
        <v/>
      </c>
      <c r="G114" s="13" t="str">
        <f>IF(C114="","",IF(PAINEL!$A$4=1,K113/(QTDEParc-C113),IF(AND(PAINEL!$A$4=2,C114&lt;=MomentoContemplação),ValorParcelamento/QTDEParc,K113/(QTDEParc-C113))))</f>
        <v/>
      </c>
      <c r="H114" s="13" t="str">
        <f t="shared" si="30"/>
        <v/>
      </c>
      <c r="I114" s="32" t="str">
        <f t="shared" si="31"/>
        <v/>
      </c>
      <c r="J114" s="14" t="str">
        <f>IF(C114="","",IF(C114=MomentoContemplação,PAINEL!$P$10,0))</f>
        <v/>
      </c>
      <c r="K114" s="14" t="str">
        <f t="shared" si="32"/>
        <v/>
      </c>
      <c r="M114" s="51" t="str">
        <f t="shared" si="33"/>
        <v/>
      </c>
      <c r="N114" s="27" t="str">
        <f t="shared" si="37"/>
        <v/>
      </c>
      <c r="O114" s="27" t="str">
        <f>IF(C114="","",(I114*(1+M114))*(QTDEParc-CÁLCULO!C114)+$F$5-SUM($F$6:F114)-J114)</f>
        <v/>
      </c>
      <c r="P114" s="7" t="str">
        <f t="shared" si="34"/>
        <v/>
      </c>
      <c r="R114" s="44" t="str">
        <f t="shared" si="35"/>
        <v/>
      </c>
      <c r="S114" s="97"/>
      <c r="T114" s="28" t="str">
        <f t="shared" si="36"/>
        <v/>
      </c>
      <c r="U114" s="28" t="str">
        <f t="shared" si="24"/>
        <v/>
      </c>
      <c r="V114" s="7" t="str">
        <f t="shared" si="38"/>
        <v/>
      </c>
      <c r="W114" s="93" t="str">
        <f t="shared" si="43"/>
        <v/>
      </c>
      <c r="X114" s="28" t="str">
        <f t="shared" si="39"/>
        <v/>
      </c>
      <c r="Y114" s="28" t="str">
        <f t="shared" si="25"/>
        <v/>
      </c>
      <c r="Z114" s="28" t="str">
        <f t="shared" si="26"/>
        <v/>
      </c>
      <c r="AA114" s="28" t="str">
        <f t="shared" si="27"/>
        <v/>
      </c>
      <c r="AB114" s="28" t="str">
        <f t="shared" si="28"/>
        <v/>
      </c>
      <c r="AC114" s="28" t="str">
        <f t="shared" si="40"/>
        <v/>
      </c>
      <c r="AD114" s="27"/>
      <c r="AO114" s="145" t="str">
        <f t="shared" si="41"/>
        <v/>
      </c>
      <c r="AP114" s="144" t="str">
        <f t="shared" si="42"/>
        <v/>
      </c>
    </row>
    <row r="115" spans="3:42" x14ac:dyDescent="0.25">
      <c r="C115" s="12" t="str">
        <f>IFERROR(IF(AvisoErro&lt;&gt;"","",IF(C114+1&gt;PAINEL!$H$8,"",C114+1)),"")</f>
        <v/>
      </c>
      <c r="E115" s="23" t="str">
        <f t="shared" si="29"/>
        <v/>
      </c>
      <c r="F115" s="13" t="str">
        <f>IF(C115="","",IF(E115&lt;&gt;"",E115*PAINEL!$H$7,0))</f>
        <v/>
      </c>
      <c r="G115" s="13" t="str">
        <f>IF(C115="","",IF(PAINEL!$A$4=1,K114/(QTDEParc-C114),IF(AND(PAINEL!$A$4=2,C115&lt;=MomentoContemplação),ValorParcelamento/QTDEParc,K114/(QTDEParc-C114))))</f>
        <v/>
      </c>
      <c r="H115" s="13" t="str">
        <f t="shared" si="30"/>
        <v/>
      </c>
      <c r="I115" s="32" t="str">
        <f t="shared" si="31"/>
        <v/>
      </c>
      <c r="J115" s="14" t="str">
        <f>IF(C115="","",IF(C115=MomentoContemplação,PAINEL!$P$10,0))</f>
        <v/>
      </c>
      <c r="K115" s="14" t="str">
        <f t="shared" si="32"/>
        <v/>
      </c>
      <c r="M115" s="51" t="str">
        <f t="shared" si="33"/>
        <v/>
      </c>
      <c r="N115" s="27" t="str">
        <f t="shared" si="37"/>
        <v/>
      </c>
      <c r="O115" s="27" t="str">
        <f>IF(C115="","",(I115*(1+M115))*(QTDEParc-CÁLCULO!C115)+$F$5-SUM($F$6:F115)-J115)</f>
        <v/>
      </c>
      <c r="P115" s="7" t="str">
        <f t="shared" si="34"/>
        <v/>
      </c>
      <c r="R115" s="44" t="str">
        <f t="shared" si="35"/>
        <v/>
      </c>
      <c r="S115" s="97"/>
      <c r="T115" s="28" t="str">
        <f t="shared" si="36"/>
        <v/>
      </c>
      <c r="U115" s="28" t="str">
        <f t="shared" si="24"/>
        <v/>
      </c>
      <c r="V115" s="7" t="str">
        <f t="shared" si="38"/>
        <v/>
      </c>
      <c r="W115" s="93" t="str">
        <f t="shared" si="43"/>
        <v/>
      </c>
      <c r="X115" s="28" t="str">
        <f t="shared" si="39"/>
        <v/>
      </c>
      <c r="Y115" s="28" t="str">
        <f t="shared" si="25"/>
        <v/>
      </c>
      <c r="Z115" s="28" t="str">
        <f t="shared" si="26"/>
        <v/>
      </c>
      <c r="AA115" s="28" t="str">
        <f t="shared" si="27"/>
        <v/>
      </c>
      <c r="AB115" s="28" t="str">
        <f t="shared" si="28"/>
        <v/>
      </c>
      <c r="AC115" s="28" t="str">
        <f t="shared" si="40"/>
        <v/>
      </c>
      <c r="AD115" s="27"/>
      <c r="AO115" s="145" t="str">
        <f t="shared" si="41"/>
        <v/>
      </c>
      <c r="AP115" s="144" t="str">
        <f t="shared" si="42"/>
        <v/>
      </c>
    </row>
    <row r="116" spans="3:42" x14ac:dyDescent="0.25">
      <c r="C116" s="12" t="str">
        <f>IFERROR(IF(AvisoErro&lt;&gt;"","",IF(C115+1&gt;PAINEL!$H$8,"",C115+1)),"")</f>
        <v/>
      </c>
      <c r="E116" s="23" t="str">
        <f t="shared" si="29"/>
        <v/>
      </c>
      <c r="F116" s="13" t="str">
        <f>IF(C116="","",IF(E116&lt;&gt;"",E116*PAINEL!$H$7,0))</f>
        <v/>
      </c>
      <c r="G116" s="13" t="str">
        <f>IF(C116="","",IF(PAINEL!$A$4=1,K115/(QTDEParc-C115),IF(AND(PAINEL!$A$4=2,C116&lt;=MomentoContemplação),ValorParcelamento/QTDEParc,K115/(QTDEParc-C115))))</f>
        <v/>
      </c>
      <c r="H116" s="13" t="str">
        <f t="shared" si="30"/>
        <v/>
      </c>
      <c r="I116" s="32" t="str">
        <f t="shared" si="31"/>
        <v/>
      </c>
      <c r="J116" s="14" t="str">
        <f>IF(C116="","",IF(C116=MomentoContemplação,PAINEL!$P$10,0))</f>
        <v/>
      </c>
      <c r="K116" s="14" t="str">
        <f t="shared" si="32"/>
        <v/>
      </c>
      <c r="M116" s="51" t="str">
        <f t="shared" si="33"/>
        <v/>
      </c>
      <c r="N116" s="27" t="str">
        <f t="shared" si="37"/>
        <v/>
      </c>
      <c r="O116" s="27" t="str">
        <f>IF(C116="","",(I116*(1+M116))*(QTDEParc-CÁLCULO!C116)+$F$5-SUM($F$6:F116)-J116)</f>
        <v/>
      </c>
      <c r="P116" s="7" t="str">
        <f t="shared" si="34"/>
        <v/>
      </c>
      <c r="R116" s="44" t="str">
        <f t="shared" si="35"/>
        <v/>
      </c>
      <c r="S116" s="97"/>
      <c r="T116" s="28" t="str">
        <f t="shared" si="36"/>
        <v/>
      </c>
      <c r="U116" s="28" t="str">
        <f t="shared" si="24"/>
        <v/>
      </c>
      <c r="V116" s="7" t="str">
        <f t="shared" si="38"/>
        <v/>
      </c>
      <c r="W116" s="93" t="str">
        <f t="shared" si="43"/>
        <v/>
      </c>
      <c r="X116" s="28" t="str">
        <f t="shared" si="39"/>
        <v/>
      </c>
      <c r="Y116" s="28" t="str">
        <f t="shared" si="25"/>
        <v/>
      </c>
      <c r="Z116" s="28" t="str">
        <f t="shared" si="26"/>
        <v/>
      </c>
      <c r="AA116" s="28" t="str">
        <f t="shared" si="27"/>
        <v/>
      </c>
      <c r="AB116" s="28" t="str">
        <f t="shared" si="28"/>
        <v/>
      </c>
      <c r="AC116" s="28" t="str">
        <f t="shared" si="40"/>
        <v/>
      </c>
      <c r="AD116" s="27"/>
      <c r="AO116" s="145" t="str">
        <f t="shared" si="41"/>
        <v/>
      </c>
      <c r="AP116" s="144" t="str">
        <f t="shared" si="42"/>
        <v/>
      </c>
    </row>
    <row r="117" spans="3:42" x14ac:dyDescent="0.25">
      <c r="C117" s="12" t="str">
        <f>IFERROR(IF(AvisoErro&lt;&gt;"","",IF(C116+1&gt;PAINEL!$H$8,"",C116+1)),"")</f>
        <v/>
      </c>
      <c r="E117" s="23" t="str">
        <f t="shared" si="29"/>
        <v/>
      </c>
      <c r="F117" s="13" t="str">
        <f>IF(C117="","",IF(E117&lt;&gt;"",E117*PAINEL!$H$7,0))</f>
        <v/>
      </c>
      <c r="G117" s="13" t="str">
        <f>IF(C117="","",IF(PAINEL!$A$4=1,K116/(QTDEParc-C116),IF(AND(PAINEL!$A$4=2,C117&lt;=MomentoContemplação),ValorParcelamento/QTDEParc,K116/(QTDEParc-C116))))</f>
        <v/>
      </c>
      <c r="H117" s="13" t="str">
        <f t="shared" si="30"/>
        <v/>
      </c>
      <c r="I117" s="32" t="str">
        <f t="shared" si="31"/>
        <v/>
      </c>
      <c r="J117" s="14" t="str">
        <f>IF(C117="","",IF(C117=MomentoContemplação,PAINEL!$P$10,0))</f>
        <v/>
      </c>
      <c r="K117" s="14" t="str">
        <f t="shared" si="32"/>
        <v/>
      </c>
      <c r="M117" s="51" t="str">
        <f t="shared" si="33"/>
        <v/>
      </c>
      <c r="N117" s="27" t="str">
        <f t="shared" si="37"/>
        <v/>
      </c>
      <c r="O117" s="27" t="str">
        <f>IF(C117="","",(I117*(1+M117))*(QTDEParc-CÁLCULO!C117)+$F$5-SUM($F$6:F117)-J117)</f>
        <v/>
      </c>
      <c r="P117" s="7" t="str">
        <f t="shared" si="34"/>
        <v/>
      </c>
      <c r="R117" s="44" t="str">
        <f t="shared" si="35"/>
        <v/>
      </c>
      <c r="S117" s="97"/>
      <c r="T117" s="28" t="str">
        <f t="shared" si="36"/>
        <v/>
      </c>
      <c r="U117" s="28" t="str">
        <f t="shared" si="24"/>
        <v/>
      </c>
      <c r="V117" s="7" t="str">
        <f t="shared" si="38"/>
        <v/>
      </c>
      <c r="W117" s="93" t="str">
        <f t="shared" si="43"/>
        <v/>
      </c>
      <c r="X117" s="28" t="str">
        <f t="shared" si="39"/>
        <v/>
      </c>
      <c r="Y117" s="28" t="str">
        <f t="shared" si="25"/>
        <v/>
      </c>
      <c r="Z117" s="28" t="str">
        <f t="shared" si="26"/>
        <v/>
      </c>
      <c r="AA117" s="28" t="str">
        <f t="shared" si="27"/>
        <v/>
      </c>
      <c r="AB117" s="28" t="str">
        <f t="shared" si="28"/>
        <v/>
      </c>
      <c r="AC117" s="28" t="str">
        <f t="shared" si="40"/>
        <v/>
      </c>
      <c r="AD117" s="27"/>
      <c r="AO117" s="145" t="str">
        <f t="shared" si="41"/>
        <v/>
      </c>
      <c r="AP117" s="144" t="str">
        <f t="shared" si="42"/>
        <v/>
      </c>
    </row>
    <row r="118" spans="3:42" x14ac:dyDescent="0.25">
      <c r="C118" s="12" t="str">
        <f>IFERROR(IF(AvisoErro&lt;&gt;"","",IF(C117+1&gt;PAINEL!$H$8,"",C117+1)),"")</f>
        <v/>
      </c>
      <c r="E118" s="23" t="str">
        <f t="shared" si="29"/>
        <v/>
      </c>
      <c r="F118" s="13" t="str">
        <f>IF(C118="","",IF(E118&lt;&gt;"",E118*PAINEL!$H$7,0))</f>
        <v/>
      </c>
      <c r="G118" s="13" t="str">
        <f>IF(C118="","",IF(PAINEL!$A$4=1,K117/(QTDEParc-C117),IF(AND(PAINEL!$A$4=2,C118&lt;=MomentoContemplação),ValorParcelamento/QTDEParc,K117/(QTDEParc-C117))))</f>
        <v/>
      </c>
      <c r="H118" s="13" t="str">
        <f t="shared" si="30"/>
        <v/>
      </c>
      <c r="I118" s="32" t="str">
        <f t="shared" si="31"/>
        <v/>
      </c>
      <c r="J118" s="14" t="str">
        <f>IF(C118="","",IF(C118=MomentoContemplação,PAINEL!$P$10,0))</f>
        <v/>
      </c>
      <c r="K118" s="14" t="str">
        <f t="shared" si="32"/>
        <v/>
      </c>
      <c r="M118" s="51" t="str">
        <f t="shared" si="33"/>
        <v/>
      </c>
      <c r="N118" s="27" t="str">
        <f t="shared" si="37"/>
        <v/>
      </c>
      <c r="O118" s="27" t="str">
        <f>IF(C118="","",(I118*(1+M118))*(QTDEParc-CÁLCULO!C118)+$F$5-SUM($F$6:F118)-J118)</f>
        <v/>
      </c>
      <c r="P118" s="7" t="str">
        <f t="shared" si="34"/>
        <v/>
      </c>
      <c r="R118" s="44" t="str">
        <f t="shared" si="35"/>
        <v/>
      </c>
      <c r="S118" s="97"/>
      <c r="T118" s="28" t="str">
        <f t="shared" si="36"/>
        <v/>
      </c>
      <c r="U118" s="28" t="str">
        <f t="shared" si="24"/>
        <v/>
      </c>
      <c r="V118" s="7" t="str">
        <f t="shared" si="38"/>
        <v/>
      </c>
      <c r="W118" s="93" t="str">
        <f t="shared" si="43"/>
        <v/>
      </c>
      <c r="X118" s="28" t="str">
        <f t="shared" si="39"/>
        <v/>
      </c>
      <c r="Y118" s="28" t="str">
        <f t="shared" si="25"/>
        <v/>
      </c>
      <c r="Z118" s="28" t="str">
        <f t="shared" si="26"/>
        <v/>
      </c>
      <c r="AA118" s="28" t="str">
        <f t="shared" si="27"/>
        <v/>
      </c>
      <c r="AB118" s="28" t="str">
        <f t="shared" si="28"/>
        <v/>
      </c>
      <c r="AC118" s="28" t="str">
        <f t="shared" si="40"/>
        <v/>
      </c>
      <c r="AD118" s="27"/>
      <c r="AO118" s="145" t="str">
        <f t="shared" si="41"/>
        <v/>
      </c>
      <c r="AP118" s="144" t="str">
        <f t="shared" si="42"/>
        <v/>
      </c>
    </row>
    <row r="119" spans="3:42" x14ac:dyDescent="0.25">
      <c r="C119" s="12" t="str">
        <f>IFERROR(IF(AvisoErro&lt;&gt;"","",IF(C118+1&gt;PAINEL!$H$8,"",C118+1)),"")</f>
        <v/>
      </c>
      <c r="E119" s="23" t="str">
        <f t="shared" si="29"/>
        <v/>
      </c>
      <c r="F119" s="13" t="str">
        <f>IF(C119="","",IF(E119&lt;&gt;"",E119*PAINEL!$H$7,0))</f>
        <v/>
      </c>
      <c r="G119" s="13" t="str">
        <f>IF(C119="","",IF(PAINEL!$A$4=1,K118/(QTDEParc-C118),IF(AND(PAINEL!$A$4=2,C119&lt;=MomentoContemplação),ValorParcelamento/QTDEParc,K118/(QTDEParc-C118))))</f>
        <v/>
      </c>
      <c r="H119" s="13" t="str">
        <f t="shared" si="30"/>
        <v/>
      </c>
      <c r="I119" s="32" t="str">
        <f t="shared" si="31"/>
        <v/>
      </c>
      <c r="J119" s="14" t="str">
        <f>IF(C119="","",IF(C119=MomentoContemplação,PAINEL!$P$10,0))</f>
        <v/>
      </c>
      <c r="K119" s="14" t="str">
        <f t="shared" si="32"/>
        <v/>
      </c>
      <c r="M119" s="51" t="str">
        <f t="shared" si="33"/>
        <v/>
      </c>
      <c r="N119" s="27" t="str">
        <f t="shared" si="37"/>
        <v/>
      </c>
      <c r="O119" s="27" t="str">
        <f>IF(C119="","",(I119*(1+M119))*(QTDEParc-CÁLCULO!C119)+$F$5-SUM($F$6:F119)-J119)</f>
        <v/>
      </c>
      <c r="P119" s="7" t="str">
        <f t="shared" si="34"/>
        <v/>
      </c>
      <c r="R119" s="44" t="str">
        <f t="shared" si="35"/>
        <v/>
      </c>
      <c r="S119" s="97"/>
      <c r="T119" s="28" t="str">
        <f t="shared" si="36"/>
        <v/>
      </c>
      <c r="U119" s="28" t="str">
        <f t="shared" si="24"/>
        <v/>
      </c>
      <c r="V119" s="7" t="str">
        <f t="shared" si="38"/>
        <v/>
      </c>
      <c r="W119" s="93" t="str">
        <f t="shared" si="43"/>
        <v/>
      </c>
      <c r="X119" s="28" t="str">
        <f t="shared" si="39"/>
        <v/>
      </c>
      <c r="Y119" s="28" t="str">
        <f t="shared" si="25"/>
        <v/>
      </c>
      <c r="Z119" s="28" t="str">
        <f t="shared" si="26"/>
        <v/>
      </c>
      <c r="AA119" s="28" t="str">
        <f t="shared" si="27"/>
        <v/>
      </c>
      <c r="AB119" s="28" t="str">
        <f t="shared" si="28"/>
        <v/>
      </c>
      <c r="AC119" s="28" t="str">
        <f t="shared" si="40"/>
        <v/>
      </c>
      <c r="AD119" s="27"/>
      <c r="AO119" s="145" t="str">
        <f t="shared" si="41"/>
        <v/>
      </c>
      <c r="AP119" s="144" t="str">
        <f t="shared" si="42"/>
        <v/>
      </c>
    </row>
    <row r="120" spans="3:42" x14ac:dyDescent="0.25">
      <c r="C120" s="12" t="str">
        <f>IFERROR(IF(AvisoErro&lt;&gt;"","",IF(C119+1&gt;PAINEL!$H$8,"",C119+1)),"")</f>
        <v/>
      </c>
      <c r="E120" s="23" t="str">
        <f t="shared" si="29"/>
        <v/>
      </c>
      <c r="F120" s="13" t="str">
        <f>IF(C120="","",IF(E120&lt;&gt;"",E120*PAINEL!$H$7,0))</f>
        <v/>
      </c>
      <c r="G120" s="13" t="str">
        <f>IF(C120="","",IF(PAINEL!$A$4=1,K119/(QTDEParc-C119),IF(AND(PAINEL!$A$4=2,C120&lt;=MomentoContemplação),ValorParcelamento/QTDEParc,K119/(QTDEParc-C119))))</f>
        <v/>
      </c>
      <c r="H120" s="13" t="str">
        <f t="shared" si="30"/>
        <v/>
      </c>
      <c r="I120" s="32" t="str">
        <f t="shared" si="31"/>
        <v/>
      </c>
      <c r="J120" s="14" t="str">
        <f>IF(C120="","",IF(C120=MomentoContemplação,PAINEL!$P$10,0))</f>
        <v/>
      </c>
      <c r="K120" s="14" t="str">
        <f t="shared" si="32"/>
        <v/>
      </c>
      <c r="M120" s="51" t="str">
        <f t="shared" si="33"/>
        <v/>
      </c>
      <c r="N120" s="27" t="str">
        <f t="shared" si="37"/>
        <v/>
      </c>
      <c r="O120" s="27" t="str">
        <f>IF(C120="","",(I120*(1+M120))*(QTDEParc-CÁLCULO!C120)+$F$5-SUM($F$6:F120)-J120)</f>
        <v/>
      </c>
      <c r="P120" s="7" t="str">
        <f t="shared" si="34"/>
        <v/>
      </c>
      <c r="R120" s="44" t="str">
        <f t="shared" si="35"/>
        <v/>
      </c>
      <c r="S120" s="97"/>
      <c r="T120" s="28" t="str">
        <f t="shared" si="36"/>
        <v/>
      </c>
      <c r="U120" s="28" t="str">
        <f t="shared" si="24"/>
        <v/>
      </c>
      <c r="V120" s="7" t="str">
        <f t="shared" si="38"/>
        <v/>
      </c>
      <c r="W120" s="93" t="str">
        <f t="shared" si="43"/>
        <v/>
      </c>
      <c r="X120" s="28" t="str">
        <f t="shared" si="39"/>
        <v/>
      </c>
      <c r="Y120" s="28" t="str">
        <f t="shared" si="25"/>
        <v/>
      </c>
      <c r="Z120" s="28" t="str">
        <f t="shared" si="26"/>
        <v/>
      </c>
      <c r="AA120" s="28" t="str">
        <f t="shared" si="27"/>
        <v/>
      </c>
      <c r="AB120" s="28" t="str">
        <f t="shared" si="28"/>
        <v/>
      </c>
      <c r="AC120" s="28" t="str">
        <f t="shared" si="40"/>
        <v/>
      </c>
      <c r="AD120" s="27"/>
      <c r="AO120" s="145" t="str">
        <f t="shared" si="41"/>
        <v/>
      </c>
      <c r="AP120" s="144" t="str">
        <f t="shared" si="42"/>
        <v/>
      </c>
    </row>
    <row r="121" spans="3:42" x14ac:dyDescent="0.25">
      <c r="C121" s="12" t="str">
        <f>IFERROR(IF(AvisoErro&lt;&gt;"","",IF(C120+1&gt;PAINEL!$H$8,"",C120+1)),"")</f>
        <v/>
      </c>
      <c r="E121" s="23" t="str">
        <f t="shared" si="29"/>
        <v/>
      </c>
      <c r="F121" s="13" t="str">
        <f>IF(C121="","",IF(E121&lt;&gt;"",E121*PAINEL!$H$7,0))</f>
        <v/>
      </c>
      <c r="G121" s="13" t="str">
        <f>IF(C121="","",IF(PAINEL!$A$4=1,K120/(QTDEParc-C120),IF(AND(PAINEL!$A$4=2,C121&lt;=MomentoContemplação),ValorParcelamento/QTDEParc,K120/(QTDEParc-C120))))</f>
        <v/>
      </c>
      <c r="H121" s="13" t="str">
        <f t="shared" si="30"/>
        <v/>
      </c>
      <c r="I121" s="32" t="str">
        <f t="shared" si="31"/>
        <v/>
      </c>
      <c r="J121" s="14" t="str">
        <f>IF(C121="","",IF(C121=MomentoContemplação,PAINEL!$P$10,0))</f>
        <v/>
      </c>
      <c r="K121" s="14" t="str">
        <f t="shared" si="32"/>
        <v/>
      </c>
      <c r="M121" s="51" t="str">
        <f t="shared" si="33"/>
        <v/>
      </c>
      <c r="N121" s="27" t="str">
        <f t="shared" si="37"/>
        <v/>
      </c>
      <c r="O121" s="27" t="str">
        <f>IF(C121="","",(I121*(1+M121))*(QTDEParc-CÁLCULO!C121)+$F$5-SUM($F$6:F121)-J121)</f>
        <v/>
      </c>
      <c r="P121" s="7" t="str">
        <f t="shared" si="34"/>
        <v/>
      </c>
      <c r="R121" s="44" t="str">
        <f t="shared" si="35"/>
        <v/>
      </c>
      <c r="S121" s="97"/>
      <c r="T121" s="28" t="str">
        <f t="shared" si="36"/>
        <v/>
      </c>
      <c r="U121" s="28" t="str">
        <f t="shared" si="24"/>
        <v/>
      </c>
      <c r="V121" s="7" t="str">
        <f t="shared" si="38"/>
        <v/>
      </c>
      <c r="W121" s="93" t="str">
        <f t="shared" si="43"/>
        <v/>
      </c>
      <c r="X121" s="28" t="str">
        <f t="shared" si="39"/>
        <v/>
      </c>
      <c r="Y121" s="28" t="str">
        <f t="shared" si="25"/>
        <v/>
      </c>
      <c r="Z121" s="28" t="str">
        <f t="shared" si="26"/>
        <v/>
      </c>
      <c r="AA121" s="28" t="str">
        <f t="shared" si="27"/>
        <v/>
      </c>
      <c r="AB121" s="28" t="str">
        <f t="shared" si="28"/>
        <v/>
      </c>
      <c r="AC121" s="28" t="str">
        <f t="shared" si="40"/>
        <v/>
      </c>
      <c r="AD121" s="27"/>
      <c r="AO121" s="145" t="str">
        <f t="shared" si="41"/>
        <v/>
      </c>
      <c r="AP121" s="144" t="str">
        <f t="shared" si="42"/>
        <v/>
      </c>
    </row>
    <row r="122" spans="3:42" x14ac:dyDescent="0.25">
      <c r="C122" s="12" t="str">
        <f>IFERROR(IF(AvisoErro&lt;&gt;"","",IF(C121+1&gt;PAINEL!$H$8,"",C121+1)),"")</f>
        <v/>
      </c>
      <c r="E122" s="23" t="str">
        <f t="shared" si="29"/>
        <v/>
      </c>
      <c r="F122" s="13" t="str">
        <f>IF(C122="","",IF(E122&lt;&gt;"",E122*PAINEL!$H$7,0))</f>
        <v/>
      </c>
      <c r="G122" s="13" t="str">
        <f>IF(C122="","",IF(PAINEL!$A$4=1,K121/(QTDEParc-C121),IF(AND(PAINEL!$A$4=2,C122&lt;=MomentoContemplação),ValorParcelamento/QTDEParc,K121/(QTDEParc-C121))))</f>
        <v/>
      </c>
      <c r="H122" s="13" t="str">
        <f t="shared" si="30"/>
        <v/>
      </c>
      <c r="I122" s="32" t="str">
        <f t="shared" si="31"/>
        <v/>
      </c>
      <c r="J122" s="14" t="str">
        <f>IF(C122="","",IF(C122=MomentoContemplação,PAINEL!$P$10,0))</f>
        <v/>
      </c>
      <c r="K122" s="14" t="str">
        <f t="shared" si="32"/>
        <v/>
      </c>
      <c r="M122" s="51" t="str">
        <f t="shared" si="33"/>
        <v/>
      </c>
      <c r="N122" s="27" t="str">
        <f t="shared" si="37"/>
        <v/>
      </c>
      <c r="O122" s="27" t="str">
        <f>IF(C122="","",(I122*(1+M122))*(QTDEParc-CÁLCULO!C122)+$F$5-SUM($F$6:F122)-J122)</f>
        <v/>
      </c>
      <c r="P122" s="7" t="str">
        <f t="shared" si="34"/>
        <v/>
      </c>
      <c r="R122" s="44" t="str">
        <f t="shared" si="35"/>
        <v/>
      </c>
      <c r="S122" s="97"/>
      <c r="T122" s="28" t="str">
        <f t="shared" si="36"/>
        <v/>
      </c>
      <c r="U122" s="28" t="str">
        <f t="shared" si="24"/>
        <v/>
      </c>
      <c r="V122" s="7" t="str">
        <f t="shared" si="38"/>
        <v/>
      </c>
      <c r="W122" s="93" t="str">
        <f t="shared" si="43"/>
        <v/>
      </c>
      <c r="X122" s="28" t="str">
        <f t="shared" si="39"/>
        <v/>
      </c>
      <c r="Y122" s="28" t="str">
        <f t="shared" si="25"/>
        <v/>
      </c>
      <c r="Z122" s="28" t="str">
        <f t="shared" si="26"/>
        <v/>
      </c>
      <c r="AA122" s="28" t="str">
        <f t="shared" si="27"/>
        <v/>
      </c>
      <c r="AB122" s="28" t="str">
        <f t="shared" si="28"/>
        <v/>
      </c>
      <c r="AC122" s="28" t="str">
        <f t="shared" si="40"/>
        <v/>
      </c>
      <c r="AD122" s="27"/>
      <c r="AO122" s="145" t="str">
        <f t="shared" si="41"/>
        <v/>
      </c>
      <c r="AP122" s="144" t="str">
        <f t="shared" si="42"/>
        <v/>
      </c>
    </row>
    <row r="123" spans="3:42" x14ac:dyDescent="0.25">
      <c r="C123" s="12" t="str">
        <f>IFERROR(IF(AvisoErro&lt;&gt;"","",IF(C122+1&gt;PAINEL!$H$8,"",C122+1)),"")</f>
        <v/>
      </c>
      <c r="E123" s="23" t="str">
        <f t="shared" si="29"/>
        <v/>
      </c>
      <c r="F123" s="13" t="str">
        <f>IF(C123="","",IF(E123&lt;&gt;"",E123*PAINEL!$H$7,0))</f>
        <v/>
      </c>
      <c r="G123" s="13" t="str">
        <f>IF(C123="","",IF(PAINEL!$A$4=1,K122/(QTDEParc-C122),IF(AND(PAINEL!$A$4=2,C123&lt;=MomentoContemplação),ValorParcelamento/QTDEParc,K122/(QTDEParc-C122))))</f>
        <v/>
      </c>
      <c r="H123" s="13" t="str">
        <f t="shared" si="30"/>
        <v/>
      </c>
      <c r="I123" s="32" t="str">
        <f t="shared" si="31"/>
        <v/>
      </c>
      <c r="J123" s="14" t="str">
        <f>IF(C123="","",IF(C123=MomentoContemplação,PAINEL!$P$10,0))</f>
        <v/>
      </c>
      <c r="K123" s="14" t="str">
        <f t="shared" si="32"/>
        <v/>
      </c>
      <c r="M123" s="51" t="str">
        <f t="shared" si="33"/>
        <v/>
      </c>
      <c r="N123" s="27" t="str">
        <f t="shared" si="37"/>
        <v/>
      </c>
      <c r="O123" s="27" t="str">
        <f>IF(C123="","",(I123*(1+M123))*(QTDEParc-CÁLCULO!C123)+$F$5-SUM($F$6:F123)-J123)</f>
        <v/>
      </c>
      <c r="P123" s="7" t="str">
        <f t="shared" si="34"/>
        <v/>
      </c>
      <c r="R123" s="44" t="str">
        <f t="shared" si="35"/>
        <v/>
      </c>
      <c r="S123" s="97"/>
      <c r="T123" s="28" t="str">
        <f t="shared" si="36"/>
        <v/>
      </c>
      <c r="U123" s="28" t="str">
        <f t="shared" si="24"/>
        <v/>
      </c>
      <c r="V123" s="7" t="str">
        <f t="shared" si="38"/>
        <v/>
      </c>
      <c r="W123" s="93" t="str">
        <f t="shared" si="43"/>
        <v/>
      </c>
      <c r="X123" s="28" t="str">
        <f t="shared" si="39"/>
        <v/>
      </c>
      <c r="Y123" s="28" t="str">
        <f t="shared" si="25"/>
        <v/>
      </c>
      <c r="Z123" s="28" t="str">
        <f t="shared" si="26"/>
        <v/>
      </c>
      <c r="AA123" s="28" t="str">
        <f t="shared" si="27"/>
        <v/>
      </c>
      <c r="AB123" s="28" t="str">
        <f t="shared" si="28"/>
        <v/>
      </c>
      <c r="AC123" s="28" t="str">
        <f t="shared" si="40"/>
        <v/>
      </c>
      <c r="AD123" s="27"/>
      <c r="AO123" s="145" t="str">
        <f t="shared" si="41"/>
        <v/>
      </c>
      <c r="AP123" s="144" t="str">
        <f t="shared" si="42"/>
        <v/>
      </c>
    </row>
    <row r="124" spans="3:42" x14ac:dyDescent="0.25">
      <c r="C124" s="12" t="str">
        <f>IFERROR(IF(AvisoErro&lt;&gt;"","",IF(C123+1&gt;PAINEL!$H$8,"",C123+1)),"")</f>
        <v/>
      </c>
      <c r="E124" s="23" t="str">
        <f t="shared" si="29"/>
        <v/>
      </c>
      <c r="F124" s="13" t="str">
        <f>IF(C124="","",IF(E124&lt;&gt;"",E124*PAINEL!$H$7,0))</f>
        <v/>
      </c>
      <c r="G124" s="13" t="str">
        <f>IF(C124="","",IF(PAINEL!$A$4=1,K123/(QTDEParc-C123),IF(AND(PAINEL!$A$4=2,C124&lt;=MomentoContemplação),ValorParcelamento/QTDEParc,K123/(QTDEParc-C123))))</f>
        <v/>
      </c>
      <c r="H124" s="13" t="str">
        <f t="shared" si="30"/>
        <v/>
      </c>
      <c r="I124" s="32" t="str">
        <f t="shared" si="31"/>
        <v/>
      </c>
      <c r="J124" s="14" t="str">
        <f>IF(C124="","",IF(C124=MomentoContemplação,PAINEL!$P$10,0))</f>
        <v/>
      </c>
      <c r="K124" s="14" t="str">
        <f t="shared" si="32"/>
        <v/>
      </c>
      <c r="M124" s="51" t="str">
        <f t="shared" si="33"/>
        <v/>
      </c>
      <c r="N124" s="27" t="str">
        <f t="shared" si="37"/>
        <v/>
      </c>
      <c r="O124" s="27" t="str">
        <f>IF(C124="","",(I124*(1+M124))*(QTDEParc-CÁLCULO!C124)+$F$5-SUM($F$6:F124)-J124)</f>
        <v/>
      </c>
      <c r="P124" s="7" t="str">
        <f t="shared" si="34"/>
        <v/>
      </c>
      <c r="R124" s="44" t="str">
        <f t="shared" si="35"/>
        <v/>
      </c>
      <c r="S124" s="97"/>
      <c r="T124" s="28" t="str">
        <f t="shared" si="36"/>
        <v/>
      </c>
      <c r="U124" s="28" t="str">
        <f t="shared" si="24"/>
        <v/>
      </c>
      <c r="V124" s="7" t="str">
        <f t="shared" si="38"/>
        <v/>
      </c>
      <c r="W124" s="93" t="str">
        <f t="shared" si="43"/>
        <v/>
      </c>
      <c r="X124" s="28" t="str">
        <f t="shared" si="39"/>
        <v/>
      </c>
      <c r="Y124" s="28" t="str">
        <f t="shared" si="25"/>
        <v/>
      </c>
      <c r="Z124" s="28" t="str">
        <f t="shared" si="26"/>
        <v/>
      </c>
      <c r="AA124" s="28" t="str">
        <f t="shared" si="27"/>
        <v/>
      </c>
      <c r="AB124" s="28" t="str">
        <f t="shared" si="28"/>
        <v/>
      </c>
      <c r="AC124" s="28" t="str">
        <f t="shared" si="40"/>
        <v/>
      </c>
      <c r="AD124" s="27"/>
      <c r="AO124" s="145" t="str">
        <f t="shared" si="41"/>
        <v/>
      </c>
      <c r="AP124" s="144" t="str">
        <f t="shared" si="42"/>
        <v/>
      </c>
    </row>
    <row r="125" spans="3:42" x14ac:dyDescent="0.25">
      <c r="C125" s="12" t="str">
        <f>IFERROR(IF(AvisoErro&lt;&gt;"","",IF(C124+1&gt;PAINEL!$H$8,"",C124+1)),"")</f>
        <v/>
      </c>
      <c r="E125" s="23" t="str">
        <f t="shared" si="29"/>
        <v/>
      </c>
      <c r="F125" s="13" t="str">
        <f>IF(C125="","",IF(E125&lt;&gt;"",E125*PAINEL!$H$7,0))</f>
        <v/>
      </c>
      <c r="G125" s="13" t="str">
        <f>IF(C125="","",IF(PAINEL!$A$4=1,K124/(QTDEParc-C124),IF(AND(PAINEL!$A$4=2,C125&lt;=MomentoContemplação),ValorParcelamento/QTDEParc,K124/(QTDEParc-C124))))</f>
        <v/>
      </c>
      <c r="H125" s="13" t="str">
        <f t="shared" si="30"/>
        <v/>
      </c>
      <c r="I125" s="32" t="str">
        <f t="shared" si="31"/>
        <v/>
      </c>
      <c r="J125" s="14" t="str">
        <f>IF(C125="","",IF(C125=MomentoContemplação,PAINEL!$P$10,0))</f>
        <v/>
      </c>
      <c r="K125" s="14" t="str">
        <f t="shared" si="32"/>
        <v/>
      </c>
      <c r="M125" s="51" t="str">
        <f t="shared" si="33"/>
        <v/>
      </c>
      <c r="N125" s="27" t="str">
        <f t="shared" si="37"/>
        <v/>
      </c>
      <c r="O125" s="27" t="str">
        <f>IF(C125="","",(I125*(1+M125))*(QTDEParc-CÁLCULO!C125)+$F$5-SUM($F$6:F125)-J125)</f>
        <v/>
      </c>
      <c r="P125" s="7" t="str">
        <f t="shared" si="34"/>
        <v/>
      </c>
      <c r="R125" s="44" t="str">
        <f t="shared" si="35"/>
        <v/>
      </c>
      <c r="S125" s="97"/>
      <c r="T125" s="28" t="str">
        <f t="shared" si="36"/>
        <v/>
      </c>
      <c r="U125" s="28" t="str">
        <f t="shared" si="24"/>
        <v/>
      </c>
      <c r="V125" s="7" t="str">
        <f t="shared" si="38"/>
        <v/>
      </c>
      <c r="W125" s="93" t="str">
        <f t="shared" si="43"/>
        <v/>
      </c>
      <c r="X125" s="28" t="str">
        <f t="shared" si="39"/>
        <v/>
      </c>
      <c r="Y125" s="28" t="str">
        <f t="shared" si="25"/>
        <v/>
      </c>
      <c r="Z125" s="28" t="str">
        <f t="shared" si="26"/>
        <v/>
      </c>
      <c r="AA125" s="28" t="str">
        <f t="shared" si="27"/>
        <v/>
      </c>
      <c r="AB125" s="28" t="str">
        <f t="shared" si="28"/>
        <v/>
      </c>
      <c r="AC125" s="28" t="str">
        <f t="shared" si="40"/>
        <v/>
      </c>
      <c r="AD125" s="27"/>
      <c r="AO125" s="145" t="str">
        <f t="shared" si="41"/>
        <v/>
      </c>
      <c r="AP125" s="144" t="str">
        <f t="shared" si="42"/>
        <v/>
      </c>
    </row>
    <row r="126" spans="3:42" x14ac:dyDescent="0.25">
      <c r="C126" s="12" t="str">
        <f>IFERROR(IF(AvisoErro&lt;&gt;"","",IF(C125+1&gt;PAINEL!$H$8,"",C125+1)),"")</f>
        <v/>
      </c>
      <c r="E126" s="23" t="str">
        <f t="shared" si="29"/>
        <v/>
      </c>
      <c r="F126" s="13" t="str">
        <f>IF(C126="","",IF(E126&lt;&gt;"",E126*PAINEL!$H$7,0))</f>
        <v/>
      </c>
      <c r="G126" s="13" t="str">
        <f>IF(C126="","",IF(PAINEL!$A$4=1,K125/(QTDEParc-C125),IF(AND(PAINEL!$A$4=2,C126&lt;=MomentoContemplação),ValorParcelamento/QTDEParc,K125/(QTDEParc-C125))))</f>
        <v/>
      </c>
      <c r="H126" s="13" t="str">
        <f t="shared" si="30"/>
        <v/>
      </c>
      <c r="I126" s="32" t="str">
        <f t="shared" si="31"/>
        <v/>
      </c>
      <c r="J126" s="14" t="str">
        <f>IF(C126="","",IF(C126=MomentoContemplação,PAINEL!$P$10,0))</f>
        <v/>
      </c>
      <c r="K126" s="14" t="str">
        <f t="shared" si="32"/>
        <v/>
      </c>
      <c r="M126" s="51" t="str">
        <f t="shared" si="33"/>
        <v/>
      </c>
      <c r="N126" s="27" t="str">
        <f t="shared" si="37"/>
        <v/>
      </c>
      <c r="O126" s="27" t="str">
        <f>IF(C126="","",(I126*(1+M126))*(QTDEParc-CÁLCULO!C126)+$F$5-SUM($F$6:F126)-J126)</f>
        <v/>
      </c>
      <c r="P126" s="7" t="str">
        <f t="shared" si="34"/>
        <v/>
      </c>
      <c r="R126" s="44" t="str">
        <f t="shared" si="35"/>
        <v/>
      </c>
      <c r="S126" s="97"/>
      <c r="T126" s="28" t="str">
        <f t="shared" si="36"/>
        <v/>
      </c>
      <c r="U126" s="28" t="str">
        <f t="shared" si="24"/>
        <v/>
      </c>
      <c r="V126" s="7" t="str">
        <f t="shared" si="38"/>
        <v/>
      </c>
      <c r="W126" s="93" t="str">
        <f t="shared" si="43"/>
        <v/>
      </c>
      <c r="X126" s="28" t="str">
        <f t="shared" si="39"/>
        <v/>
      </c>
      <c r="Y126" s="28" t="str">
        <f t="shared" si="25"/>
        <v/>
      </c>
      <c r="Z126" s="28" t="str">
        <f t="shared" si="26"/>
        <v/>
      </c>
      <c r="AA126" s="28" t="str">
        <f t="shared" si="27"/>
        <v/>
      </c>
      <c r="AB126" s="28" t="str">
        <f t="shared" si="28"/>
        <v/>
      </c>
      <c r="AC126" s="28" t="str">
        <f t="shared" si="40"/>
        <v/>
      </c>
      <c r="AD126" s="27"/>
      <c r="AO126" s="145" t="str">
        <f t="shared" si="41"/>
        <v/>
      </c>
      <c r="AP126" s="144" t="str">
        <f t="shared" si="42"/>
        <v/>
      </c>
    </row>
    <row r="127" spans="3:42" x14ac:dyDescent="0.25">
      <c r="C127" s="12" t="str">
        <f>IFERROR(IF(AvisoErro&lt;&gt;"","",IF(C126+1&gt;PAINEL!$H$8,"",C126+1)),"")</f>
        <v/>
      </c>
      <c r="E127" s="23" t="str">
        <f t="shared" si="29"/>
        <v/>
      </c>
      <c r="F127" s="13" t="str">
        <f>IF(C127="","",IF(E127&lt;&gt;"",E127*PAINEL!$H$7,0))</f>
        <v/>
      </c>
      <c r="G127" s="13" t="str">
        <f>IF(C127="","",IF(PAINEL!$A$4=1,K126/(QTDEParc-C126),IF(AND(PAINEL!$A$4=2,C127&lt;=MomentoContemplação),ValorParcelamento/QTDEParc,K126/(QTDEParc-C126))))</f>
        <v/>
      </c>
      <c r="H127" s="13" t="str">
        <f t="shared" si="30"/>
        <v/>
      </c>
      <c r="I127" s="32" t="str">
        <f t="shared" si="31"/>
        <v/>
      </c>
      <c r="J127" s="14" t="str">
        <f>IF(C127="","",IF(C127=MomentoContemplação,PAINEL!$P$10,0))</f>
        <v/>
      </c>
      <c r="K127" s="14" t="str">
        <f t="shared" si="32"/>
        <v/>
      </c>
      <c r="M127" s="51" t="str">
        <f t="shared" si="33"/>
        <v/>
      </c>
      <c r="N127" s="27" t="str">
        <f t="shared" si="37"/>
        <v/>
      </c>
      <c r="O127" s="27" t="str">
        <f>IF(C127="","",(I127*(1+M127))*(QTDEParc-CÁLCULO!C127)+$F$5-SUM($F$6:F127)-J127)</f>
        <v/>
      </c>
      <c r="P127" s="7" t="str">
        <f t="shared" si="34"/>
        <v/>
      </c>
      <c r="R127" s="44" t="str">
        <f t="shared" si="35"/>
        <v/>
      </c>
      <c r="S127" s="97"/>
      <c r="T127" s="28" t="str">
        <f t="shared" si="36"/>
        <v/>
      </c>
      <c r="U127" s="28" t="str">
        <f t="shared" si="24"/>
        <v/>
      </c>
      <c r="V127" s="7" t="str">
        <f t="shared" si="38"/>
        <v/>
      </c>
      <c r="W127" s="93" t="str">
        <f t="shared" si="43"/>
        <v/>
      </c>
      <c r="X127" s="28" t="str">
        <f t="shared" si="39"/>
        <v/>
      </c>
      <c r="Y127" s="28" t="str">
        <f t="shared" si="25"/>
        <v/>
      </c>
      <c r="Z127" s="28" t="str">
        <f t="shared" si="26"/>
        <v/>
      </c>
      <c r="AA127" s="28" t="str">
        <f t="shared" si="27"/>
        <v/>
      </c>
      <c r="AB127" s="28" t="str">
        <f t="shared" si="28"/>
        <v/>
      </c>
      <c r="AC127" s="28" t="str">
        <f t="shared" si="40"/>
        <v/>
      </c>
      <c r="AD127" s="27"/>
      <c r="AO127" s="145" t="str">
        <f t="shared" si="41"/>
        <v/>
      </c>
      <c r="AP127" s="144" t="str">
        <f t="shared" si="42"/>
        <v/>
      </c>
    </row>
    <row r="128" spans="3:42" x14ac:dyDescent="0.25">
      <c r="C128" s="12" t="str">
        <f>IFERROR(IF(AvisoErro&lt;&gt;"","",IF(C127+1&gt;PAINEL!$H$8,"",C127+1)),"")</f>
        <v/>
      </c>
      <c r="E128" s="23" t="str">
        <f t="shared" si="29"/>
        <v/>
      </c>
      <c r="F128" s="13" t="str">
        <f>IF(C128="","",IF(E128&lt;&gt;"",E128*PAINEL!$H$7,0))</f>
        <v/>
      </c>
      <c r="G128" s="13" t="str">
        <f>IF(C128="","",IF(PAINEL!$A$4=1,K127/(QTDEParc-C127),IF(AND(PAINEL!$A$4=2,C128&lt;=MomentoContemplação),ValorParcelamento/QTDEParc,K127/(QTDEParc-C127))))</f>
        <v/>
      </c>
      <c r="H128" s="13" t="str">
        <f t="shared" si="30"/>
        <v/>
      </c>
      <c r="I128" s="32" t="str">
        <f t="shared" si="31"/>
        <v/>
      </c>
      <c r="J128" s="14" t="str">
        <f>IF(C128="","",IF(C128=MomentoContemplação,PAINEL!$P$10,0))</f>
        <v/>
      </c>
      <c r="K128" s="14" t="str">
        <f t="shared" si="32"/>
        <v/>
      </c>
      <c r="M128" s="51" t="str">
        <f t="shared" si="33"/>
        <v/>
      </c>
      <c r="N128" s="27" t="str">
        <f t="shared" si="37"/>
        <v/>
      </c>
      <c r="O128" s="27" t="str">
        <f>IF(C128="","",(I128*(1+M128))*(QTDEParc-CÁLCULO!C128)+$F$5-SUM($F$6:F128)-J128)</f>
        <v/>
      </c>
      <c r="P128" s="7" t="str">
        <f t="shared" si="34"/>
        <v/>
      </c>
      <c r="R128" s="44" t="str">
        <f t="shared" si="35"/>
        <v/>
      </c>
      <c r="S128" s="97"/>
      <c r="T128" s="28" t="str">
        <f t="shared" si="36"/>
        <v/>
      </c>
      <c r="U128" s="28" t="str">
        <f t="shared" si="24"/>
        <v/>
      </c>
      <c r="V128" s="7" t="str">
        <f t="shared" si="38"/>
        <v/>
      </c>
      <c r="W128" s="93" t="str">
        <f t="shared" si="43"/>
        <v/>
      </c>
      <c r="X128" s="28" t="str">
        <f t="shared" si="39"/>
        <v/>
      </c>
      <c r="Y128" s="28" t="str">
        <f t="shared" si="25"/>
        <v/>
      </c>
      <c r="Z128" s="28" t="str">
        <f t="shared" si="26"/>
        <v/>
      </c>
      <c r="AA128" s="28" t="str">
        <f t="shared" si="27"/>
        <v/>
      </c>
      <c r="AB128" s="28" t="str">
        <f t="shared" si="28"/>
        <v/>
      </c>
      <c r="AC128" s="28" t="str">
        <f t="shared" si="40"/>
        <v/>
      </c>
      <c r="AD128" s="27"/>
      <c r="AO128" s="145" t="str">
        <f t="shared" si="41"/>
        <v/>
      </c>
      <c r="AP128" s="144" t="str">
        <f t="shared" si="42"/>
        <v/>
      </c>
    </row>
    <row r="129" spans="3:42" x14ac:dyDescent="0.25">
      <c r="C129" s="12" t="str">
        <f>IFERROR(IF(AvisoErro&lt;&gt;"","",IF(C128+1&gt;PAINEL!$H$8,"",C128+1)),"")</f>
        <v/>
      </c>
      <c r="E129" s="23" t="str">
        <f t="shared" si="29"/>
        <v/>
      </c>
      <c r="F129" s="13" t="str">
        <f>IF(C129="","",IF(E129&lt;&gt;"",E129*PAINEL!$H$7,0))</f>
        <v/>
      </c>
      <c r="G129" s="13" t="str">
        <f>IF(C129="","",IF(PAINEL!$A$4=1,K128/(QTDEParc-C128),IF(AND(PAINEL!$A$4=2,C129&lt;=MomentoContemplação),ValorParcelamento/QTDEParc,K128/(QTDEParc-C128))))</f>
        <v/>
      </c>
      <c r="H129" s="13" t="str">
        <f t="shared" si="30"/>
        <v/>
      </c>
      <c r="I129" s="32" t="str">
        <f t="shared" si="31"/>
        <v/>
      </c>
      <c r="J129" s="14" t="str">
        <f>IF(C129="","",IF(C129=MomentoContemplação,PAINEL!$P$10,0))</f>
        <v/>
      </c>
      <c r="K129" s="14" t="str">
        <f t="shared" si="32"/>
        <v/>
      </c>
      <c r="M129" s="51" t="str">
        <f t="shared" si="33"/>
        <v/>
      </c>
      <c r="N129" s="27" t="str">
        <f t="shared" si="37"/>
        <v/>
      </c>
      <c r="O129" s="27" t="str">
        <f>IF(C129="","",(I129*(1+M129))*(QTDEParc-CÁLCULO!C129)+$F$5-SUM($F$6:F129)-J129)</f>
        <v/>
      </c>
      <c r="P129" s="7" t="str">
        <f t="shared" si="34"/>
        <v/>
      </c>
      <c r="R129" s="44" t="str">
        <f t="shared" si="35"/>
        <v/>
      </c>
      <c r="S129" s="97"/>
      <c r="T129" s="28" t="str">
        <f t="shared" si="36"/>
        <v/>
      </c>
      <c r="U129" s="28" t="str">
        <f t="shared" si="24"/>
        <v/>
      </c>
      <c r="V129" s="7" t="str">
        <f t="shared" si="38"/>
        <v/>
      </c>
      <c r="W129" s="93" t="str">
        <f t="shared" si="43"/>
        <v/>
      </c>
      <c r="X129" s="28" t="str">
        <f t="shared" si="39"/>
        <v/>
      </c>
      <c r="Y129" s="28" t="str">
        <f t="shared" si="25"/>
        <v/>
      </c>
      <c r="Z129" s="28" t="str">
        <f t="shared" si="26"/>
        <v/>
      </c>
      <c r="AA129" s="28" t="str">
        <f t="shared" si="27"/>
        <v/>
      </c>
      <c r="AB129" s="28" t="str">
        <f t="shared" si="28"/>
        <v/>
      </c>
      <c r="AC129" s="28" t="str">
        <f t="shared" si="40"/>
        <v/>
      </c>
      <c r="AD129" s="27"/>
      <c r="AO129" s="145" t="str">
        <f t="shared" si="41"/>
        <v/>
      </c>
      <c r="AP129" s="144" t="str">
        <f t="shared" si="42"/>
        <v/>
      </c>
    </row>
    <row r="130" spans="3:42" x14ac:dyDescent="0.25">
      <c r="C130" s="12" t="str">
        <f>IFERROR(IF(AvisoErro&lt;&gt;"","",IF(C129+1&gt;PAINEL!$H$8,"",C129+1)),"")</f>
        <v/>
      </c>
      <c r="E130" s="23" t="str">
        <f t="shared" si="29"/>
        <v/>
      </c>
      <c r="F130" s="13" t="str">
        <f>IF(C130="","",IF(E130&lt;&gt;"",E130*PAINEL!$H$7,0))</f>
        <v/>
      </c>
      <c r="G130" s="13" t="str">
        <f>IF(C130="","",IF(PAINEL!$A$4=1,K129/(QTDEParc-C129),IF(AND(PAINEL!$A$4=2,C130&lt;=MomentoContemplação),ValorParcelamento/QTDEParc,K129/(QTDEParc-C129))))</f>
        <v/>
      </c>
      <c r="H130" s="13" t="str">
        <f t="shared" si="30"/>
        <v/>
      </c>
      <c r="I130" s="32" t="str">
        <f t="shared" si="31"/>
        <v/>
      </c>
      <c r="J130" s="14" t="str">
        <f>IF(C130="","",IF(C130=MomentoContemplação,PAINEL!$P$10,0))</f>
        <v/>
      </c>
      <c r="K130" s="14" t="str">
        <f t="shared" si="32"/>
        <v/>
      </c>
      <c r="M130" s="51" t="str">
        <f t="shared" si="33"/>
        <v/>
      </c>
      <c r="N130" s="27" t="str">
        <f t="shared" si="37"/>
        <v/>
      </c>
      <c r="O130" s="27" t="str">
        <f>IF(C130="","",(I130*(1+M130))*(QTDEParc-CÁLCULO!C130)+$F$5-SUM($F$6:F130)-J130)</f>
        <v/>
      </c>
      <c r="P130" s="7" t="str">
        <f t="shared" si="34"/>
        <v/>
      </c>
      <c r="R130" s="44" t="str">
        <f t="shared" si="35"/>
        <v/>
      </c>
      <c r="S130" s="97"/>
      <c r="T130" s="28" t="str">
        <f t="shared" si="36"/>
        <v/>
      </c>
      <c r="U130" s="28" t="str">
        <f t="shared" si="24"/>
        <v/>
      </c>
      <c r="V130" s="7" t="str">
        <f t="shared" si="38"/>
        <v/>
      </c>
      <c r="W130" s="93" t="str">
        <f t="shared" si="43"/>
        <v/>
      </c>
      <c r="X130" s="28" t="str">
        <f t="shared" si="39"/>
        <v/>
      </c>
      <c r="Y130" s="28" t="str">
        <f t="shared" si="25"/>
        <v/>
      </c>
      <c r="Z130" s="28" t="str">
        <f t="shared" si="26"/>
        <v/>
      </c>
      <c r="AA130" s="28" t="str">
        <f t="shared" si="27"/>
        <v/>
      </c>
      <c r="AB130" s="28" t="str">
        <f t="shared" si="28"/>
        <v/>
      </c>
      <c r="AC130" s="28" t="str">
        <f t="shared" si="40"/>
        <v/>
      </c>
      <c r="AD130" s="27"/>
      <c r="AO130" s="145" t="str">
        <f t="shared" si="41"/>
        <v/>
      </c>
      <c r="AP130" s="144" t="str">
        <f t="shared" si="42"/>
        <v/>
      </c>
    </row>
    <row r="131" spans="3:42" x14ac:dyDescent="0.25">
      <c r="C131" s="12" t="str">
        <f>IFERROR(IF(AvisoErro&lt;&gt;"","",IF(C130+1&gt;PAINEL!$H$8,"",C130+1)),"")</f>
        <v/>
      </c>
      <c r="E131" s="23" t="str">
        <f t="shared" si="29"/>
        <v/>
      </c>
      <c r="F131" s="13" t="str">
        <f>IF(C131="","",IF(E131&lt;&gt;"",E131*PAINEL!$H$7,0))</f>
        <v/>
      </c>
      <c r="G131" s="13" t="str">
        <f>IF(C131="","",IF(PAINEL!$A$4=1,K130/(QTDEParc-C130),IF(AND(PAINEL!$A$4=2,C131&lt;=MomentoContemplação),ValorParcelamento/QTDEParc,K130/(QTDEParc-C130))))</f>
        <v/>
      </c>
      <c r="H131" s="13" t="str">
        <f t="shared" si="30"/>
        <v/>
      </c>
      <c r="I131" s="32" t="str">
        <f t="shared" si="31"/>
        <v/>
      </c>
      <c r="J131" s="14" t="str">
        <f>IF(C131="","",IF(C131=MomentoContemplação,PAINEL!$P$10,0))</f>
        <v/>
      </c>
      <c r="K131" s="14" t="str">
        <f t="shared" si="32"/>
        <v/>
      </c>
      <c r="M131" s="51" t="str">
        <f t="shared" si="33"/>
        <v/>
      </c>
      <c r="N131" s="27" t="str">
        <f t="shared" si="37"/>
        <v/>
      </c>
      <c r="O131" s="27" t="str">
        <f>IF(C131="","",(I131*(1+M131))*(QTDEParc-CÁLCULO!C131)+$F$5-SUM($F$6:F131)-J131)</f>
        <v/>
      </c>
      <c r="P131" s="7" t="str">
        <f t="shared" si="34"/>
        <v/>
      </c>
      <c r="R131" s="44" t="str">
        <f t="shared" si="35"/>
        <v/>
      </c>
      <c r="S131" s="97"/>
      <c r="T131" s="28" t="str">
        <f t="shared" si="36"/>
        <v/>
      </c>
      <c r="U131" s="28" t="str">
        <f t="shared" si="24"/>
        <v/>
      </c>
      <c r="V131" s="7" t="str">
        <f t="shared" si="38"/>
        <v/>
      </c>
      <c r="W131" s="93" t="str">
        <f t="shared" si="43"/>
        <v/>
      </c>
      <c r="X131" s="28" t="str">
        <f t="shared" si="39"/>
        <v/>
      </c>
      <c r="Y131" s="28" t="str">
        <f t="shared" si="25"/>
        <v/>
      </c>
      <c r="Z131" s="28" t="str">
        <f t="shared" si="26"/>
        <v/>
      </c>
      <c r="AA131" s="28" t="str">
        <f t="shared" si="27"/>
        <v/>
      </c>
      <c r="AB131" s="28" t="str">
        <f t="shared" si="28"/>
        <v/>
      </c>
      <c r="AC131" s="28" t="str">
        <f t="shared" si="40"/>
        <v/>
      </c>
      <c r="AD131" s="27"/>
      <c r="AO131" s="145" t="str">
        <f t="shared" si="41"/>
        <v/>
      </c>
      <c r="AP131" s="144" t="str">
        <f t="shared" si="42"/>
        <v/>
      </c>
    </row>
    <row r="132" spans="3:42" x14ac:dyDescent="0.25">
      <c r="C132" s="12" t="str">
        <f>IFERROR(IF(AvisoErro&lt;&gt;"","",IF(C131+1&gt;PAINEL!$H$8,"",C131+1)),"")</f>
        <v/>
      </c>
      <c r="E132" s="23" t="str">
        <f t="shared" si="29"/>
        <v/>
      </c>
      <c r="F132" s="13" t="str">
        <f>IF(C132="","",IF(E132&lt;&gt;"",E132*PAINEL!$H$7,0))</f>
        <v/>
      </c>
      <c r="G132" s="13" t="str">
        <f>IF(C132="","",IF(PAINEL!$A$4=1,K131/(QTDEParc-C131),IF(AND(PAINEL!$A$4=2,C132&lt;=MomentoContemplação),ValorParcelamento/QTDEParc,K131/(QTDEParc-C131))))</f>
        <v/>
      </c>
      <c r="H132" s="13" t="str">
        <f t="shared" si="30"/>
        <v/>
      </c>
      <c r="I132" s="32" t="str">
        <f t="shared" si="31"/>
        <v/>
      </c>
      <c r="J132" s="14" t="str">
        <f>IF(C132="","",IF(C132=MomentoContemplação,PAINEL!$P$10,0))</f>
        <v/>
      </c>
      <c r="K132" s="14" t="str">
        <f t="shared" si="32"/>
        <v/>
      </c>
      <c r="M132" s="51" t="str">
        <f t="shared" si="33"/>
        <v/>
      </c>
      <c r="N132" s="27" t="str">
        <f t="shared" si="37"/>
        <v/>
      </c>
      <c r="O132" s="27" t="str">
        <f>IF(C132="","",(I132*(1+M132))*(QTDEParc-CÁLCULO!C132)+$F$5-SUM($F$6:F132)-J132)</f>
        <v/>
      </c>
      <c r="P132" s="7" t="str">
        <f t="shared" si="34"/>
        <v/>
      </c>
      <c r="R132" s="44" t="str">
        <f t="shared" si="35"/>
        <v/>
      </c>
      <c r="S132" s="97"/>
      <c r="T132" s="28" t="str">
        <f t="shared" si="36"/>
        <v/>
      </c>
      <c r="U132" s="28" t="str">
        <f t="shared" si="24"/>
        <v/>
      </c>
      <c r="V132" s="7" t="str">
        <f t="shared" si="38"/>
        <v/>
      </c>
      <c r="W132" s="93" t="str">
        <f t="shared" si="43"/>
        <v/>
      </c>
      <c r="X132" s="28" t="str">
        <f t="shared" si="39"/>
        <v/>
      </c>
      <c r="Y132" s="28" t="str">
        <f t="shared" si="25"/>
        <v/>
      </c>
      <c r="Z132" s="28" t="str">
        <f t="shared" si="26"/>
        <v/>
      </c>
      <c r="AA132" s="28" t="str">
        <f t="shared" si="27"/>
        <v/>
      </c>
      <c r="AB132" s="28" t="str">
        <f t="shared" si="28"/>
        <v/>
      </c>
      <c r="AC132" s="28" t="str">
        <f t="shared" si="40"/>
        <v/>
      </c>
      <c r="AD132" s="27"/>
      <c r="AO132" s="145" t="str">
        <f t="shared" si="41"/>
        <v/>
      </c>
      <c r="AP132" s="144" t="str">
        <f t="shared" si="42"/>
        <v/>
      </c>
    </row>
    <row r="133" spans="3:42" x14ac:dyDescent="0.25">
      <c r="C133" s="12" t="str">
        <f>IFERROR(IF(AvisoErro&lt;&gt;"","",IF(C132+1&gt;PAINEL!$H$8,"",C132+1)),"")</f>
        <v/>
      </c>
      <c r="E133" s="23" t="str">
        <f t="shared" si="29"/>
        <v/>
      </c>
      <c r="F133" s="13" t="str">
        <f>IF(C133="","",IF(E133&lt;&gt;"",E133*PAINEL!$H$7,0))</f>
        <v/>
      </c>
      <c r="G133" s="13" t="str">
        <f>IF(C133="","",IF(PAINEL!$A$4=1,K132/(QTDEParc-C132),IF(AND(PAINEL!$A$4=2,C133&lt;=MomentoContemplação),ValorParcelamento/QTDEParc,K132/(QTDEParc-C132))))</f>
        <v/>
      </c>
      <c r="H133" s="13" t="str">
        <f t="shared" si="30"/>
        <v/>
      </c>
      <c r="I133" s="32" t="str">
        <f t="shared" si="31"/>
        <v/>
      </c>
      <c r="J133" s="14" t="str">
        <f>IF(C133="","",IF(C133=MomentoContemplação,PAINEL!$P$10,0))</f>
        <v/>
      </c>
      <c r="K133" s="14" t="str">
        <f t="shared" si="32"/>
        <v/>
      </c>
      <c r="M133" s="51" t="str">
        <f t="shared" si="33"/>
        <v/>
      </c>
      <c r="N133" s="27" t="str">
        <f t="shared" si="37"/>
        <v/>
      </c>
      <c r="O133" s="27" t="str">
        <f>IF(C133="","",(I133*(1+M133))*(QTDEParc-CÁLCULO!C133)+$F$5-SUM($F$6:F133)-J133)</f>
        <v/>
      </c>
      <c r="P133" s="7" t="str">
        <f t="shared" si="34"/>
        <v/>
      </c>
      <c r="R133" s="44" t="str">
        <f t="shared" si="35"/>
        <v/>
      </c>
      <c r="S133" s="97"/>
      <c r="T133" s="28" t="str">
        <f t="shared" si="36"/>
        <v/>
      </c>
      <c r="U133" s="28" t="str">
        <f t="shared" si="24"/>
        <v/>
      </c>
      <c r="V133" s="7" t="str">
        <f t="shared" si="38"/>
        <v/>
      </c>
      <c r="W133" s="93" t="str">
        <f t="shared" si="43"/>
        <v/>
      </c>
      <c r="X133" s="28" t="str">
        <f t="shared" si="39"/>
        <v/>
      </c>
      <c r="Y133" s="28" t="str">
        <f t="shared" si="25"/>
        <v/>
      </c>
      <c r="Z133" s="28" t="str">
        <f t="shared" si="26"/>
        <v/>
      </c>
      <c r="AA133" s="28" t="str">
        <f t="shared" si="27"/>
        <v/>
      </c>
      <c r="AB133" s="28" t="str">
        <f t="shared" si="28"/>
        <v/>
      </c>
      <c r="AC133" s="28" t="str">
        <f t="shared" si="40"/>
        <v/>
      </c>
      <c r="AD133" s="27"/>
      <c r="AO133" s="145" t="str">
        <f t="shared" si="41"/>
        <v/>
      </c>
      <c r="AP133" s="144" t="str">
        <f t="shared" si="42"/>
        <v/>
      </c>
    </row>
    <row r="134" spans="3:42" x14ac:dyDescent="0.25">
      <c r="C134" s="12" t="str">
        <f>IFERROR(IF(AvisoErro&lt;&gt;"","",IF(C133+1&gt;PAINEL!$H$8,"",C133+1)),"")</f>
        <v/>
      </c>
      <c r="E134" s="23" t="str">
        <f t="shared" si="29"/>
        <v/>
      </c>
      <c r="F134" s="13" t="str">
        <f>IF(C134="","",IF(E134&lt;&gt;"",E134*PAINEL!$H$7,0))</f>
        <v/>
      </c>
      <c r="G134" s="13" t="str">
        <f>IF(C134="","",IF(PAINEL!$A$4=1,K133/(QTDEParc-C133),IF(AND(PAINEL!$A$4=2,C134&lt;=MomentoContemplação),ValorParcelamento/QTDEParc,K133/(QTDEParc-C133))))</f>
        <v/>
      </c>
      <c r="H134" s="13" t="str">
        <f t="shared" si="30"/>
        <v/>
      </c>
      <c r="I134" s="32" t="str">
        <f t="shared" si="31"/>
        <v/>
      </c>
      <c r="J134" s="14" t="str">
        <f>IF(C134="","",IF(C134=MomentoContemplação,PAINEL!$P$10,0))</f>
        <v/>
      </c>
      <c r="K134" s="14" t="str">
        <f t="shared" si="32"/>
        <v/>
      </c>
      <c r="M134" s="51" t="str">
        <f t="shared" si="33"/>
        <v/>
      </c>
      <c r="N134" s="27" t="str">
        <f t="shared" si="37"/>
        <v/>
      </c>
      <c r="O134" s="27" t="str">
        <f>IF(C134="","",(I134*(1+M134))*(QTDEParc-CÁLCULO!C134)+$F$5-SUM($F$6:F134)-J134)</f>
        <v/>
      </c>
      <c r="P134" s="7" t="str">
        <f t="shared" si="34"/>
        <v/>
      </c>
      <c r="R134" s="44" t="str">
        <f t="shared" si="35"/>
        <v/>
      </c>
      <c r="S134" s="97"/>
      <c r="T134" s="28" t="str">
        <f t="shared" si="36"/>
        <v/>
      </c>
      <c r="U134" s="28" t="str">
        <f t="shared" ref="U134:U197" si="44">IF(C134="","",(PercTxFRes*N134/(100%+PercTxAdm+PercTxFRes)))</f>
        <v/>
      </c>
      <c r="V134" s="7" t="str">
        <f t="shared" si="38"/>
        <v/>
      </c>
      <c r="W134" s="93" t="str">
        <f t="shared" si="43"/>
        <v/>
      </c>
      <c r="X134" s="28" t="str">
        <f t="shared" si="39"/>
        <v/>
      </c>
      <c r="Y134" s="28" t="str">
        <f t="shared" ref="Y134:Y197" si="45">IF($C134="","",PV(TMAFinal,$C134,,-T134))</f>
        <v/>
      </c>
      <c r="Z134" s="28" t="str">
        <f t="shared" ref="Z134:Z197" si="46">IF($C134="","",PV(TMAFinal,$C134,,-U134))</f>
        <v/>
      </c>
      <c r="AA134" s="28" t="str">
        <f t="shared" ref="AA134:AA197" si="47">IF($C134="","",PV(TMAFinal,$C134,,-V134))</f>
        <v/>
      </c>
      <c r="AB134" s="28" t="str">
        <f t="shared" ref="AB134:AB197" si="48">IF($C134="","",PV(TMAFinal,$C134,,-W134))</f>
        <v/>
      </c>
      <c r="AC134" s="28" t="str">
        <f t="shared" si="40"/>
        <v/>
      </c>
      <c r="AD134" s="27"/>
      <c r="AO134" s="145" t="str">
        <f t="shared" si="41"/>
        <v/>
      </c>
      <c r="AP134" s="144" t="str">
        <f t="shared" si="42"/>
        <v/>
      </c>
    </row>
    <row r="135" spans="3:42" x14ac:dyDescent="0.25">
      <c r="C135" s="12" t="str">
        <f>IFERROR(IF(AvisoErro&lt;&gt;"","",IF(C134+1&gt;PAINEL!$H$8,"",C134+1)),"")</f>
        <v/>
      </c>
      <c r="E135" s="23" t="str">
        <f t="shared" ref="E135:E198" si="49">IF(C135="","",IF(C135&lt;=NroParcAntecipadasCalc,PercTxAdmAntecipada/NroParcAntecipadasCalc,""))</f>
        <v/>
      </c>
      <c r="F135" s="13" t="str">
        <f>IF(C135="","",IF(E135&lt;&gt;"",E135*PAINEL!$H$7,0))</f>
        <v/>
      </c>
      <c r="G135" s="13" t="str">
        <f>IF(C135="","",IF(PAINEL!$A$4=1,K134/(QTDEParc-C134),IF(AND(PAINEL!$A$4=2,C135&lt;=MomentoContemplação),ValorParcelamento/QTDEParc,K134/(QTDEParc-C134))))</f>
        <v/>
      </c>
      <c r="H135" s="13" t="str">
        <f t="shared" ref="H135:H198" si="50">IF(C135="","",IF(AND(AposContemplacao=TRUE,OR(MomentoContemplação="",MomentoContemplação=0)),0,IF(AposContemplacao=FALSE,K134*PercSeguroVida,IF(C135&gt;MomentoContemplação,K134*PercSeguroVida,0))))</f>
        <v/>
      </c>
      <c r="I135" s="32" t="str">
        <f t="shared" ref="I135:I198" si="51">IF(C135="","",G135+H135)</f>
        <v/>
      </c>
      <c r="J135" s="14" t="str">
        <f>IF(C135="","",IF(C135=MomentoContemplação,PAINEL!$P$10,0))</f>
        <v/>
      </c>
      <c r="K135" s="14" t="str">
        <f t="shared" ref="K135:K198" si="52">IF(C135="","",K134+H135-I135-J135)</f>
        <v/>
      </c>
      <c r="M135" s="51" t="str">
        <f t="shared" ref="M135:M198" si="53">IF(OR(C135="",C135=0),"",VLOOKUP(C135,PV_Perc_Reajuste,2))</f>
        <v/>
      </c>
      <c r="N135" s="27" t="str">
        <f t="shared" si="37"/>
        <v/>
      </c>
      <c r="O135" s="27" t="str">
        <f>IF(C135="","",(I135*(1+M135))*(QTDEParc-CÁLCULO!C135)+$F$5-SUM($F$6:F135)-J135)</f>
        <v/>
      </c>
      <c r="P135" s="7" t="str">
        <f t="shared" ref="P135:P198" si="54">IF(C135="","",IF(ROW(C135)=6,0,IF(ROW(C135)=7,ValorCredito,ValorCredito*(1+M135))))</f>
        <v/>
      </c>
      <c r="R135" s="44" t="str">
        <f t="shared" ref="R135:R198" si="55">IF(C135="","",PV(TMAFinal,C135,,N135))</f>
        <v/>
      </c>
      <c r="S135" s="97"/>
      <c r="T135" s="28" t="str">
        <f t="shared" ref="T135:T198" si="56">IF(C135="","",((PercTxAdm-PercTxAdmAntecipada)*(N135-F135))/(100%+(PercTxAdm-PercTxAdmAntecipada)+PercTxFRes)+F135)</f>
        <v/>
      </c>
      <c r="U135" s="28" t="str">
        <f t="shared" si="44"/>
        <v/>
      </c>
      <c r="V135" s="7" t="str">
        <f t="shared" si="38"/>
        <v/>
      </c>
      <c r="W135" s="93" t="str">
        <f t="shared" si="43"/>
        <v/>
      </c>
      <c r="X135" s="28" t="str">
        <f t="shared" si="39"/>
        <v/>
      </c>
      <c r="Y135" s="28" t="str">
        <f t="shared" si="45"/>
        <v/>
      </c>
      <c r="Z135" s="28" t="str">
        <f t="shared" si="46"/>
        <v/>
      </c>
      <c r="AA135" s="28" t="str">
        <f t="shared" si="47"/>
        <v/>
      </c>
      <c r="AB135" s="28" t="str">
        <f t="shared" si="48"/>
        <v/>
      </c>
      <c r="AC135" s="28" t="str">
        <f t="shared" si="40"/>
        <v/>
      </c>
      <c r="AD135" s="27"/>
      <c r="AO135" s="145" t="str">
        <f t="shared" si="41"/>
        <v/>
      </c>
      <c r="AP135" s="144" t="str">
        <f t="shared" si="42"/>
        <v/>
      </c>
    </row>
    <row r="136" spans="3:42" x14ac:dyDescent="0.25">
      <c r="C136" s="12" t="str">
        <f>IFERROR(IF(AvisoErro&lt;&gt;"","",IF(C135+1&gt;PAINEL!$H$8,"",C135+1)),"")</f>
        <v/>
      </c>
      <c r="E136" s="23" t="str">
        <f t="shared" si="49"/>
        <v/>
      </c>
      <c r="F136" s="13" t="str">
        <f>IF(C136="","",IF(E136&lt;&gt;"",E136*PAINEL!$H$7,0))</f>
        <v/>
      </c>
      <c r="G136" s="13" t="str">
        <f>IF(C136="","",IF(PAINEL!$A$4=1,K135/(QTDEParc-C135),IF(AND(PAINEL!$A$4=2,C136&lt;=MomentoContemplação),ValorParcelamento/QTDEParc,K135/(QTDEParc-C135))))</f>
        <v/>
      </c>
      <c r="H136" s="13" t="str">
        <f t="shared" si="50"/>
        <v/>
      </c>
      <c r="I136" s="32" t="str">
        <f t="shared" si="51"/>
        <v/>
      </c>
      <c r="J136" s="14" t="str">
        <f>IF(C136="","",IF(C136=MomentoContemplação,PAINEL!$P$10,0))</f>
        <v/>
      </c>
      <c r="K136" s="14" t="str">
        <f t="shared" si="52"/>
        <v/>
      </c>
      <c r="M136" s="51" t="str">
        <f t="shared" si="53"/>
        <v/>
      </c>
      <c r="N136" s="27" t="str">
        <f t="shared" ref="N136:N199" si="57">IF(C136="","",(I136*(1+M136))+F136+J136)</f>
        <v/>
      </c>
      <c r="O136" s="27" t="str">
        <f>IF(C136="","",(I136*(1+M136))*(QTDEParc-CÁLCULO!C136)+$F$5-SUM($F$6:F136)-J136)</f>
        <v/>
      </c>
      <c r="P136" s="7" t="str">
        <f t="shared" si="54"/>
        <v/>
      </c>
      <c r="R136" s="44" t="str">
        <f t="shared" si="55"/>
        <v/>
      </c>
      <c r="S136" s="97"/>
      <c r="T136" s="28" t="str">
        <f t="shared" si="56"/>
        <v/>
      </c>
      <c r="U136" s="28" t="str">
        <f t="shared" si="44"/>
        <v/>
      </c>
      <c r="V136" s="7" t="str">
        <f t="shared" ref="V136:V199" si="58">IF(C136="","",H136)</f>
        <v/>
      </c>
      <c r="W136" s="93" t="str">
        <f t="shared" si="43"/>
        <v/>
      </c>
      <c r="X136" s="28" t="str">
        <f t="shared" ref="X136:X199" si="59">IF(C136="","",SUM(T136:W136))</f>
        <v/>
      </c>
      <c r="Y136" s="28" t="str">
        <f t="shared" si="45"/>
        <v/>
      </c>
      <c r="Z136" s="28" t="str">
        <f t="shared" si="46"/>
        <v/>
      </c>
      <c r="AA136" s="28" t="str">
        <f t="shared" si="47"/>
        <v/>
      </c>
      <c r="AB136" s="28" t="str">
        <f t="shared" si="48"/>
        <v/>
      </c>
      <c r="AC136" s="28" t="str">
        <f t="shared" ref="AC136:AC199" si="60">IF(I136="","",SUM(Y136:AB136))</f>
        <v/>
      </c>
      <c r="AD136" s="27"/>
      <c r="AO136" s="145" t="str">
        <f t="shared" ref="AO136:AO199" si="61">IF(C136="","",C136)</f>
        <v/>
      </c>
      <c r="AP136" s="144" t="str">
        <f t="shared" ref="AP136:AP199" si="62">IF(C136="","",$AP$6*(1+M136))</f>
        <v/>
      </c>
    </row>
    <row r="137" spans="3:42" x14ac:dyDescent="0.25">
      <c r="C137" s="12" t="str">
        <f>IFERROR(IF(AvisoErro&lt;&gt;"","",IF(C136+1&gt;PAINEL!$H$8,"",C136+1)),"")</f>
        <v/>
      </c>
      <c r="E137" s="23" t="str">
        <f t="shared" si="49"/>
        <v/>
      </c>
      <c r="F137" s="13" t="str">
        <f>IF(C137="","",IF(E137&lt;&gt;"",E137*PAINEL!$H$7,0))</f>
        <v/>
      </c>
      <c r="G137" s="13" t="str">
        <f>IF(C137="","",IF(PAINEL!$A$4=1,K136/(QTDEParc-C136),IF(AND(PAINEL!$A$4=2,C137&lt;=MomentoContemplação),ValorParcelamento/QTDEParc,K136/(QTDEParc-C136))))</f>
        <v/>
      </c>
      <c r="H137" s="13" t="str">
        <f t="shared" si="50"/>
        <v/>
      </c>
      <c r="I137" s="32" t="str">
        <f t="shared" si="51"/>
        <v/>
      </c>
      <c r="J137" s="14" t="str">
        <f>IF(C137="","",IF(C137=MomentoContemplação,PAINEL!$P$10,0))</f>
        <v/>
      </c>
      <c r="K137" s="14" t="str">
        <f t="shared" si="52"/>
        <v/>
      </c>
      <c r="M137" s="51" t="str">
        <f t="shared" si="53"/>
        <v/>
      </c>
      <c r="N137" s="27" t="str">
        <f t="shared" si="57"/>
        <v/>
      </c>
      <c r="O137" s="27" t="str">
        <f>IF(C137="","",(I137*(1+M137))*(QTDEParc-CÁLCULO!C137)+$F$5-SUM($F$6:F137)-J137)</f>
        <v/>
      </c>
      <c r="P137" s="7" t="str">
        <f t="shared" si="54"/>
        <v/>
      </c>
      <c r="R137" s="44" t="str">
        <f t="shared" si="55"/>
        <v/>
      </c>
      <c r="S137" s="97"/>
      <c r="T137" s="28" t="str">
        <f t="shared" si="56"/>
        <v/>
      </c>
      <c r="U137" s="28" t="str">
        <f t="shared" si="44"/>
        <v/>
      </c>
      <c r="V137" s="7" t="str">
        <f t="shared" si="58"/>
        <v/>
      </c>
      <c r="W137" s="93" t="str">
        <f t="shared" ref="W137:W200" si="63">IF(C137="","",0)</f>
        <v/>
      </c>
      <c r="X137" s="28" t="str">
        <f t="shared" si="59"/>
        <v/>
      </c>
      <c r="Y137" s="28" t="str">
        <f t="shared" si="45"/>
        <v/>
      </c>
      <c r="Z137" s="28" t="str">
        <f t="shared" si="46"/>
        <v/>
      </c>
      <c r="AA137" s="28" t="str">
        <f t="shared" si="47"/>
        <v/>
      </c>
      <c r="AB137" s="28" t="str">
        <f t="shared" si="48"/>
        <v/>
      </c>
      <c r="AC137" s="28" t="str">
        <f t="shared" si="60"/>
        <v/>
      </c>
      <c r="AD137" s="27"/>
      <c r="AO137" s="145" t="str">
        <f t="shared" si="61"/>
        <v/>
      </c>
      <c r="AP137" s="144" t="str">
        <f t="shared" si="62"/>
        <v/>
      </c>
    </row>
    <row r="138" spans="3:42" x14ac:dyDescent="0.25">
      <c r="C138" s="12" t="str">
        <f>IFERROR(IF(AvisoErro&lt;&gt;"","",IF(C137+1&gt;PAINEL!$H$8,"",C137+1)),"")</f>
        <v/>
      </c>
      <c r="E138" s="23" t="str">
        <f t="shared" si="49"/>
        <v/>
      </c>
      <c r="F138" s="13" t="str">
        <f>IF(C138="","",IF(E138&lt;&gt;"",E138*PAINEL!$H$7,0))</f>
        <v/>
      </c>
      <c r="G138" s="13" t="str">
        <f>IF(C138="","",IF(PAINEL!$A$4=1,K137/(QTDEParc-C137),IF(AND(PAINEL!$A$4=2,C138&lt;=MomentoContemplação),ValorParcelamento/QTDEParc,K137/(QTDEParc-C137))))</f>
        <v/>
      </c>
      <c r="H138" s="13" t="str">
        <f t="shared" si="50"/>
        <v/>
      </c>
      <c r="I138" s="32" t="str">
        <f t="shared" si="51"/>
        <v/>
      </c>
      <c r="J138" s="14" t="str">
        <f>IF(C138="","",IF(C138=MomentoContemplação,PAINEL!$P$10,0))</f>
        <v/>
      </c>
      <c r="K138" s="14" t="str">
        <f t="shared" si="52"/>
        <v/>
      </c>
      <c r="M138" s="51" t="str">
        <f t="shared" si="53"/>
        <v/>
      </c>
      <c r="N138" s="27" t="str">
        <f t="shared" si="57"/>
        <v/>
      </c>
      <c r="O138" s="27" t="str">
        <f>IF(C138="","",(I138*(1+M138))*(QTDEParc-CÁLCULO!C138)+$F$5-SUM($F$6:F138)-J138)</f>
        <v/>
      </c>
      <c r="P138" s="7" t="str">
        <f t="shared" si="54"/>
        <v/>
      </c>
      <c r="R138" s="44" t="str">
        <f t="shared" si="55"/>
        <v/>
      </c>
      <c r="S138" s="97"/>
      <c r="T138" s="28" t="str">
        <f t="shared" si="56"/>
        <v/>
      </c>
      <c r="U138" s="28" t="str">
        <f t="shared" si="44"/>
        <v/>
      </c>
      <c r="V138" s="7" t="str">
        <f t="shared" si="58"/>
        <v/>
      </c>
      <c r="W138" s="93" t="str">
        <f t="shared" si="63"/>
        <v/>
      </c>
      <c r="X138" s="28" t="str">
        <f t="shared" si="59"/>
        <v/>
      </c>
      <c r="Y138" s="28" t="str">
        <f t="shared" si="45"/>
        <v/>
      </c>
      <c r="Z138" s="28" t="str">
        <f t="shared" si="46"/>
        <v/>
      </c>
      <c r="AA138" s="28" t="str">
        <f t="shared" si="47"/>
        <v/>
      </c>
      <c r="AB138" s="28" t="str">
        <f t="shared" si="48"/>
        <v/>
      </c>
      <c r="AC138" s="28" t="str">
        <f t="shared" si="60"/>
        <v/>
      </c>
      <c r="AD138" s="27"/>
      <c r="AO138" s="145" t="str">
        <f t="shared" si="61"/>
        <v/>
      </c>
      <c r="AP138" s="144" t="str">
        <f t="shared" si="62"/>
        <v/>
      </c>
    </row>
    <row r="139" spans="3:42" x14ac:dyDescent="0.25">
      <c r="C139" s="12" t="str">
        <f>IFERROR(IF(AvisoErro&lt;&gt;"","",IF(C138+1&gt;PAINEL!$H$8,"",C138+1)),"")</f>
        <v/>
      </c>
      <c r="E139" s="23" t="str">
        <f t="shared" si="49"/>
        <v/>
      </c>
      <c r="F139" s="13" t="str">
        <f>IF(C139="","",IF(E139&lt;&gt;"",E139*PAINEL!$H$7,0))</f>
        <v/>
      </c>
      <c r="G139" s="13" t="str">
        <f>IF(C139="","",IF(PAINEL!$A$4=1,K138/(QTDEParc-C138),IF(AND(PAINEL!$A$4=2,C139&lt;=MomentoContemplação),ValorParcelamento/QTDEParc,K138/(QTDEParc-C138))))</f>
        <v/>
      </c>
      <c r="H139" s="13" t="str">
        <f t="shared" si="50"/>
        <v/>
      </c>
      <c r="I139" s="32" t="str">
        <f t="shared" si="51"/>
        <v/>
      </c>
      <c r="J139" s="14" t="str">
        <f>IF(C139="","",IF(C139=MomentoContemplação,PAINEL!$P$10,0))</f>
        <v/>
      </c>
      <c r="K139" s="14" t="str">
        <f t="shared" si="52"/>
        <v/>
      </c>
      <c r="M139" s="51" t="str">
        <f t="shared" si="53"/>
        <v/>
      </c>
      <c r="N139" s="27" t="str">
        <f t="shared" si="57"/>
        <v/>
      </c>
      <c r="O139" s="27" t="str">
        <f>IF(C139="","",(I139*(1+M139))*(QTDEParc-CÁLCULO!C139)+$F$5-SUM($F$6:F139)-J139)</f>
        <v/>
      </c>
      <c r="P139" s="7" t="str">
        <f t="shared" si="54"/>
        <v/>
      </c>
      <c r="R139" s="44" t="str">
        <f t="shared" si="55"/>
        <v/>
      </c>
      <c r="S139" s="97"/>
      <c r="T139" s="28" t="str">
        <f t="shared" si="56"/>
        <v/>
      </c>
      <c r="U139" s="28" t="str">
        <f t="shared" si="44"/>
        <v/>
      </c>
      <c r="V139" s="7" t="str">
        <f t="shared" si="58"/>
        <v/>
      </c>
      <c r="W139" s="93" t="str">
        <f t="shared" si="63"/>
        <v/>
      </c>
      <c r="X139" s="28" t="str">
        <f t="shared" si="59"/>
        <v/>
      </c>
      <c r="Y139" s="28" t="str">
        <f t="shared" si="45"/>
        <v/>
      </c>
      <c r="Z139" s="28" t="str">
        <f t="shared" si="46"/>
        <v/>
      </c>
      <c r="AA139" s="28" t="str">
        <f t="shared" si="47"/>
        <v/>
      </c>
      <c r="AB139" s="28" t="str">
        <f t="shared" si="48"/>
        <v/>
      </c>
      <c r="AC139" s="28" t="str">
        <f t="shared" si="60"/>
        <v/>
      </c>
      <c r="AD139" s="27"/>
      <c r="AO139" s="145" t="str">
        <f t="shared" si="61"/>
        <v/>
      </c>
      <c r="AP139" s="144" t="str">
        <f t="shared" si="62"/>
        <v/>
      </c>
    </row>
    <row r="140" spans="3:42" x14ac:dyDescent="0.25">
      <c r="C140" s="12" t="str">
        <f>IFERROR(IF(AvisoErro&lt;&gt;"","",IF(C139+1&gt;PAINEL!$H$8,"",C139+1)),"")</f>
        <v/>
      </c>
      <c r="E140" s="23" t="str">
        <f t="shared" si="49"/>
        <v/>
      </c>
      <c r="F140" s="13" t="str">
        <f>IF(C140="","",IF(E140&lt;&gt;"",E140*PAINEL!$H$7,0))</f>
        <v/>
      </c>
      <c r="G140" s="13" t="str">
        <f>IF(C140="","",IF(PAINEL!$A$4=1,K139/(QTDEParc-C139),IF(AND(PAINEL!$A$4=2,C140&lt;=MomentoContemplação),ValorParcelamento/QTDEParc,K139/(QTDEParc-C139))))</f>
        <v/>
      </c>
      <c r="H140" s="13" t="str">
        <f t="shared" si="50"/>
        <v/>
      </c>
      <c r="I140" s="32" t="str">
        <f t="shared" si="51"/>
        <v/>
      </c>
      <c r="J140" s="14" t="str">
        <f>IF(C140="","",IF(C140=MomentoContemplação,PAINEL!$P$10,0))</f>
        <v/>
      </c>
      <c r="K140" s="14" t="str">
        <f t="shared" si="52"/>
        <v/>
      </c>
      <c r="M140" s="51" t="str">
        <f t="shared" si="53"/>
        <v/>
      </c>
      <c r="N140" s="27" t="str">
        <f t="shared" si="57"/>
        <v/>
      </c>
      <c r="O140" s="27" t="str">
        <f>IF(C140="","",(I140*(1+M140))*(QTDEParc-CÁLCULO!C140)+$F$5-SUM($F$6:F140)-J140)</f>
        <v/>
      </c>
      <c r="P140" s="7" t="str">
        <f t="shared" si="54"/>
        <v/>
      </c>
      <c r="R140" s="44" t="str">
        <f t="shared" si="55"/>
        <v/>
      </c>
      <c r="S140" s="97"/>
      <c r="T140" s="28" t="str">
        <f t="shared" si="56"/>
        <v/>
      </c>
      <c r="U140" s="28" t="str">
        <f t="shared" si="44"/>
        <v/>
      </c>
      <c r="V140" s="7" t="str">
        <f t="shared" si="58"/>
        <v/>
      </c>
      <c r="W140" s="93" t="str">
        <f t="shared" si="63"/>
        <v/>
      </c>
      <c r="X140" s="28" t="str">
        <f t="shared" si="59"/>
        <v/>
      </c>
      <c r="Y140" s="28" t="str">
        <f t="shared" si="45"/>
        <v/>
      </c>
      <c r="Z140" s="28" t="str">
        <f t="shared" si="46"/>
        <v/>
      </c>
      <c r="AA140" s="28" t="str">
        <f t="shared" si="47"/>
        <v/>
      </c>
      <c r="AB140" s="28" t="str">
        <f t="shared" si="48"/>
        <v/>
      </c>
      <c r="AC140" s="28" t="str">
        <f t="shared" si="60"/>
        <v/>
      </c>
      <c r="AD140" s="27"/>
      <c r="AO140" s="145" t="str">
        <f t="shared" si="61"/>
        <v/>
      </c>
      <c r="AP140" s="144" t="str">
        <f t="shared" si="62"/>
        <v/>
      </c>
    </row>
    <row r="141" spans="3:42" x14ac:dyDescent="0.25">
      <c r="C141" s="12" t="str">
        <f>IFERROR(IF(AvisoErro&lt;&gt;"","",IF(C140+1&gt;PAINEL!$H$8,"",C140+1)),"")</f>
        <v/>
      </c>
      <c r="E141" s="23" t="str">
        <f t="shared" si="49"/>
        <v/>
      </c>
      <c r="F141" s="13" t="str">
        <f>IF(C141="","",IF(E141&lt;&gt;"",E141*PAINEL!$H$7,0))</f>
        <v/>
      </c>
      <c r="G141" s="13" t="str">
        <f>IF(C141="","",IF(PAINEL!$A$4=1,K140/(QTDEParc-C140),IF(AND(PAINEL!$A$4=2,C141&lt;=MomentoContemplação),ValorParcelamento/QTDEParc,K140/(QTDEParc-C140))))</f>
        <v/>
      </c>
      <c r="H141" s="13" t="str">
        <f t="shared" si="50"/>
        <v/>
      </c>
      <c r="I141" s="32" t="str">
        <f t="shared" si="51"/>
        <v/>
      </c>
      <c r="J141" s="14" t="str">
        <f>IF(C141="","",IF(C141=MomentoContemplação,PAINEL!$P$10,0))</f>
        <v/>
      </c>
      <c r="K141" s="14" t="str">
        <f t="shared" si="52"/>
        <v/>
      </c>
      <c r="M141" s="51" t="str">
        <f t="shared" si="53"/>
        <v/>
      </c>
      <c r="N141" s="27" t="str">
        <f t="shared" si="57"/>
        <v/>
      </c>
      <c r="O141" s="27" t="str">
        <f>IF(C141="","",(I141*(1+M141))*(QTDEParc-CÁLCULO!C141)+$F$5-SUM($F$6:F141)-J141)</f>
        <v/>
      </c>
      <c r="P141" s="7" t="str">
        <f t="shared" si="54"/>
        <v/>
      </c>
      <c r="R141" s="44" t="str">
        <f t="shared" si="55"/>
        <v/>
      </c>
      <c r="S141" s="97"/>
      <c r="T141" s="28" t="str">
        <f t="shared" si="56"/>
        <v/>
      </c>
      <c r="U141" s="28" t="str">
        <f t="shared" si="44"/>
        <v/>
      </c>
      <c r="V141" s="7" t="str">
        <f t="shared" si="58"/>
        <v/>
      </c>
      <c r="W141" s="93" t="str">
        <f t="shared" si="63"/>
        <v/>
      </c>
      <c r="X141" s="28" t="str">
        <f t="shared" si="59"/>
        <v/>
      </c>
      <c r="Y141" s="28" t="str">
        <f t="shared" si="45"/>
        <v/>
      </c>
      <c r="Z141" s="28" t="str">
        <f t="shared" si="46"/>
        <v/>
      </c>
      <c r="AA141" s="28" t="str">
        <f t="shared" si="47"/>
        <v/>
      </c>
      <c r="AB141" s="28" t="str">
        <f t="shared" si="48"/>
        <v/>
      </c>
      <c r="AC141" s="28" t="str">
        <f t="shared" si="60"/>
        <v/>
      </c>
      <c r="AD141" s="27"/>
      <c r="AO141" s="145" t="str">
        <f t="shared" si="61"/>
        <v/>
      </c>
      <c r="AP141" s="144" t="str">
        <f t="shared" si="62"/>
        <v/>
      </c>
    </row>
    <row r="142" spans="3:42" x14ac:dyDescent="0.25">
      <c r="C142" s="12" t="str">
        <f>IFERROR(IF(AvisoErro&lt;&gt;"","",IF(C141+1&gt;PAINEL!$H$8,"",C141+1)),"")</f>
        <v/>
      </c>
      <c r="E142" s="23" t="str">
        <f t="shared" si="49"/>
        <v/>
      </c>
      <c r="F142" s="13" t="str">
        <f>IF(C142="","",IF(E142&lt;&gt;"",E142*PAINEL!$H$7,0))</f>
        <v/>
      </c>
      <c r="G142" s="13" t="str">
        <f>IF(C142="","",IF(PAINEL!$A$4=1,K141/(QTDEParc-C141),IF(AND(PAINEL!$A$4=2,C142&lt;=MomentoContemplação),ValorParcelamento/QTDEParc,K141/(QTDEParc-C141))))</f>
        <v/>
      </c>
      <c r="H142" s="13" t="str">
        <f t="shared" si="50"/>
        <v/>
      </c>
      <c r="I142" s="32" t="str">
        <f t="shared" si="51"/>
        <v/>
      </c>
      <c r="J142" s="14" t="str">
        <f>IF(C142="","",IF(C142=MomentoContemplação,PAINEL!$P$10,0))</f>
        <v/>
      </c>
      <c r="K142" s="14" t="str">
        <f t="shared" si="52"/>
        <v/>
      </c>
      <c r="M142" s="51" t="str">
        <f t="shared" si="53"/>
        <v/>
      </c>
      <c r="N142" s="27" t="str">
        <f t="shared" si="57"/>
        <v/>
      </c>
      <c r="O142" s="27" t="str">
        <f>IF(C142="","",(I142*(1+M142))*(QTDEParc-CÁLCULO!C142)+$F$5-SUM($F$6:F142)-J142)</f>
        <v/>
      </c>
      <c r="P142" s="7" t="str">
        <f t="shared" si="54"/>
        <v/>
      </c>
      <c r="R142" s="44" t="str">
        <f t="shared" si="55"/>
        <v/>
      </c>
      <c r="S142" s="97"/>
      <c r="T142" s="28" t="str">
        <f t="shared" si="56"/>
        <v/>
      </c>
      <c r="U142" s="28" t="str">
        <f t="shared" si="44"/>
        <v/>
      </c>
      <c r="V142" s="7" t="str">
        <f t="shared" si="58"/>
        <v/>
      </c>
      <c r="W142" s="93" t="str">
        <f t="shared" si="63"/>
        <v/>
      </c>
      <c r="X142" s="28" t="str">
        <f t="shared" si="59"/>
        <v/>
      </c>
      <c r="Y142" s="28" t="str">
        <f t="shared" si="45"/>
        <v/>
      </c>
      <c r="Z142" s="28" t="str">
        <f t="shared" si="46"/>
        <v/>
      </c>
      <c r="AA142" s="28" t="str">
        <f t="shared" si="47"/>
        <v/>
      </c>
      <c r="AB142" s="28" t="str">
        <f t="shared" si="48"/>
        <v/>
      </c>
      <c r="AC142" s="28" t="str">
        <f t="shared" si="60"/>
        <v/>
      </c>
      <c r="AD142" s="27"/>
      <c r="AO142" s="145" t="str">
        <f t="shared" si="61"/>
        <v/>
      </c>
      <c r="AP142" s="144" t="str">
        <f t="shared" si="62"/>
        <v/>
      </c>
    </row>
    <row r="143" spans="3:42" x14ac:dyDescent="0.25">
      <c r="C143" s="12" t="str">
        <f>IFERROR(IF(AvisoErro&lt;&gt;"","",IF(C142+1&gt;PAINEL!$H$8,"",C142+1)),"")</f>
        <v/>
      </c>
      <c r="E143" s="23" t="str">
        <f t="shared" si="49"/>
        <v/>
      </c>
      <c r="F143" s="13" t="str">
        <f>IF(C143="","",IF(E143&lt;&gt;"",E143*PAINEL!$H$7,0))</f>
        <v/>
      </c>
      <c r="G143" s="13" t="str">
        <f>IF(C143="","",IF(PAINEL!$A$4=1,K142/(QTDEParc-C142),IF(AND(PAINEL!$A$4=2,C143&lt;=MomentoContemplação),ValorParcelamento/QTDEParc,K142/(QTDEParc-C142))))</f>
        <v/>
      </c>
      <c r="H143" s="13" t="str">
        <f t="shared" si="50"/>
        <v/>
      </c>
      <c r="I143" s="32" t="str">
        <f t="shared" si="51"/>
        <v/>
      </c>
      <c r="J143" s="14" t="str">
        <f>IF(C143="","",IF(C143=MomentoContemplação,PAINEL!$P$10,0))</f>
        <v/>
      </c>
      <c r="K143" s="14" t="str">
        <f t="shared" si="52"/>
        <v/>
      </c>
      <c r="M143" s="51" t="str">
        <f t="shared" si="53"/>
        <v/>
      </c>
      <c r="N143" s="27" t="str">
        <f t="shared" si="57"/>
        <v/>
      </c>
      <c r="O143" s="27" t="str">
        <f>IF(C143="","",(I143*(1+M143))*(QTDEParc-CÁLCULO!C143)+$F$5-SUM($F$6:F143)-J143)</f>
        <v/>
      </c>
      <c r="P143" s="7" t="str">
        <f t="shared" si="54"/>
        <v/>
      </c>
      <c r="R143" s="44" t="str">
        <f t="shared" si="55"/>
        <v/>
      </c>
      <c r="S143" s="97"/>
      <c r="T143" s="28" t="str">
        <f t="shared" si="56"/>
        <v/>
      </c>
      <c r="U143" s="28" t="str">
        <f t="shared" si="44"/>
        <v/>
      </c>
      <c r="V143" s="7" t="str">
        <f t="shared" si="58"/>
        <v/>
      </c>
      <c r="W143" s="93" t="str">
        <f t="shared" si="63"/>
        <v/>
      </c>
      <c r="X143" s="28" t="str">
        <f t="shared" si="59"/>
        <v/>
      </c>
      <c r="Y143" s="28" t="str">
        <f t="shared" si="45"/>
        <v/>
      </c>
      <c r="Z143" s="28" t="str">
        <f t="shared" si="46"/>
        <v/>
      </c>
      <c r="AA143" s="28" t="str">
        <f t="shared" si="47"/>
        <v/>
      </c>
      <c r="AB143" s="28" t="str">
        <f t="shared" si="48"/>
        <v/>
      </c>
      <c r="AC143" s="28" t="str">
        <f t="shared" si="60"/>
        <v/>
      </c>
      <c r="AD143" s="27"/>
      <c r="AO143" s="145" t="str">
        <f t="shared" si="61"/>
        <v/>
      </c>
      <c r="AP143" s="144" t="str">
        <f t="shared" si="62"/>
        <v/>
      </c>
    </row>
    <row r="144" spans="3:42" x14ac:dyDescent="0.25">
      <c r="C144" s="12" t="str">
        <f>IFERROR(IF(AvisoErro&lt;&gt;"","",IF(C143+1&gt;PAINEL!$H$8,"",C143+1)),"")</f>
        <v/>
      </c>
      <c r="E144" s="23" t="str">
        <f t="shared" si="49"/>
        <v/>
      </c>
      <c r="F144" s="13" t="str">
        <f>IF(C144="","",IF(E144&lt;&gt;"",E144*PAINEL!$H$7,0))</f>
        <v/>
      </c>
      <c r="G144" s="13" t="str">
        <f>IF(C144="","",IF(PAINEL!$A$4=1,K143/(QTDEParc-C143),IF(AND(PAINEL!$A$4=2,C144&lt;=MomentoContemplação),ValorParcelamento/QTDEParc,K143/(QTDEParc-C143))))</f>
        <v/>
      </c>
      <c r="H144" s="13" t="str">
        <f t="shared" si="50"/>
        <v/>
      </c>
      <c r="I144" s="32" t="str">
        <f t="shared" si="51"/>
        <v/>
      </c>
      <c r="J144" s="14" t="str">
        <f>IF(C144="","",IF(C144=MomentoContemplação,PAINEL!$P$10,0))</f>
        <v/>
      </c>
      <c r="K144" s="14" t="str">
        <f t="shared" si="52"/>
        <v/>
      </c>
      <c r="M144" s="51" t="str">
        <f t="shared" si="53"/>
        <v/>
      </c>
      <c r="N144" s="27" t="str">
        <f t="shared" si="57"/>
        <v/>
      </c>
      <c r="O144" s="27" t="str">
        <f>IF(C144="","",(I144*(1+M144))*(QTDEParc-CÁLCULO!C144)+$F$5-SUM($F$6:F144)-J144)</f>
        <v/>
      </c>
      <c r="P144" s="7" t="str">
        <f t="shared" si="54"/>
        <v/>
      </c>
      <c r="R144" s="44" t="str">
        <f t="shared" si="55"/>
        <v/>
      </c>
      <c r="S144" s="97"/>
      <c r="T144" s="28" t="str">
        <f t="shared" si="56"/>
        <v/>
      </c>
      <c r="U144" s="28" t="str">
        <f t="shared" si="44"/>
        <v/>
      </c>
      <c r="V144" s="7" t="str">
        <f t="shared" si="58"/>
        <v/>
      </c>
      <c r="W144" s="93" t="str">
        <f t="shared" si="63"/>
        <v/>
      </c>
      <c r="X144" s="28" t="str">
        <f t="shared" si="59"/>
        <v/>
      </c>
      <c r="Y144" s="28" t="str">
        <f t="shared" si="45"/>
        <v/>
      </c>
      <c r="Z144" s="28" t="str">
        <f t="shared" si="46"/>
        <v/>
      </c>
      <c r="AA144" s="28" t="str">
        <f t="shared" si="47"/>
        <v/>
      </c>
      <c r="AB144" s="28" t="str">
        <f t="shared" si="48"/>
        <v/>
      </c>
      <c r="AC144" s="28" t="str">
        <f t="shared" si="60"/>
        <v/>
      </c>
      <c r="AD144" s="27"/>
      <c r="AO144" s="145" t="str">
        <f t="shared" si="61"/>
        <v/>
      </c>
      <c r="AP144" s="144" t="str">
        <f t="shared" si="62"/>
        <v/>
      </c>
    </row>
    <row r="145" spans="3:42" x14ac:dyDescent="0.25">
      <c r="C145" s="12" t="str">
        <f>IFERROR(IF(AvisoErro&lt;&gt;"","",IF(C144+1&gt;PAINEL!$H$8,"",C144+1)),"")</f>
        <v/>
      </c>
      <c r="E145" s="23" t="str">
        <f t="shared" si="49"/>
        <v/>
      </c>
      <c r="F145" s="13" t="str">
        <f>IF(C145="","",IF(E145&lt;&gt;"",E145*PAINEL!$H$7,0))</f>
        <v/>
      </c>
      <c r="G145" s="13" t="str">
        <f>IF(C145="","",IF(PAINEL!$A$4=1,K144/(QTDEParc-C144),IF(AND(PAINEL!$A$4=2,C145&lt;=MomentoContemplação),ValorParcelamento/QTDEParc,K144/(QTDEParc-C144))))</f>
        <v/>
      </c>
      <c r="H145" s="13" t="str">
        <f t="shared" si="50"/>
        <v/>
      </c>
      <c r="I145" s="32" t="str">
        <f t="shared" si="51"/>
        <v/>
      </c>
      <c r="J145" s="14" t="str">
        <f>IF(C145="","",IF(C145=MomentoContemplação,PAINEL!$P$10,0))</f>
        <v/>
      </c>
      <c r="K145" s="14" t="str">
        <f t="shared" si="52"/>
        <v/>
      </c>
      <c r="M145" s="51" t="str">
        <f t="shared" si="53"/>
        <v/>
      </c>
      <c r="N145" s="27" t="str">
        <f t="shared" si="57"/>
        <v/>
      </c>
      <c r="O145" s="27" t="str">
        <f>IF(C145="","",(I145*(1+M145))*(QTDEParc-CÁLCULO!C145)+$F$5-SUM($F$6:F145)-J145)</f>
        <v/>
      </c>
      <c r="P145" s="7" t="str">
        <f t="shared" si="54"/>
        <v/>
      </c>
      <c r="R145" s="44" t="str">
        <f t="shared" si="55"/>
        <v/>
      </c>
      <c r="S145" s="97"/>
      <c r="T145" s="28" t="str">
        <f t="shared" si="56"/>
        <v/>
      </c>
      <c r="U145" s="28" t="str">
        <f t="shared" si="44"/>
        <v/>
      </c>
      <c r="V145" s="7" t="str">
        <f t="shared" si="58"/>
        <v/>
      </c>
      <c r="W145" s="93" t="str">
        <f t="shared" si="63"/>
        <v/>
      </c>
      <c r="X145" s="28" t="str">
        <f t="shared" si="59"/>
        <v/>
      </c>
      <c r="Y145" s="28" t="str">
        <f t="shared" si="45"/>
        <v/>
      </c>
      <c r="Z145" s="28" t="str">
        <f t="shared" si="46"/>
        <v/>
      </c>
      <c r="AA145" s="28" t="str">
        <f t="shared" si="47"/>
        <v/>
      </c>
      <c r="AB145" s="28" t="str">
        <f t="shared" si="48"/>
        <v/>
      </c>
      <c r="AC145" s="28" t="str">
        <f t="shared" si="60"/>
        <v/>
      </c>
      <c r="AD145" s="27"/>
      <c r="AO145" s="145" t="str">
        <f t="shared" si="61"/>
        <v/>
      </c>
      <c r="AP145" s="144" t="str">
        <f t="shared" si="62"/>
        <v/>
      </c>
    </row>
    <row r="146" spans="3:42" x14ac:dyDescent="0.25">
      <c r="C146" s="12" t="str">
        <f>IFERROR(IF(AvisoErro&lt;&gt;"","",IF(C145+1&gt;PAINEL!$H$8,"",C145+1)),"")</f>
        <v/>
      </c>
      <c r="E146" s="23" t="str">
        <f t="shared" si="49"/>
        <v/>
      </c>
      <c r="F146" s="13" t="str">
        <f>IF(C146="","",IF(E146&lt;&gt;"",E146*PAINEL!$H$7,0))</f>
        <v/>
      </c>
      <c r="G146" s="13" t="str">
        <f>IF(C146="","",IF(PAINEL!$A$4=1,K145/(QTDEParc-C145),IF(AND(PAINEL!$A$4=2,C146&lt;=MomentoContemplação),ValorParcelamento/QTDEParc,K145/(QTDEParc-C145))))</f>
        <v/>
      </c>
      <c r="H146" s="13" t="str">
        <f t="shared" si="50"/>
        <v/>
      </c>
      <c r="I146" s="32" t="str">
        <f t="shared" si="51"/>
        <v/>
      </c>
      <c r="J146" s="14" t="str">
        <f>IF(C146="","",IF(C146=MomentoContemplação,PAINEL!$P$10,0))</f>
        <v/>
      </c>
      <c r="K146" s="14" t="str">
        <f t="shared" si="52"/>
        <v/>
      </c>
      <c r="M146" s="51" t="str">
        <f t="shared" si="53"/>
        <v/>
      </c>
      <c r="N146" s="27" t="str">
        <f t="shared" si="57"/>
        <v/>
      </c>
      <c r="O146" s="27" t="str">
        <f>IF(C146="","",(I146*(1+M146))*(QTDEParc-CÁLCULO!C146)+$F$5-SUM($F$6:F146)-J146)</f>
        <v/>
      </c>
      <c r="P146" s="7" t="str">
        <f t="shared" si="54"/>
        <v/>
      </c>
      <c r="R146" s="44" t="str">
        <f t="shared" si="55"/>
        <v/>
      </c>
      <c r="S146" s="97"/>
      <c r="T146" s="28" t="str">
        <f t="shared" si="56"/>
        <v/>
      </c>
      <c r="U146" s="28" t="str">
        <f t="shared" si="44"/>
        <v/>
      </c>
      <c r="V146" s="7" t="str">
        <f t="shared" si="58"/>
        <v/>
      </c>
      <c r="W146" s="93" t="str">
        <f t="shared" si="63"/>
        <v/>
      </c>
      <c r="X146" s="28" t="str">
        <f t="shared" si="59"/>
        <v/>
      </c>
      <c r="Y146" s="28" t="str">
        <f t="shared" si="45"/>
        <v/>
      </c>
      <c r="Z146" s="28" t="str">
        <f t="shared" si="46"/>
        <v/>
      </c>
      <c r="AA146" s="28" t="str">
        <f t="shared" si="47"/>
        <v/>
      </c>
      <c r="AB146" s="28" t="str">
        <f t="shared" si="48"/>
        <v/>
      </c>
      <c r="AC146" s="28" t="str">
        <f t="shared" si="60"/>
        <v/>
      </c>
      <c r="AD146" s="27"/>
      <c r="AO146" s="145" t="str">
        <f t="shared" si="61"/>
        <v/>
      </c>
      <c r="AP146" s="144" t="str">
        <f t="shared" si="62"/>
        <v/>
      </c>
    </row>
    <row r="147" spans="3:42" x14ac:dyDescent="0.25">
      <c r="C147" s="12" t="str">
        <f>IFERROR(IF(AvisoErro&lt;&gt;"","",IF(C146+1&gt;PAINEL!$H$8,"",C146+1)),"")</f>
        <v/>
      </c>
      <c r="E147" s="23" t="str">
        <f t="shared" si="49"/>
        <v/>
      </c>
      <c r="F147" s="13" t="str">
        <f>IF(C147="","",IF(E147&lt;&gt;"",E147*PAINEL!$H$7,0))</f>
        <v/>
      </c>
      <c r="G147" s="13" t="str">
        <f>IF(C147="","",IF(PAINEL!$A$4=1,K146/(QTDEParc-C146),IF(AND(PAINEL!$A$4=2,C147&lt;=MomentoContemplação),ValorParcelamento/QTDEParc,K146/(QTDEParc-C146))))</f>
        <v/>
      </c>
      <c r="H147" s="13" t="str">
        <f t="shared" si="50"/>
        <v/>
      </c>
      <c r="I147" s="32" t="str">
        <f t="shared" si="51"/>
        <v/>
      </c>
      <c r="J147" s="14" t="str">
        <f>IF(C147="","",IF(C147=MomentoContemplação,PAINEL!$P$10,0))</f>
        <v/>
      </c>
      <c r="K147" s="14" t="str">
        <f t="shared" si="52"/>
        <v/>
      </c>
      <c r="M147" s="51" t="str">
        <f t="shared" si="53"/>
        <v/>
      </c>
      <c r="N147" s="27" t="str">
        <f t="shared" si="57"/>
        <v/>
      </c>
      <c r="O147" s="27" t="str">
        <f>IF(C147="","",(I147*(1+M147))*(QTDEParc-CÁLCULO!C147)+$F$5-SUM($F$6:F147)-J147)</f>
        <v/>
      </c>
      <c r="P147" s="7" t="str">
        <f t="shared" si="54"/>
        <v/>
      </c>
      <c r="R147" s="44" t="str">
        <f t="shared" si="55"/>
        <v/>
      </c>
      <c r="S147" s="97"/>
      <c r="T147" s="28" t="str">
        <f t="shared" si="56"/>
        <v/>
      </c>
      <c r="U147" s="28" t="str">
        <f t="shared" si="44"/>
        <v/>
      </c>
      <c r="V147" s="7" t="str">
        <f t="shared" si="58"/>
        <v/>
      </c>
      <c r="W147" s="93" t="str">
        <f t="shared" si="63"/>
        <v/>
      </c>
      <c r="X147" s="28" t="str">
        <f t="shared" si="59"/>
        <v/>
      </c>
      <c r="Y147" s="28" t="str">
        <f t="shared" si="45"/>
        <v/>
      </c>
      <c r="Z147" s="28" t="str">
        <f t="shared" si="46"/>
        <v/>
      </c>
      <c r="AA147" s="28" t="str">
        <f t="shared" si="47"/>
        <v/>
      </c>
      <c r="AB147" s="28" t="str">
        <f t="shared" si="48"/>
        <v/>
      </c>
      <c r="AC147" s="28" t="str">
        <f t="shared" si="60"/>
        <v/>
      </c>
      <c r="AD147" s="27"/>
      <c r="AO147" s="145" t="str">
        <f t="shared" si="61"/>
        <v/>
      </c>
      <c r="AP147" s="144" t="str">
        <f t="shared" si="62"/>
        <v/>
      </c>
    </row>
    <row r="148" spans="3:42" x14ac:dyDescent="0.25">
      <c r="C148" s="12" t="str">
        <f>IFERROR(IF(AvisoErro&lt;&gt;"","",IF(C147+1&gt;PAINEL!$H$8,"",C147+1)),"")</f>
        <v/>
      </c>
      <c r="E148" s="23" t="str">
        <f t="shared" si="49"/>
        <v/>
      </c>
      <c r="F148" s="13" t="str">
        <f>IF(C148="","",IF(E148&lt;&gt;"",E148*PAINEL!$H$7,0))</f>
        <v/>
      </c>
      <c r="G148" s="13" t="str">
        <f>IF(C148="","",IF(PAINEL!$A$4=1,K147/(QTDEParc-C147),IF(AND(PAINEL!$A$4=2,C148&lt;=MomentoContemplação),ValorParcelamento/QTDEParc,K147/(QTDEParc-C147))))</f>
        <v/>
      </c>
      <c r="H148" s="13" t="str">
        <f t="shared" si="50"/>
        <v/>
      </c>
      <c r="I148" s="32" t="str">
        <f t="shared" si="51"/>
        <v/>
      </c>
      <c r="J148" s="14" t="str">
        <f>IF(C148="","",IF(C148=MomentoContemplação,PAINEL!$P$10,0))</f>
        <v/>
      </c>
      <c r="K148" s="14" t="str">
        <f t="shared" si="52"/>
        <v/>
      </c>
      <c r="M148" s="51" t="str">
        <f t="shared" si="53"/>
        <v/>
      </c>
      <c r="N148" s="27" t="str">
        <f t="shared" si="57"/>
        <v/>
      </c>
      <c r="O148" s="27" t="str">
        <f>IF(C148="","",(I148*(1+M148))*(QTDEParc-CÁLCULO!C148)+$F$5-SUM($F$6:F148)-J148)</f>
        <v/>
      </c>
      <c r="P148" s="7" t="str">
        <f t="shared" si="54"/>
        <v/>
      </c>
      <c r="R148" s="44" t="str">
        <f t="shared" si="55"/>
        <v/>
      </c>
      <c r="S148" s="97"/>
      <c r="T148" s="28" t="str">
        <f t="shared" si="56"/>
        <v/>
      </c>
      <c r="U148" s="28" t="str">
        <f t="shared" si="44"/>
        <v/>
      </c>
      <c r="V148" s="7" t="str">
        <f t="shared" si="58"/>
        <v/>
      </c>
      <c r="W148" s="93" t="str">
        <f t="shared" si="63"/>
        <v/>
      </c>
      <c r="X148" s="28" t="str">
        <f t="shared" si="59"/>
        <v/>
      </c>
      <c r="Y148" s="28" t="str">
        <f t="shared" si="45"/>
        <v/>
      </c>
      <c r="Z148" s="28" t="str">
        <f t="shared" si="46"/>
        <v/>
      </c>
      <c r="AA148" s="28" t="str">
        <f t="shared" si="47"/>
        <v/>
      </c>
      <c r="AB148" s="28" t="str">
        <f t="shared" si="48"/>
        <v/>
      </c>
      <c r="AC148" s="28" t="str">
        <f t="shared" si="60"/>
        <v/>
      </c>
      <c r="AD148" s="27"/>
      <c r="AO148" s="145" t="str">
        <f t="shared" si="61"/>
        <v/>
      </c>
      <c r="AP148" s="144" t="str">
        <f t="shared" si="62"/>
        <v/>
      </c>
    </row>
    <row r="149" spans="3:42" x14ac:dyDescent="0.25">
      <c r="C149" s="12" t="str">
        <f>IFERROR(IF(AvisoErro&lt;&gt;"","",IF(C148+1&gt;PAINEL!$H$8,"",C148+1)),"")</f>
        <v/>
      </c>
      <c r="E149" s="23" t="str">
        <f t="shared" si="49"/>
        <v/>
      </c>
      <c r="F149" s="13" t="str">
        <f>IF(C149="","",IF(E149&lt;&gt;"",E149*PAINEL!$H$7,0))</f>
        <v/>
      </c>
      <c r="G149" s="13" t="str">
        <f>IF(C149="","",IF(PAINEL!$A$4=1,K148/(QTDEParc-C148),IF(AND(PAINEL!$A$4=2,C149&lt;=MomentoContemplação),ValorParcelamento/QTDEParc,K148/(QTDEParc-C148))))</f>
        <v/>
      </c>
      <c r="H149" s="13" t="str">
        <f t="shared" si="50"/>
        <v/>
      </c>
      <c r="I149" s="32" t="str">
        <f t="shared" si="51"/>
        <v/>
      </c>
      <c r="J149" s="14" t="str">
        <f>IF(C149="","",IF(C149=MomentoContemplação,PAINEL!$P$10,0))</f>
        <v/>
      </c>
      <c r="K149" s="14" t="str">
        <f t="shared" si="52"/>
        <v/>
      </c>
      <c r="M149" s="51" t="str">
        <f t="shared" si="53"/>
        <v/>
      </c>
      <c r="N149" s="27" t="str">
        <f t="shared" si="57"/>
        <v/>
      </c>
      <c r="O149" s="27" t="str">
        <f>IF(C149="","",(I149*(1+M149))*(QTDEParc-CÁLCULO!C149)+$F$5-SUM($F$6:F149)-J149)</f>
        <v/>
      </c>
      <c r="P149" s="7" t="str">
        <f t="shared" si="54"/>
        <v/>
      </c>
      <c r="R149" s="44" t="str">
        <f t="shared" si="55"/>
        <v/>
      </c>
      <c r="S149" s="97"/>
      <c r="T149" s="28" t="str">
        <f t="shared" si="56"/>
        <v/>
      </c>
      <c r="U149" s="28" t="str">
        <f t="shared" si="44"/>
        <v/>
      </c>
      <c r="V149" s="7" t="str">
        <f t="shared" si="58"/>
        <v/>
      </c>
      <c r="W149" s="93" t="str">
        <f t="shared" si="63"/>
        <v/>
      </c>
      <c r="X149" s="28" t="str">
        <f t="shared" si="59"/>
        <v/>
      </c>
      <c r="Y149" s="28" t="str">
        <f t="shared" si="45"/>
        <v/>
      </c>
      <c r="Z149" s="28" t="str">
        <f t="shared" si="46"/>
        <v/>
      </c>
      <c r="AA149" s="28" t="str">
        <f t="shared" si="47"/>
        <v/>
      </c>
      <c r="AB149" s="28" t="str">
        <f t="shared" si="48"/>
        <v/>
      </c>
      <c r="AC149" s="28" t="str">
        <f t="shared" si="60"/>
        <v/>
      </c>
      <c r="AD149" s="27"/>
      <c r="AO149" s="145" t="str">
        <f t="shared" si="61"/>
        <v/>
      </c>
      <c r="AP149" s="144" t="str">
        <f t="shared" si="62"/>
        <v/>
      </c>
    </row>
    <row r="150" spans="3:42" x14ac:dyDescent="0.25">
      <c r="C150" s="12" t="str">
        <f>IFERROR(IF(AvisoErro&lt;&gt;"","",IF(C149+1&gt;PAINEL!$H$8,"",C149+1)),"")</f>
        <v/>
      </c>
      <c r="E150" s="23" t="str">
        <f t="shared" si="49"/>
        <v/>
      </c>
      <c r="F150" s="13" t="str">
        <f>IF(C150="","",IF(E150&lt;&gt;"",E150*PAINEL!$H$7,0))</f>
        <v/>
      </c>
      <c r="G150" s="13" t="str">
        <f>IF(C150="","",IF(PAINEL!$A$4=1,K149/(QTDEParc-C149),IF(AND(PAINEL!$A$4=2,C150&lt;=MomentoContemplação),ValorParcelamento/QTDEParc,K149/(QTDEParc-C149))))</f>
        <v/>
      </c>
      <c r="H150" s="13" t="str">
        <f t="shared" si="50"/>
        <v/>
      </c>
      <c r="I150" s="32" t="str">
        <f t="shared" si="51"/>
        <v/>
      </c>
      <c r="J150" s="14" t="str">
        <f>IF(C150="","",IF(C150=MomentoContemplação,PAINEL!$P$10,0))</f>
        <v/>
      </c>
      <c r="K150" s="14" t="str">
        <f t="shared" si="52"/>
        <v/>
      </c>
      <c r="M150" s="51" t="str">
        <f t="shared" si="53"/>
        <v/>
      </c>
      <c r="N150" s="27" t="str">
        <f t="shared" si="57"/>
        <v/>
      </c>
      <c r="O150" s="27" t="str">
        <f>IF(C150="","",(I150*(1+M150))*(QTDEParc-CÁLCULO!C150)+$F$5-SUM($F$6:F150)-J150)</f>
        <v/>
      </c>
      <c r="P150" s="7" t="str">
        <f t="shared" si="54"/>
        <v/>
      </c>
      <c r="R150" s="44" t="str">
        <f t="shared" si="55"/>
        <v/>
      </c>
      <c r="S150" s="97"/>
      <c r="T150" s="28" t="str">
        <f t="shared" si="56"/>
        <v/>
      </c>
      <c r="U150" s="28" t="str">
        <f t="shared" si="44"/>
        <v/>
      </c>
      <c r="V150" s="7" t="str">
        <f t="shared" si="58"/>
        <v/>
      </c>
      <c r="W150" s="93" t="str">
        <f t="shared" si="63"/>
        <v/>
      </c>
      <c r="X150" s="28" t="str">
        <f t="shared" si="59"/>
        <v/>
      </c>
      <c r="Y150" s="28" t="str">
        <f t="shared" si="45"/>
        <v/>
      </c>
      <c r="Z150" s="28" t="str">
        <f t="shared" si="46"/>
        <v/>
      </c>
      <c r="AA150" s="28" t="str">
        <f t="shared" si="47"/>
        <v/>
      </c>
      <c r="AB150" s="28" t="str">
        <f t="shared" si="48"/>
        <v/>
      </c>
      <c r="AC150" s="28" t="str">
        <f t="shared" si="60"/>
        <v/>
      </c>
      <c r="AD150" s="27"/>
      <c r="AO150" s="145" t="str">
        <f t="shared" si="61"/>
        <v/>
      </c>
      <c r="AP150" s="144" t="str">
        <f t="shared" si="62"/>
        <v/>
      </c>
    </row>
    <row r="151" spans="3:42" x14ac:dyDescent="0.25">
      <c r="C151" s="12" t="str">
        <f>IFERROR(IF(AvisoErro&lt;&gt;"","",IF(C150+1&gt;PAINEL!$H$8,"",C150+1)),"")</f>
        <v/>
      </c>
      <c r="E151" s="23" t="str">
        <f t="shared" si="49"/>
        <v/>
      </c>
      <c r="F151" s="13" t="str">
        <f>IF(C151="","",IF(E151&lt;&gt;"",E151*PAINEL!$H$7,0))</f>
        <v/>
      </c>
      <c r="G151" s="13" t="str">
        <f>IF(C151="","",IF(PAINEL!$A$4=1,K150/(QTDEParc-C150),IF(AND(PAINEL!$A$4=2,C151&lt;=MomentoContemplação),ValorParcelamento/QTDEParc,K150/(QTDEParc-C150))))</f>
        <v/>
      </c>
      <c r="H151" s="13" t="str">
        <f t="shared" si="50"/>
        <v/>
      </c>
      <c r="I151" s="32" t="str">
        <f t="shared" si="51"/>
        <v/>
      </c>
      <c r="J151" s="14" t="str">
        <f>IF(C151="","",IF(C151=MomentoContemplação,PAINEL!$P$10,0))</f>
        <v/>
      </c>
      <c r="K151" s="14" t="str">
        <f t="shared" si="52"/>
        <v/>
      </c>
      <c r="M151" s="51" t="str">
        <f t="shared" si="53"/>
        <v/>
      </c>
      <c r="N151" s="27" t="str">
        <f t="shared" si="57"/>
        <v/>
      </c>
      <c r="O151" s="27" t="str">
        <f>IF(C151="","",(I151*(1+M151))*(QTDEParc-CÁLCULO!C151)+$F$5-SUM($F$6:F151)-J151)</f>
        <v/>
      </c>
      <c r="P151" s="7" t="str">
        <f t="shared" si="54"/>
        <v/>
      </c>
      <c r="R151" s="44" t="str">
        <f t="shared" si="55"/>
        <v/>
      </c>
      <c r="S151" s="97"/>
      <c r="T151" s="28" t="str">
        <f t="shared" si="56"/>
        <v/>
      </c>
      <c r="U151" s="28" t="str">
        <f t="shared" si="44"/>
        <v/>
      </c>
      <c r="V151" s="7" t="str">
        <f t="shared" si="58"/>
        <v/>
      </c>
      <c r="W151" s="93" t="str">
        <f t="shared" si="63"/>
        <v/>
      </c>
      <c r="X151" s="28" t="str">
        <f t="shared" si="59"/>
        <v/>
      </c>
      <c r="Y151" s="28" t="str">
        <f t="shared" si="45"/>
        <v/>
      </c>
      <c r="Z151" s="28" t="str">
        <f t="shared" si="46"/>
        <v/>
      </c>
      <c r="AA151" s="28" t="str">
        <f t="shared" si="47"/>
        <v/>
      </c>
      <c r="AB151" s="28" t="str">
        <f t="shared" si="48"/>
        <v/>
      </c>
      <c r="AC151" s="28" t="str">
        <f t="shared" si="60"/>
        <v/>
      </c>
      <c r="AD151" s="27"/>
      <c r="AO151" s="145" t="str">
        <f t="shared" si="61"/>
        <v/>
      </c>
      <c r="AP151" s="144" t="str">
        <f t="shared" si="62"/>
        <v/>
      </c>
    </row>
    <row r="152" spans="3:42" x14ac:dyDescent="0.25">
      <c r="C152" s="12" t="str">
        <f>IFERROR(IF(AvisoErro&lt;&gt;"","",IF(C151+1&gt;PAINEL!$H$8,"",C151+1)),"")</f>
        <v/>
      </c>
      <c r="E152" s="23" t="str">
        <f t="shared" si="49"/>
        <v/>
      </c>
      <c r="F152" s="13" t="str">
        <f>IF(C152="","",IF(E152&lt;&gt;"",E152*PAINEL!$H$7,0))</f>
        <v/>
      </c>
      <c r="G152" s="13" t="str">
        <f>IF(C152="","",IF(PAINEL!$A$4=1,K151/(QTDEParc-C151),IF(AND(PAINEL!$A$4=2,C152&lt;=MomentoContemplação),ValorParcelamento/QTDEParc,K151/(QTDEParc-C151))))</f>
        <v/>
      </c>
      <c r="H152" s="13" t="str">
        <f t="shared" si="50"/>
        <v/>
      </c>
      <c r="I152" s="32" t="str">
        <f t="shared" si="51"/>
        <v/>
      </c>
      <c r="J152" s="14" t="str">
        <f>IF(C152="","",IF(C152=MomentoContemplação,PAINEL!$P$10,0))</f>
        <v/>
      </c>
      <c r="K152" s="14" t="str">
        <f t="shared" si="52"/>
        <v/>
      </c>
      <c r="M152" s="51" t="str">
        <f t="shared" si="53"/>
        <v/>
      </c>
      <c r="N152" s="27" t="str">
        <f t="shared" si="57"/>
        <v/>
      </c>
      <c r="O152" s="27" t="str">
        <f>IF(C152="","",(I152*(1+M152))*(QTDEParc-CÁLCULO!C152)+$F$5-SUM($F$6:F152)-J152)</f>
        <v/>
      </c>
      <c r="P152" s="7" t="str">
        <f t="shared" si="54"/>
        <v/>
      </c>
      <c r="R152" s="44" t="str">
        <f t="shared" si="55"/>
        <v/>
      </c>
      <c r="S152" s="97"/>
      <c r="T152" s="28" t="str">
        <f t="shared" si="56"/>
        <v/>
      </c>
      <c r="U152" s="28" t="str">
        <f t="shared" si="44"/>
        <v/>
      </c>
      <c r="V152" s="7" t="str">
        <f t="shared" si="58"/>
        <v/>
      </c>
      <c r="W152" s="93" t="str">
        <f t="shared" si="63"/>
        <v/>
      </c>
      <c r="X152" s="28" t="str">
        <f t="shared" si="59"/>
        <v/>
      </c>
      <c r="Y152" s="28" t="str">
        <f t="shared" si="45"/>
        <v/>
      </c>
      <c r="Z152" s="28" t="str">
        <f t="shared" si="46"/>
        <v/>
      </c>
      <c r="AA152" s="28" t="str">
        <f t="shared" si="47"/>
        <v/>
      </c>
      <c r="AB152" s="28" t="str">
        <f t="shared" si="48"/>
        <v/>
      </c>
      <c r="AC152" s="28" t="str">
        <f t="shared" si="60"/>
        <v/>
      </c>
      <c r="AD152" s="27"/>
      <c r="AO152" s="145" t="str">
        <f t="shared" si="61"/>
        <v/>
      </c>
      <c r="AP152" s="144" t="str">
        <f t="shared" si="62"/>
        <v/>
      </c>
    </row>
    <row r="153" spans="3:42" x14ac:dyDescent="0.25">
      <c r="C153" s="12" t="str">
        <f>IFERROR(IF(AvisoErro&lt;&gt;"","",IF(C152+1&gt;PAINEL!$H$8,"",C152+1)),"")</f>
        <v/>
      </c>
      <c r="E153" s="23" t="str">
        <f t="shared" si="49"/>
        <v/>
      </c>
      <c r="F153" s="13" t="str">
        <f>IF(C153="","",IF(E153&lt;&gt;"",E153*PAINEL!$H$7,0))</f>
        <v/>
      </c>
      <c r="G153" s="13" t="str">
        <f>IF(C153="","",IF(PAINEL!$A$4=1,K152/(QTDEParc-C152),IF(AND(PAINEL!$A$4=2,C153&lt;=MomentoContemplação),ValorParcelamento/QTDEParc,K152/(QTDEParc-C152))))</f>
        <v/>
      </c>
      <c r="H153" s="13" t="str">
        <f t="shared" si="50"/>
        <v/>
      </c>
      <c r="I153" s="32" t="str">
        <f t="shared" si="51"/>
        <v/>
      </c>
      <c r="J153" s="14" t="str">
        <f>IF(C153="","",IF(C153=MomentoContemplação,PAINEL!$P$10,0))</f>
        <v/>
      </c>
      <c r="K153" s="14" t="str">
        <f t="shared" si="52"/>
        <v/>
      </c>
      <c r="M153" s="51" t="str">
        <f t="shared" si="53"/>
        <v/>
      </c>
      <c r="N153" s="27" t="str">
        <f t="shared" si="57"/>
        <v/>
      </c>
      <c r="O153" s="27" t="str">
        <f>IF(C153="","",(I153*(1+M153))*(QTDEParc-CÁLCULO!C153)+$F$5-SUM($F$6:F153)-J153)</f>
        <v/>
      </c>
      <c r="P153" s="7" t="str">
        <f t="shared" si="54"/>
        <v/>
      </c>
      <c r="R153" s="44" t="str">
        <f t="shared" si="55"/>
        <v/>
      </c>
      <c r="S153" s="97"/>
      <c r="T153" s="28" t="str">
        <f t="shared" si="56"/>
        <v/>
      </c>
      <c r="U153" s="28" t="str">
        <f t="shared" si="44"/>
        <v/>
      </c>
      <c r="V153" s="7" t="str">
        <f t="shared" si="58"/>
        <v/>
      </c>
      <c r="W153" s="93" t="str">
        <f t="shared" si="63"/>
        <v/>
      </c>
      <c r="X153" s="28" t="str">
        <f t="shared" si="59"/>
        <v/>
      </c>
      <c r="Y153" s="28" t="str">
        <f t="shared" si="45"/>
        <v/>
      </c>
      <c r="Z153" s="28" t="str">
        <f t="shared" si="46"/>
        <v/>
      </c>
      <c r="AA153" s="28" t="str">
        <f t="shared" si="47"/>
        <v/>
      </c>
      <c r="AB153" s="28" t="str">
        <f t="shared" si="48"/>
        <v/>
      </c>
      <c r="AC153" s="28" t="str">
        <f t="shared" si="60"/>
        <v/>
      </c>
      <c r="AD153" s="27"/>
      <c r="AO153" s="145" t="str">
        <f t="shared" si="61"/>
        <v/>
      </c>
      <c r="AP153" s="144" t="str">
        <f t="shared" si="62"/>
        <v/>
      </c>
    </row>
    <row r="154" spans="3:42" x14ac:dyDescent="0.25">
      <c r="C154" s="12" t="str">
        <f>IFERROR(IF(AvisoErro&lt;&gt;"","",IF(C153+1&gt;PAINEL!$H$8,"",C153+1)),"")</f>
        <v/>
      </c>
      <c r="E154" s="23" t="str">
        <f t="shared" si="49"/>
        <v/>
      </c>
      <c r="F154" s="13" t="str">
        <f>IF(C154="","",IF(E154&lt;&gt;"",E154*PAINEL!$H$7,0))</f>
        <v/>
      </c>
      <c r="G154" s="13" t="str">
        <f>IF(C154="","",IF(PAINEL!$A$4=1,K153/(QTDEParc-C153),IF(AND(PAINEL!$A$4=2,C154&lt;=MomentoContemplação),ValorParcelamento/QTDEParc,K153/(QTDEParc-C153))))</f>
        <v/>
      </c>
      <c r="H154" s="13" t="str">
        <f t="shared" si="50"/>
        <v/>
      </c>
      <c r="I154" s="32" t="str">
        <f t="shared" si="51"/>
        <v/>
      </c>
      <c r="J154" s="14" t="str">
        <f>IF(C154="","",IF(C154=MomentoContemplação,PAINEL!$P$10,0))</f>
        <v/>
      </c>
      <c r="K154" s="14" t="str">
        <f t="shared" si="52"/>
        <v/>
      </c>
      <c r="M154" s="51" t="str">
        <f t="shared" si="53"/>
        <v/>
      </c>
      <c r="N154" s="27" t="str">
        <f t="shared" si="57"/>
        <v/>
      </c>
      <c r="O154" s="27" t="str">
        <f>IF(C154="","",(I154*(1+M154))*(QTDEParc-CÁLCULO!C154)+$F$5-SUM($F$6:F154)-J154)</f>
        <v/>
      </c>
      <c r="P154" s="7" t="str">
        <f t="shared" si="54"/>
        <v/>
      </c>
      <c r="R154" s="44" t="str">
        <f t="shared" si="55"/>
        <v/>
      </c>
      <c r="S154" s="97"/>
      <c r="T154" s="28" t="str">
        <f t="shared" si="56"/>
        <v/>
      </c>
      <c r="U154" s="28" t="str">
        <f t="shared" si="44"/>
        <v/>
      </c>
      <c r="V154" s="7" t="str">
        <f t="shared" si="58"/>
        <v/>
      </c>
      <c r="W154" s="93" t="str">
        <f t="shared" si="63"/>
        <v/>
      </c>
      <c r="X154" s="28" t="str">
        <f t="shared" si="59"/>
        <v/>
      </c>
      <c r="Y154" s="28" t="str">
        <f t="shared" si="45"/>
        <v/>
      </c>
      <c r="Z154" s="28" t="str">
        <f t="shared" si="46"/>
        <v/>
      </c>
      <c r="AA154" s="28" t="str">
        <f t="shared" si="47"/>
        <v/>
      </c>
      <c r="AB154" s="28" t="str">
        <f t="shared" si="48"/>
        <v/>
      </c>
      <c r="AC154" s="28" t="str">
        <f t="shared" si="60"/>
        <v/>
      </c>
      <c r="AD154" s="27"/>
      <c r="AO154" s="145" t="str">
        <f t="shared" si="61"/>
        <v/>
      </c>
      <c r="AP154" s="144" t="str">
        <f t="shared" si="62"/>
        <v/>
      </c>
    </row>
    <row r="155" spans="3:42" x14ac:dyDescent="0.25">
      <c r="C155" s="12" t="str">
        <f>IFERROR(IF(AvisoErro&lt;&gt;"","",IF(C154+1&gt;PAINEL!$H$8,"",C154+1)),"")</f>
        <v/>
      </c>
      <c r="E155" s="23" t="str">
        <f t="shared" si="49"/>
        <v/>
      </c>
      <c r="F155" s="13" t="str">
        <f>IF(C155="","",IF(E155&lt;&gt;"",E155*PAINEL!$H$7,0))</f>
        <v/>
      </c>
      <c r="G155" s="13" t="str">
        <f>IF(C155="","",IF(PAINEL!$A$4=1,K154/(QTDEParc-C154),IF(AND(PAINEL!$A$4=2,C155&lt;=MomentoContemplação),ValorParcelamento/QTDEParc,K154/(QTDEParc-C154))))</f>
        <v/>
      </c>
      <c r="H155" s="13" t="str">
        <f t="shared" si="50"/>
        <v/>
      </c>
      <c r="I155" s="32" t="str">
        <f t="shared" si="51"/>
        <v/>
      </c>
      <c r="J155" s="14" t="str">
        <f>IF(C155="","",IF(C155=MomentoContemplação,PAINEL!$P$10,0))</f>
        <v/>
      </c>
      <c r="K155" s="14" t="str">
        <f t="shared" si="52"/>
        <v/>
      </c>
      <c r="M155" s="51" t="str">
        <f t="shared" si="53"/>
        <v/>
      </c>
      <c r="N155" s="27" t="str">
        <f t="shared" si="57"/>
        <v/>
      </c>
      <c r="O155" s="27" t="str">
        <f>IF(C155="","",(I155*(1+M155))*(QTDEParc-CÁLCULO!C155)+$F$5-SUM($F$6:F155)-J155)</f>
        <v/>
      </c>
      <c r="P155" s="7" t="str">
        <f t="shared" si="54"/>
        <v/>
      </c>
      <c r="R155" s="44" t="str">
        <f t="shared" si="55"/>
        <v/>
      </c>
      <c r="S155" s="97"/>
      <c r="T155" s="28" t="str">
        <f t="shared" si="56"/>
        <v/>
      </c>
      <c r="U155" s="28" t="str">
        <f t="shared" si="44"/>
        <v/>
      </c>
      <c r="V155" s="7" t="str">
        <f t="shared" si="58"/>
        <v/>
      </c>
      <c r="W155" s="93" t="str">
        <f t="shared" si="63"/>
        <v/>
      </c>
      <c r="X155" s="28" t="str">
        <f t="shared" si="59"/>
        <v/>
      </c>
      <c r="Y155" s="28" t="str">
        <f t="shared" si="45"/>
        <v/>
      </c>
      <c r="Z155" s="28" t="str">
        <f t="shared" si="46"/>
        <v/>
      </c>
      <c r="AA155" s="28" t="str">
        <f t="shared" si="47"/>
        <v/>
      </c>
      <c r="AB155" s="28" t="str">
        <f t="shared" si="48"/>
        <v/>
      </c>
      <c r="AC155" s="28" t="str">
        <f t="shared" si="60"/>
        <v/>
      </c>
      <c r="AD155" s="27"/>
      <c r="AO155" s="145" t="str">
        <f t="shared" si="61"/>
        <v/>
      </c>
      <c r="AP155" s="144" t="str">
        <f t="shared" si="62"/>
        <v/>
      </c>
    </row>
    <row r="156" spans="3:42" x14ac:dyDescent="0.25">
      <c r="C156" s="12" t="str">
        <f>IFERROR(IF(AvisoErro&lt;&gt;"","",IF(C155+1&gt;PAINEL!$H$8,"",C155+1)),"")</f>
        <v/>
      </c>
      <c r="E156" s="23" t="str">
        <f t="shared" si="49"/>
        <v/>
      </c>
      <c r="F156" s="13" t="str">
        <f>IF(C156="","",IF(E156&lt;&gt;"",E156*PAINEL!$H$7,0))</f>
        <v/>
      </c>
      <c r="G156" s="13" t="str">
        <f>IF(C156="","",IF(PAINEL!$A$4=1,K155/(QTDEParc-C155),IF(AND(PAINEL!$A$4=2,C156&lt;=MomentoContemplação),ValorParcelamento/QTDEParc,K155/(QTDEParc-C155))))</f>
        <v/>
      </c>
      <c r="H156" s="13" t="str">
        <f t="shared" si="50"/>
        <v/>
      </c>
      <c r="I156" s="32" t="str">
        <f t="shared" si="51"/>
        <v/>
      </c>
      <c r="J156" s="14" t="str">
        <f>IF(C156="","",IF(C156=MomentoContemplação,PAINEL!$P$10,0))</f>
        <v/>
      </c>
      <c r="K156" s="14" t="str">
        <f t="shared" si="52"/>
        <v/>
      </c>
      <c r="M156" s="51" t="str">
        <f t="shared" si="53"/>
        <v/>
      </c>
      <c r="N156" s="27" t="str">
        <f t="shared" si="57"/>
        <v/>
      </c>
      <c r="O156" s="27" t="str">
        <f>IF(C156="","",(I156*(1+M156))*(QTDEParc-CÁLCULO!C156)+$F$5-SUM($F$6:F156)-J156)</f>
        <v/>
      </c>
      <c r="P156" s="7" t="str">
        <f t="shared" si="54"/>
        <v/>
      </c>
      <c r="R156" s="44" t="str">
        <f t="shared" si="55"/>
        <v/>
      </c>
      <c r="S156" s="97"/>
      <c r="T156" s="28" t="str">
        <f t="shared" si="56"/>
        <v/>
      </c>
      <c r="U156" s="28" t="str">
        <f t="shared" si="44"/>
        <v/>
      </c>
      <c r="V156" s="7" t="str">
        <f t="shared" si="58"/>
        <v/>
      </c>
      <c r="W156" s="93" t="str">
        <f t="shared" si="63"/>
        <v/>
      </c>
      <c r="X156" s="28" t="str">
        <f t="shared" si="59"/>
        <v/>
      </c>
      <c r="Y156" s="28" t="str">
        <f t="shared" si="45"/>
        <v/>
      </c>
      <c r="Z156" s="28" t="str">
        <f t="shared" si="46"/>
        <v/>
      </c>
      <c r="AA156" s="28" t="str">
        <f t="shared" si="47"/>
        <v/>
      </c>
      <c r="AB156" s="28" t="str">
        <f t="shared" si="48"/>
        <v/>
      </c>
      <c r="AC156" s="28" t="str">
        <f t="shared" si="60"/>
        <v/>
      </c>
      <c r="AD156" s="27"/>
      <c r="AO156" s="145" t="str">
        <f t="shared" si="61"/>
        <v/>
      </c>
      <c r="AP156" s="144" t="str">
        <f t="shared" si="62"/>
        <v/>
      </c>
    </row>
    <row r="157" spans="3:42" x14ac:dyDescent="0.25">
      <c r="C157" s="12" t="str">
        <f>IFERROR(IF(AvisoErro&lt;&gt;"","",IF(C156+1&gt;PAINEL!$H$8,"",C156+1)),"")</f>
        <v/>
      </c>
      <c r="E157" s="23" t="str">
        <f t="shared" si="49"/>
        <v/>
      </c>
      <c r="F157" s="13" t="str">
        <f>IF(C157="","",IF(E157&lt;&gt;"",E157*PAINEL!$H$7,0))</f>
        <v/>
      </c>
      <c r="G157" s="13" t="str">
        <f>IF(C157="","",IF(PAINEL!$A$4=1,K156/(QTDEParc-C156),IF(AND(PAINEL!$A$4=2,C157&lt;=MomentoContemplação),ValorParcelamento/QTDEParc,K156/(QTDEParc-C156))))</f>
        <v/>
      </c>
      <c r="H157" s="13" t="str">
        <f t="shared" si="50"/>
        <v/>
      </c>
      <c r="I157" s="32" t="str">
        <f t="shared" si="51"/>
        <v/>
      </c>
      <c r="J157" s="14" t="str">
        <f>IF(C157="","",IF(C157=MomentoContemplação,PAINEL!$P$10,0))</f>
        <v/>
      </c>
      <c r="K157" s="14" t="str">
        <f t="shared" si="52"/>
        <v/>
      </c>
      <c r="M157" s="51" t="str">
        <f t="shared" si="53"/>
        <v/>
      </c>
      <c r="N157" s="27" t="str">
        <f t="shared" si="57"/>
        <v/>
      </c>
      <c r="O157" s="27" t="str">
        <f>IF(C157="","",(I157*(1+M157))*(QTDEParc-CÁLCULO!C157)+$F$5-SUM($F$6:F157)-J157)</f>
        <v/>
      </c>
      <c r="P157" s="7" t="str">
        <f t="shared" si="54"/>
        <v/>
      </c>
      <c r="R157" s="44" t="str">
        <f t="shared" si="55"/>
        <v/>
      </c>
      <c r="S157" s="97"/>
      <c r="T157" s="28" t="str">
        <f t="shared" si="56"/>
        <v/>
      </c>
      <c r="U157" s="28" t="str">
        <f t="shared" si="44"/>
        <v/>
      </c>
      <c r="V157" s="7" t="str">
        <f t="shared" si="58"/>
        <v/>
      </c>
      <c r="W157" s="93" t="str">
        <f t="shared" si="63"/>
        <v/>
      </c>
      <c r="X157" s="28" t="str">
        <f t="shared" si="59"/>
        <v/>
      </c>
      <c r="Y157" s="28" t="str">
        <f t="shared" si="45"/>
        <v/>
      </c>
      <c r="Z157" s="28" t="str">
        <f t="shared" si="46"/>
        <v/>
      </c>
      <c r="AA157" s="28" t="str">
        <f t="shared" si="47"/>
        <v/>
      </c>
      <c r="AB157" s="28" t="str">
        <f t="shared" si="48"/>
        <v/>
      </c>
      <c r="AC157" s="28" t="str">
        <f t="shared" si="60"/>
        <v/>
      </c>
      <c r="AD157" s="27"/>
      <c r="AO157" s="145" t="str">
        <f t="shared" si="61"/>
        <v/>
      </c>
      <c r="AP157" s="144" t="str">
        <f t="shared" si="62"/>
        <v/>
      </c>
    </row>
    <row r="158" spans="3:42" x14ac:dyDescent="0.25">
      <c r="C158" s="12" t="str">
        <f>IFERROR(IF(AvisoErro&lt;&gt;"","",IF(C157+1&gt;PAINEL!$H$8,"",C157+1)),"")</f>
        <v/>
      </c>
      <c r="E158" s="23" t="str">
        <f t="shared" si="49"/>
        <v/>
      </c>
      <c r="F158" s="13" t="str">
        <f>IF(C158="","",IF(E158&lt;&gt;"",E158*PAINEL!$H$7,0))</f>
        <v/>
      </c>
      <c r="G158" s="13" t="str">
        <f>IF(C158="","",IF(PAINEL!$A$4=1,K157/(QTDEParc-C157),IF(AND(PAINEL!$A$4=2,C158&lt;=MomentoContemplação),ValorParcelamento/QTDEParc,K157/(QTDEParc-C157))))</f>
        <v/>
      </c>
      <c r="H158" s="13" t="str">
        <f t="shared" si="50"/>
        <v/>
      </c>
      <c r="I158" s="32" t="str">
        <f t="shared" si="51"/>
        <v/>
      </c>
      <c r="J158" s="14" t="str">
        <f>IF(C158="","",IF(C158=MomentoContemplação,PAINEL!$P$10,0))</f>
        <v/>
      </c>
      <c r="K158" s="14" t="str">
        <f t="shared" si="52"/>
        <v/>
      </c>
      <c r="M158" s="51" t="str">
        <f t="shared" si="53"/>
        <v/>
      </c>
      <c r="N158" s="27" t="str">
        <f t="shared" si="57"/>
        <v/>
      </c>
      <c r="O158" s="27" t="str">
        <f>IF(C158="","",(I158*(1+M158))*(QTDEParc-CÁLCULO!C158)+$F$5-SUM($F$6:F158)-J158)</f>
        <v/>
      </c>
      <c r="P158" s="7" t="str">
        <f t="shared" si="54"/>
        <v/>
      </c>
      <c r="R158" s="44" t="str">
        <f t="shared" si="55"/>
        <v/>
      </c>
      <c r="S158" s="97"/>
      <c r="T158" s="28" t="str">
        <f t="shared" si="56"/>
        <v/>
      </c>
      <c r="U158" s="28" t="str">
        <f t="shared" si="44"/>
        <v/>
      </c>
      <c r="V158" s="7" t="str">
        <f t="shared" si="58"/>
        <v/>
      </c>
      <c r="W158" s="93" t="str">
        <f t="shared" si="63"/>
        <v/>
      </c>
      <c r="X158" s="28" t="str">
        <f t="shared" si="59"/>
        <v/>
      </c>
      <c r="Y158" s="28" t="str">
        <f t="shared" si="45"/>
        <v/>
      </c>
      <c r="Z158" s="28" t="str">
        <f t="shared" si="46"/>
        <v/>
      </c>
      <c r="AA158" s="28" t="str">
        <f t="shared" si="47"/>
        <v/>
      </c>
      <c r="AB158" s="28" t="str">
        <f t="shared" si="48"/>
        <v/>
      </c>
      <c r="AC158" s="28" t="str">
        <f t="shared" si="60"/>
        <v/>
      </c>
      <c r="AD158" s="27"/>
      <c r="AO158" s="145" t="str">
        <f t="shared" si="61"/>
        <v/>
      </c>
      <c r="AP158" s="144" t="str">
        <f t="shared" si="62"/>
        <v/>
      </c>
    </row>
    <row r="159" spans="3:42" x14ac:dyDescent="0.25">
      <c r="C159" s="12" t="str">
        <f>IFERROR(IF(AvisoErro&lt;&gt;"","",IF(C158+1&gt;PAINEL!$H$8,"",C158+1)),"")</f>
        <v/>
      </c>
      <c r="E159" s="23" t="str">
        <f t="shared" si="49"/>
        <v/>
      </c>
      <c r="F159" s="13" t="str">
        <f>IF(C159="","",IF(E159&lt;&gt;"",E159*PAINEL!$H$7,0))</f>
        <v/>
      </c>
      <c r="G159" s="13" t="str">
        <f>IF(C159="","",IF(PAINEL!$A$4=1,K158/(QTDEParc-C158),IF(AND(PAINEL!$A$4=2,C159&lt;=MomentoContemplação),ValorParcelamento/QTDEParc,K158/(QTDEParc-C158))))</f>
        <v/>
      </c>
      <c r="H159" s="13" t="str">
        <f t="shared" si="50"/>
        <v/>
      </c>
      <c r="I159" s="32" t="str">
        <f t="shared" si="51"/>
        <v/>
      </c>
      <c r="J159" s="14" t="str">
        <f>IF(C159="","",IF(C159=MomentoContemplação,PAINEL!$P$10,0))</f>
        <v/>
      </c>
      <c r="K159" s="14" t="str">
        <f t="shared" si="52"/>
        <v/>
      </c>
      <c r="M159" s="51" t="str">
        <f t="shared" si="53"/>
        <v/>
      </c>
      <c r="N159" s="27" t="str">
        <f t="shared" si="57"/>
        <v/>
      </c>
      <c r="O159" s="27" t="str">
        <f>IF(C159="","",(I159*(1+M159))*(QTDEParc-CÁLCULO!C159)+$F$5-SUM($F$6:F159)-J159)</f>
        <v/>
      </c>
      <c r="P159" s="7" t="str">
        <f t="shared" si="54"/>
        <v/>
      </c>
      <c r="R159" s="44" t="str">
        <f t="shared" si="55"/>
        <v/>
      </c>
      <c r="S159" s="97"/>
      <c r="T159" s="28" t="str">
        <f t="shared" si="56"/>
        <v/>
      </c>
      <c r="U159" s="28" t="str">
        <f t="shared" si="44"/>
        <v/>
      </c>
      <c r="V159" s="7" t="str">
        <f t="shared" si="58"/>
        <v/>
      </c>
      <c r="W159" s="93" t="str">
        <f t="shared" si="63"/>
        <v/>
      </c>
      <c r="X159" s="28" t="str">
        <f t="shared" si="59"/>
        <v/>
      </c>
      <c r="Y159" s="28" t="str">
        <f t="shared" si="45"/>
        <v/>
      </c>
      <c r="Z159" s="28" t="str">
        <f t="shared" si="46"/>
        <v/>
      </c>
      <c r="AA159" s="28" t="str">
        <f t="shared" si="47"/>
        <v/>
      </c>
      <c r="AB159" s="28" t="str">
        <f t="shared" si="48"/>
        <v/>
      </c>
      <c r="AC159" s="28" t="str">
        <f t="shared" si="60"/>
        <v/>
      </c>
      <c r="AD159" s="27"/>
      <c r="AO159" s="145" t="str">
        <f t="shared" si="61"/>
        <v/>
      </c>
      <c r="AP159" s="144" t="str">
        <f t="shared" si="62"/>
        <v/>
      </c>
    </row>
    <row r="160" spans="3:42" x14ac:dyDescent="0.25">
      <c r="C160" s="12" t="str">
        <f>IFERROR(IF(AvisoErro&lt;&gt;"","",IF(C159+1&gt;PAINEL!$H$8,"",C159+1)),"")</f>
        <v/>
      </c>
      <c r="E160" s="23" t="str">
        <f t="shared" si="49"/>
        <v/>
      </c>
      <c r="F160" s="13" t="str">
        <f>IF(C160="","",IF(E160&lt;&gt;"",E160*PAINEL!$H$7,0))</f>
        <v/>
      </c>
      <c r="G160" s="13" t="str">
        <f>IF(C160="","",IF(PAINEL!$A$4=1,K159/(QTDEParc-C159),IF(AND(PAINEL!$A$4=2,C160&lt;=MomentoContemplação),ValorParcelamento/QTDEParc,K159/(QTDEParc-C159))))</f>
        <v/>
      </c>
      <c r="H160" s="13" t="str">
        <f t="shared" si="50"/>
        <v/>
      </c>
      <c r="I160" s="32" t="str">
        <f t="shared" si="51"/>
        <v/>
      </c>
      <c r="J160" s="14" t="str">
        <f>IF(C160="","",IF(C160=MomentoContemplação,PAINEL!$P$10,0))</f>
        <v/>
      </c>
      <c r="K160" s="14" t="str">
        <f t="shared" si="52"/>
        <v/>
      </c>
      <c r="M160" s="51" t="str">
        <f t="shared" si="53"/>
        <v/>
      </c>
      <c r="N160" s="27" t="str">
        <f t="shared" si="57"/>
        <v/>
      </c>
      <c r="O160" s="27" t="str">
        <f>IF(C160="","",(I160*(1+M160))*(QTDEParc-CÁLCULO!C160)+$F$5-SUM($F$6:F160)-J160)</f>
        <v/>
      </c>
      <c r="P160" s="7" t="str">
        <f t="shared" si="54"/>
        <v/>
      </c>
      <c r="R160" s="44" t="str">
        <f t="shared" si="55"/>
        <v/>
      </c>
      <c r="S160" s="97"/>
      <c r="T160" s="28" t="str">
        <f t="shared" si="56"/>
        <v/>
      </c>
      <c r="U160" s="28" t="str">
        <f t="shared" si="44"/>
        <v/>
      </c>
      <c r="V160" s="7" t="str">
        <f t="shared" si="58"/>
        <v/>
      </c>
      <c r="W160" s="93" t="str">
        <f t="shared" si="63"/>
        <v/>
      </c>
      <c r="X160" s="28" t="str">
        <f t="shared" si="59"/>
        <v/>
      </c>
      <c r="Y160" s="28" t="str">
        <f t="shared" si="45"/>
        <v/>
      </c>
      <c r="Z160" s="28" t="str">
        <f t="shared" si="46"/>
        <v/>
      </c>
      <c r="AA160" s="28" t="str">
        <f t="shared" si="47"/>
        <v/>
      </c>
      <c r="AB160" s="28" t="str">
        <f t="shared" si="48"/>
        <v/>
      </c>
      <c r="AC160" s="28" t="str">
        <f t="shared" si="60"/>
        <v/>
      </c>
      <c r="AD160" s="27"/>
      <c r="AO160" s="145" t="str">
        <f t="shared" si="61"/>
        <v/>
      </c>
      <c r="AP160" s="144" t="str">
        <f t="shared" si="62"/>
        <v/>
      </c>
    </row>
    <row r="161" spans="3:42" x14ac:dyDescent="0.25">
      <c r="C161" s="12" t="str">
        <f>IFERROR(IF(AvisoErro&lt;&gt;"","",IF(C160+1&gt;PAINEL!$H$8,"",C160+1)),"")</f>
        <v/>
      </c>
      <c r="E161" s="23" t="str">
        <f t="shared" si="49"/>
        <v/>
      </c>
      <c r="F161" s="13" t="str">
        <f>IF(C161="","",IF(E161&lt;&gt;"",E161*PAINEL!$H$7,0))</f>
        <v/>
      </c>
      <c r="G161" s="13" t="str">
        <f>IF(C161="","",IF(PAINEL!$A$4=1,K160/(QTDEParc-C160),IF(AND(PAINEL!$A$4=2,C161&lt;=MomentoContemplação),ValorParcelamento/QTDEParc,K160/(QTDEParc-C160))))</f>
        <v/>
      </c>
      <c r="H161" s="13" t="str">
        <f t="shared" si="50"/>
        <v/>
      </c>
      <c r="I161" s="32" t="str">
        <f t="shared" si="51"/>
        <v/>
      </c>
      <c r="J161" s="14" t="str">
        <f>IF(C161="","",IF(C161=MomentoContemplação,PAINEL!$P$10,0))</f>
        <v/>
      </c>
      <c r="K161" s="14" t="str">
        <f t="shared" si="52"/>
        <v/>
      </c>
      <c r="M161" s="51" t="str">
        <f t="shared" si="53"/>
        <v/>
      </c>
      <c r="N161" s="27" t="str">
        <f t="shared" si="57"/>
        <v/>
      </c>
      <c r="O161" s="27" t="str">
        <f>IF(C161="","",(I161*(1+M161))*(QTDEParc-CÁLCULO!C161)+$F$5-SUM($F$6:F161)-J161)</f>
        <v/>
      </c>
      <c r="P161" s="7" t="str">
        <f t="shared" si="54"/>
        <v/>
      </c>
      <c r="R161" s="44" t="str">
        <f t="shared" si="55"/>
        <v/>
      </c>
      <c r="S161" s="97"/>
      <c r="T161" s="28" t="str">
        <f t="shared" si="56"/>
        <v/>
      </c>
      <c r="U161" s="28" t="str">
        <f t="shared" si="44"/>
        <v/>
      </c>
      <c r="V161" s="7" t="str">
        <f t="shared" si="58"/>
        <v/>
      </c>
      <c r="W161" s="93" t="str">
        <f t="shared" si="63"/>
        <v/>
      </c>
      <c r="X161" s="28" t="str">
        <f t="shared" si="59"/>
        <v/>
      </c>
      <c r="Y161" s="28" t="str">
        <f t="shared" si="45"/>
        <v/>
      </c>
      <c r="Z161" s="28" t="str">
        <f t="shared" si="46"/>
        <v/>
      </c>
      <c r="AA161" s="28" t="str">
        <f t="shared" si="47"/>
        <v/>
      </c>
      <c r="AB161" s="28" t="str">
        <f t="shared" si="48"/>
        <v/>
      </c>
      <c r="AC161" s="28" t="str">
        <f t="shared" si="60"/>
        <v/>
      </c>
      <c r="AD161" s="27"/>
      <c r="AO161" s="145" t="str">
        <f t="shared" si="61"/>
        <v/>
      </c>
      <c r="AP161" s="144" t="str">
        <f t="shared" si="62"/>
        <v/>
      </c>
    </row>
    <row r="162" spans="3:42" x14ac:dyDescent="0.25">
      <c r="C162" s="12" t="str">
        <f>IFERROR(IF(AvisoErro&lt;&gt;"","",IF(C161+1&gt;PAINEL!$H$8,"",C161+1)),"")</f>
        <v/>
      </c>
      <c r="E162" s="23" t="str">
        <f t="shared" si="49"/>
        <v/>
      </c>
      <c r="F162" s="13" t="str">
        <f>IF(C162="","",IF(E162&lt;&gt;"",E162*PAINEL!$H$7,0))</f>
        <v/>
      </c>
      <c r="G162" s="13" t="str">
        <f>IF(C162="","",IF(PAINEL!$A$4=1,K161/(QTDEParc-C161),IF(AND(PAINEL!$A$4=2,C162&lt;=MomentoContemplação),ValorParcelamento/QTDEParc,K161/(QTDEParc-C161))))</f>
        <v/>
      </c>
      <c r="H162" s="13" t="str">
        <f t="shared" si="50"/>
        <v/>
      </c>
      <c r="I162" s="32" t="str">
        <f t="shared" si="51"/>
        <v/>
      </c>
      <c r="J162" s="14" t="str">
        <f>IF(C162="","",IF(C162=MomentoContemplação,PAINEL!$P$10,0))</f>
        <v/>
      </c>
      <c r="K162" s="14" t="str">
        <f t="shared" si="52"/>
        <v/>
      </c>
      <c r="M162" s="51" t="str">
        <f t="shared" si="53"/>
        <v/>
      </c>
      <c r="N162" s="27" t="str">
        <f t="shared" si="57"/>
        <v/>
      </c>
      <c r="O162" s="27" t="str">
        <f>IF(C162="","",(I162*(1+M162))*(QTDEParc-CÁLCULO!C162)+$F$5-SUM($F$6:F162)-J162)</f>
        <v/>
      </c>
      <c r="P162" s="7" t="str">
        <f t="shared" si="54"/>
        <v/>
      </c>
      <c r="R162" s="44" t="str">
        <f t="shared" si="55"/>
        <v/>
      </c>
      <c r="S162" s="97"/>
      <c r="T162" s="28" t="str">
        <f t="shared" si="56"/>
        <v/>
      </c>
      <c r="U162" s="28" t="str">
        <f t="shared" si="44"/>
        <v/>
      </c>
      <c r="V162" s="7" t="str">
        <f t="shared" si="58"/>
        <v/>
      </c>
      <c r="W162" s="93" t="str">
        <f t="shared" si="63"/>
        <v/>
      </c>
      <c r="X162" s="28" t="str">
        <f t="shared" si="59"/>
        <v/>
      </c>
      <c r="Y162" s="28" t="str">
        <f t="shared" si="45"/>
        <v/>
      </c>
      <c r="Z162" s="28" t="str">
        <f t="shared" si="46"/>
        <v/>
      </c>
      <c r="AA162" s="28" t="str">
        <f t="shared" si="47"/>
        <v/>
      </c>
      <c r="AB162" s="28" t="str">
        <f t="shared" si="48"/>
        <v/>
      </c>
      <c r="AC162" s="28" t="str">
        <f t="shared" si="60"/>
        <v/>
      </c>
      <c r="AD162" s="27"/>
      <c r="AO162" s="145" t="str">
        <f t="shared" si="61"/>
        <v/>
      </c>
      <c r="AP162" s="144" t="str">
        <f t="shared" si="62"/>
        <v/>
      </c>
    </row>
    <row r="163" spans="3:42" x14ac:dyDescent="0.25">
      <c r="C163" s="12" t="str">
        <f>IFERROR(IF(AvisoErro&lt;&gt;"","",IF(C162+1&gt;PAINEL!$H$8,"",C162+1)),"")</f>
        <v/>
      </c>
      <c r="E163" s="23" t="str">
        <f t="shared" si="49"/>
        <v/>
      </c>
      <c r="F163" s="13" t="str">
        <f>IF(C163="","",IF(E163&lt;&gt;"",E163*PAINEL!$H$7,0))</f>
        <v/>
      </c>
      <c r="G163" s="13" t="str">
        <f>IF(C163="","",IF(PAINEL!$A$4=1,K162/(QTDEParc-C162),IF(AND(PAINEL!$A$4=2,C163&lt;=MomentoContemplação),ValorParcelamento/QTDEParc,K162/(QTDEParc-C162))))</f>
        <v/>
      </c>
      <c r="H163" s="13" t="str">
        <f t="shared" si="50"/>
        <v/>
      </c>
      <c r="I163" s="32" t="str">
        <f t="shared" si="51"/>
        <v/>
      </c>
      <c r="J163" s="14" t="str">
        <f>IF(C163="","",IF(C163=MomentoContemplação,PAINEL!$P$10,0))</f>
        <v/>
      </c>
      <c r="K163" s="14" t="str">
        <f t="shared" si="52"/>
        <v/>
      </c>
      <c r="M163" s="51" t="str">
        <f t="shared" si="53"/>
        <v/>
      </c>
      <c r="N163" s="27" t="str">
        <f t="shared" si="57"/>
        <v/>
      </c>
      <c r="O163" s="27" t="str">
        <f>IF(C163="","",(I163*(1+M163))*(QTDEParc-CÁLCULO!C163)+$F$5-SUM($F$6:F163)-J163)</f>
        <v/>
      </c>
      <c r="P163" s="7" t="str">
        <f t="shared" si="54"/>
        <v/>
      </c>
      <c r="R163" s="44" t="str">
        <f t="shared" si="55"/>
        <v/>
      </c>
      <c r="S163" s="97"/>
      <c r="T163" s="28" t="str">
        <f t="shared" si="56"/>
        <v/>
      </c>
      <c r="U163" s="28" t="str">
        <f t="shared" si="44"/>
        <v/>
      </c>
      <c r="V163" s="7" t="str">
        <f t="shared" si="58"/>
        <v/>
      </c>
      <c r="W163" s="93" t="str">
        <f t="shared" si="63"/>
        <v/>
      </c>
      <c r="X163" s="28" t="str">
        <f t="shared" si="59"/>
        <v/>
      </c>
      <c r="Y163" s="28" t="str">
        <f t="shared" si="45"/>
        <v/>
      </c>
      <c r="Z163" s="28" t="str">
        <f t="shared" si="46"/>
        <v/>
      </c>
      <c r="AA163" s="28" t="str">
        <f t="shared" si="47"/>
        <v/>
      </c>
      <c r="AB163" s="28" t="str">
        <f t="shared" si="48"/>
        <v/>
      </c>
      <c r="AC163" s="28" t="str">
        <f t="shared" si="60"/>
        <v/>
      </c>
      <c r="AD163" s="27"/>
      <c r="AO163" s="145" t="str">
        <f t="shared" si="61"/>
        <v/>
      </c>
      <c r="AP163" s="144" t="str">
        <f t="shared" si="62"/>
        <v/>
      </c>
    </row>
    <row r="164" spans="3:42" x14ac:dyDescent="0.25">
      <c r="C164" s="12" t="str">
        <f>IFERROR(IF(AvisoErro&lt;&gt;"","",IF(C163+1&gt;PAINEL!$H$8,"",C163+1)),"")</f>
        <v/>
      </c>
      <c r="E164" s="23" t="str">
        <f t="shared" si="49"/>
        <v/>
      </c>
      <c r="F164" s="13" t="str">
        <f>IF(C164="","",IF(E164&lt;&gt;"",E164*PAINEL!$H$7,0))</f>
        <v/>
      </c>
      <c r="G164" s="13" t="str">
        <f>IF(C164="","",IF(PAINEL!$A$4=1,K163/(QTDEParc-C163),IF(AND(PAINEL!$A$4=2,C164&lt;=MomentoContemplação),ValorParcelamento/QTDEParc,K163/(QTDEParc-C163))))</f>
        <v/>
      </c>
      <c r="H164" s="13" t="str">
        <f t="shared" si="50"/>
        <v/>
      </c>
      <c r="I164" s="32" t="str">
        <f t="shared" si="51"/>
        <v/>
      </c>
      <c r="J164" s="14" t="str">
        <f>IF(C164="","",IF(C164=MomentoContemplação,PAINEL!$P$10,0))</f>
        <v/>
      </c>
      <c r="K164" s="14" t="str">
        <f t="shared" si="52"/>
        <v/>
      </c>
      <c r="M164" s="51" t="str">
        <f t="shared" si="53"/>
        <v/>
      </c>
      <c r="N164" s="27" t="str">
        <f t="shared" si="57"/>
        <v/>
      </c>
      <c r="O164" s="27" t="str">
        <f>IF(C164="","",(I164*(1+M164))*(QTDEParc-CÁLCULO!C164)+$F$5-SUM($F$6:F164)-J164)</f>
        <v/>
      </c>
      <c r="P164" s="7" t="str">
        <f t="shared" si="54"/>
        <v/>
      </c>
      <c r="R164" s="44" t="str">
        <f t="shared" si="55"/>
        <v/>
      </c>
      <c r="S164" s="97"/>
      <c r="T164" s="28" t="str">
        <f t="shared" si="56"/>
        <v/>
      </c>
      <c r="U164" s="28" t="str">
        <f t="shared" si="44"/>
        <v/>
      </c>
      <c r="V164" s="7" t="str">
        <f t="shared" si="58"/>
        <v/>
      </c>
      <c r="W164" s="93" t="str">
        <f t="shared" si="63"/>
        <v/>
      </c>
      <c r="X164" s="28" t="str">
        <f t="shared" si="59"/>
        <v/>
      </c>
      <c r="Y164" s="28" t="str">
        <f t="shared" si="45"/>
        <v/>
      </c>
      <c r="Z164" s="28" t="str">
        <f t="shared" si="46"/>
        <v/>
      </c>
      <c r="AA164" s="28" t="str">
        <f t="shared" si="47"/>
        <v/>
      </c>
      <c r="AB164" s="28" t="str">
        <f t="shared" si="48"/>
        <v/>
      </c>
      <c r="AC164" s="28" t="str">
        <f t="shared" si="60"/>
        <v/>
      </c>
      <c r="AD164" s="27"/>
      <c r="AO164" s="145" t="str">
        <f t="shared" si="61"/>
        <v/>
      </c>
      <c r="AP164" s="144" t="str">
        <f t="shared" si="62"/>
        <v/>
      </c>
    </row>
    <row r="165" spans="3:42" x14ac:dyDescent="0.25">
      <c r="C165" s="12" t="str">
        <f>IFERROR(IF(AvisoErro&lt;&gt;"","",IF(C164+1&gt;PAINEL!$H$8,"",C164+1)),"")</f>
        <v/>
      </c>
      <c r="E165" s="23" t="str">
        <f t="shared" si="49"/>
        <v/>
      </c>
      <c r="F165" s="13" t="str">
        <f>IF(C165="","",IF(E165&lt;&gt;"",E165*PAINEL!$H$7,0))</f>
        <v/>
      </c>
      <c r="G165" s="13" t="str">
        <f>IF(C165="","",IF(PAINEL!$A$4=1,K164/(QTDEParc-C164),IF(AND(PAINEL!$A$4=2,C165&lt;=MomentoContemplação),ValorParcelamento/QTDEParc,K164/(QTDEParc-C164))))</f>
        <v/>
      </c>
      <c r="H165" s="13" t="str">
        <f t="shared" si="50"/>
        <v/>
      </c>
      <c r="I165" s="32" t="str">
        <f t="shared" si="51"/>
        <v/>
      </c>
      <c r="J165" s="14" t="str">
        <f>IF(C165="","",IF(C165=MomentoContemplação,PAINEL!$P$10,0))</f>
        <v/>
      </c>
      <c r="K165" s="14" t="str">
        <f t="shared" si="52"/>
        <v/>
      </c>
      <c r="M165" s="51" t="str">
        <f t="shared" si="53"/>
        <v/>
      </c>
      <c r="N165" s="27" t="str">
        <f t="shared" si="57"/>
        <v/>
      </c>
      <c r="O165" s="27" t="str">
        <f>IF(C165="","",(I165*(1+M165))*(QTDEParc-CÁLCULO!C165)+$F$5-SUM($F$6:F165)-J165)</f>
        <v/>
      </c>
      <c r="P165" s="7" t="str">
        <f t="shared" si="54"/>
        <v/>
      </c>
      <c r="R165" s="44" t="str">
        <f t="shared" si="55"/>
        <v/>
      </c>
      <c r="S165" s="97"/>
      <c r="T165" s="28" t="str">
        <f t="shared" si="56"/>
        <v/>
      </c>
      <c r="U165" s="28" t="str">
        <f t="shared" si="44"/>
        <v/>
      </c>
      <c r="V165" s="7" t="str">
        <f t="shared" si="58"/>
        <v/>
      </c>
      <c r="W165" s="93" t="str">
        <f t="shared" si="63"/>
        <v/>
      </c>
      <c r="X165" s="28" t="str">
        <f t="shared" si="59"/>
        <v/>
      </c>
      <c r="Y165" s="28" t="str">
        <f t="shared" si="45"/>
        <v/>
      </c>
      <c r="Z165" s="28" t="str">
        <f t="shared" si="46"/>
        <v/>
      </c>
      <c r="AA165" s="28" t="str">
        <f t="shared" si="47"/>
        <v/>
      </c>
      <c r="AB165" s="28" t="str">
        <f t="shared" si="48"/>
        <v/>
      </c>
      <c r="AC165" s="28" t="str">
        <f t="shared" si="60"/>
        <v/>
      </c>
      <c r="AD165" s="27"/>
      <c r="AO165" s="145" t="str">
        <f t="shared" si="61"/>
        <v/>
      </c>
      <c r="AP165" s="144" t="str">
        <f t="shared" si="62"/>
        <v/>
      </c>
    </row>
    <row r="166" spans="3:42" x14ac:dyDescent="0.25">
      <c r="C166" s="12" t="str">
        <f>IFERROR(IF(AvisoErro&lt;&gt;"","",IF(C165+1&gt;PAINEL!$H$8,"",C165+1)),"")</f>
        <v/>
      </c>
      <c r="E166" s="23" t="str">
        <f t="shared" si="49"/>
        <v/>
      </c>
      <c r="F166" s="13" t="str">
        <f>IF(C166="","",IF(E166&lt;&gt;"",E166*PAINEL!$H$7,0))</f>
        <v/>
      </c>
      <c r="G166" s="13" t="str">
        <f>IF(C166="","",IF(PAINEL!$A$4=1,K165/(QTDEParc-C165),IF(AND(PAINEL!$A$4=2,C166&lt;=MomentoContemplação),ValorParcelamento/QTDEParc,K165/(QTDEParc-C165))))</f>
        <v/>
      </c>
      <c r="H166" s="13" t="str">
        <f t="shared" si="50"/>
        <v/>
      </c>
      <c r="I166" s="32" t="str">
        <f t="shared" si="51"/>
        <v/>
      </c>
      <c r="J166" s="14" t="str">
        <f>IF(C166="","",IF(C166=MomentoContemplação,PAINEL!$P$10,0))</f>
        <v/>
      </c>
      <c r="K166" s="14" t="str">
        <f t="shared" si="52"/>
        <v/>
      </c>
      <c r="M166" s="51" t="str">
        <f t="shared" si="53"/>
        <v/>
      </c>
      <c r="N166" s="27" t="str">
        <f t="shared" si="57"/>
        <v/>
      </c>
      <c r="O166" s="27" t="str">
        <f>IF(C166="","",(I166*(1+M166))*(QTDEParc-CÁLCULO!C166)+$F$5-SUM($F$6:F166)-J166)</f>
        <v/>
      </c>
      <c r="P166" s="7" t="str">
        <f t="shared" si="54"/>
        <v/>
      </c>
      <c r="R166" s="44" t="str">
        <f t="shared" si="55"/>
        <v/>
      </c>
      <c r="S166" s="97"/>
      <c r="T166" s="28" t="str">
        <f t="shared" si="56"/>
        <v/>
      </c>
      <c r="U166" s="28" t="str">
        <f t="shared" si="44"/>
        <v/>
      </c>
      <c r="V166" s="7" t="str">
        <f t="shared" si="58"/>
        <v/>
      </c>
      <c r="W166" s="93" t="str">
        <f t="shared" si="63"/>
        <v/>
      </c>
      <c r="X166" s="28" t="str">
        <f t="shared" si="59"/>
        <v/>
      </c>
      <c r="Y166" s="28" t="str">
        <f t="shared" si="45"/>
        <v/>
      </c>
      <c r="Z166" s="28" t="str">
        <f t="shared" si="46"/>
        <v/>
      </c>
      <c r="AA166" s="28" t="str">
        <f t="shared" si="47"/>
        <v/>
      </c>
      <c r="AB166" s="28" t="str">
        <f t="shared" si="48"/>
        <v/>
      </c>
      <c r="AC166" s="28" t="str">
        <f t="shared" si="60"/>
        <v/>
      </c>
      <c r="AD166" s="27"/>
      <c r="AO166" s="145" t="str">
        <f t="shared" si="61"/>
        <v/>
      </c>
      <c r="AP166" s="144" t="str">
        <f t="shared" si="62"/>
        <v/>
      </c>
    </row>
    <row r="167" spans="3:42" x14ac:dyDescent="0.25">
      <c r="C167" s="12" t="str">
        <f>IFERROR(IF(AvisoErro&lt;&gt;"","",IF(C166+1&gt;PAINEL!$H$8,"",C166+1)),"")</f>
        <v/>
      </c>
      <c r="E167" s="23" t="str">
        <f t="shared" si="49"/>
        <v/>
      </c>
      <c r="F167" s="13" t="str">
        <f>IF(C167="","",IF(E167&lt;&gt;"",E167*PAINEL!$H$7,0))</f>
        <v/>
      </c>
      <c r="G167" s="13" t="str">
        <f>IF(C167="","",IF(PAINEL!$A$4=1,K166/(QTDEParc-C166),IF(AND(PAINEL!$A$4=2,C167&lt;=MomentoContemplação),ValorParcelamento/QTDEParc,K166/(QTDEParc-C166))))</f>
        <v/>
      </c>
      <c r="H167" s="13" t="str">
        <f t="shared" si="50"/>
        <v/>
      </c>
      <c r="I167" s="32" t="str">
        <f t="shared" si="51"/>
        <v/>
      </c>
      <c r="J167" s="14" t="str">
        <f>IF(C167="","",IF(C167=MomentoContemplação,PAINEL!$P$10,0))</f>
        <v/>
      </c>
      <c r="K167" s="14" t="str">
        <f t="shared" si="52"/>
        <v/>
      </c>
      <c r="M167" s="51" t="str">
        <f t="shared" si="53"/>
        <v/>
      </c>
      <c r="N167" s="27" t="str">
        <f t="shared" si="57"/>
        <v/>
      </c>
      <c r="O167" s="27" t="str">
        <f>IF(C167="","",(I167*(1+M167))*(QTDEParc-CÁLCULO!C167)+$F$5-SUM($F$6:F167)-J167)</f>
        <v/>
      </c>
      <c r="P167" s="7" t="str">
        <f t="shared" si="54"/>
        <v/>
      </c>
      <c r="R167" s="44" t="str">
        <f t="shared" si="55"/>
        <v/>
      </c>
      <c r="S167" s="97"/>
      <c r="T167" s="28" t="str">
        <f t="shared" si="56"/>
        <v/>
      </c>
      <c r="U167" s="28" t="str">
        <f t="shared" si="44"/>
        <v/>
      </c>
      <c r="V167" s="7" t="str">
        <f t="shared" si="58"/>
        <v/>
      </c>
      <c r="W167" s="93" t="str">
        <f t="shared" si="63"/>
        <v/>
      </c>
      <c r="X167" s="28" t="str">
        <f t="shared" si="59"/>
        <v/>
      </c>
      <c r="Y167" s="28" t="str">
        <f t="shared" si="45"/>
        <v/>
      </c>
      <c r="Z167" s="28" t="str">
        <f t="shared" si="46"/>
        <v/>
      </c>
      <c r="AA167" s="28" t="str">
        <f t="shared" si="47"/>
        <v/>
      </c>
      <c r="AB167" s="28" t="str">
        <f t="shared" si="48"/>
        <v/>
      </c>
      <c r="AC167" s="28" t="str">
        <f t="shared" si="60"/>
        <v/>
      </c>
      <c r="AD167" s="27"/>
      <c r="AO167" s="145" t="str">
        <f t="shared" si="61"/>
        <v/>
      </c>
      <c r="AP167" s="144" t="str">
        <f t="shared" si="62"/>
        <v/>
      </c>
    </row>
    <row r="168" spans="3:42" x14ac:dyDescent="0.25">
      <c r="C168" s="12" t="str">
        <f>IFERROR(IF(AvisoErro&lt;&gt;"","",IF(C167+1&gt;PAINEL!$H$8,"",C167+1)),"")</f>
        <v/>
      </c>
      <c r="E168" s="23" t="str">
        <f t="shared" si="49"/>
        <v/>
      </c>
      <c r="F168" s="13" t="str">
        <f>IF(C168="","",IF(E168&lt;&gt;"",E168*PAINEL!$H$7,0))</f>
        <v/>
      </c>
      <c r="G168" s="13" t="str">
        <f>IF(C168="","",IF(PAINEL!$A$4=1,K167/(QTDEParc-C167),IF(AND(PAINEL!$A$4=2,C168&lt;=MomentoContemplação),ValorParcelamento/QTDEParc,K167/(QTDEParc-C167))))</f>
        <v/>
      </c>
      <c r="H168" s="13" t="str">
        <f t="shared" si="50"/>
        <v/>
      </c>
      <c r="I168" s="32" t="str">
        <f t="shared" si="51"/>
        <v/>
      </c>
      <c r="J168" s="14" t="str">
        <f>IF(C168="","",IF(C168=MomentoContemplação,PAINEL!$P$10,0))</f>
        <v/>
      </c>
      <c r="K168" s="14" t="str">
        <f t="shared" si="52"/>
        <v/>
      </c>
      <c r="M168" s="51" t="str">
        <f t="shared" si="53"/>
        <v/>
      </c>
      <c r="N168" s="27" t="str">
        <f t="shared" si="57"/>
        <v/>
      </c>
      <c r="O168" s="27" t="str">
        <f>IF(C168="","",(I168*(1+M168))*(QTDEParc-CÁLCULO!C168)+$F$5-SUM($F$6:F168)-J168)</f>
        <v/>
      </c>
      <c r="P168" s="7" t="str">
        <f t="shared" si="54"/>
        <v/>
      </c>
      <c r="R168" s="44" t="str">
        <f t="shared" si="55"/>
        <v/>
      </c>
      <c r="S168" s="97"/>
      <c r="T168" s="28" t="str">
        <f t="shared" si="56"/>
        <v/>
      </c>
      <c r="U168" s="28" t="str">
        <f t="shared" si="44"/>
        <v/>
      </c>
      <c r="V168" s="7" t="str">
        <f t="shared" si="58"/>
        <v/>
      </c>
      <c r="W168" s="93" t="str">
        <f t="shared" si="63"/>
        <v/>
      </c>
      <c r="X168" s="28" t="str">
        <f t="shared" si="59"/>
        <v/>
      </c>
      <c r="Y168" s="28" t="str">
        <f t="shared" si="45"/>
        <v/>
      </c>
      <c r="Z168" s="28" t="str">
        <f t="shared" si="46"/>
        <v/>
      </c>
      <c r="AA168" s="28" t="str">
        <f t="shared" si="47"/>
        <v/>
      </c>
      <c r="AB168" s="28" t="str">
        <f t="shared" si="48"/>
        <v/>
      </c>
      <c r="AC168" s="28" t="str">
        <f t="shared" si="60"/>
        <v/>
      </c>
      <c r="AD168" s="27"/>
      <c r="AO168" s="145" t="str">
        <f t="shared" si="61"/>
        <v/>
      </c>
      <c r="AP168" s="144" t="str">
        <f t="shared" si="62"/>
        <v/>
      </c>
    </row>
    <row r="169" spans="3:42" x14ac:dyDescent="0.25">
      <c r="C169" s="12" t="str">
        <f>IFERROR(IF(AvisoErro&lt;&gt;"","",IF(C168+1&gt;PAINEL!$H$8,"",C168+1)),"")</f>
        <v/>
      </c>
      <c r="E169" s="23" t="str">
        <f t="shared" si="49"/>
        <v/>
      </c>
      <c r="F169" s="13" t="str">
        <f>IF(C169="","",IF(E169&lt;&gt;"",E169*PAINEL!$H$7,0))</f>
        <v/>
      </c>
      <c r="G169" s="13" t="str">
        <f>IF(C169="","",IF(PAINEL!$A$4=1,K168/(QTDEParc-C168),IF(AND(PAINEL!$A$4=2,C169&lt;=MomentoContemplação),ValorParcelamento/QTDEParc,K168/(QTDEParc-C168))))</f>
        <v/>
      </c>
      <c r="H169" s="13" t="str">
        <f t="shared" si="50"/>
        <v/>
      </c>
      <c r="I169" s="32" t="str">
        <f t="shared" si="51"/>
        <v/>
      </c>
      <c r="J169" s="14" t="str">
        <f>IF(C169="","",IF(C169=MomentoContemplação,PAINEL!$P$10,0))</f>
        <v/>
      </c>
      <c r="K169" s="14" t="str">
        <f t="shared" si="52"/>
        <v/>
      </c>
      <c r="M169" s="51" t="str">
        <f t="shared" si="53"/>
        <v/>
      </c>
      <c r="N169" s="27" t="str">
        <f t="shared" si="57"/>
        <v/>
      </c>
      <c r="O169" s="27" t="str">
        <f>IF(C169="","",(I169*(1+M169))*(QTDEParc-CÁLCULO!C169)+$F$5-SUM($F$6:F169)-J169)</f>
        <v/>
      </c>
      <c r="P169" s="7" t="str">
        <f t="shared" si="54"/>
        <v/>
      </c>
      <c r="R169" s="44" t="str">
        <f t="shared" si="55"/>
        <v/>
      </c>
      <c r="S169" s="97"/>
      <c r="T169" s="28" t="str">
        <f t="shared" si="56"/>
        <v/>
      </c>
      <c r="U169" s="28" t="str">
        <f t="shared" si="44"/>
        <v/>
      </c>
      <c r="V169" s="7" t="str">
        <f t="shared" si="58"/>
        <v/>
      </c>
      <c r="W169" s="93" t="str">
        <f t="shared" si="63"/>
        <v/>
      </c>
      <c r="X169" s="28" t="str">
        <f t="shared" si="59"/>
        <v/>
      </c>
      <c r="Y169" s="28" t="str">
        <f t="shared" si="45"/>
        <v/>
      </c>
      <c r="Z169" s="28" t="str">
        <f t="shared" si="46"/>
        <v/>
      </c>
      <c r="AA169" s="28" t="str">
        <f t="shared" si="47"/>
        <v/>
      </c>
      <c r="AB169" s="28" t="str">
        <f t="shared" si="48"/>
        <v/>
      </c>
      <c r="AC169" s="28" t="str">
        <f t="shared" si="60"/>
        <v/>
      </c>
      <c r="AD169" s="27"/>
      <c r="AO169" s="145" t="str">
        <f t="shared" si="61"/>
        <v/>
      </c>
      <c r="AP169" s="144" t="str">
        <f t="shared" si="62"/>
        <v/>
      </c>
    </row>
    <row r="170" spans="3:42" x14ac:dyDescent="0.25">
      <c r="C170" s="12" t="str">
        <f>IFERROR(IF(AvisoErro&lt;&gt;"","",IF(C169+1&gt;PAINEL!$H$8,"",C169+1)),"")</f>
        <v/>
      </c>
      <c r="E170" s="23" t="str">
        <f t="shared" si="49"/>
        <v/>
      </c>
      <c r="F170" s="13" t="str">
        <f>IF(C170="","",IF(E170&lt;&gt;"",E170*PAINEL!$H$7,0))</f>
        <v/>
      </c>
      <c r="G170" s="13" t="str">
        <f>IF(C170="","",IF(PAINEL!$A$4=1,K169/(QTDEParc-C169),IF(AND(PAINEL!$A$4=2,C170&lt;=MomentoContemplação),ValorParcelamento/QTDEParc,K169/(QTDEParc-C169))))</f>
        <v/>
      </c>
      <c r="H170" s="13" t="str">
        <f t="shared" si="50"/>
        <v/>
      </c>
      <c r="I170" s="32" t="str">
        <f t="shared" si="51"/>
        <v/>
      </c>
      <c r="J170" s="14" t="str">
        <f>IF(C170="","",IF(C170=MomentoContemplação,PAINEL!$P$10,0))</f>
        <v/>
      </c>
      <c r="K170" s="14" t="str">
        <f t="shared" si="52"/>
        <v/>
      </c>
      <c r="M170" s="51" t="str">
        <f t="shared" si="53"/>
        <v/>
      </c>
      <c r="N170" s="27" t="str">
        <f t="shared" si="57"/>
        <v/>
      </c>
      <c r="O170" s="27" t="str">
        <f>IF(C170="","",(I170*(1+M170))*(QTDEParc-CÁLCULO!C170)+$F$5-SUM($F$6:F170)-J170)</f>
        <v/>
      </c>
      <c r="P170" s="7" t="str">
        <f t="shared" si="54"/>
        <v/>
      </c>
      <c r="R170" s="44" t="str">
        <f t="shared" si="55"/>
        <v/>
      </c>
      <c r="S170" s="97"/>
      <c r="T170" s="28" t="str">
        <f t="shared" si="56"/>
        <v/>
      </c>
      <c r="U170" s="28" t="str">
        <f t="shared" si="44"/>
        <v/>
      </c>
      <c r="V170" s="7" t="str">
        <f t="shared" si="58"/>
        <v/>
      </c>
      <c r="W170" s="93" t="str">
        <f t="shared" si="63"/>
        <v/>
      </c>
      <c r="X170" s="28" t="str">
        <f t="shared" si="59"/>
        <v/>
      </c>
      <c r="Y170" s="28" t="str">
        <f t="shared" si="45"/>
        <v/>
      </c>
      <c r="Z170" s="28" t="str">
        <f t="shared" si="46"/>
        <v/>
      </c>
      <c r="AA170" s="28" t="str">
        <f t="shared" si="47"/>
        <v/>
      </c>
      <c r="AB170" s="28" t="str">
        <f t="shared" si="48"/>
        <v/>
      </c>
      <c r="AC170" s="28" t="str">
        <f t="shared" si="60"/>
        <v/>
      </c>
      <c r="AD170" s="27"/>
      <c r="AO170" s="145" t="str">
        <f t="shared" si="61"/>
        <v/>
      </c>
      <c r="AP170" s="144" t="str">
        <f t="shared" si="62"/>
        <v/>
      </c>
    </row>
    <row r="171" spans="3:42" x14ac:dyDescent="0.25">
      <c r="C171" s="12" t="str">
        <f>IFERROR(IF(AvisoErro&lt;&gt;"","",IF(C170+1&gt;PAINEL!$H$8,"",C170+1)),"")</f>
        <v/>
      </c>
      <c r="E171" s="23" t="str">
        <f t="shared" si="49"/>
        <v/>
      </c>
      <c r="F171" s="13" t="str">
        <f>IF(C171="","",IF(E171&lt;&gt;"",E171*PAINEL!$H$7,0))</f>
        <v/>
      </c>
      <c r="G171" s="13" t="str">
        <f>IF(C171="","",IF(PAINEL!$A$4=1,K170/(QTDEParc-C170),IF(AND(PAINEL!$A$4=2,C171&lt;=MomentoContemplação),ValorParcelamento/QTDEParc,K170/(QTDEParc-C170))))</f>
        <v/>
      </c>
      <c r="H171" s="13" t="str">
        <f t="shared" si="50"/>
        <v/>
      </c>
      <c r="I171" s="32" t="str">
        <f t="shared" si="51"/>
        <v/>
      </c>
      <c r="J171" s="14" t="str">
        <f>IF(C171="","",IF(C171=MomentoContemplação,PAINEL!$P$10,0))</f>
        <v/>
      </c>
      <c r="K171" s="14" t="str">
        <f t="shared" si="52"/>
        <v/>
      </c>
      <c r="M171" s="51" t="str">
        <f t="shared" si="53"/>
        <v/>
      </c>
      <c r="N171" s="27" t="str">
        <f t="shared" si="57"/>
        <v/>
      </c>
      <c r="O171" s="27" t="str">
        <f>IF(C171="","",(I171*(1+M171))*(QTDEParc-CÁLCULO!C171)+$F$5-SUM($F$6:F171)-J171)</f>
        <v/>
      </c>
      <c r="P171" s="7" t="str">
        <f t="shared" si="54"/>
        <v/>
      </c>
      <c r="R171" s="44" t="str">
        <f t="shared" si="55"/>
        <v/>
      </c>
      <c r="S171" s="97"/>
      <c r="T171" s="28" t="str">
        <f t="shared" si="56"/>
        <v/>
      </c>
      <c r="U171" s="28" t="str">
        <f t="shared" si="44"/>
        <v/>
      </c>
      <c r="V171" s="7" t="str">
        <f t="shared" si="58"/>
        <v/>
      </c>
      <c r="W171" s="93" t="str">
        <f t="shared" si="63"/>
        <v/>
      </c>
      <c r="X171" s="28" t="str">
        <f t="shared" si="59"/>
        <v/>
      </c>
      <c r="Y171" s="28" t="str">
        <f t="shared" si="45"/>
        <v/>
      </c>
      <c r="Z171" s="28" t="str">
        <f t="shared" si="46"/>
        <v/>
      </c>
      <c r="AA171" s="28" t="str">
        <f t="shared" si="47"/>
        <v/>
      </c>
      <c r="AB171" s="28" t="str">
        <f t="shared" si="48"/>
        <v/>
      </c>
      <c r="AC171" s="28" t="str">
        <f t="shared" si="60"/>
        <v/>
      </c>
      <c r="AD171" s="27"/>
      <c r="AO171" s="145" t="str">
        <f t="shared" si="61"/>
        <v/>
      </c>
      <c r="AP171" s="144" t="str">
        <f t="shared" si="62"/>
        <v/>
      </c>
    </row>
    <row r="172" spans="3:42" x14ac:dyDescent="0.25">
      <c r="C172" s="12" t="str">
        <f>IFERROR(IF(AvisoErro&lt;&gt;"","",IF(C171+1&gt;PAINEL!$H$8,"",C171+1)),"")</f>
        <v/>
      </c>
      <c r="E172" s="23" t="str">
        <f t="shared" si="49"/>
        <v/>
      </c>
      <c r="F172" s="13" t="str">
        <f>IF(C172="","",IF(E172&lt;&gt;"",E172*PAINEL!$H$7,0))</f>
        <v/>
      </c>
      <c r="G172" s="13" t="str">
        <f>IF(C172="","",IF(PAINEL!$A$4=1,K171/(QTDEParc-C171),IF(AND(PAINEL!$A$4=2,C172&lt;=MomentoContemplação),ValorParcelamento/QTDEParc,K171/(QTDEParc-C171))))</f>
        <v/>
      </c>
      <c r="H172" s="13" t="str">
        <f t="shared" si="50"/>
        <v/>
      </c>
      <c r="I172" s="32" t="str">
        <f t="shared" si="51"/>
        <v/>
      </c>
      <c r="J172" s="14" t="str">
        <f>IF(C172="","",IF(C172=MomentoContemplação,PAINEL!$P$10,0))</f>
        <v/>
      </c>
      <c r="K172" s="14" t="str">
        <f t="shared" si="52"/>
        <v/>
      </c>
      <c r="M172" s="51" t="str">
        <f t="shared" si="53"/>
        <v/>
      </c>
      <c r="N172" s="27" t="str">
        <f t="shared" si="57"/>
        <v/>
      </c>
      <c r="O172" s="27" t="str">
        <f>IF(C172="","",(I172*(1+M172))*(QTDEParc-CÁLCULO!C172)+$F$5-SUM($F$6:F172)-J172)</f>
        <v/>
      </c>
      <c r="P172" s="7" t="str">
        <f t="shared" si="54"/>
        <v/>
      </c>
      <c r="R172" s="44" t="str">
        <f t="shared" si="55"/>
        <v/>
      </c>
      <c r="S172" s="97"/>
      <c r="T172" s="28" t="str">
        <f t="shared" si="56"/>
        <v/>
      </c>
      <c r="U172" s="28" t="str">
        <f t="shared" si="44"/>
        <v/>
      </c>
      <c r="V172" s="7" t="str">
        <f t="shared" si="58"/>
        <v/>
      </c>
      <c r="W172" s="93" t="str">
        <f t="shared" si="63"/>
        <v/>
      </c>
      <c r="X172" s="28" t="str">
        <f t="shared" si="59"/>
        <v/>
      </c>
      <c r="Y172" s="28" t="str">
        <f t="shared" si="45"/>
        <v/>
      </c>
      <c r="Z172" s="28" t="str">
        <f t="shared" si="46"/>
        <v/>
      </c>
      <c r="AA172" s="28" t="str">
        <f t="shared" si="47"/>
        <v/>
      </c>
      <c r="AB172" s="28" t="str">
        <f t="shared" si="48"/>
        <v/>
      </c>
      <c r="AC172" s="28" t="str">
        <f t="shared" si="60"/>
        <v/>
      </c>
      <c r="AD172" s="27"/>
      <c r="AO172" s="145" t="str">
        <f t="shared" si="61"/>
        <v/>
      </c>
      <c r="AP172" s="144" t="str">
        <f t="shared" si="62"/>
        <v/>
      </c>
    </row>
    <row r="173" spans="3:42" x14ac:dyDescent="0.25">
      <c r="C173" s="12" t="str">
        <f>IFERROR(IF(AvisoErro&lt;&gt;"","",IF(C172+1&gt;PAINEL!$H$8,"",C172+1)),"")</f>
        <v/>
      </c>
      <c r="E173" s="23" t="str">
        <f t="shared" si="49"/>
        <v/>
      </c>
      <c r="F173" s="13" t="str">
        <f>IF(C173="","",IF(E173&lt;&gt;"",E173*PAINEL!$H$7,0))</f>
        <v/>
      </c>
      <c r="G173" s="13" t="str">
        <f>IF(C173="","",IF(PAINEL!$A$4=1,K172/(QTDEParc-C172),IF(AND(PAINEL!$A$4=2,C173&lt;=MomentoContemplação),ValorParcelamento/QTDEParc,K172/(QTDEParc-C172))))</f>
        <v/>
      </c>
      <c r="H173" s="13" t="str">
        <f t="shared" si="50"/>
        <v/>
      </c>
      <c r="I173" s="32" t="str">
        <f t="shared" si="51"/>
        <v/>
      </c>
      <c r="J173" s="14" t="str">
        <f>IF(C173="","",IF(C173=MomentoContemplação,PAINEL!$P$10,0))</f>
        <v/>
      </c>
      <c r="K173" s="14" t="str">
        <f t="shared" si="52"/>
        <v/>
      </c>
      <c r="M173" s="51" t="str">
        <f t="shared" si="53"/>
        <v/>
      </c>
      <c r="N173" s="27" t="str">
        <f t="shared" si="57"/>
        <v/>
      </c>
      <c r="O173" s="27" t="str">
        <f>IF(C173="","",(I173*(1+M173))*(QTDEParc-CÁLCULO!C173)+$F$5-SUM($F$6:F173)-J173)</f>
        <v/>
      </c>
      <c r="P173" s="7" t="str">
        <f t="shared" si="54"/>
        <v/>
      </c>
      <c r="R173" s="44" t="str">
        <f t="shared" si="55"/>
        <v/>
      </c>
      <c r="S173" s="97"/>
      <c r="T173" s="28" t="str">
        <f t="shared" si="56"/>
        <v/>
      </c>
      <c r="U173" s="28" t="str">
        <f t="shared" si="44"/>
        <v/>
      </c>
      <c r="V173" s="7" t="str">
        <f t="shared" si="58"/>
        <v/>
      </c>
      <c r="W173" s="93" t="str">
        <f t="shared" si="63"/>
        <v/>
      </c>
      <c r="X173" s="28" t="str">
        <f t="shared" si="59"/>
        <v/>
      </c>
      <c r="Y173" s="28" t="str">
        <f t="shared" si="45"/>
        <v/>
      </c>
      <c r="Z173" s="28" t="str">
        <f t="shared" si="46"/>
        <v/>
      </c>
      <c r="AA173" s="28" t="str">
        <f t="shared" si="47"/>
        <v/>
      </c>
      <c r="AB173" s="28" t="str">
        <f t="shared" si="48"/>
        <v/>
      </c>
      <c r="AC173" s="28" t="str">
        <f t="shared" si="60"/>
        <v/>
      </c>
      <c r="AD173" s="27"/>
      <c r="AO173" s="145" t="str">
        <f t="shared" si="61"/>
        <v/>
      </c>
      <c r="AP173" s="144" t="str">
        <f t="shared" si="62"/>
        <v/>
      </c>
    </row>
    <row r="174" spans="3:42" x14ac:dyDescent="0.25">
      <c r="C174" s="12" t="str">
        <f>IFERROR(IF(AvisoErro&lt;&gt;"","",IF(C173+1&gt;PAINEL!$H$8,"",C173+1)),"")</f>
        <v/>
      </c>
      <c r="E174" s="23" t="str">
        <f t="shared" si="49"/>
        <v/>
      </c>
      <c r="F174" s="13" t="str">
        <f>IF(C174="","",IF(E174&lt;&gt;"",E174*PAINEL!$H$7,0))</f>
        <v/>
      </c>
      <c r="G174" s="13" t="str">
        <f>IF(C174="","",IF(PAINEL!$A$4=1,K173/(QTDEParc-C173),IF(AND(PAINEL!$A$4=2,C174&lt;=MomentoContemplação),ValorParcelamento/QTDEParc,K173/(QTDEParc-C173))))</f>
        <v/>
      </c>
      <c r="H174" s="13" t="str">
        <f t="shared" si="50"/>
        <v/>
      </c>
      <c r="I174" s="32" t="str">
        <f t="shared" si="51"/>
        <v/>
      </c>
      <c r="J174" s="14" t="str">
        <f>IF(C174="","",IF(C174=MomentoContemplação,PAINEL!$P$10,0))</f>
        <v/>
      </c>
      <c r="K174" s="14" t="str">
        <f t="shared" si="52"/>
        <v/>
      </c>
      <c r="M174" s="51" t="str">
        <f t="shared" si="53"/>
        <v/>
      </c>
      <c r="N174" s="27" t="str">
        <f t="shared" si="57"/>
        <v/>
      </c>
      <c r="O174" s="27" t="str">
        <f>IF(C174="","",(I174*(1+M174))*(QTDEParc-CÁLCULO!C174)+$F$5-SUM($F$6:F174)-J174)</f>
        <v/>
      </c>
      <c r="P174" s="7" t="str">
        <f t="shared" si="54"/>
        <v/>
      </c>
      <c r="R174" s="44" t="str">
        <f t="shared" si="55"/>
        <v/>
      </c>
      <c r="S174" s="97"/>
      <c r="T174" s="28" t="str">
        <f t="shared" si="56"/>
        <v/>
      </c>
      <c r="U174" s="28" t="str">
        <f t="shared" si="44"/>
        <v/>
      </c>
      <c r="V174" s="7" t="str">
        <f t="shared" si="58"/>
        <v/>
      </c>
      <c r="W174" s="93" t="str">
        <f t="shared" si="63"/>
        <v/>
      </c>
      <c r="X174" s="28" t="str">
        <f t="shared" si="59"/>
        <v/>
      </c>
      <c r="Y174" s="28" t="str">
        <f t="shared" si="45"/>
        <v/>
      </c>
      <c r="Z174" s="28" t="str">
        <f t="shared" si="46"/>
        <v/>
      </c>
      <c r="AA174" s="28" t="str">
        <f t="shared" si="47"/>
        <v/>
      </c>
      <c r="AB174" s="28" t="str">
        <f t="shared" si="48"/>
        <v/>
      </c>
      <c r="AC174" s="28" t="str">
        <f t="shared" si="60"/>
        <v/>
      </c>
      <c r="AD174" s="27"/>
      <c r="AO174" s="145" t="str">
        <f t="shared" si="61"/>
        <v/>
      </c>
      <c r="AP174" s="144" t="str">
        <f t="shared" si="62"/>
        <v/>
      </c>
    </row>
    <row r="175" spans="3:42" x14ac:dyDescent="0.25">
      <c r="C175" s="12" t="str">
        <f>IFERROR(IF(AvisoErro&lt;&gt;"","",IF(C174+1&gt;PAINEL!$H$8,"",C174+1)),"")</f>
        <v/>
      </c>
      <c r="E175" s="23" t="str">
        <f t="shared" si="49"/>
        <v/>
      </c>
      <c r="F175" s="13" t="str">
        <f>IF(C175="","",IF(E175&lt;&gt;"",E175*PAINEL!$H$7,0))</f>
        <v/>
      </c>
      <c r="G175" s="13" t="str">
        <f>IF(C175="","",IF(PAINEL!$A$4=1,K174/(QTDEParc-C174),IF(AND(PAINEL!$A$4=2,C175&lt;=MomentoContemplação),ValorParcelamento/QTDEParc,K174/(QTDEParc-C174))))</f>
        <v/>
      </c>
      <c r="H175" s="13" t="str">
        <f t="shared" si="50"/>
        <v/>
      </c>
      <c r="I175" s="32" t="str">
        <f t="shared" si="51"/>
        <v/>
      </c>
      <c r="J175" s="14" t="str">
        <f>IF(C175="","",IF(C175=MomentoContemplação,PAINEL!$P$10,0))</f>
        <v/>
      </c>
      <c r="K175" s="14" t="str">
        <f t="shared" si="52"/>
        <v/>
      </c>
      <c r="M175" s="51" t="str">
        <f t="shared" si="53"/>
        <v/>
      </c>
      <c r="N175" s="27" t="str">
        <f t="shared" si="57"/>
        <v/>
      </c>
      <c r="O175" s="27" t="str">
        <f>IF(C175="","",(I175*(1+M175))*(QTDEParc-CÁLCULO!C175)+$F$5-SUM($F$6:F175)-J175)</f>
        <v/>
      </c>
      <c r="P175" s="7" t="str">
        <f t="shared" si="54"/>
        <v/>
      </c>
      <c r="R175" s="44" t="str">
        <f t="shared" si="55"/>
        <v/>
      </c>
      <c r="S175" s="97"/>
      <c r="T175" s="28" t="str">
        <f t="shared" si="56"/>
        <v/>
      </c>
      <c r="U175" s="28" t="str">
        <f t="shared" si="44"/>
        <v/>
      </c>
      <c r="V175" s="7" t="str">
        <f t="shared" si="58"/>
        <v/>
      </c>
      <c r="W175" s="93" t="str">
        <f t="shared" si="63"/>
        <v/>
      </c>
      <c r="X175" s="28" t="str">
        <f t="shared" si="59"/>
        <v/>
      </c>
      <c r="Y175" s="28" t="str">
        <f t="shared" si="45"/>
        <v/>
      </c>
      <c r="Z175" s="28" t="str">
        <f t="shared" si="46"/>
        <v/>
      </c>
      <c r="AA175" s="28" t="str">
        <f t="shared" si="47"/>
        <v/>
      </c>
      <c r="AB175" s="28" t="str">
        <f t="shared" si="48"/>
        <v/>
      </c>
      <c r="AC175" s="28" t="str">
        <f t="shared" si="60"/>
        <v/>
      </c>
      <c r="AD175" s="27"/>
      <c r="AO175" s="145" t="str">
        <f t="shared" si="61"/>
        <v/>
      </c>
      <c r="AP175" s="144" t="str">
        <f t="shared" si="62"/>
        <v/>
      </c>
    </row>
    <row r="176" spans="3:42" x14ac:dyDescent="0.25">
      <c r="C176" s="12" t="str">
        <f>IFERROR(IF(AvisoErro&lt;&gt;"","",IF(C175+1&gt;PAINEL!$H$8,"",C175+1)),"")</f>
        <v/>
      </c>
      <c r="E176" s="23" t="str">
        <f t="shared" si="49"/>
        <v/>
      </c>
      <c r="F176" s="13" t="str">
        <f>IF(C176="","",IF(E176&lt;&gt;"",E176*PAINEL!$H$7,0))</f>
        <v/>
      </c>
      <c r="G176" s="13" t="str">
        <f>IF(C176="","",IF(PAINEL!$A$4=1,K175/(QTDEParc-C175),IF(AND(PAINEL!$A$4=2,C176&lt;=MomentoContemplação),ValorParcelamento/QTDEParc,K175/(QTDEParc-C175))))</f>
        <v/>
      </c>
      <c r="H176" s="13" t="str">
        <f t="shared" si="50"/>
        <v/>
      </c>
      <c r="I176" s="32" t="str">
        <f t="shared" si="51"/>
        <v/>
      </c>
      <c r="J176" s="14" t="str">
        <f>IF(C176="","",IF(C176=MomentoContemplação,PAINEL!$P$10,0))</f>
        <v/>
      </c>
      <c r="K176" s="14" t="str">
        <f t="shared" si="52"/>
        <v/>
      </c>
      <c r="M176" s="51" t="str">
        <f t="shared" si="53"/>
        <v/>
      </c>
      <c r="N176" s="27" t="str">
        <f t="shared" si="57"/>
        <v/>
      </c>
      <c r="O176" s="27" t="str">
        <f>IF(C176="","",(I176*(1+M176))*(QTDEParc-CÁLCULO!C176)+$F$5-SUM($F$6:F176)-J176)</f>
        <v/>
      </c>
      <c r="P176" s="7" t="str">
        <f t="shared" si="54"/>
        <v/>
      </c>
      <c r="R176" s="44" t="str">
        <f t="shared" si="55"/>
        <v/>
      </c>
      <c r="S176" s="97"/>
      <c r="T176" s="28" t="str">
        <f t="shared" si="56"/>
        <v/>
      </c>
      <c r="U176" s="28" t="str">
        <f t="shared" si="44"/>
        <v/>
      </c>
      <c r="V176" s="7" t="str">
        <f t="shared" si="58"/>
        <v/>
      </c>
      <c r="W176" s="93" t="str">
        <f t="shared" si="63"/>
        <v/>
      </c>
      <c r="X176" s="28" t="str">
        <f t="shared" si="59"/>
        <v/>
      </c>
      <c r="Y176" s="28" t="str">
        <f t="shared" si="45"/>
        <v/>
      </c>
      <c r="Z176" s="28" t="str">
        <f t="shared" si="46"/>
        <v/>
      </c>
      <c r="AA176" s="28" t="str">
        <f t="shared" si="47"/>
        <v/>
      </c>
      <c r="AB176" s="28" t="str">
        <f t="shared" si="48"/>
        <v/>
      </c>
      <c r="AC176" s="28" t="str">
        <f t="shared" si="60"/>
        <v/>
      </c>
      <c r="AD176" s="27"/>
      <c r="AO176" s="145" t="str">
        <f t="shared" si="61"/>
        <v/>
      </c>
      <c r="AP176" s="144" t="str">
        <f t="shared" si="62"/>
        <v/>
      </c>
    </row>
    <row r="177" spans="3:42" x14ac:dyDescent="0.25">
      <c r="C177" s="12" t="str">
        <f>IFERROR(IF(AvisoErro&lt;&gt;"","",IF(C176+1&gt;PAINEL!$H$8,"",C176+1)),"")</f>
        <v/>
      </c>
      <c r="E177" s="23" t="str">
        <f t="shared" si="49"/>
        <v/>
      </c>
      <c r="F177" s="13" t="str">
        <f>IF(C177="","",IF(E177&lt;&gt;"",E177*PAINEL!$H$7,0))</f>
        <v/>
      </c>
      <c r="G177" s="13" t="str">
        <f>IF(C177="","",IF(PAINEL!$A$4=1,K176/(QTDEParc-C176),IF(AND(PAINEL!$A$4=2,C177&lt;=MomentoContemplação),ValorParcelamento/QTDEParc,K176/(QTDEParc-C176))))</f>
        <v/>
      </c>
      <c r="H177" s="13" t="str">
        <f t="shared" si="50"/>
        <v/>
      </c>
      <c r="I177" s="32" t="str">
        <f t="shared" si="51"/>
        <v/>
      </c>
      <c r="J177" s="14" t="str">
        <f>IF(C177="","",IF(C177=MomentoContemplação,PAINEL!$P$10,0))</f>
        <v/>
      </c>
      <c r="K177" s="14" t="str">
        <f t="shared" si="52"/>
        <v/>
      </c>
      <c r="M177" s="51" t="str">
        <f t="shared" si="53"/>
        <v/>
      </c>
      <c r="N177" s="27" t="str">
        <f t="shared" si="57"/>
        <v/>
      </c>
      <c r="O177" s="27" t="str">
        <f>IF(C177="","",(I177*(1+M177))*(QTDEParc-CÁLCULO!C177)+$F$5-SUM($F$6:F177)-J177)</f>
        <v/>
      </c>
      <c r="P177" s="7" t="str">
        <f t="shared" si="54"/>
        <v/>
      </c>
      <c r="R177" s="44" t="str">
        <f t="shared" si="55"/>
        <v/>
      </c>
      <c r="S177" s="97"/>
      <c r="T177" s="28" t="str">
        <f t="shared" si="56"/>
        <v/>
      </c>
      <c r="U177" s="28" t="str">
        <f t="shared" si="44"/>
        <v/>
      </c>
      <c r="V177" s="7" t="str">
        <f t="shared" si="58"/>
        <v/>
      </c>
      <c r="W177" s="93" t="str">
        <f t="shared" si="63"/>
        <v/>
      </c>
      <c r="X177" s="28" t="str">
        <f t="shared" si="59"/>
        <v/>
      </c>
      <c r="Y177" s="28" t="str">
        <f t="shared" si="45"/>
        <v/>
      </c>
      <c r="Z177" s="28" t="str">
        <f t="shared" si="46"/>
        <v/>
      </c>
      <c r="AA177" s="28" t="str">
        <f t="shared" si="47"/>
        <v/>
      </c>
      <c r="AB177" s="28" t="str">
        <f t="shared" si="48"/>
        <v/>
      </c>
      <c r="AC177" s="28" t="str">
        <f t="shared" si="60"/>
        <v/>
      </c>
      <c r="AD177" s="27"/>
      <c r="AO177" s="145" t="str">
        <f t="shared" si="61"/>
        <v/>
      </c>
      <c r="AP177" s="144" t="str">
        <f t="shared" si="62"/>
        <v/>
      </c>
    </row>
    <row r="178" spans="3:42" x14ac:dyDescent="0.25">
      <c r="C178" s="12" t="str">
        <f>IFERROR(IF(AvisoErro&lt;&gt;"","",IF(C177+1&gt;PAINEL!$H$8,"",C177+1)),"")</f>
        <v/>
      </c>
      <c r="E178" s="23" t="str">
        <f t="shared" si="49"/>
        <v/>
      </c>
      <c r="F178" s="13" t="str">
        <f>IF(C178="","",IF(E178&lt;&gt;"",E178*PAINEL!$H$7,0))</f>
        <v/>
      </c>
      <c r="G178" s="13" t="str">
        <f>IF(C178="","",IF(PAINEL!$A$4=1,K177/(QTDEParc-C177),IF(AND(PAINEL!$A$4=2,C178&lt;=MomentoContemplação),ValorParcelamento/QTDEParc,K177/(QTDEParc-C177))))</f>
        <v/>
      </c>
      <c r="H178" s="13" t="str">
        <f t="shared" si="50"/>
        <v/>
      </c>
      <c r="I178" s="32" t="str">
        <f t="shared" si="51"/>
        <v/>
      </c>
      <c r="J178" s="14" t="str">
        <f>IF(C178="","",IF(C178=MomentoContemplação,PAINEL!$P$10,0))</f>
        <v/>
      </c>
      <c r="K178" s="14" t="str">
        <f t="shared" si="52"/>
        <v/>
      </c>
      <c r="M178" s="51" t="str">
        <f t="shared" si="53"/>
        <v/>
      </c>
      <c r="N178" s="27" t="str">
        <f t="shared" si="57"/>
        <v/>
      </c>
      <c r="O178" s="27" t="str">
        <f>IF(C178="","",(I178*(1+M178))*(QTDEParc-CÁLCULO!C178)+$F$5-SUM($F$6:F178)-J178)</f>
        <v/>
      </c>
      <c r="P178" s="7" t="str">
        <f t="shared" si="54"/>
        <v/>
      </c>
      <c r="R178" s="44" t="str">
        <f t="shared" si="55"/>
        <v/>
      </c>
      <c r="S178" s="97"/>
      <c r="T178" s="28" t="str">
        <f t="shared" si="56"/>
        <v/>
      </c>
      <c r="U178" s="28" t="str">
        <f t="shared" si="44"/>
        <v/>
      </c>
      <c r="V178" s="7" t="str">
        <f t="shared" si="58"/>
        <v/>
      </c>
      <c r="W178" s="93" t="str">
        <f t="shared" si="63"/>
        <v/>
      </c>
      <c r="X178" s="28" t="str">
        <f t="shared" si="59"/>
        <v/>
      </c>
      <c r="Y178" s="28" t="str">
        <f t="shared" si="45"/>
        <v/>
      </c>
      <c r="Z178" s="28" t="str">
        <f t="shared" si="46"/>
        <v/>
      </c>
      <c r="AA178" s="28" t="str">
        <f t="shared" si="47"/>
        <v/>
      </c>
      <c r="AB178" s="28" t="str">
        <f t="shared" si="48"/>
        <v/>
      </c>
      <c r="AC178" s="28" t="str">
        <f t="shared" si="60"/>
        <v/>
      </c>
      <c r="AD178" s="27"/>
      <c r="AO178" s="145" t="str">
        <f t="shared" si="61"/>
        <v/>
      </c>
      <c r="AP178" s="144" t="str">
        <f t="shared" si="62"/>
        <v/>
      </c>
    </row>
    <row r="179" spans="3:42" x14ac:dyDescent="0.25">
      <c r="C179" s="12" t="str">
        <f>IFERROR(IF(AvisoErro&lt;&gt;"","",IF(C178+1&gt;PAINEL!$H$8,"",C178+1)),"")</f>
        <v/>
      </c>
      <c r="E179" s="23" t="str">
        <f t="shared" si="49"/>
        <v/>
      </c>
      <c r="F179" s="13" t="str">
        <f>IF(C179="","",IF(E179&lt;&gt;"",E179*PAINEL!$H$7,0))</f>
        <v/>
      </c>
      <c r="G179" s="13" t="str">
        <f>IF(C179="","",IF(PAINEL!$A$4=1,K178/(QTDEParc-C178),IF(AND(PAINEL!$A$4=2,C179&lt;=MomentoContemplação),ValorParcelamento/QTDEParc,K178/(QTDEParc-C178))))</f>
        <v/>
      </c>
      <c r="H179" s="13" t="str">
        <f t="shared" si="50"/>
        <v/>
      </c>
      <c r="I179" s="32" t="str">
        <f t="shared" si="51"/>
        <v/>
      </c>
      <c r="J179" s="14" t="str">
        <f>IF(C179="","",IF(C179=MomentoContemplação,PAINEL!$P$10,0))</f>
        <v/>
      </c>
      <c r="K179" s="14" t="str">
        <f t="shared" si="52"/>
        <v/>
      </c>
      <c r="M179" s="51" t="str">
        <f t="shared" si="53"/>
        <v/>
      </c>
      <c r="N179" s="27" t="str">
        <f t="shared" si="57"/>
        <v/>
      </c>
      <c r="O179" s="27" t="str">
        <f>IF(C179="","",(I179*(1+M179))*(QTDEParc-CÁLCULO!C179)+$F$5-SUM($F$6:F179)-J179)</f>
        <v/>
      </c>
      <c r="P179" s="7" t="str">
        <f t="shared" si="54"/>
        <v/>
      </c>
      <c r="R179" s="44" t="str">
        <f t="shared" si="55"/>
        <v/>
      </c>
      <c r="S179" s="97"/>
      <c r="T179" s="28" t="str">
        <f t="shared" si="56"/>
        <v/>
      </c>
      <c r="U179" s="28" t="str">
        <f t="shared" si="44"/>
        <v/>
      </c>
      <c r="V179" s="7" t="str">
        <f t="shared" si="58"/>
        <v/>
      </c>
      <c r="W179" s="93" t="str">
        <f t="shared" si="63"/>
        <v/>
      </c>
      <c r="X179" s="28" t="str">
        <f t="shared" si="59"/>
        <v/>
      </c>
      <c r="Y179" s="28" t="str">
        <f t="shared" si="45"/>
        <v/>
      </c>
      <c r="Z179" s="28" t="str">
        <f t="shared" si="46"/>
        <v/>
      </c>
      <c r="AA179" s="28" t="str">
        <f t="shared" si="47"/>
        <v/>
      </c>
      <c r="AB179" s="28" t="str">
        <f t="shared" si="48"/>
        <v/>
      </c>
      <c r="AC179" s="28" t="str">
        <f t="shared" si="60"/>
        <v/>
      </c>
      <c r="AD179" s="27"/>
      <c r="AO179" s="145" t="str">
        <f t="shared" si="61"/>
        <v/>
      </c>
      <c r="AP179" s="144" t="str">
        <f t="shared" si="62"/>
        <v/>
      </c>
    </row>
    <row r="180" spans="3:42" x14ac:dyDescent="0.25">
      <c r="C180" s="12" t="str">
        <f>IFERROR(IF(AvisoErro&lt;&gt;"","",IF(C179+1&gt;PAINEL!$H$8,"",C179+1)),"")</f>
        <v/>
      </c>
      <c r="E180" s="23" t="str">
        <f t="shared" si="49"/>
        <v/>
      </c>
      <c r="F180" s="13" t="str">
        <f>IF(C180="","",IF(E180&lt;&gt;"",E180*PAINEL!$H$7,0))</f>
        <v/>
      </c>
      <c r="G180" s="13" t="str">
        <f>IF(C180="","",IF(PAINEL!$A$4=1,K179/(QTDEParc-C179),IF(AND(PAINEL!$A$4=2,C180&lt;=MomentoContemplação),ValorParcelamento/QTDEParc,K179/(QTDEParc-C179))))</f>
        <v/>
      </c>
      <c r="H180" s="13" t="str">
        <f t="shared" si="50"/>
        <v/>
      </c>
      <c r="I180" s="32" t="str">
        <f t="shared" si="51"/>
        <v/>
      </c>
      <c r="J180" s="14" t="str">
        <f>IF(C180="","",IF(C180=MomentoContemplação,PAINEL!$P$10,0))</f>
        <v/>
      </c>
      <c r="K180" s="14" t="str">
        <f t="shared" si="52"/>
        <v/>
      </c>
      <c r="M180" s="51" t="str">
        <f t="shared" si="53"/>
        <v/>
      </c>
      <c r="N180" s="27" t="str">
        <f t="shared" si="57"/>
        <v/>
      </c>
      <c r="O180" s="27" t="str">
        <f>IF(C180="","",(I180*(1+M180))*(QTDEParc-CÁLCULO!C180)+$F$5-SUM($F$6:F180)-J180)</f>
        <v/>
      </c>
      <c r="P180" s="7" t="str">
        <f t="shared" si="54"/>
        <v/>
      </c>
      <c r="R180" s="44" t="str">
        <f t="shared" si="55"/>
        <v/>
      </c>
      <c r="S180" s="97"/>
      <c r="T180" s="28" t="str">
        <f t="shared" si="56"/>
        <v/>
      </c>
      <c r="U180" s="28" t="str">
        <f t="shared" si="44"/>
        <v/>
      </c>
      <c r="V180" s="7" t="str">
        <f t="shared" si="58"/>
        <v/>
      </c>
      <c r="W180" s="93" t="str">
        <f t="shared" si="63"/>
        <v/>
      </c>
      <c r="X180" s="28" t="str">
        <f t="shared" si="59"/>
        <v/>
      </c>
      <c r="Y180" s="28" t="str">
        <f t="shared" si="45"/>
        <v/>
      </c>
      <c r="Z180" s="28" t="str">
        <f t="shared" si="46"/>
        <v/>
      </c>
      <c r="AA180" s="28" t="str">
        <f t="shared" si="47"/>
        <v/>
      </c>
      <c r="AB180" s="28" t="str">
        <f t="shared" si="48"/>
        <v/>
      </c>
      <c r="AC180" s="28" t="str">
        <f t="shared" si="60"/>
        <v/>
      </c>
      <c r="AD180" s="27"/>
      <c r="AO180" s="145" t="str">
        <f t="shared" si="61"/>
        <v/>
      </c>
      <c r="AP180" s="144" t="str">
        <f t="shared" si="62"/>
        <v/>
      </c>
    </row>
    <row r="181" spans="3:42" x14ac:dyDescent="0.25">
      <c r="C181" s="12" t="str">
        <f>IFERROR(IF(AvisoErro&lt;&gt;"","",IF(C180+1&gt;PAINEL!$H$8,"",C180+1)),"")</f>
        <v/>
      </c>
      <c r="E181" s="23" t="str">
        <f t="shared" si="49"/>
        <v/>
      </c>
      <c r="F181" s="13" t="str">
        <f>IF(C181="","",IF(E181&lt;&gt;"",E181*PAINEL!$H$7,0))</f>
        <v/>
      </c>
      <c r="G181" s="13" t="str">
        <f>IF(C181="","",IF(PAINEL!$A$4=1,K180/(QTDEParc-C180),IF(AND(PAINEL!$A$4=2,C181&lt;=MomentoContemplação),ValorParcelamento/QTDEParc,K180/(QTDEParc-C180))))</f>
        <v/>
      </c>
      <c r="H181" s="13" t="str">
        <f t="shared" si="50"/>
        <v/>
      </c>
      <c r="I181" s="32" t="str">
        <f t="shared" si="51"/>
        <v/>
      </c>
      <c r="J181" s="14" t="str">
        <f>IF(C181="","",IF(C181=MomentoContemplação,PAINEL!$P$10,0))</f>
        <v/>
      </c>
      <c r="K181" s="14" t="str">
        <f t="shared" si="52"/>
        <v/>
      </c>
      <c r="M181" s="51" t="str">
        <f t="shared" si="53"/>
        <v/>
      </c>
      <c r="N181" s="27" t="str">
        <f t="shared" si="57"/>
        <v/>
      </c>
      <c r="O181" s="27" t="str">
        <f>IF(C181="","",(I181*(1+M181))*(QTDEParc-CÁLCULO!C181)+$F$5-SUM($F$6:F181)-J181)</f>
        <v/>
      </c>
      <c r="P181" s="7" t="str">
        <f t="shared" si="54"/>
        <v/>
      </c>
      <c r="R181" s="44" t="str">
        <f t="shared" si="55"/>
        <v/>
      </c>
      <c r="S181" s="97"/>
      <c r="T181" s="28" t="str">
        <f t="shared" si="56"/>
        <v/>
      </c>
      <c r="U181" s="28" t="str">
        <f t="shared" si="44"/>
        <v/>
      </c>
      <c r="V181" s="7" t="str">
        <f t="shared" si="58"/>
        <v/>
      </c>
      <c r="W181" s="93" t="str">
        <f t="shared" si="63"/>
        <v/>
      </c>
      <c r="X181" s="28" t="str">
        <f t="shared" si="59"/>
        <v/>
      </c>
      <c r="Y181" s="28" t="str">
        <f t="shared" si="45"/>
        <v/>
      </c>
      <c r="Z181" s="28" t="str">
        <f t="shared" si="46"/>
        <v/>
      </c>
      <c r="AA181" s="28" t="str">
        <f t="shared" si="47"/>
        <v/>
      </c>
      <c r="AB181" s="28" t="str">
        <f t="shared" si="48"/>
        <v/>
      </c>
      <c r="AC181" s="28" t="str">
        <f t="shared" si="60"/>
        <v/>
      </c>
      <c r="AD181" s="27"/>
      <c r="AO181" s="145" t="str">
        <f t="shared" si="61"/>
        <v/>
      </c>
      <c r="AP181" s="144" t="str">
        <f t="shared" si="62"/>
        <v/>
      </c>
    </row>
    <row r="182" spans="3:42" x14ac:dyDescent="0.25">
      <c r="C182" s="12" t="str">
        <f>IFERROR(IF(AvisoErro&lt;&gt;"","",IF(C181+1&gt;PAINEL!$H$8,"",C181+1)),"")</f>
        <v/>
      </c>
      <c r="E182" s="23" t="str">
        <f t="shared" si="49"/>
        <v/>
      </c>
      <c r="F182" s="13" t="str">
        <f>IF(C182="","",IF(E182&lt;&gt;"",E182*PAINEL!$H$7,0))</f>
        <v/>
      </c>
      <c r="G182" s="13" t="str">
        <f>IF(C182="","",IF(PAINEL!$A$4=1,K181/(QTDEParc-C181),IF(AND(PAINEL!$A$4=2,C182&lt;=MomentoContemplação),ValorParcelamento/QTDEParc,K181/(QTDEParc-C181))))</f>
        <v/>
      </c>
      <c r="H182" s="13" t="str">
        <f t="shared" si="50"/>
        <v/>
      </c>
      <c r="I182" s="32" t="str">
        <f t="shared" si="51"/>
        <v/>
      </c>
      <c r="J182" s="14" t="str">
        <f>IF(C182="","",IF(C182=MomentoContemplação,PAINEL!$P$10,0))</f>
        <v/>
      </c>
      <c r="K182" s="14" t="str">
        <f t="shared" si="52"/>
        <v/>
      </c>
      <c r="M182" s="51" t="str">
        <f t="shared" si="53"/>
        <v/>
      </c>
      <c r="N182" s="27" t="str">
        <f t="shared" si="57"/>
        <v/>
      </c>
      <c r="O182" s="27" t="str">
        <f>IF(C182="","",(I182*(1+M182))*(QTDEParc-CÁLCULO!C182)+$F$5-SUM($F$6:F182)-J182)</f>
        <v/>
      </c>
      <c r="P182" s="7" t="str">
        <f t="shared" si="54"/>
        <v/>
      </c>
      <c r="R182" s="44" t="str">
        <f t="shared" si="55"/>
        <v/>
      </c>
      <c r="S182" s="97"/>
      <c r="T182" s="28" t="str">
        <f t="shared" si="56"/>
        <v/>
      </c>
      <c r="U182" s="28" t="str">
        <f t="shared" si="44"/>
        <v/>
      </c>
      <c r="V182" s="7" t="str">
        <f t="shared" si="58"/>
        <v/>
      </c>
      <c r="W182" s="93" t="str">
        <f t="shared" si="63"/>
        <v/>
      </c>
      <c r="X182" s="28" t="str">
        <f t="shared" si="59"/>
        <v/>
      </c>
      <c r="Y182" s="28" t="str">
        <f t="shared" si="45"/>
        <v/>
      </c>
      <c r="Z182" s="28" t="str">
        <f t="shared" si="46"/>
        <v/>
      </c>
      <c r="AA182" s="28" t="str">
        <f t="shared" si="47"/>
        <v/>
      </c>
      <c r="AB182" s="28" t="str">
        <f t="shared" si="48"/>
        <v/>
      </c>
      <c r="AC182" s="28" t="str">
        <f t="shared" si="60"/>
        <v/>
      </c>
      <c r="AD182" s="27"/>
      <c r="AO182" s="145" t="str">
        <f t="shared" si="61"/>
        <v/>
      </c>
      <c r="AP182" s="144" t="str">
        <f t="shared" si="62"/>
        <v/>
      </c>
    </row>
    <row r="183" spans="3:42" x14ac:dyDescent="0.25">
      <c r="C183" s="12" t="str">
        <f>IFERROR(IF(AvisoErro&lt;&gt;"","",IF(C182+1&gt;PAINEL!$H$8,"",C182+1)),"")</f>
        <v/>
      </c>
      <c r="E183" s="23" t="str">
        <f t="shared" si="49"/>
        <v/>
      </c>
      <c r="F183" s="13" t="str">
        <f>IF(C183="","",IF(E183&lt;&gt;"",E183*PAINEL!$H$7,0))</f>
        <v/>
      </c>
      <c r="G183" s="13" t="str">
        <f>IF(C183="","",IF(PAINEL!$A$4=1,K182/(QTDEParc-C182),IF(AND(PAINEL!$A$4=2,C183&lt;=MomentoContemplação),ValorParcelamento/QTDEParc,K182/(QTDEParc-C182))))</f>
        <v/>
      </c>
      <c r="H183" s="13" t="str">
        <f t="shared" si="50"/>
        <v/>
      </c>
      <c r="I183" s="32" t="str">
        <f t="shared" si="51"/>
        <v/>
      </c>
      <c r="J183" s="14" t="str">
        <f>IF(C183="","",IF(C183=MomentoContemplação,PAINEL!$P$10,0))</f>
        <v/>
      </c>
      <c r="K183" s="14" t="str">
        <f t="shared" si="52"/>
        <v/>
      </c>
      <c r="M183" s="51" t="str">
        <f t="shared" si="53"/>
        <v/>
      </c>
      <c r="N183" s="27" t="str">
        <f t="shared" si="57"/>
        <v/>
      </c>
      <c r="O183" s="27" t="str">
        <f>IF(C183="","",(I183*(1+M183))*(QTDEParc-CÁLCULO!C183)+$F$5-SUM($F$6:F183)-J183)</f>
        <v/>
      </c>
      <c r="P183" s="7" t="str">
        <f t="shared" si="54"/>
        <v/>
      </c>
      <c r="R183" s="44" t="str">
        <f t="shared" si="55"/>
        <v/>
      </c>
      <c r="S183" s="97"/>
      <c r="T183" s="28" t="str">
        <f t="shared" si="56"/>
        <v/>
      </c>
      <c r="U183" s="28" t="str">
        <f t="shared" si="44"/>
        <v/>
      </c>
      <c r="V183" s="7" t="str">
        <f t="shared" si="58"/>
        <v/>
      </c>
      <c r="W183" s="93" t="str">
        <f t="shared" si="63"/>
        <v/>
      </c>
      <c r="X183" s="28" t="str">
        <f t="shared" si="59"/>
        <v/>
      </c>
      <c r="Y183" s="28" t="str">
        <f t="shared" si="45"/>
        <v/>
      </c>
      <c r="Z183" s="28" t="str">
        <f t="shared" si="46"/>
        <v/>
      </c>
      <c r="AA183" s="28" t="str">
        <f t="shared" si="47"/>
        <v/>
      </c>
      <c r="AB183" s="28" t="str">
        <f t="shared" si="48"/>
        <v/>
      </c>
      <c r="AC183" s="28" t="str">
        <f t="shared" si="60"/>
        <v/>
      </c>
      <c r="AD183" s="27"/>
      <c r="AO183" s="145" t="str">
        <f t="shared" si="61"/>
        <v/>
      </c>
      <c r="AP183" s="144" t="str">
        <f t="shared" si="62"/>
        <v/>
      </c>
    </row>
    <row r="184" spans="3:42" x14ac:dyDescent="0.25">
      <c r="C184" s="12" t="str">
        <f>IFERROR(IF(AvisoErro&lt;&gt;"","",IF(C183+1&gt;PAINEL!$H$8,"",C183+1)),"")</f>
        <v/>
      </c>
      <c r="E184" s="23" t="str">
        <f t="shared" si="49"/>
        <v/>
      </c>
      <c r="F184" s="13" t="str">
        <f>IF(C184="","",IF(E184&lt;&gt;"",E184*PAINEL!$H$7,0))</f>
        <v/>
      </c>
      <c r="G184" s="13" t="str">
        <f>IF(C184="","",IF(PAINEL!$A$4=1,K183/(QTDEParc-C183),IF(AND(PAINEL!$A$4=2,C184&lt;=MomentoContemplação),ValorParcelamento/QTDEParc,K183/(QTDEParc-C183))))</f>
        <v/>
      </c>
      <c r="H184" s="13" t="str">
        <f t="shared" si="50"/>
        <v/>
      </c>
      <c r="I184" s="32" t="str">
        <f t="shared" si="51"/>
        <v/>
      </c>
      <c r="J184" s="14" t="str">
        <f>IF(C184="","",IF(C184=MomentoContemplação,PAINEL!$P$10,0))</f>
        <v/>
      </c>
      <c r="K184" s="14" t="str">
        <f t="shared" si="52"/>
        <v/>
      </c>
      <c r="M184" s="51" t="str">
        <f t="shared" si="53"/>
        <v/>
      </c>
      <c r="N184" s="27" t="str">
        <f t="shared" si="57"/>
        <v/>
      </c>
      <c r="O184" s="27" t="str">
        <f>IF(C184="","",(I184*(1+M184))*(QTDEParc-CÁLCULO!C184)+$F$5-SUM($F$6:F184)-J184)</f>
        <v/>
      </c>
      <c r="P184" s="7" t="str">
        <f t="shared" si="54"/>
        <v/>
      </c>
      <c r="R184" s="44" t="str">
        <f t="shared" si="55"/>
        <v/>
      </c>
      <c r="S184" s="97"/>
      <c r="T184" s="28" t="str">
        <f t="shared" si="56"/>
        <v/>
      </c>
      <c r="U184" s="28" t="str">
        <f t="shared" si="44"/>
        <v/>
      </c>
      <c r="V184" s="7" t="str">
        <f t="shared" si="58"/>
        <v/>
      </c>
      <c r="W184" s="93" t="str">
        <f t="shared" si="63"/>
        <v/>
      </c>
      <c r="X184" s="28" t="str">
        <f t="shared" si="59"/>
        <v/>
      </c>
      <c r="Y184" s="28" t="str">
        <f t="shared" si="45"/>
        <v/>
      </c>
      <c r="Z184" s="28" t="str">
        <f t="shared" si="46"/>
        <v/>
      </c>
      <c r="AA184" s="28" t="str">
        <f t="shared" si="47"/>
        <v/>
      </c>
      <c r="AB184" s="28" t="str">
        <f t="shared" si="48"/>
        <v/>
      </c>
      <c r="AC184" s="28" t="str">
        <f t="shared" si="60"/>
        <v/>
      </c>
      <c r="AD184" s="27"/>
      <c r="AO184" s="145" t="str">
        <f t="shared" si="61"/>
        <v/>
      </c>
      <c r="AP184" s="144" t="str">
        <f t="shared" si="62"/>
        <v/>
      </c>
    </row>
    <row r="185" spans="3:42" x14ac:dyDescent="0.25">
      <c r="C185" s="12" t="str">
        <f>IFERROR(IF(AvisoErro&lt;&gt;"","",IF(C184+1&gt;PAINEL!$H$8,"",C184+1)),"")</f>
        <v/>
      </c>
      <c r="E185" s="23" t="str">
        <f t="shared" si="49"/>
        <v/>
      </c>
      <c r="F185" s="13" t="str">
        <f>IF(C185="","",IF(E185&lt;&gt;"",E185*PAINEL!$H$7,0))</f>
        <v/>
      </c>
      <c r="G185" s="13" t="str">
        <f>IF(C185="","",IF(PAINEL!$A$4=1,K184/(QTDEParc-C184),IF(AND(PAINEL!$A$4=2,C185&lt;=MomentoContemplação),ValorParcelamento/QTDEParc,K184/(QTDEParc-C184))))</f>
        <v/>
      </c>
      <c r="H185" s="13" t="str">
        <f t="shared" si="50"/>
        <v/>
      </c>
      <c r="I185" s="32" t="str">
        <f t="shared" si="51"/>
        <v/>
      </c>
      <c r="J185" s="14" t="str">
        <f>IF(C185="","",IF(C185=MomentoContemplação,PAINEL!$P$10,0))</f>
        <v/>
      </c>
      <c r="K185" s="14" t="str">
        <f t="shared" si="52"/>
        <v/>
      </c>
      <c r="M185" s="51" t="str">
        <f t="shared" si="53"/>
        <v/>
      </c>
      <c r="N185" s="27" t="str">
        <f t="shared" si="57"/>
        <v/>
      </c>
      <c r="O185" s="27" t="str">
        <f>IF(C185="","",(I185*(1+M185))*(QTDEParc-CÁLCULO!C185)+$F$5-SUM($F$6:F185)-J185)</f>
        <v/>
      </c>
      <c r="P185" s="7" t="str">
        <f t="shared" si="54"/>
        <v/>
      </c>
      <c r="R185" s="44" t="str">
        <f t="shared" si="55"/>
        <v/>
      </c>
      <c r="S185" s="97"/>
      <c r="T185" s="28" t="str">
        <f t="shared" si="56"/>
        <v/>
      </c>
      <c r="U185" s="28" t="str">
        <f t="shared" si="44"/>
        <v/>
      </c>
      <c r="V185" s="7" t="str">
        <f t="shared" si="58"/>
        <v/>
      </c>
      <c r="W185" s="93" t="str">
        <f t="shared" si="63"/>
        <v/>
      </c>
      <c r="X185" s="28" t="str">
        <f t="shared" si="59"/>
        <v/>
      </c>
      <c r="Y185" s="28" t="str">
        <f t="shared" si="45"/>
        <v/>
      </c>
      <c r="Z185" s="28" t="str">
        <f t="shared" si="46"/>
        <v/>
      </c>
      <c r="AA185" s="28" t="str">
        <f t="shared" si="47"/>
        <v/>
      </c>
      <c r="AB185" s="28" t="str">
        <f t="shared" si="48"/>
        <v/>
      </c>
      <c r="AC185" s="28" t="str">
        <f t="shared" si="60"/>
        <v/>
      </c>
      <c r="AD185" s="27"/>
      <c r="AO185" s="145" t="str">
        <f t="shared" si="61"/>
        <v/>
      </c>
      <c r="AP185" s="144" t="str">
        <f t="shared" si="62"/>
        <v/>
      </c>
    </row>
    <row r="186" spans="3:42" x14ac:dyDescent="0.25">
      <c r="C186" s="12" t="str">
        <f>IFERROR(IF(AvisoErro&lt;&gt;"","",IF(C185+1&gt;PAINEL!$H$8,"",C185+1)),"")</f>
        <v/>
      </c>
      <c r="E186" s="23" t="str">
        <f t="shared" si="49"/>
        <v/>
      </c>
      <c r="F186" s="13" t="str">
        <f>IF(C186="","",IF(E186&lt;&gt;"",E186*PAINEL!$H$7,0))</f>
        <v/>
      </c>
      <c r="G186" s="13" t="str">
        <f>IF(C186="","",IF(PAINEL!$A$4=1,K185/(QTDEParc-C185),IF(AND(PAINEL!$A$4=2,C186&lt;=MomentoContemplação),ValorParcelamento/QTDEParc,K185/(QTDEParc-C185))))</f>
        <v/>
      </c>
      <c r="H186" s="13" t="str">
        <f t="shared" si="50"/>
        <v/>
      </c>
      <c r="I186" s="32" t="str">
        <f t="shared" si="51"/>
        <v/>
      </c>
      <c r="J186" s="14" t="str">
        <f>IF(C186="","",IF(C186=MomentoContemplação,PAINEL!$P$10,0))</f>
        <v/>
      </c>
      <c r="K186" s="14" t="str">
        <f t="shared" si="52"/>
        <v/>
      </c>
      <c r="M186" s="51" t="str">
        <f t="shared" si="53"/>
        <v/>
      </c>
      <c r="N186" s="27" t="str">
        <f t="shared" si="57"/>
        <v/>
      </c>
      <c r="O186" s="27" t="str">
        <f>IF(C186="","",(I186*(1+M186))*(QTDEParc-CÁLCULO!C186)+$F$5-SUM($F$6:F186)-J186)</f>
        <v/>
      </c>
      <c r="P186" s="7" t="str">
        <f t="shared" si="54"/>
        <v/>
      </c>
      <c r="R186" s="44" t="str">
        <f t="shared" si="55"/>
        <v/>
      </c>
      <c r="S186" s="97"/>
      <c r="T186" s="28" t="str">
        <f t="shared" si="56"/>
        <v/>
      </c>
      <c r="U186" s="28" t="str">
        <f t="shared" si="44"/>
        <v/>
      </c>
      <c r="V186" s="7" t="str">
        <f t="shared" si="58"/>
        <v/>
      </c>
      <c r="W186" s="93" t="str">
        <f t="shared" si="63"/>
        <v/>
      </c>
      <c r="X186" s="28" t="str">
        <f t="shared" si="59"/>
        <v/>
      </c>
      <c r="Y186" s="28" t="str">
        <f t="shared" si="45"/>
        <v/>
      </c>
      <c r="Z186" s="28" t="str">
        <f t="shared" si="46"/>
        <v/>
      </c>
      <c r="AA186" s="28" t="str">
        <f t="shared" si="47"/>
        <v/>
      </c>
      <c r="AB186" s="28" t="str">
        <f t="shared" si="48"/>
        <v/>
      </c>
      <c r="AC186" s="28" t="str">
        <f t="shared" si="60"/>
        <v/>
      </c>
      <c r="AD186" s="27"/>
      <c r="AO186" s="145" t="str">
        <f t="shared" si="61"/>
        <v/>
      </c>
      <c r="AP186" s="144" t="str">
        <f t="shared" si="62"/>
        <v/>
      </c>
    </row>
    <row r="187" spans="3:42" x14ac:dyDescent="0.25">
      <c r="C187" s="12" t="str">
        <f>IFERROR(IF(AvisoErro&lt;&gt;"","",IF(C186+1&gt;PAINEL!$H$8,"",C186+1)),"")</f>
        <v/>
      </c>
      <c r="E187" s="23" t="str">
        <f t="shared" si="49"/>
        <v/>
      </c>
      <c r="F187" s="13" t="str">
        <f>IF(C187="","",IF(E187&lt;&gt;"",E187*PAINEL!$H$7,0))</f>
        <v/>
      </c>
      <c r="G187" s="13" t="str">
        <f>IF(C187="","",IF(PAINEL!$A$4=1,K186/(QTDEParc-C186),IF(AND(PAINEL!$A$4=2,C187&lt;=MomentoContemplação),ValorParcelamento/QTDEParc,K186/(QTDEParc-C186))))</f>
        <v/>
      </c>
      <c r="H187" s="13" t="str">
        <f t="shared" si="50"/>
        <v/>
      </c>
      <c r="I187" s="32" t="str">
        <f t="shared" si="51"/>
        <v/>
      </c>
      <c r="J187" s="14" t="str">
        <f>IF(C187="","",IF(C187=MomentoContemplação,PAINEL!$P$10,0))</f>
        <v/>
      </c>
      <c r="K187" s="14" t="str">
        <f t="shared" si="52"/>
        <v/>
      </c>
      <c r="M187" s="51" t="str">
        <f t="shared" si="53"/>
        <v/>
      </c>
      <c r="N187" s="27" t="str">
        <f t="shared" si="57"/>
        <v/>
      </c>
      <c r="O187" s="27" t="str">
        <f>IF(C187="","",(I187*(1+M187))*(QTDEParc-CÁLCULO!C187)+$F$5-SUM($F$6:F187)-J187)</f>
        <v/>
      </c>
      <c r="P187" s="7" t="str">
        <f t="shared" si="54"/>
        <v/>
      </c>
      <c r="R187" s="44" t="str">
        <f t="shared" si="55"/>
        <v/>
      </c>
      <c r="S187" s="97"/>
      <c r="T187" s="28" t="str">
        <f t="shared" si="56"/>
        <v/>
      </c>
      <c r="U187" s="28" t="str">
        <f t="shared" si="44"/>
        <v/>
      </c>
      <c r="V187" s="7" t="str">
        <f t="shared" si="58"/>
        <v/>
      </c>
      <c r="W187" s="93" t="str">
        <f t="shared" si="63"/>
        <v/>
      </c>
      <c r="X187" s="28" t="str">
        <f t="shared" si="59"/>
        <v/>
      </c>
      <c r="Y187" s="28" t="str">
        <f t="shared" si="45"/>
        <v/>
      </c>
      <c r="Z187" s="28" t="str">
        <f t="shared" si="46"/>
        <v/>
      </c>
      <c r="AA187" s="28" t="str">
        <f t="shared" si="47"/>
        <v/>
      </c>
      <c r="AB187" s="28" t="str">
        <f t="shared" si="48"/>
        <v/>
      </c>
      <c r="AC187" s="28" t="str">
        <f t="shared" si="60"/>
        <v/>
      </c>
      <c r="AD187" s="27"/>
      <c r="AO187" s="145" t="str">
        <f t="shared" si="61"/>
        <v/>
      </c>
      <c r="AP187" s="144" t="str">
        <f t="shared" si="62"/>
        <v/>
      </c>
    </row>
    <row r="188" spans="3:42" x14ac:dyDescent="0.25">
      <c r="C188" s="12" t="str">
        <f>IFERROR(IF(AvisoErro&lt;&gt;"","",IF(C187+1&gt;PAINEL!$H$8,"",C187+1)),"")</f>
        <v/>
      </c>
      <c r="E188" s="23" t="str">
        <f t="shared" si="49"/>
        <v/>
      </c>
      <c r="F188" s="13" t="str">
        <f>IF(C188="","",IF(E188&lt;&gt;"",E188*PAINEL!$H$7,0))</f>
        <v/>
      </c>
      <c r="G188" s="13" t="str">
        <f>IF(C188="","",IF(PAINEL!$A$4=1,K187/(QTDEParc-C187),IF(AND(PAINEL!$A$4=2,C188&lt;=MomentoContemplação),ValorParcelamento/QTDEParc,K187/(QTDEParc-C187))))</f>
        <v/>
      </c>
      <c r="H188" s="13" t="str">
        <f t="shared" si="50"/>
        <v/>
      </c>
      <c r="I188" s="32" t="str">
        <f t="shared" si="51"/>
        <v/>
      </c>
      <c r="J188" s="14" t="str">
        <f>IF(C188="","",IF(C188=MomentoContemplação,PAINEL!$P$10,0))</f>
        <v/>
      </c>
      <c r="K188" s="14" t="str">
        <f t="shared" si="52"/>
        <v/>
      </c>
      <c r="M188" s="51" t="str">
        <f t="shared" si="53"/>
        <v/>
      </c>
      <c r="N188" s="27" t="str">
        <f t="shared" si="57"/>
        <v/>
      </c>
      <c r="O188" s="27" t="str">
        <f>IF(C188="","",(I188*(1+M188))*(QTDEParc-CÁLCULO!C188)+$F$5-SUM($F$6:F188)-J188)</f>
        <v/>
      </c>
      <c r="P188" s="7" t="str">
        <f t="shared" si="54"/>
        <v/>
      </c>
      <c r="R188" s="44" t="str">
        <f t="shared" si="55"/>
        <v/>
      </c>
      <c r="S188" s="97"/>
      <c r="T188" s="28" t="str">
        <f t="shared" si="56"/>
        <v/>
      </c>
      <c r="U188" s="28" t="str">
        <f t="shared" si="44"/>
        <v/>
      </c>
      <c r="V188" s="7" t="str">
        <f t="shared" si="58"/>
        <v/>
      </c>
      <c r="W188" s="93" t="str">
        <f t="shared" si="63"/>
        <v/>
      </c>
      <c r="X188" s="28" t="str">
        <f t="shared" si="59"/>
        <v/>
      </c>
      <c r="Y188" s="28" t="str">
        <f t="shared" si="45"/>
        <v/>
      </c>
      <c r="Z188" s="28" t="str">
        <f t="shared" si="46"/>
        <v/>
      </c>
      <c r="AA188" s="28" t="str">
        <f t="shared" si="47"/>
        <v/>
      </c>
      <c r="AB188" s="28" t="str">
        <f t="shared" si="48"/>
        <v/>
      </c>
      <c r="AC188" s="28" t="str">
        <f t="shared" si="60"/>
        <v/>
      </c>
      <c r="AD188" s="27"/>
      <c r="AO188" s="145" t="str">
        <f t="shared" si="61"/>
        <v/>
      </c>
      <c r="AP188" s="144" t="str">
        <f t="shared" si="62"/>
        <v/>
      </c>
    </row>
    <row r="189" spans="3:42" x14ac:dyDescent="0.25">
      <c r="C189" s="12" t="str">
        <f>IFERROR(IF(AvisoErro&lt;&gt;"","",IF(C188+1&gt;PAINEL!$H$8,"",C188+1)),"")</f>
        <v/>
      </c>
      <c r="E189" s="23" t="str">
        <f t="shared" si="49"/>
        <v/>
      </c>
      <c r="F189" s="13" t="str">
        <f>IF(C189="","",IF(E189&lt;&gt;"",E189*PAINEL!$H$7,0))</f>
        <v/>
      </c>
      <c r="G189" s="13" t="str">
        <f>IF(C189="","",IF(PAINEL!$A$4=1,K188/(QTDEParc-C188),IF(AND(PAINEL!$A$4=2,C189&lt;=MomentoContemplação),ValorParcelamento/QTDEParc,K188/(QTDEParc-C188))))</f>
        <v/>
      </c>
      <c r="H189" s="13" t="str">
        <f t="shared" si="50"/>
        <v/>
      </c>
      <c r="I189" s="32" t="str">
        <f t="shared" si="51"/>
        <v/>
      </c>
      <c r="J189" s="14" t="str">
        <f>IF(C189="","",IF(C189=MomentoContemplação,PAINEL!$P$10,0))</f>
        <v/>
      </c>
      <c r="K189" s="14" t="str">
        <f t="shared" si="52"/>
        <v/>
      </c>
      <c r="M189" s="51" t="str">
        <f t="shared" si="53"/>
        <v/>
      </c>
      <c r="N189" s="27" t="str">
        <f t="shared" si="57"/>
        <v/>
      </c>
      <c r="O189" s="27" t="str">
        <f>IF(C189="","",(I189*(1+M189))*(QTDEParc-CÁLCULO!C189)+$F$5-SUM($F$6:F189)-J189)</f>
        <v/>
      </c>
      <c r="P189" s="7" t="str">
        <f t="shared" si="54"/>
        <v/>
      </c>
      <c r="R189" s="44" t="str">
        <f t="shared" si="55"/>
        <v/>
      </c>
      <c r="S189" s="97"/>
      <c r="T189" s="28" t="str">
        <f t="shared" si="56"/>
        <v/>
      </c>
      <c r="U189" s="28" t="str">
        <f t="shared" si="44"/>
        <v/>
      </c>
      <c r="V189" s="7" t="str">
        <f t="shared" si="58"/>
        <v/>
      </c>
      <c r="W189" s="93" t="str">
        <f t="shared" si="63"/>
        <v/>
      </c>
      <c r="X189" s="28" t="str">
        <f t="shared" si="59"/>
        <v/>
      </c>
      <c r="Y189" s="28" t="str">
        <f t="shared" si="45"/>
        <v/>
      </c>
      <c r="Z189" s="28" t="str">
        <f t="shared" si="46"/>
        <v/>
      </c>
      <c r="AA189" s="28" t="str">
        <f t="shared" si="47"/>
        <v/>
      </c>
      <c r="AB189" s="28" t="str">
        <f t="shared" si="48"/>
        <v/>
      </c>
      <c r="AC189" s="28" t="str">
        <f t="shared" si="60"/>
        <v/>
      </c>
      <c r="AD189" s="27"/>
      <c r="AO189" s="145" t="str">
        <f t="shared" si="61"/>
        <v/>
      </c>
      <c r="AP189" s="144" t="str">
        <f t="shared" si="62"/>
        <v/>
      </c>
    </row>
    <row r="190" spans="3:42" x14ac:dyDescent="0.25">
      <c r="C190" s="12" t="str">
        <f>IFERROR(IF(AvisoErro&lt;&gt;"","",IF(C189+1&gt;PAINEL!$H$8,"",C189+1)),"")</f>
        <v/>
      </c>
      <c r="E190" s="23" t="str">
        <f t="shared" si="49"/>
        <v/>
      </c>
      <c r="F190" s="13" t="str">
        <f>IF(C190="","",IF(E190&lt;&gt;"",E190*PAINEL!$H$7,0))</f>
        <v/>
      </c>
      <c r="G190" s="13" t="str">
        <f>IF(C190="","",IF(PAINEL!$A$4=1,K189/(QTDEParc-C189),IF(AND(PAINEL!$A$4=2,C190&lt;=MomentoContemplação),ValorParcelamento/QTDEParc,K189/(QTDEParc-C189))))</f>
        <v/>
      </c>
      <c r="H190" s="13" t="str">
        <f t="shared" si="50"/>
        <v/>
      </c>
      <c r="I190" s="32" t="str">
        <f t="shared" si="51"/>
        <v/>
      </c>
      <c r="J190" s="14" t="str">
        <f>IF(C190="","",IF(C190=MomentoContemplação,PAINEL!$P$10,0))</f>
        <v/>
      </c>
      <c r="K190" s="14" t="str">
        <f t="shared" si="52"/>
        <v/>
      </c>
      <c r="M190" s="51" t="str">
        <f t="shared" si="53"/>
        <v/>
      </c>
      <c r="N190" s="27" t="str">
        <f t="shared" si="57"/>
        <v/>
      </c>
      <c r="O190" s="27" t="str">
        <f>IF(C190="","",(I190*(1+M190))*(QTDEParc-CÁLCULO!C190)+$F$5-SUM($F$6:F190)-J190)</f>
        <v/>
      </c>
      <c r="P190" s="7" t="str">
        <f t="shared" si="54"/>
        <v/>
      </c>
      <c r="R190" s="44" t="str">
        <f t="shared" si="55"/>
        <v/>
      </c>
      <c r="S190" s="97"/>
      <c r="T190" s="28" t="str">
        <f t="shared" si="56"/>
        <v/>
      </c>
      <c r="U190" s="28" t="str">
        <f t="shared" si="44"/>
        <v/>
      </c>
      <c r="V190" s="7" t="str">
        <f t="shared" si="58"/>
        <v/>
      </c>
      <c r="W190" s="93" t="str">
        <f t="shared" si="63"/>
        <v/>
      </c>
      <c r="X190" s="28" t="str">
        <f t="shared" si="59"/>
        <v/>
      </c>
      <c r="Y190" s="28" t="str">
        <f t="shared" si="45"/>
        <v/>
      </c>
      <c r="Z190" s="28" t="str">
        <f t="shared" si="46"/>
        <v/>
      </c>
      <c r="AA190" s="28" t="str">
        <f t="shared" si="47"/>
        <v/>
      </c>
      <c r="AB190" s="28" t="str">
        <f t="shared" si="48"/>
        <v/>
      </c>
      <c r="AC190" s="28" t="str">
        <f t="shared" si="60"/>
        <v/>
      </c>
      <c r="AD190" s="27"/>
      <c r="AO190" s="145" t="str">
        <f t="shared" si="61"/>
        <v/>
      </c>
      <c r="AP190" s="144" t="str">
        <f t="shared" si="62"/>
        <v/>
      </c>
    </row>
    <row r="191" spans="3:42" x14ac:dyDescent="0.25">
      <c r="C191" s="12" t="str">
        <f>IFERROR(IF(AvisoErro&lt;&gt;"","",IF(C190+1&gt;PAINEL!$H$8,"",C190+1)),"")</f>
        <v/>
      </c>
      <c r="E191" s="23" t="str">
        <f t="shared" si="49"/>
        <v/>
      </c>
      <c r="F191" s="13" t="str">
        <f>IF(C191="","",IF(E191&lt;&gt;"",E191*PAINEL!$H$7,0))</f>
        <v/>
      </c>
      <c r="G191" s="13" t="str">
        <f>IF(C191="","",IF(PAINEL!$A$4=1,K190/(QTDEParc-C190),IF(AND(PAINEL!$A$4=2,C191&lt;=MomentoContemplação),ValorParcelamento/QTDEParc,K190/(QTDEParc-C190))))</f>
        <v/>
      </c>
      <c r="H191" s="13" t="str">
        <f t="shared" si="50"/>
        <v/>
      </c>
      <c r="I191" s="32" t="str">
        <f t="shared" si="51"/>
        <v/>
      </c>
      <c r="J191" s="14" t="str">
        <f>IF(C191="","",IF(C191=MomentoContemplação,PAINEL!$P$10,0))</f>
        <v/>
      </c>
      <c r="K191" s="14" t="str">
        <f t="shared" si="52"/>
        <v/>
      </c>
      <c r="M191" s="51" t="str">
        <f t="shared" si="53"/>
        <v/>
      </c>
      <c r="N191" s="27" t="str">
        <f t="shared" si="57"/>
        <v/>
      </c>
      <c r="O191" s="27" t="str">
        <f>IF(C191="","",(I191*(1+M191))*(QTDEParc-CÁLCULO!C191)+$F$5-SUM($F$6:F191)-J191)</f>
        <v/>
      </c>
      <c r="P191" s="7" t="str">
        <f t="shared" si="54"/>
        <v/>
      </c>
      <c r="R191" s="44" t="str">
        <f t="shared" si="55"/>
        <v/>
      </c>
      <c r="S191" s="97"/>
      <c r="T191" s="28" t="str">
        <f t="shared" si="56"/>
        <v/>
      </c>
      <c r="U191" s="28" t="str">
        <f t="shared" si="44"/>
        <v/>
      </c>
      <c r="V191" s="7" t="str">
        <f t="shared" si="58"/>
        <v/>
      </c>
      <c r="W191" s="93" t="str">
        <f t="shared" si="63"/>
        <v/>
      </c>
      <c r="X191" s="28" t="str">
        <f t="shared" si="59"/>
        <v/>
      </c>
      <c r="Y191" s="28" t="str">
        <f t="shared" si="45"/>
        <v/>
      </c>
      <c r="Z191" s="28" t="str">
        <f t="shared" si="46"/>
        <v/>
      </c>
      <c r="AA191" s="28" t="str">
        <f t="shared" si="47"/>
        <v/>
      </c>
      <c r="AB191" s="28" t="str">
        <f t="shared" si="48"/>
        <v/>
      </c>
      <c r="AC191" s="28" t="str">
        <f t="shared" si="60"/>
        <v/>
      </c>
      <c r="AD191" s="27"/>
      <c r="AO191" s="145" t="str">
        <f t="shared" si="61"/>
        <v/>
      </c>
      <c r="AP191" s="144" t="str">
        <f t="shared" si="62"/>
        <v/>
      </c>
    </row>
    <row r="192" spans="3:42" x14ac:dyDescent="0.25">
      <c r="C192" s="12" t="str">
        <f>IFERROR(IF(AvisoErro&lt;&gt;"","",IF(C191+1&gt;PAINEL!$H$8,"",C191+1)),"")</f>
        <v/>
      </c>
      <c r="E192" s="23" t="str">
        <f t="shared" si="49"/>
        <v/>
      </c>
      <c r="F192" s="13" t="str">
        <f>IF(C192="","",IF(E192&lt;&gt;"",E192*PAINEL!$H$7,0))</f>
        <v/>
      </c>
      <c r="G192" s="13" t="str">
        <f>IF(C192="","",IF(PAINEL!$A$4=1,K191/(QTDEParc-C191),IF(AND(PAINEL!$A$4=2,C192&lt;=MomentoContemplação),ValorParcelamento/QTDEParc,K191/(QTDEParc-C191))))</f>
        <v/>
      </c>
      <c r="H192" s="13" t="str">
        <f t="shared" si="50"/>
        <v/>
      </c>
      <c r="I192" s="32" t="str">
        <f t="shared" si="51"/>
        <v/>
      </c>
      <c r="J192" s="14" t="str">
        <f>IF(C192="","",IF(C192=MomentoContemplação,PAINEL!$P$10,0))</f>
        <v/>
      </c>
      <c r="K192" s="14" t="str">
        <f t="shared" si="52"/>
        <v/>
      </c>
      <c r="M192" s="51" t="str">
        <f t="shared" si="53"/>
        <v/>
      </c>
      <c r="N192" s="27" t="str">
        <f t="shared" si="57"/>
        <v/>
      </c>
      <c r="O192" s="27" t="str">
        <f>IF(C192="","",(I192*(1+M192))*(QTDEParc-CÁLCULO!C192)+$F$5-SUM($F$6:F192)-J192)</f>
        <v/>
      </c>
      <c r="P192" s="7" t="str">
        <f t="shared" si="54"/>
        <v/>
      </c>
      <c r="R192" s="44" t="str">
        <f t="shared" si="55"/>
        <v/>
      </c>
      <c r="S192" s="97"/>
      <c r="T192" s="28" t="str">
        <f t="shared" si="56"/>
        <v/>
      </c>
      <c r="U192" s="28" t="str">
        <f t="shared" si="44"/>
        <v/>
      </c>
      <c r="V192" s="7" t="str">
        <f t="shared" si="58"/>
        <v/>
      </c>
      <c r="W192" s="93" t="str">
        <f t="shared" si="63"/>
        <v/>
      </c>
      <c r="X192" s="28" t="str">
        <f t="shared" si="59"/>
        <v/>
      </c>
      <c r="Y192" s="28" t="str">
        <f t="shared" si="45"/>
        <v/>
      </c>
      <c r="Z192" s="28" t="str">
        <f t="shared" si="46"/>
        <v/>
      </c>
      <c r="AA192" s="28" t="str">
        <f t="shared" si="47"/>
        <v/>
      </c>
      <c r="AB192" s="28" t="str">
        <f t="shared" si="48"/>
        <v/>
      </c>
      <c r="AC192" s="28" t="str">
        <f t="shared" si="60"/>
        <v/>
      </c>
      <c r="AD192" s="27"/>
      <c r="AO192" s="145" t="str">
        <f t="shared" si="61"/>
        <v/>
      </c>
      <c r="AP192" s="144" t="str">
        <f t="shared" si="62"/>
        <v/>
      </c>
    </row>
    <row r="193" spans="3:42" x14ac:dyDescent="0.25">
      <c r="C193" s="12" t="str">
        <f>IFERROR(IF(AvisoErro&lt;&gt;"","",IF(C192+1&gt;PAINEL!$H$8,"",C192+1)),"")</f>
        <v/>
      </c>
      <c r="E193" s="23" t="str">
        <f t="shared" si="49"/>
        <v/>
      </c>
      <c r="F193" s="13" t="str">
        <f>IF(C193="","",IF(E193&lt;&gt;"",E193*PAINEL!$H$7,0))</f>
        <v/>
      </c>
      <c r="G193" s="13" t="str">
        <f>IF(C193="","",IF(PAINEL!$A$4=1,K192/(QTDEParc-C192),IF(AND(PAINEL!$A$4=2,C193&lt;=MomentoContemplação),ValorParcelamento/QTDEParc,K192/(QTDEParc-C192))))</f>
        <v/>
      </c>
      <c r="H193" s="13" t="str">
        <f t="shared" si="50"/>
        <v/>
      </c>
      <c r="I193" s="32" t="str">
        <f t="shared" si="51"/>
        <v/>
      </c>
      <c r="J193" s="14" t="str">
        <f>IF(C193="","",IF(C193=MomentoContemplação,PAINEL!$P$10,0))</f>
        <v/>
      </c>
      <c r="K193" s="14" t="str">
        <f t="shared" si="52"/>
        <v/>
      </c>
      <c r="M193" s="51" t="str">
        <f t="shared" si="53"/>
        <v/>
      </c>
      <c r="N193" s="27" t="str">
        <f t="shared" si="57"/>
        <v/>
      </c>
      <c r="O193" s="27" t="str">
        <f>IF(C193="","",(I193*(1+M193))*(QTDEParc-CÁLCULO!C193)+$F$5-SUM($F$6:F193)-J193)</f>
        <v/>
      </c>
      <c r="P193" s="7" t="str">
        <f t="shared" si="54"/>
        <v/>
      </c>
      <c r="R193" s="44" t="str">
        <f t="shared" si="55"/>
        <v/>
      </c>
      <c r="S193" s="97"/>
      <c r="T193" s="28" t="str">
        <f t="shared" si="56"/>
        <v/>
      </c>
      <c r="U193" s="28" t="str">
        <f t="shared" si="44"/>
        <v/>
      </c>
      <c r="V193" s="7" t="str">
        <f t="shared" si="58"/>
        <v/>
      </c>
      <c r="W193" s="93" t="str">
        <f t="shared" si="63"/>
        <v/>
      </c>
      <c r="X193" s="28" t="str">
        <f t="shared" si="59"/>
        <v/>
      </c>
      <c r="Y193" s="28" t="str">
        <f t="shared" si="45"/>
        <v/>
      </c>
      <c r="Z193" s="28" t="str">
        <f t="shared" si="46"/>
        <v/>
      </c>
      <c r="AA193" s="28" t="str">
        <f t="shared" si="47"/>
        <v/>
      </c>
      <c r="AB193" s="28" t="str">
        <f t="shared" si="48"/>
        <v/>
      </c>
      <c r="AC193" s="28" t="str">
        <f t="shared" si="60"/>
        <v/>
      </c>
      <c r="AD193" s="27"/>
      <c r="AO193" s="145" t="str">
        <f t="shared" si="61"/>
        <v/>
      </c>
      <c r="AP193" s="144" t="str">
        <f t="shared" si="62"/>
        <v/>
      </c>
    </row>
    <row r="194" spans="3:42" x14ac:dyDescent="0.25">
      <c r="C194" s="12" t="str">
        <f>IFERROR(IF(AvisoErro&lt;&gt;"","",IF(C193+1&gt;PAINEL!$H$8,"",C193+1)),"")</f>
        <v/>
      </c>
      <c r="E194" s="23" t="str">
        <f t="shared" si="49"/>
        <v/>
      </c>
      <c r="F194" s="13" t="str">
        <f>IF(C194="","",IF(E194&lt;&gt;"",E194*PAINEL!$H$7,0))</f>
        <v/>
      </c>
      <c r="G194" s="13" t="str">
        <f>IF(C194="","",IF(PAINEL!$A$4=1,K193/(QTDEParc-C193),IF(AND(PAINEL!$A$4=2,C194&lt;=MomentoContemplação),ValorParcelamento/QTDEParc,K193/(QTDEParc-C193))))</f>
        <v/>
      </c>
      <c r="H194" s="13" t="str">
        <f t="shared" si="50"/>
        <v/>
      </c>
      <c r="I194" s="32" t="str">
        <f t="shared" si="51"/>
        <v/>
      </c>
      <c r="J194" s="14" t="str">
        <f>IF(C194="","",IF(C194=MomentoContemplação,PAINEL!$P$10,0))</f>
        <v/>
      </c>
      <c r="K194" s="14" t="str">
        <f t="shared" si="52"/>
        <v/>
      </c>
      <c r="M194" s="51" t="str">
        <f t="shared" si="53"/>
        <v/>
      </c>
      <c r="N194" s="27" t="str">
        <f t="shared" si="57"/>
        <v/>
      </c>
      <c r="O194" s="27" t="str">
        <f>IF(C194="","",(I194*(1+M194))*(QTDEParc-CÁLCULO!C194)+$F$5-SUM($F$6:F194)-J194)</f>
        <v/>
      </c>
      <c r="P194" s="7" t="str">
        <f t="shared" si="54"/>
        <v/>
      </c>
      <c r="R194" s="44" t="str">
        <f t="shared" si="55"/>
        <v/>
      </c>
      <c r="S194" s="97"/>
      <c r="T194" s="28" t="str">
        <f t="shared" si="56"/>
        <v/>
      </c>
      <c r="U194" s="28" t="str">
        <f t="shared" si="44"/>
        <v/>
      </c>
      <c r="V194" s="7" t="str">
        <f t="shared" si="58"/>
        <v/>
      </c>
      <c r="W194" s="93" t="str">
        <f t="shared" si="63"/>
        <v/>
      </c>
      <c r="X194" s="28" t="str">
        <f t="shared" si="59"/>
        <v/>
      </c>
      <c r="Y194" s="28" t="str">
        <f t="shared" si="45"/>
        <v/>
      </c>
      <c r="Z194" s="28" t="str">
        <f t="shared" si="46"/>
        <v/>
      </c>
      <c r="AA194" s="28" t="str">
        <f t="shared" si="47"/>
        <v/>
      </c>
      <c r="AB194" s="28" t="str">
        <f t="shared" si="48"/>
        <v/>
      </c>
      <c r="AC194" s="28" t="str">
        <f t="shared" si="60"/>
        <v/>
      </c>
      <c r="AD194" s="27"/>
      <c r="AO194" s="145" t="str">
        <f t="shared" si="61"/>
        <v/>
      </c>
      <c r="AP194" s="144" t="str">
        <f t="shared" si="62"/>
        <v/>
      </c>
    </row>
    <row r="195" spans="3:42" x14ac:dyDescent="0.25">
      <c r="C195" s="12" t="str">
        <f>IFERROR(IF(AvisoErro&lt;&gt;"","",IF(C194+1&gt;PAINEL!$H$8,"",C194+1)),"")</f>
        <v/>
      </c>
      <c r="E195" s="23" t="str">
        <f t="shared" si="49"/>
        <v/>
      </c>
      <c r="F195" s="13" t="str">
        <f>IF(C195="","",IF(E195&lt;&gt;"",E195*PAINEL!$H$7,0))</f>
        <v/>
      </c>
      <c r="G195" s="13" t="str">
        <f>IF(C195="","",IF(PAINEL!$A$4=1,K194/(QTDEParc-C194),IF(AND(PAINEL!$A$4=2,C195&lt;=MomentoContemplação),ValorParcelamento/QTDEParc,K194/(QTDEParc-C194))))</f>
        <v/>
      </c>
      <c r="H195" s="13" t="str">
        <f t="shared" si="50"/>
        <v/>
      </c>
      <c r="I195" s="32" t="str">
        <f t="shared" si="51"/>
        <v/>
      </c>
      <c r="J195" s="14" t="str">
        <f>IF(C195="","",IF(C195=MomentoContemplação,PAINEL!$P$10,0))</f>
        <v/>
      </c>
      <c r="K195" s="14" t="str">
        <f t="shared" si="52"/>
        <v/>
      </c>
      <c r="M195" s="51" t="str">
        <f t="shared" si="53"/>
        <v/>
      </c>
      <c r="N195" s="27" t="str">
        <f t="shared" si="57"/>
        <v/>
      </c>
      <c r="O195" s="27" t="str">
        <f>IF(C195="","",(I195*(1+M195))*(QTDEParc-CÁLCULO!C195)+$F$5-SUM($F$6:F195)-J195)</f>
        <v/>
      </c>
      <c r="P195" s="7" t="str">
        <f t="shared" si="54"/>
        <v/>
      </c>
      <c r="R195" s="44" t="str">
        <f t="shared" si="55"/>
        <v/>
      </c>
      <c r="S195" s="97"/>
      <c r="T195" s="28" t="str">
        <f t="shared" si="56"/>
        <v/>
      </c>
      <c r="U195" s="28" t="str">
        <f t="shared" si="44"/>
        <v/>
      </c>
      <c r="V195" s="7" t="str">
        <f t="shared" si="58"/>
        <v/>
      </c>
      <c r="W195" s="93" t="str">
        <f t="shared" si="63"/>
        <v/>
      </c>
      <c r="X195" s="28" t="str">
        <f t="shared" si="59"/>
        <v/>
      </c>
      <c r="Y195" s="28" t="str">
        <f t="shared" si="45"/>
        <v/>
      </c>
      <c r="Z195" s="28" t="str">
        <f t="shared" si="46"/>
        <v/>
      </c>
      <c r="AA195" s="28" t="str">
        <f t="shared" si="47"/>
        <v/>
      </c>
      <c r="AB195" s="28" t="str">
        <f t="shared" si="48"/>
        <v/>
      </c>
      <c r="AC195" s="28" t="str">
        <f t="shared" si="60"/>
        <v/>
      </c>
      <c r="AD195" s="27"/>
      <c r="AO195" s="145" t="str">
        <f t="shared" si="61"/>
        <v/>
      </c>
      <c r="AP195" s="144" t="str">
        <f t="shared" si="62"/>
        <v/>
      </c>
    </row>
    <row r="196" spans="3:42" x14ac:dyDescent="0.25">
      <c r="C196" s="12" t="str">
        <f>IFERROR(IF(AvisoErro&lt;&gt;"","",IF(C195+1&gt;PAINEL!$H$8,"",C195+1)),"")</f>
        <v/>
      </c>
      <c r="E196" s="23" t="str">
        <f t="shared" si="49"/>
        <v/>
      </c>
      <c r="F196" s="13" t="str">
        <f>IF(C196="","",IF(E196&lt;&gt;"",E196*PAINEL!$H$7,0))</f>
        <v/>
      </c>
      <c r="G196" s="13" t="str">
        <f>IF(C196="","",IF(PAINEL!$A$4=1,K195/(QTDEParc-C195),IF(AND(PAINEL!$A$4=2,C196&lt;=MomentoContemplação),ValorParcelamento/QTDEParc,K195/(QTDEParc-C195))))</f>
        <v/>
      </c>
      <c r="H196" s="13" t="str">
        <f t="shared" si="50"/>
        <v/>
      </c>
      <c r="I196" s="32" t="str">
        <f t="shared" si="51"/>
        <v/>
      </c>
      <c r="J196" s="14" t="str">
        <f>IF(C196="","",IF(C196=MomentoContemplação,PAINEL!$P$10,0))</f>
        <v/>
      </c>
      <c r="K196" s="14" t="str">
        <f t="shared" si="52"/>
        <v/>
      </c>
      <c r="M196" s="51" t="str">
        <f t="shared" si="53"/>
        <v/>
      </c>
      <c r="N196" s="27" t="str">
        <f t="shared" si="57"/>
        <v/>
      </c>
      <c r="O196" s="27" t="str">
        <f>IF(C196="","",(I196*(1+M196))*(QTDEParc-CÁLCULO!C196)+$F$5-SUM($F$6:F196)-J196)</f>
        <v/>
      </c>
      <c r="P196" s="7" t="str">
        <f t="shared" si="54"/>
        <v/>
      </c>
      <c r="R196" s="44" t="str">
        <f t="shared" si="55"/>
        <v/>
      </c>
      <c r="S196" s="97"/>
      <c r="T196" s="28" t="str">
        <f t="shared" si="56"/>
        <v/>
      </c>
      <c r="U196" s="28" t="str">
        <f t="shared" si="44"/>
        <v/>
      </c>
      <c r="V196" s="7" t="str">
        <f t="shared" si="58"/>
        <v/>
      </c>
      <c r="W196" s="93" t="str">
        <f t="shared" si="63"/>
        <v/>
      </c>
      <c r="X196" s="28" t="str">
        <f t="shared" si="59"/>
        <v/>
      </c>
      <c r="Y196" s="28" t="str">
        <f t="shared" si="45"/>
        <v/>
      </c>
      <c r="Z196" s="28" t="str">
        <f t="shared" si="46"/>
        <v/>
      </c>
      <c r="AA196" s="28" t="str">
        <f t="shared" si="47"/>
        <v/>
      </c>
      <c r="AB196" s="28" t="str">
        <f t="shared" si="48"/>
        <v/>
      </c>
      <c r="AC196" s="28" t="str">
        <f t="shared" si="60"/>
        <v/>
      </c>
      <c r="AD196" s="27"/>
      <c r="AO196" s="145" t="str">
        <f t="shared" si="61"/>
        <v/>
      </c>
      <c r="AP196" s="144" t="str">
        <f t="shared" si="62"/>
        <v/>
      </c>
    </row>
    <row r="197" spans="3:42" x14ac:dyDescent="0.25">
      <c r="C197" s="12" t="str">
        <f>IFERROR(IF(AvisoErro&lt;&gt;"","",IF(C196+1&gt;PAINEL!$H$8,"",C196+1)),"")</f>
        <v/>
      </c>
      <c r="E197" s="23" t="str">
        <f t="shared" si="49"/>
        <v/>
      </c>
      <c r="F197" s="13" t="str">
        <f>IF(C197="","",IF(E197&lt;&gt;"",E197*PAINEL!$H$7,0))</f>
        <v/>
      </c>
      <c r="G197" s="13" t="str">
        <f>IF(C197="","",IF(PAINEL!$A$4=1,K196/(QTDEParc-C196),IF(AND(PAINEL!$A$4=2,C197&lt;=MomentoContemplação),ValorParcelamento/QTDEParc,K196/(QTDEParc-C196))))</f>
        <v/>
      </c>
      <c r="H197" s="13" t="str">
        <f t="shared" si="50"/>
        <v/>
      </c>
      <c r="I197" s="32" t="str">
        <f t="shared" si="51"/>
        <v/>
      </c>
      <c r="J197" s="14" t="str">
        <f>IF(C197="","",IF(C197=MomentoContemplação,PAINEL!$P$10,0))</f>
        <v/>
      </c>
      <c r="K197" s="14" t="str">
        <f t="shared" si="52"/>
        <v/>
      </c>
      <c r="M197" s="51" t="str">
        <f t="shared" si="53"/>
        <v/>
      </c>
      <c r="N197" s="27" t="str">
        <f t="shared" si="57"/>
        <v/>
      </c>
      <c r="O197" s="27" t="str">
        <f>IF(C197="","",(I197*(1+M197))*(QTDEParc-CÁLCULO!C197)+$F$5-SUM($F$6:F197)-J197)</f>
        <v/>
      </c>
      <c r="P197" s="7" t="str">
        <f t="shared" si="54"/>
        <v/>
      </c>
      <c r="R197" s="44" t="str">
        <f t="shared" si="55"/>
        <v/>
      </c>
      <c r="S197" s="97"/>
      <c r="T197" s="28" t="str">
        <f t="shared" si="56"/>
        <v/>
      </c>
      <c r="U197" s="28" t="str">
        <f t="shared" si="44"/>
        <v/>
      </c>
      <c r="V197" s="7" t="str">
        <f t="shared" si="58"/>
        <v/>
      </c>
      <c r="W197" s="93" t="str">
        <f t="shared" si="63"/>
        <v/>
      </c>
      <c r="X197" s="28" t="str">
        <f t="shared" si="59"/>
        <v/>
      </c>
      <c r="Y197" s="28" t="str">
        <f t="shared" si="45"/>
        <v/>
      </c>
      <c r="Z197" s="28" t="str">
        <f t="shared" si="46"/>
        <v/>
      </c>
      <c r="AA197" s="28" t="str">
        <f t="shared" si="47"/>
        <v/>
      </c>
      <c r="AB197" s="28" t="str">
        <f t="shared" si="48"/>
        <v/>
      </c>
      <c r="AC197" s="28" t="str">
        <f t="shared" si="60"/>
        <v/>
      </c>
      <c r="AD197" s="27"/>
      <c r="AO197" s="145" t="str">
        <f t="shared" si="61"/>
        <v/>
      </c>
      <c r="AP197" s="144" t="str">
        <f t="shared" si="62"/>
        <v/>
      </c>
    </row>
    <row r="198" spans="3:42" x14ac:dyDescent="0.25">
      <c r="C198" s="12" t="str">
        <f>IFERROR(IF(AvisoErro&lt;&gt;"","",IF(C197+1&gt;PAINEL!$H$8,"",C197+1)),"")</f>
        <v/>
      </c>
      <c r="E198" s="23" t="str">
        <f t="shared" si="49"/>
        <v/>
      </c>
      <c r="F198" s="13" t="str">
        <f>IF(C198="","",IF(E198&lt;&gt;"",E198*PAINEL!$H$7,0))</f>
        <v/>
      </c>
      <c r="G198" s="13" t="str">
        <f>IF(C198="","",IF(PAINEL!$A$4=1,K197/(QTDEParc-C197),IF(AND(PAINEL!$A$4=2,C198&lt;=MomentoContemplação),ValorParcelamento/QTDEParc,K197/(QTDEParc-C197))))</f>
        <v/>
      </c>
      <c r="H198" s="13" t="str">
        <f t="shared" si="50"/>
        <v/>
      </c>
      <c r="I198" s="32" t="str">
        <f t="shared" si="51"/>
        <v/>
      </c>
      <c r="J198" s="14" t="str">
        <f>IF(C198="","",IF(C198=MomentoContemplação,PAINEL!$P$10,0))</f>
        <v/>
      </c>
      <c r="K198" s="14" t="str">
        <f t="shared" si="52"/>
        <v/>
      </c>
      <c r="M198" s="51" t="str">
        <f t="shared" si="53"/>
        <v/>
      </c>
      <c r="N198" s="27" t="str">
        <f t="shared" si="57"/>
        <v/>
      </c>
      <c r="O198" s="27" t="str">
        <f>IF(C198="","",(I198*(1+M198))*(QTDEParc-CÁLCULO!C198)+$F$5-SUM($F$6:F198)-J198)</f>
        <v/>
      </c>
      <c r="P198" s="7" t="str">
        <f t="shared" si="54"/>
        <v/>
      </c>
      <c r="R198" s="44" t="str">
        <f t="shared" si="55"/>
        <v/>
      </c>
      <c r="S198" s="97"/>
      <c r="T198" s="28" t="str">
        <f t="shared" si="56"/>
        <v/>
      </c>
      <c r="U198" s="28" t="str">
        <f t="shared" ref="U198:U261" si="64">IF(C198="","",(PercTxFRes*N198/(100%+PercTxAdm+PercTxFRes)))</f>
        <v/>
      </c>
      <c r="V198" s="7" t="str">
        <f t="shared" si="58"/>
        <v/>
      </c>
      <c r="W198" s="93" t="str">
        <f t="shared" si="63"/>
        <v/>
      </c>
      <c r="X198" s="28" t="str">
        <f t="shared" si="59"/>
        <v/>
      </c>
      <c r="Y198" s="28" t="str">
        <f t="shared" ref="Y198:Y261" si="65">IF($C198="","",PV(TMAFinal,$C198,,-T198))</f>
        <v/>
      </c>
      <c r="Z198" s="28" t="str">
        <f t="shared" ref="Z198:Z261" si="66">IF($C198="","",PV(TMAFinal,$C198,,-U198))</f>
        <v/>
      </c>
      <c r="AA198" s="28" t="str">
        <f t="shared" ref="AA198:AA261" si="67">IF($C198="","",PV(TMAFinal,$C198,,-V198))</f>
        <v/>
      </c>
      <c r="AB198" s="28" t="str">
        <f t="shared" ref="AB198:AB261" si="68">IF($C198="","",PV(TMAFinal,$C198,,-W198))</f>
        <v/>
      </c>
      <c r="AC198" s="28" t="str">
        <f t="shared" si="60"/>
        <v/>
      </c>
      <c r="AD198" s="27"/>
      <c r="AO198" s="145" t="str">
        <f t="shared" si="61"/>
        <v/>
      </c>
      <c r="AP198" s="144" t="str">
        <f t="shared" si="62"/>
        <v/>
      </c>
    </row>
    <row r="199" spans="3:42" x14ac:dyDescent="0.25">
      <c r="C199" s="12" t="str">
        <f>IFERROR(IF(AvisoErro&lt;&gt;"","",IF(C198+1&gt;PAINEL!$H$8,"",C198+1)),"")</f>
        <v/>
      </c>
      <c r="E199" s="23" t="str">
        <f t="shared" ref="E199:E262" si="69">IF(C199="","",IF(C199&lt;=NroParcAntecipadasCalc,PercTxAdmAntecipada/NroParcAntecipadasCalc,""))</f>
        <v/>
      </c>
      <c r="F199" s="13" t="str">
        <f>IF(C199="","",IF(E199&lt;&gt;"",E199*PAINEL!$H$7,0))</f>
        <v/>
      </c>
      <c r="G199" s="13" t="str">
        <f>IF(C199="","",IF(PAINEL!$A$4=1,K198/(QTDEParc-C198),IF(AND(PAINEL!$A$4=2,C199&lt;=MomentoContemplação),ValorParcelamento/QTDEParc,K198/(QTDEParc-C198))))</f>
        <v/>
      </c>
      <c r="H199" s="13" t="str">
        <f t="shared" ref="H199:H262" si="70">IF(C199="","",IF(AND(AposContemplacao=TRUE,OR(MomentoContemplação="",MomentoContemplação=0)),0,IF(AposContemplacao=FALSE,K198*PercSeguroVida,IF(C199&gt;MomentoContemplação,K198*PercSeguroVida,0))))</f>
        <v/>
      </c>
      <c r="I199" s="32" t="str">
        <f t="shared" ref="I199:I262" si="71">IF(C199="","",G199+H199)</f>
        <v/>
      </c>
      <c r="J199" s="14" t="str">
        <f>IF(C199="","",IF(C199=MomentoContemplação,PAINEL!$P$10,0))</f>
        <v/>
      </c>
      <c r="K199" s="14" t="str">
        <f t="shared" ref="K199:K262" si="72">IF(C199="","",K198+H199-I199-J199)</f>
        <v/>
      </c>
      <c r="M199" s="51" t="str">
        <f t="shared" ref="M199:M262" si="73">IF(OR(C199="",C199=0),"",VLOOKUP(C199,PV_Perc_Reajuste,2))</f>
        <v/>
      </c>
      <c r="N199" s="27" t="str">
        <f t="shared" si="57"/>
        <v/>
      </c>
      <c r="O199" s="27" t="str">
        <f>IF(C199="","",(I199*(1+M199))*(QTDEParc-CÁLCULO!C199)+$F$5-SUM($F$6:F199)-J199)</f>
        <v/>
      </c>
      <c r="P199" s="7" t="str">
        <f t="shared" ref="P199:P262" si="74">IF(C199="","",IF(ROW(C199)=6,0,IF(ROW(C199)=7,ValorCredito,ValorCredito*(1+M199))))</f>
        <v/>
      </c>
      <c r="R199" s="44" t="str">
        <f t="shared" ref="R199:R262" si="75">IF(C199="","",PV(TMAFinal,C199,,N199))</f>
        <v/>
      </c>
      <c r="S199" s="97"/>
      <c r="T199" s="28" t="str">
        <f t="shared" ref="T199:T262" si="76">IF(C199="","",((PercTxAdm-PercTxAdmAntecipada)*(N199-F199))/(100%+(PercTxAdm-PercTxAdmAntecipada)+PercTxFRes)+F199)</f>
        <v/>
      </c>
      <c r="U199" s="28" t="str">
        <f t="shared" si="64"/>
        <v/>
      </c>
      <c r="V199" s="7" t="str">
        <f t="shared" si="58"/>
        <v/>
      </c>
      <c r="W199" s="93" t="str">
        <f t="shared" si="63"/>
        <v/>
      </c>
      <c r="X199" s="28" t="str">
        <f t="shared" si="59"/>
        <v/>
      </c>
      <c r="Y199" s="28" t="str">
        <f t="shared" si="65"/>
        <v/>
      </c>
      <c r="Z199" s="28" t="str">
        <f t="shared" si="66"/>
        <v/>
      </c>
      <c r="AA199" s="28" t="str">
        <f t="shared" si="67"/>
        <v/>
      </c>
      <c r="AB199" s="28" t="str">
        <f t="shared" si="68"/>
        <v/>
      </c>
      <c r="AC199" s="28" t="str">
        <f t="shared" si="60"/>
        <v/>
      </c>
      <c r="AD199" s="27"/>
      <c r="AO199" s="145" t="str">
        <f t="shared" si="61"/>
        <v/>
      </c>
      <c r="AP199" s="144" t="str">
        <f t="shared" si="62"/>
        <v/>
      </c>
    </row>
    <row r="200" spans="3:42" x14ac:dyDescent="0.25">
      <c r="C200" s="12" t="str">
        <f>IFERROR(IF(AvisoErro&lt;&gt;"","",IF(C199+1&gt;PAINEL!$H$8,"",C199+1)),"")</f>
        <v/>
      </c>
      <c r="E200" s="23" t="str">
        <f t="shared" si="69"/>
        <v/>
      </c>
      <c r="F200" s="13" t="str">
        <f>IF(C200="","",IF(E200&lt;&gt;"",E200*PAINEL!$H$7,0))</f>
        <v/>
      </c>
      <c r="G200" s="13" t="str">
        <f>IF(C200="","",IF(PAINEL!$A$4=1,K199/(QTDEParc-C199),IF(AND(PAINEL!$A$4=2,C200&lt;=MomentoContemplação),ValorParcelamento/QTDEParc,K199/(QTDEParc-C199))))</f>
        <v/>
      </c>
      <c r="H200" s="13" t="str">
        <f t="shared" si="70"/>
        <v/>
      </c>
      <c r="I200" s="32" t="str">
        <f t="shared" si="71"/>
        <v/>
      </c>
      <c r="J200" s="14" t="str">
        <f>IF(C200="","",IF(C200=MomentoContemplação,PAINEL!$P$10,0))</f>
        <v/>
      </c>
      <c r="K200" s="14" t="str">
        <f t="shared" si="72"/>
        <v/>
      </c>
      <c r="M200" s="51" t="str">
        <f t="shared" si="73"/>
        <v/>
      </c>
      <c r="N200" s="27" t="str">
        <f t="shared" ref="N200:N263" si="77">IF(C200="","",(I200*(1+M200))+F200+J200)</f>
        <v/>
      </c>
      <c r="O200" s="27" t="str">
        <f>IF(C200="","",(I200*(1+M200))*(QTDEParc-CÁLCULO!C200)+$F$5-SUM($F$6:F200)-J200)</f>
        <v/>
      </c>
      <c r="P200" s="7" t="str">
        <f t="shared" si="74"/>
        <v/>
      </c>
      <c r="R200" s="44" t="str">
        <f t="shared" si="75"/>
        <v/>
      </c>
      <c r="S200" s="97"/>
      <c r="T200" s="28" t="str">
        <f t="shared" si="76"/>
        <v/>
      </c>
      <c r="U200" s="28" t="str">
        <f t="shared" si="64"/>
        <v/>
      </c>
      <c r="V200" s="7" t="str">
        <f t="shared" ref="V200:V263" si="78">IF(C200="","",H200)</f>
        <v/>
      </c>
      <c r="W200" s="93" t="str">
        <f t="shared" si="63"/>
        <v/>
      </c>
      <c r="X200" s="28" t="str">
        <f t="shared" ref="X200:X263" si="79">IF(C200="","",SUM(T200:W200))</f>
        <v/>
      </c>
      <c r="Y200" s="28" t="str">
        <f t="shared" si="65"/>
        <v/>
      </c>
      <c r="Z200" s="28" t="str">
        <f t="shared" si="66"/>
        <v/>
      </c>
      <c r="AA200" s="28" t="str">
        <f t="shared" si="67"/>
        <v/>
      </c>
      <c r="AB200" s="28" t="str">
        <f t="shared" si="68"/>
        <v/>
      </c>
      <c r="AC200" s="28" t="str">
        <f t="shared" ref="AC200:AC263" si="80">IF(I200="","",SUM(Y200:AB200))</f>
        <v/>
      </c>
      <c r="AD200" s="27"/>
      <c r="AO200" s="145" t="str">
        <f t="shared" ref="AO200:AO263" si="81">IF(C200="","",C200)</f>
        <v/>
      </c>
      <c r="AP200" s="144" t="str">
        <f t="shared" ref="AP200:AP263" si="82">IF(C200="","",$AP$6*(1+M200))</f>
        <v/>
      </c>
    </row>
    <row r="201" spans="3:42" x14ac:dyDescent="0.25">
      <c r="C201" s="12" t="str">
        <f>IFERROR(IF(AvisoErro&lt;&gt;"","",IF(C200+1&gt;PAINEL!$H$8,"",C200+1)),"")</f>
        <v/>
      </c>
      <c r="E201" s="23" t="str">
        <f t="shared" si="69"/>
        <v/>
      </c>
      <c r="F201" s="13" t="str">
        <f>IF(C201="","",IF(E201&lt;&gt;"",E201*PAINEL!$H$7,0))</f>
        <v/>
      </c>
      <c r="G201" s="13" t="str">
        <f>IF(C201="","",IF(PAINEL!$A$4=1,K200/(QTDEParc-C200),IF(AND(PAINEL!$A$4=2,C201&lt;=MomentoContemplação),ValorParcelamento/QTDEParc,K200/(QTDEParc-C200))))</f>
        <v/>
      </c>
      <c r="H201" s="13" t="str">
        <f t="shared" si="70"/>
        <v/>
      </c>
      <c r="I201" s="32" t="str">
        <f t="shared" si="71"/>
        <v/>
      </c>
      <c r="J201" s="14" t="str">
        <f>IF(C201="","",IF(C201=MomentoContemplação,PAINEL!$P$10,0))</f>
        <v/>
      </c>
      <c r="K201" s="14" t="str">
        <f t="shared" si="72"/>
        <v/>
      </c>
      <c r="M201" s="51" t="str">
        <f t="shared" si="73"/>
        <v/>
      </c>
      <c r="N201" s="27" t="str">
        <f t="shared" si="77"/>
        <v/>
      </c>
      <c r="O201" s="27" t="str">
        <f>IF(C201="","",(I201*(1+M201))*(QTDEParc-CÁLCULO!C201)+$F$5-SUM($F$6:F201)-J201)</f>
        <v/>
      </c>
      <c r="P201" s="7" t="str">
        <f t="shared" si="74"/>
        <v/>
      </c>
      <c r="R201" s="44" t="str">
        <f t="shared" si="75"/>
        <v/>
      </c>
      <c r="S201" s="97"/>
      <c r="T201" s="28" t="str">
        <f t="shared" si="76"/>
        <v/>
      </c>
      <c r="U201" s="28" t="str">
        <f t="shared" si="64"/>
        <v/>
      </c>
      <c r="V201" s="7" t="str">
        <f t="shared" si="78"/>
        <v/>
      </c>
      <c r="W201" s="93" t="str">
        <f t="shared" ref="W201:W264" si="83">IF(C201="","",0)</f>
        <v/>
      </c>
      <c r="X201" s="28" t="str">
        <f t="shared" si="79"/>
        <v/>
      </c>
      <c r="Y201" s="28" t="str">
        <f t="shared" si="65"/>
        <v/>
      </c>
      <c r="Z201" s="28" t="str">
        <f t="shared" si="66"/>
        <v/>
      </c>
      <c r="AA201" s="28" t="str">
        <f t="shared" si="67"/>
        <v/>
      </c>
      <c r="AB201" s="28" t="str">
        <f t="shared" si="68"/>
        <v/>
      </c>
      <c r="AC201" s="28" t="str">
        <f t="shared" si="80"/>
        <v/>
      </c>
      <c r="AD201" s="27"/>
      <c r="AO201" s="145" t="str">
        <f t="shared" si="81"/>
        <v/>
      </c>
      <c r="AP201" s="144" t="str">
        <f t="shared" si="82"/>
        <v/>
      </c>
    </row>
    <row r="202" spans="3:42" x14ac:dyDescent="0.25">
      <c r="C202" s="12" t="str">
        <f>IFERROR(IF(AvisoErro&lt;&gt;"","",IF(C201+1&gt;PAINEL!$H$8,"",C201+1)),"")</f>
        <v/>
      </c>
      <c r="E202" s="23" t="str">
        <f t="shared" si="69"/>
        <v/>
      </c>
      <c r="F202" s="13" t="str">
        <f>IF(C202="","",IF(E202&lt;&gt;"",E202*PAINEL!$H$7,0))</f>
        <v/>
      </c>
      <c r="G202" s="13" t="str">
        <f>IF(C202="","",IF(PAINEL!$A$4=1,K201/(QTDEParc-C201),IF(AND(PAINEL!$A$4=2,C202&lt;=MomentoContemplação),ValorParcelamento/QTDEParc,K201/(QTDEParc-C201))))</f>
        <v/>
      </c>
      <c r="H202" s="13" t="str">
        <f t="shared" si="70"/>
        <v/>
      </c>
      <c r="I202" s="32" t="str">
        <f t="shared" si="71"/>
        <v/>
      </c>
      <c r="J202" s="14" t="str">
        <f>IF(C202="","",IF(C202=MomentoContemplação,PAINEL!$P$10,0))</f>
        <v/>
      </c>
      <c r="K202" s="14" t="str">
        <f t="shared" si="72"/>
        <v/>
      </c>
      <c r="M202" s="51" t="str">
        <f t="shared" si="73"/>
        <v/>
      </c>
      <c r="N202" s="27" t="str">
        <f t="shared" si="77"/>
        <v/>
      </c>
      <c r="O202" s="27" t="str">
        <f>IF(C202="","",(I202*(1+M202))*(QTDEParc-CÁLCULO!C202)+$F$5-SUM($F$6:F202)-J202)</f>
        <v/>
      </c>
      <c r="P202" s="7" t="str">
        <f t="shared" si="74"/>
        <v/>
      </c>
      <c r="R202" s="44" t="str">
        <f t="shared" si="75"/>
        <v/>
      </c>
      <c r="S202" s="97"/>
      <c r="T202" s="28" t="str">
        <f t="shared" si="76"/>
        <v/>
      </c>
      <c r="U202" s="28" t="str">
        <f t="shared" si="64"/>
        <v/>
      </c>
      <c r="V202" s="7" t="str">
        <f t="shared" si="78"/>
        <v/>
      </c>
      <c r="W202" s="93" t="str">
        <f t="shared" si="83"/>
        <v/>
      </c>
      <c r="X202" s="28" t="str">
        <f t="shared" si="79"/>
        <v/>
      </c>
      <c r="Y202" s="28" t="str">
        <f t="shared" si="65"/>
        <v/>
      </c>
      <c r="Z202" s="28" t="str">
        <f t="shared" si="66"/>
        <v/>
      </c>
      <c r="AA202" s="28" t="str">
        <f t="shared" si="67"/>
        <v/>
      </c>
      <c r="AB202" s="28" t="str">
        <f t="shared" si="68"/>
        <v/>
      </c>
      <c r="AC202" s="28" t="str">
        <f t="shared" si="80"/>
        <v/>
      </c>
      <c r="AD202" s="27"/>
      <c r="AO202" s="145" t="str">
        <f t="shared" si="81"/>
        <v/>
      </c>
      <c r="AP202" s="144" t="str">
        <f t="shared" si="82"/>
        <v/>
      </c>
    </row>
    <row r="203" spans="3:42" x14ac:dyDescent="0.25">
      <c r="C203" s="12" t="str">
        <f>IFERROR(IF(AvisoErro&lt;&gt;"","",IF(C202+1&gt;PAINEL!$H$8,"",C202+1)),"")</f>
        <v/>
      </c>
      <c r="E203" s="23" t="str">
        <f t="shared" si="69"/>
        <v/>
      </c>
      <c r="F203" s="13" t="str">
        <f>IF(C203="","",IF(E203&lt;&gt;"",E203*PAINEL!$H$7,0))</f>
        <v/>
      </c>
      <c r="G203" s="13" t="str">
        <f>IF(C203="","",IF(PAINEL!$A$4=1,K202/(QTDEParc-C202),IF(AND(PAINEL!$A$4=2,C203&lt;=MomentoContemplação),ValorParcelamento/QTDEParc,K202/(QTDEParc-C202))))</f>
        <v/>
      </c>
      <c r="H203" s="13" t="str">
        <f t="shared" si="70"/>
        <v/>
      </c>
      <c r="I203" s="32" t="str">
        <f t="shared" si="71"/>
        <v/>
      </c>
      <c r="J203" s="14" t="str">
        <f>IF(C203="","",IF(C203=MomentoContemplação,PAINEL!$P$10,0))</f>
        <v/>
      </c>
      <c r="K203" s="14" t="str">
        <f t="shared" si="72"/>
        <v/>
      </c>
      <c r="M203" s="51" t="str">
        <f t="shared" si="73"/>
        <v/>
      </c>
      <c r="N203" s="27" t="str">
        <f t="shared" si="77"/>
        <v/>
      </c>
      <c r="O203" s="27" t="str">
        <f>IF(C203="","",(I203*(1+M203))*(QTDEParc-CÁLCULO!C203)+$F$5-SUM($F$6:F203)-J203)</f>
        <v/>
      </c>
      <c r="P203" s="7" t="str">
        <f t="shared" si="74"/>
        <v/>
      </c>
      <c r="R203" s="44" t="str">
        <f t="shared" si="75"/>
        <v/>
      </c>
      <c r="S203" s="97"/>
      <c r="T203" s="28" t="str">
        <f t="shared" si="76"/>
        <v/>
      </c>
      <c r="U203" s="28" t="str">
        <f t="shared" si="64"/>
        <v/>
      </c>
      <c r="V203" s="7" t="str">
        <f t="shared" si="78"/>
        <v/>
      </c>
      <c r="W203" s="93" t="str">
        <f t="shared" si="83"/>
        <v/>
      </c>
      <c r="X203" s="28" t="str">
        <f t="shared" si="79"/>
        <v/>
      </c>
      <c r="Y203" s="28" t="str">
        <f t="shared" si="65"/>
        <v/>
      </c>
      <c r="Z203" s="28" t="str">
        <f t="shared" si="66"/>
        <v/>
      </c>
      <c r="AA203" s="28" t="str">
        <f t="shared" si="67"/>
        <v/>
      </c>
      <c r="AB203" s="28" t="str">
        <f t="shared" si="68"/>
        <v/>
      </c>
      <c r="AC203" s="28" t="str">
        <f t="shared" si="80"/>
        <v/>
      </c>
      <c r="AD203" s="27"/>
      <c r="AO203" s="145" t="str">
        <f t="shared" si="81"/>
        <v/>
      </c>
      <c r="AP203" s="144" t="str">
        <f t="shared" si="82"/>
        <v/>
      </c>
    </row>
    <row r="204" spans="3:42" x14ac:dyDescent="0.25">
      <c r="C204" s="12" t="str">
        <f>IFERROR(IF(AvisoErro&lt;&gt;"","",IF(C203+1&gt;PAINEL!$H$8,"",C203+1)),"")</f>
        <v/>
      </c>
      <c r="E204" s="23" t="str">
        <f t="shared" si="69"/>
        <v/>
      </c>
      <c r="F204" s="13" t="str">
        <f>IF(C204="","",IF(E204&lt;&gt;"",E204*PAINEL!$H$7,0))</f>
        <v/>
      </c>
      <c r="G204" s="13" t="str">
        <f>IF(C204="","",IF(PAINEL!$A$4=1,K203/(QTDEParc-C203),IF(AND(PAINEL!$A$4=2,C204&lt;=MomentoContemplação),ValorParcelamento/QTDEParc,K203/(QTDEParc-C203))))</f>
        <v/>
      </c>
      <c r="H204" s="13" t="str">
        <f t="shared" si="70"/>
        <v/>
      </c>
      <c r="I204" s="32" t="str">
        <f t="shared" si="71"/>
        <v/>
      </c>
      <c r="J204" s="14" t="str">
        <f>IF(C204="","",IF(C204=MomentoContemplação,PAINEL!$P$10,0))</f>
        <v/>
      </c>
      <c r="K204" s="14" t="str">
        <f t="shared" si="72"/>
        <v/>
      </c>
      <c r="M204" s="51" t="str">
        <f t="shared" si="73"/>
        <v/>
      </c>
      <c r="N204" s="27" t="str">
        <f t="shared" si="77"/>
        <v/>
      </c>
      <c r="O204" s="27" t="str">
        <f>IF(C204="","",(I204*(1+M204))*(QTDEParc-CÁLCULO!C204)+$F$5-SUM($F$6:F204)-J204)</f>
        <v/>
      </c>
      <c r="P204" s="7" t="str">
        <f t="shared" si="74"/>
        <v/>
      </c>
      <c r="R204" s="44" t="str">
        <f t="shared" si="75"/>
        <v/>
      </c>
      <c r="S204" s="97"/>
      <c r="T204" s="28" t="str">
        <f t="shared" si="76"/>
        <v/>
      </c>
      <c r="U204" s="28" t="str">
        <f t="shared" si="64"/>
        <v/>
      </c>
      <c r="V204" s="7" t="str">
        <f t="shared" si="78"/>
        <v/>
      </c>
      <c r="W204" s="93" t="str">
        <f t="shared" si="83"/>
        <v/>
      </c>
      <c r="X204" s="28" t="str">
        <f t="shared" si="79"/>
        <v/>
      </c>
      <c r="Y204" s="28" t="str">
        <f t="shared" si="65"/>
        <v/>
      </c>
      <c r="Z204" s="28" t="str">
        <f t="shared" si="66"/>
        <v/>
      </c>
      <c r="AA204" s="28" t="str">
        <f t="shared" si="67"/>
        <v/>
      </c>
      <c r="AB204" s="28" t="str">
        <f t="shared" si="68"/>
        <v/>
      </c>
      <c r="AC204" s="28" t="str">
        <f t="shared" si="80"/>
        <v/>
      </c>
      <c r="AD204" s="27"/>
      <c r="AO204" s="145" t="str">
        <f t="shared" si="81"/>
        <v/>
      </c>
      <c r="AP204" s="144" t="str">
        <f t="shared" si="82"/>
        <v/>
      </c>
    </row>
    <row r="205" spans="3:42" x14ac:dyDescent="0.25">
      <c r="C205" s="12" t="str">
        <f>IFERROR(IF(AvisoErro&lt;&gt;"","",IF(C204+1&gt;PAINEL!$H$8,"",C204+1)),"")</f>
        <v/>
      </c>
      <c r="E205" s="23" t="str">
        <f t="shared" si="69"/>
        <v/>
      </c>
      <c r="F205" s="13" t="str">
        <f>IF(C205="","",IF(E205&lt;&gt;"",E205*PAINEL!$H$7,0))</f>
        <v/>
      </c>
      <c r="G205" s="13" t="str">
        <f>IF(C205="","",IF(PAINEL!$A$4=1,K204/(QTDEParc-C204),IF(AND(PAINEL!$A$4=2,C205&lt;=MomentoContemplação),ValorParcelamento/QTDEParc,K204/(QTDEParc-C204))))</f>
        <v/>
      </c>
      <c r="H205" s="13" t="str">
        <f t="shared" si="70"/>
        <v/>
      </c>
      <c r="I205" s="32" t="str">
        <f t="shared" si="71"/>
        <v/>
      </c>
      <c r="J205" s="14" t="str">
        <f>IF(C205="","",IF(C205=MomentoContemplação,PAINEL!$P$10,0))</f>
        <v/>
      </c>
      <c r="K205" s="14" t="str">
        <f t="shared" si="72"/>
        <v/>
      </c>
      <c r="M205" s="51" t="str">
        <f t="shared" si="73"/>
        <v/>
      </c>
      <c r="N205" s="27" t="str">
        <f t="shared" si="77"/>
        <v/>
      </c>
      <c r="O205" s="27" t="str">
        <f>IF(C205="","",(I205*(1+M205))*(QTDEParc-CÁLCULO!C205)+$F$5-SUM($F$6:F205)-J205)</f>
        <v/>
      </c>
      <c r="P205" s="7" t="str">
        <f t="shared" si="74"/>
        <v/>
      </c>
      <c r="R205" s="44" t="str">
        <f t="shared" si="75"/>
        <v/>
      </c>
      <c r="S205" s="97"/>
      <c r="T205" s="28" t="str">
        <f t="shared" si="76"/>
        <v/>
      </c>
      <c r="U205" s="28" t="str">
        <f t="shared" si="64"/>
        <v/>
      </c>
      <c r="V205" s="7" t="str">
        <f t="shared" si="78"/>
        <v/>
      </c>
      <c r="W205" s="93" t="str">
        <f t="shared" si="83"/>
        <v/>
      </c>
      <c r="X205" s="28" t="str">
        <f t="shared" si="79"/>
        <v/>
      </c>
      <c r="Y205" s="28" t="str">
        <f t="shared" si="65"/>
        <v/>
      </c>
      <c r="Z205" s="28" t="str">
        <f t="shared" si="66"/>
        <v/>
      </c>
      <c r="AA205" s="28" t="str">
        <f t="shared" si="67"/>
        <v/>
      </c>
      <c r="AB205" s="28" t="str">
        <f t="shared" si="68"/>
        <v/>
      </c>
      <c r="AC205" s="28" t="str">
        <f t="shared" si="80"/>
        <v/>
      </c>
      <c r="AD205" s="27"/>
      <c r="AO205" s="145" t="str">
        <f t="shared" si="81"/>
        <v/>
      </c>
      <c r="AP205" s="144" t="str">
        <f t="shared" si="82"/>
        <v/>
      </c>
    </row>
    <row r="206" spans="3:42" x14ac:dyDescent="0.25">
      <c r="C206" s="12" t="str">
        <f>IFERROR(IF(AvisoErro&lt;&gt;"","",IF(C205+1&gt;PAINEL!$H$8,"",C205+1)),"")</f>
        <v/>
      </c>
      <c r="E206" s="23" t="str">
        <f t="shared" si="69"/>
        <v/>
      </c>
      <c r="F206" s="13" t="str">
        <f>IF(C206="","",IF(E206&lt;&gt;"",E206*PAINEL!$H$7,0))</f>
        <v/>
      </c>
      <c r="G206" s="13" t="str">
        <f>IF(C206="","",IF(PAINEL!$A$4=1,K205/(QTDEParc-C205),IF(AND(PAINEL!$A$4=2,C206&lt;=MomentoContemplação),ValorParcelamento/QTDEParc,K205/(QTDEParc-C205))))</f>
        <v/>
      </c>
      <c r="H206" s="13" t="str">
        <f t="shared" si="70"/>
        <v/>
      </c>
      <c r="I206" s="32" t="str">
        <f t="shared" si="71"/>
        <v/>
      </c>
      <c r="J206" s="14" t="str">
        <f>IF(C206="","",IF(C206=MomentoContemplação,PAINEL!$P$10,0))</f>
        <v/>
      </c>
      <c r="K206" s="14" t="str">
        <f t="shared" si="72"/>
        <v/>
      </c>
      <c r="M206" s="51" t="str">
        <f t="shared" si="73"/>
        <v/>
      </c>
      <c r="N206" s="27" t="str">
        <f t="shared" si="77"/>
        <v/>
      </c>
      <c r="O206" s="27" t="str">
        <f>IF(C206="","",(I206*(1+M206))*(QTDEParc-CÁLCULO!C206)+$F$5-SUM($F$6:F206)-J206)</f>
        <v/>
      </c>
      <c r="P206" s="7" t="str">
        <f t="shared" si="74"/>
        <v/>
      </c>
      <c r="R206" s="44" t="str">
        <f t="shared" si="75"/>
        <v/>
      </c>
      <c r="S206" s="97"/>
      <c r="T206" s="28" t="str">
        <f t="shared" si="76"/>
        <v/>
      </c>
      <c r="U206" s="28" t="str">
        <f t="shared" si="64"/>
        <v/>
      </c>
      <c r="V206" s="7" t="str">
        <f t="shared" si="78"/>
        <v/>
      </c>
      <c r="W206" s="93" t="str">
        <f t="shared" si="83"/>
        <v/>
      </c>
      <c r="X206" s="28" t="str">
        <f t="shared" si="79"/>
        <v/>
      </c>
      <c r="Y206" s="28" t="str">
        <f t="shared" si="65"/>
        <v/>
      </c>
      <c r="Z206" s="28" t="str">
        <f t="shared" si="66"/>
        <v/>
      </c>
      <c r="AA206" s="28" t="str">
        <f t="shared" si="67"/>
        <v/>
      </c>
      <c r="AB206" s="28" t="str">
        <f t="shared" si="68"/>
        <v/>
      </c>
      <c r="AC206" s="28" t="str">
        <f t="shared" si="80"/>
        <v/>
      </c>
      <c r="AD206" s="27"/>
      <c r="AO206" s="145" t="str">
        <f t="shared" si="81"/>
        <v/>
      </c>
      <c r="AP206" s="144" t="str">
        <f t="shared" si="82"/>
        <v/>
      </c>
    </row>
    <row r="207" spans="3:42" x14ac:dyDescent="0.25">
      <c r="C207" s="12" t="str">
        <f>IFERROR(IF(AvisoErro&lt;&gt;"","",IF(C206+1&gt;PAINEL!$H$8,"",C206+1)),"")</f>
        <v/>
      </c>
      <c r="E207" s="23" t="str">
        <f t="shared" si="69"/>
        <v/>
      </c>
      <c r="F207" s="13" t="str">
        <f>IF(C207="","",IF(E207&lt;&gt;"",E207*PAINEL!$H$7,0))</f>
        <v/>
      </c>
      <c r="G207" s="13" t="str">
        <f>IF(C207="","",IF(PAINEL!$A$4=1,K206/(QTDEParc-C206),IF(AND(PAINEL!$A$4=2,C207&lt;=MomentoContemplação),ValorParcelamento/QTDEParc,K206/(QTDEParc-C206))))</f>
        <v/>
      </c>
      <c r="H207" s="13" t="str">
        <f t="shared" si="70"/>
        <v/>
      </c>
      <c r="I207" s="32" t="str">
        <f t="shared" si="71"/>
        <v/>
      </c>
      <c r="J207" s="14" t="str">
        <f>IF(C207="","",IF(C207=MomentoContemplação,PAINEL!$P$10,0))</f>
        <v/>
      </c>
      <c r="K207" s="14" t="str">
        <f t="shared" si="72"/>
        <v/>
      </c>
      <c r="M207" s="51" t="str">
        <f t="shared" si="73"/>
        <v/>
      </c>
      <c r="N207" s="27" t="str">
        <f t="shared" si="77"/>
        <v/>
      </c>
      <c r="O207" s="27" t="str">
        <f>IF(C207="","",(I207*(1+M207))*(QTDEParc-CÁLCULO!C207)+$F$5-SUM($F$6:F207)-J207)</f>
        <v/>
      </c>
      <c r="P207" s="7" t="str">
        <f t="shared" si="74"/>
        <v/>
      </c>
      <c r="R207" s="44" t="str">
        <f t="shared" si="75"/>
        <v/>
      </c>
      <c r="S207" s="97"/>
      <c r="T207" s="28" t="str">
        <f t="shared" si="76"/>
        <v/>
      </c>
      <c r="U207" s="28" t="str">
        <f t="shared" si="64"/>
        <v/>
      </c>
      <c r="V207" s="7" t="str">
        <f t="shared" si="78"/>
        <v/>
      </c>
      <c r="W207" s="93" t="str">
        <f t="shared" si="83"/>
        <v/>
      </c>
      <c r="X207" s="28" t="str">
        <f t="shared" si="79"/>
        <v/>
      </c>
      <c r="Y207" s="28" t="str">
        <f t="shared" si="65"/>
        <v/>
      </c>
      <c r="Z207" s="28" t="str">
        <f t="shared" si="66"/>
        <v/>
      </c>
      <c r="AA207" s="28" t="str">
        <f t="shared" si="67"/>
        <v/>
      </c>
      <c r="AB207" s="28" t="str">
        <f t="shared" si="68"/>
        <v/>
      </c>
      <c r="AC207" s="28" t="str">
        <f t="shared" si="80"/>
        <v/>
      </c>
      <c r="AD207" s="27"/>
      <c r="AO207" s="145" t="str">
        <f t="shared" si="81"/>
        <v/>
      </c>
      <c r="AP207" s="144" t="str">
        <f t="shared" si="82"/>
        <v/>
      </c>
    </row>
    <row r="208" spans="3:42" x14ac:dyDescent="0.25">
      <c r="C208" s="12" t="str">
        <f>IFERROR(IF(AvisoErro&lt;&gt;"","",IF(C207+1&gt;PAINEL!$H$8,"",C207+1)),"")</f>
        <v/>
      </c>
      <c r="E208" s="23" t="str">
        <f t="shared" si="69"/>
        <v/>
      </c>
      <c r="F208" s="13" t="str">
        <f>IF(C208="","",IF(E208&lt;&gt;"",E208*PAINEL!$H$7,0))</f>
        <v/>
      </c>
      <c r="G208" s="13" t="str">
        <f>IF(C208="","",IF(PAINEL!$A$4=1,K207/(QTDEParc-C207),IF(AND(PAINEL!$A$4=2,C208&lt;=MomentoContemplação),ValorParcelamento/QTDEParc,K207/(QTDEParc-C207))))</f>
        <v/>
      </c>
      <c r="H208" s="13" t="str">
        <f t="shared" si="70"/>
        <v/>
      </c>
      <c r="I208" s="32" t="str">
        <f t="shared" si="71"/>
        <v/>
      </c>
      <c r="J208" s="14" t="str">
        <f>IF(C208="","",IF(C208=MomentoContemplação,PAINEL!$P$10,0))</f>
        <v/>
      </c>
      <c r="K208" s="14" t="str">
        <f t="shared" si="72"/>
        <v/>
      </c>
      <c r="M208" s="51" t="str">
        <f t="shared" si="73"/>
        <v/>
      </c>
      <c r="N208" s="27" t="str">
        <f t="shared" si="77"/>
        <v/>
      </c>
      <c r="O208" s="27" t="str">
        <f>IF(C208="","",(I208*(1+M208))*(QTDEParc-CÁLCULO!C208)+$F$5-SUM($F$6:F208)-J208)</f>
        <v/>
      </c>
      <c r="P208" s="7" t="str">
        <f t="shared" si="74"/>
        <v/>
      </c>
      <c r="R208" s="44" t="str">
        <f t="shared" si="75"/>
        <v/>
      </c>
      <c r="S208" s="97"/>
      <c r="T208" s="28" t="str">
        <f t="shared" si="76"/>
        <v/>
      </c>
      <c r="U208" s="28" t="str">
        <f t="shared" si="64"/>
        <v/>
      </c>
      <c r="V208" s="7" t="str">
        <f t="shared" si="78"/>
        <v/>
      </c>
      <c r="W208" s="93" t="str">
        <f t="shared" si="83"/>
        <v/>
      </c>
      <c r="X208" s="28" t="str">
        <f t="shared" si="79"/>
        <v/>
      </c>
      <c r="Y208" s="28" t="str">
        <f t="shared" si="65"/>
        <v/>
      </c>
      <c r="Z208" s="28" t="str">
        <f t="shared" si="66"/>
        <v/>
      </c>
      <c r="AA208" s="28" t="str">
        <f t="shared" si="67"/>
        <v/>
      </c>
      <c r="AB208" s="28" t="str">
        <f t="shared" si="68"/>
        <v/>
      </c>
      <c r="AC208" s="28" t="str">
        <f t="shared" si="80"/>
        <v/>
      </c>
      <c r="AD208" s="27"/>
      <c r="AO208" s="145" t="str">
        <f t="shared" si="81"/>
        <v/>
      </c>
      <c r="AP208" s="144" t="str">
        <f t="shared" si="82"/>
        <v/>
      </c>
    </row>
    <row r="209" spans="3:42" x14ac:dyDescent="0.25">
      <c r="C209" s="12" t="str">
        <f>IFERROR(IF(AvisoErro&lt;&gt;"","",IF(C208+1&gt;PAINEL!$H$8,"",C208+1)),"")</f>
        <v/>
      </c>
      <c r="E209" s="23" t="str">
        <f t="shared" si="69"/>
        <v/>
      </c>
      <c r="F209" s="13" t="str">
        <f>IF(C209="","",IF(E209&lt;&gt;"",E209*PAINEL!$H$7,0))</f>
        <v/>
      </c>
      <c r="G209" s="13" t="str">
        <f>IF(C209="","",IF(PAINEL!$A$4=1,K208/(QTDEParc-C208),IF(AND(PAINEL!$A$4=2,C209&lt;=MomentoContemplação),ValorParcelamento/QTDEParc,K208/(QTDEParc-C208))))</f>
        <v/>
      </c>
      <c r="H209" s="13" t="str">
        <f t="shared" si="70"/>
        <v/>
      </c>
      <c r="I209" s="32" t="str">
        <f t="shared" si="71"/>
        <v/>
      </c>
      <c r="J209" s="14" t="str">
        <f>IF(C209="","",IF(C209=MomentoContemplação,PAINEL!$P$10,0))</f>
        <v/>
      </c>
      <c r="K209" s="14" t="str">
        <f t="shared" si="72"/>
        <v/>
      </c>
      <c r="M209" s="51" t="str">
        <f t="shared" si="73"/>
        <v/>
      </c>
      <c r="N209" s="27" t="str">
        <f t="shared" si="77"/>
        <v/>
      </c>
      <c r="O209" s="27" t="str">
        <f>IF(C209="","",(I209*(1+M209))*(QTDEParc-CÁLCULO!C209)+$F$5-SUM($F$6:F209)-J209)</f>
        <v/>
      </c>
      <c r="P209" s="7" t="str">
        <f t="shared" si="74"/>
        <v/>
      </c>
      <c r="R209" s="44" t="str">
        <f t="shared" si="75"/>
        <v/>
      </c>
      <c r="S209" s="97"/>
      <c r="T209" s="28" t="str">
        <f t="shared" si="76"/>
        <v/>
      </c>
      <c r="U209" s="28" t="str">
        <f t="shared" si="64"/>
        <v/>
      </c>
      <c r="V209" s="7" t="str">
        <f t="shared" si="78"/>
        <v/>
      </c>
      <c r="W209" s="93" t="str">
        <f t="shared" si="83"/>
        <v/>
      </c>
      <c r="X209" s="28" t="str">
        <f t="shared" si="79"/>
        <v/>
      </c>
      <c r="Y209" s="28" t="str">
        <f t="shared" si="65"/>
        <v/>
      </c>
      <c r="Z209" s="28" t="str">
        <f t="shared" si="66"/>
        <v/>
      </c>
      <c r="AA209" s="28" t="str">
        <f t="shared" si="67"/>
        <v/>
      </c>
      <c r="AB209" s="28" t="str">
        <f t="shared" si="68"/>
        <v/>
      </c>
      <c r="AC209" s="28" t="str">
        <f t="shared" si="80"/>
        <v/>
      </c>
      <c r="AD209" s="27"/>
      <c r="AO209" s="145" t="str">
        <f t="shared" si="81"/>
        <v/>
      </c>
      <c r="AP209" s="144" t="str">
        <f t="shared" si="82"/>
        <v/>
      </c>
    </row>
    <row r="210" spans="3:42" x14ac:dyDescent="0.25">
      <c r="C210" s="12" t="str">
        <f>IFERROR(IF(AvisoErro&lt;&gt;"","",IF(C209+1&gt;PAINEL!$H$8,"",C209+1)),"")</f>
        <v/>
      </c>
      <c r="E210" s="23" t="str">
        <f t="shared" si="69"/>
        <v/>
      </c>
      <c r="F210" s="13" t="str">
        <f>IF(C210="","",IF(E210&lt;&gt;"",E210*PAINEL!$H$7,0))</f>
        <v/>
      </c>
      <c r="G210" s="13" t="str">
        <f>IF(C210="","",IF(PAINEL!$A$4=1,K209/(QTDEParc-C209),IF(AND(PAINEL!$A$4=2,C210&lt;=MomentoContemplação),ValorParcelamento/QTDEParc,K209/(QTDEParc-C209))))</f>
        <v/>
      </c>
      <c r="H210" s="13" t="str">
        <f t="shared" si="70"/>
        <v/>
      </c>
      <c r="I210" s="32" t="str">
        <f t="shared" si="71"/>
        <v/>
      </c>
      <c r="J210" s="14" t="str">
        <f>IF(C210="","",IF(C210=MomentoContemplação,PAINEL!$P$10,0))</f>
        <v/>
      </c>
      <c r="K210" s="14" t="str">
        <f t="shared" si="72"/>
        <v/>
      </c>
      <c r="M210" s="51" t="str">
        <f t="shared" si="73"/>
        <v/>
      </c>
      <c r="N210" s="27" t="str">
        <f t="shared" si="77"/>
        <v/>
      </c>
      <c r="O210" s="27" t="str">
        <f>IF(C210="","",(I210*(1+M210))*(QTDEParc-CÁLCULO!C210)+$F$5-SUM($F$6:F210)-J210)</f>
        <v/>
      </c>
      <c r="P210" s="7" t="str">
        <f t="shared" si="74"/>
        <v/>
      </c>
      <c r="R210" s="44" t="str">
        <f t="shared" si="75"/>
        <v/>
      </c>
      <c r="S210" s="97"/>
      <c r="T210" s="28" t="str">
        <f t="shared" si="76"/>
        <v/>
      </c>
      <c r="U210" s="28" t="str">
        <f t="shared" si="64"/>
        <v/>
      </c>
      <c r="V210" s="7" t="str">
        <f t="shared" si="78"/>
        <v/>
      </c>
      <c r="W210" s="93" t="str">
        <f t="shared" si="83"/>
        <v/>
      </c>
      <c r="X210" s="28" t="str">
        <f t="shared" si="79"/>
        <v/>
      </c>
      <c r="Y210" s="28" t="str">
        <f t="shared" si="65"/>
        <v/>
      </c>
      <c r="Z210" s="28" t="str">
        <f t="shared" si="66"/>
        <v/>
      </c>
      <c r="AA210" s="28" t="str">
        <f t="shared" si="67"/>
        <v/>
      </c>
      <c r="AB210" s="28" t="str">
        <f t="shared" si="68"/>
        <v/>
      </c>
      <c r="AC210" s="28" t="str">
        <f t="shared" si="80"/>
        <v/>
      </c>
      <c r="AD210" s="27"/>
      <c r="AO210" s="145" t="str">
        <f t="shared" si="81"/>
        <v/>
      </c>
      <c r="AP210" s="144" t="str">
        <f t="shared" si="82"/>
        <v/>
      </c>
    </row>
    <row r="211" spans="3:42" x14ac:dyDescent="0.25">
      <c r="C211" s="12" t="str">
        <f>IFERROR(IF(AvisoErro&lt;&gt;"","",IF(C210+1&gt;PAINEL!$H$8,"",C210+1)),"")</f>
        <v/>
      </c>
      <c r="E211" s="23" t="str">
        <f t="shared" si="69"/>
        <v/>
      </c>
      <c r="F211" s="13" t="str">
        <f>IF(C211="","",IF(E211&lt;&gt;"",E211*PAINEL!$H$7,0))</f>
        <v/>
      </c>
      <c r="G211" s="13" t="str">
        <f>IF(C211="","",IF(PAINEL!$A$4=1,K210/(QTDEParc-C210),IF(AND(PAINEL!$A$4=2,C211&lt;=MomentoContemplação),ValorParcelamento/QTDEParc,K210/(QTDEParc-C210))))</f>
        <v/>
      </c>
      <c r="H211" s="13" t="str">
        <f t="shared" si="70"/>
        <v/>
      </c>
      <c r="I211" s="32" t="str">
        <f t="shared" si="71"/>
        <v/>
      </c>
      <c r="J211" s="14" t="str">
        <f>IF(C211="","",IF(C211=MomentoContemplação,PAINEL!$P$10,0))</f>
        <v/>
      </c>
      <c r="K211" s="14" t="str">
        <f t="shared" si="72"/>
        <v/>
      </c>
      <c r="M211" s="51" t="str">
        <f t="shared" si="73"/>
        <v/>
      </c>
      <c r="N211" s="27" t="str">
        <f t="shared" si="77"/>
        <v/>
      </c>
      <c r="O211" s="27" t="str">
        <f>IF(C211="","",(I211*(1+M211))*(QTDEParc-CÁLCULO!C211)+$F$5-SUM($F$6:F211)-J211)</f>
        <v/>
      </c>
      <c r="P211" s="7" t="str">
        <f t="shared" si="74"/>
        <v/>
      </c>
      <c r="R211" s="44" t="str">
        <f t="shared" si="75"/>
        <v/>
      </c>
      <c r="S211" s="97"/>
      <c r="T211" s="28" t="str">
        <f t="shared" si="76"/>
        <v/>
      </c>
      <c r="U211" s="28" t="str">
        <f t="shared" si="64"/>
        <v/>
      </c>
      <c r="V211" s="7" t="str">
        <f t="shared" si="78"/>
        <v/>
      </c>
      <c r="W211" s="93" t="str">
        <f t="shared" si="83"/>
        <v/>
      </c>
      <c r="X211" s="28" t="str">
        <f t="shared" si="79"/>
        <v/>
      </c>
      <c r="Y211" s="28" t="str">
        <f t="shared" si="65"/>
        <v/>
      </c>
      <c r="Z211" s="28" t="str">
        <f t="shared" si="66"/>
        <v/>
      </c>
      <c r="AA211" s="28" t="str">
        <f t="shared" si="67"/>
        <v/>
      </c>
      <c r="AB211" s="28" t="str">
        <f t="shared" si="68"/>
        <v/>
      </c>
      <c r="AC211" s="28" t="str">
        <f t="shared" si="80"/>
        <v/>
      </c>
      <c r="AD211" s="27"/>
      <c r="AO211" s="145" t="str">
        <f t="shared" si="81"/>
        <v/>
      </c>
      <c r="AP211" s="144" t="str">
        <f t="shared" si="82"/>
        <v/>
      </c>
    </row>
    <row r="212" spans="3:42" x14ac:dyDescent="0.25">
      <c r="C212" s="12" t="str">
        <f>IFERROR(IF(AvisoErro&lt;&gt;"","",IF(C211+1&gt;PAINEL!$H$8,"",C211+1)),"")</f>
        <v/>
      </c>
      <c r="E212" s="23" t="str">
        <f t="shared" si="69"/>
        <v/>
      </c>
      <c r="F212" s="13" t="str">
        <f>IF(C212="","",IF(E212&lt;&gt;"",E212*PAINEL!$H$7,0))</f>
        <v/>
      </c>
      <c r="G212" s="13" t="str">
        <f>IF(C212="","",IF(PAINEL!$A$4=1,K211/(QTDEParc-C211),IF(AND(PAINEL!$A$4=2,C212&lt;=MomentoContemplação),ValorParcelamento/QTDEParc,K211/(QTDEParc-C211))))</f>
        <v/>
      </c>
      <c r="H212" s="13" t="str">
        <f t="shared" si="70"/>
        <v/>
      </c>
      <c r="I212" s="32" t="str">
        <f t="shared" si="71"/>
        <v/>
      </c>
      <c r="J212" s="14" t="str">
        <f>IF(C212="","",IF(C212=MomentoContemplação,PAINEL!$P$10,0))</f>
        <v/>
      </c>
      <c r="K212" s="14" t="str">
        <f t="shared" si="72"/>
        <v/>
      </c>
      <c r="M212" s="51" t="str">
        <f t="shared" si="73"/>
        <v/>
      </c>
      <c r="N212" s="27" t="str">
        <f t="shared" si="77"/>
        <v/>
      </c>
      <c r="O212" s="27" t="str">
        <f>IF(C212="","",(I212*(1+M212))*(QTDEParc-CÁLCULO!C212)+$F$5-SUM($F$6:F212)-J212)</f>
        <v/>
      </c>
      <c r="P212" s="7" t="str">
        <f t="shared" si="74"/>
        <v/>
      </c>
      <c r="R212" s="44" t="str">
        <f t="shared" si="75"/>
        <v/>
      </c>
      <c r="S212" s="97"/>
      <c r="T212" s="28" t="str">
        <f t="shared" si="76"/>
        <v/>
      </c>
      <c r="U212" s="28" t="str">
        <f t="shared" si="64"/>
        <v/>
      </c>
      <c r="V212" s="7" t="str">
        <f t="shared" si="78"/>
        <v/>
      </c>
      <c r="W212" s="93" t="str">
        <f t="shared" si="83"/>
        <v/>
      </c>
      <c r="X212" s="28" t="str">
        <f t="shared" si="79"/>
        <v/>
      </c>
      <c r="Y212" s="28" t="str">
        <f t="shared" si="65"/>
        <v/>
      </c>
      <c r="Z212" s="28" t="str">
        <f t="shared" si="66"/>
        <v/>
      </c>
      <c r="AA212" s="28" t="str">
        <f t="shared" si="67"/>
        <v/>
      </c>
      <c r="AB212" s="28" t="str">
        <f t="shared" si="68"/>
        <v/>
      </c>
      <c r="AC212" s="28" t="str">
        <f t="shared" si="80"/>
        <v/>
      </c>
      <c r="AD212" s="27"/>
      <c r="AO212" s="145" t="str">
        <f t="shared" si="81"/>
        <v/>
      </c>
      <c r="AP212" s="144" t="str">
        <f t="shared" si="82"/>
        <v/>
      </c>
    </row>
    <row r="213" spans="3:42" x14ac:dyDescent="0.25">
      <c r="C213" s="12" t="str">
        <f>IFERROR(IF(AvisoErro&lt;&gt;"","",IF(C212+1&gt;PAINEL!$H$8,"",C212+1)),"")</f>
        <v/>
      </c>
      <c r="E213" s="23" t="str">
        <f t="shared" si="69"/>
        <v/>
      </c>
      <c r="F213" s="13" t="str">
        <f>IF(C213="","",IF(E213&lt;&gt;"",E213*PAINEL!$H$7,0))</f>
        <v/>
      </c>
      <c r="G213" s="13" t="str">
        <f>IF(C213="","",IF(PAINEL!$A$4=1,K212/(QTDEParc-C212),IF(AND(PAINEL!$A$4=2,C213&lt;=MomentoContemplação),ValorParcelamento/QTDEParc,K212/(QTDEParc-C212))))</f>
        <v/>
      </c>
      <c r="H213" s="13" t="str">
        <f t="shared" si="70"/>
        <v/>
      </c>
      <c r="I213" s="32" t="str">
        <f t="shared" si="71"/>
        <v/>
      </c>
      <c r="J213" s="14" t="str">
        <f>IF(C213="","",IF(C213=MomentoContemplação,PAINEL!$P$10,0))</f>
        <v/>
      </c>
      <c r="K213" s="14" t="str">
        <f t="shared" si="72"/>
        <v/>
      </c>
      <c r="M213" s="51" t="str">
        <f t="shared" si="73"/>
        <v/>
      </c>
      <c r="N213" s="27" t="str">
        <f t="shared" si="77"/>
        <v/>
      </c>
      <c r="O213" s="27" t="str">
        <f>IF(C213="","",(I213*(1+M213))*(QTDEParc-CÁLCULO!C213)+$F$5-SUM($F$6:F213)-J213)</f>
        <v/>
      </c>
      <c r="P213" s="7" t="str">
        <f t="shared" si="74"/>
        <v/>
      </c>
      <c r="R213" s="44" t="str">
        <f t="shared" si="75"/>
        <v/>
      </c>
      <c r="S213" s="97"/>
      <c r="T213" s="28" t="str">
        <f t="shared" si="76"/>
        <v/>
      </c>
      <c r="U213" s="28" t="str">
        <f t="shared" si="64"/>
        <v/>
      </c>
      <c r="V213" s="7" t="str">
        <f t="shared" si="78"/>
        <v/>
      </c>
      <c r="W213" s="93" t="str">
        <f t="shared" si="83"/>
        <v/>
      </c>
      <c r="X213" s="28" t="str">
        <f t="shared" si="79"/>
        <v/>
      </c>
      <c r="Y213" s="28" t="str">
        <f t="shared" si="65"/>
        <v/>
      </c>
      <c r="Z213" s="28" t="str">
        <f t="shared" si="66"/>
        <v/>
      </c>
      <c r="AA213" s="28" t="str">
        <f t="shared" si="67"/>
        <v/>
      </c>
      <c r="AB213" s="28" t="str">
        <f t="shared" si="68"/>
        <v/>
      </c>
      <c r="AC213" s="28" t="str">
        <f t="shared" si="80"/>
        <v/>
      </c>
      <c r="AD213" s="27"/>
      <c r="AO213" s="145" t="str">
        <f t="shared" si="81"/>
        <v/>
      </c>
      <c r="AP213" s="144" t="str">
        <f t="shared" si="82"/>
        <v/>
      </c>
    </row>
    <row r="214" spans="3:42" x14ac:dyDescent="0.25">
      <c r="C214" s="12" t="str">
        <f>IFERROR(IF(AvisoErro&lt;&gt;"","",IF(C213+1&gt;PAINEL!$H$8,"",C213+1)),"")</f>
        <v/>
      </c>
      <c r="E214" s="23" t="str">
        <f t="shared" si="69"/>
        <v/>
      </c>
      <c r="F214" s="13" t="str">
        <f>IF(C214="","",IF(E214&lt;&gt;"",E214*PAINEL!$H$7,0))</f>
        <v/>
      </c>
      <c r="G214" s="13" t="str">
        <f>IF(C214="","",IF(PAINEL!$A$4=1,K213/(QTDEParc-C213),IF(AND(PAINEL!$A$4=2,C214&lt;=MomentoContemplação),ValorParcelamento/QTDEParc,K213/(QTDEParc-C213))))</f>
        <v/>
      </c>
      <c r="H214" s="13" t="str">
        <f t="shared" si="70"/>
        <v/>
      </c>
      <c r="I214" s="32" t="str">
        <f t="shared" si="71"/>
        <v/>
      </c>
      <c r="J214" s="14" t="str">
        <f>IF(C214="","",IF(C214=MomentoContemplação,PAINEL!$P$10,0))</f>
        <v/>
      </c>
      <c r="K214" s="14" t="str">
        <f t="shared" si="72"/>
        <v/>
      </c>
      <c r="M214" s="51" t="str">
        <f t="shared" si="73"/>
        <v/>
      </c>
      <c r="N214" s="27" t="str">
        <f t="shared" si="77"/>
        <v/>
      </c>
      <c r="O214" s="27" t="str">
        <f>IF(C214="","",(I214*(1+M214))*(QTDEParc-CÁLCULO!C214)+$F$5-SUM($F$6:F214)-J214)</f>
        <v/>
      </c>
      <c r="P214" s="7" t="str">
        <f t="shared" si="74"/>
        <v/>
      </c>
      <c r="R214" s="44" t="str">
        <f t="shared" si="75"/>
        <v/>
      </c>
      <c r="S214" s="97"/>
      <c r="T214" s="28" t="str">
        <f t="shared" si="76"/>
        <v/>
      </c>
      <c r="U214" s="28" t="str">
        <f t="shared" si="64"/>
        <v/>
      </c>
      <c r="V214" s="7" t="str">
        <f t="shared" si="78"/>
        <v/>
      </c>
      <c r="W214" s="93" t="str">
        <f t="shared" si="83"/>
        <v/>
      </c>
      <c r="X214" s="28" t="str">
        <f t="shared" si="79"/>
        <v/>
      </c>
      <c r="Y214" s="28" t="str">
        <f t="shared" si="65"/>
        <v/>
      </c>
      <c r="Z214" s="28" t="str">
        <f t="shared" si="66"/>
        <v/>
      </c>
      <c r="AA214" s="28" t="str">
        <f t="shared" si="67"/>
        <v/>
      </c>
      <c r="AB214" s="28" t="str">
        <f t="shared" si="68"/>
        <v/>
      </c>
      <c r="AC214" s="28" t="str">
        <f t="shared" si="80"/>
        <v/>
      </c>
      <c r="AD214" s="27"/>
      <c r="AO214" s="145" t="str">
        <f t="shared" si="81"/>
        <v/>
      </c>
      <c r="AP214" s="144" t="str">
        <f t="shared" si="82"/>
        <v/>
      </c>
    </row>
    <row r="215" spans="3:42" x14ac:dyDescent="0.25">
      <c r="C215" s="12" t="str">
        <f>IFERROR(IF(AvisoErro&lt;&gt;"","",IF(C214+1&gt;PAINEL!$H$8,"",C214+1)),"")</f>
        <v/>
      </c>
      <c r="E215" s="23" t="str">
        <f t="shared" si="69"/>
        <v/>
      </c>
      <c r="F215" s="13" t="str">
        <f>IF(C215="","",IF(E215&lt;&gt;"",E215*PAINEL!$H$7,0))</f>
        <v/>
      </c>
      <c r="G215" s="13" t="str">
        <f>IF(C215="","",IF(PAINEL!$A$4=1,K214/(QTDEParc-C214),IF(AND(PAINEL!$A$4=2,C215&lt;=MomentoContemplação),ValorParcelamento/QTDEParc,K214/(QTDEParc-C214))))</f>
        <v/>
      </c>
      <c r="H215" s="13" t="str">
        <f t="shared" si="70"/>
        <v/>
      </c>
      <c r="I215" s="32" t="str">
        <f t="shared" si="71"/>
        <v/>
      </c>
      <c r="J215" s="14" t="str">
        <f>IF(C215="","",IF(C215=MomentoContemplação,PAINEL!$P$10,0))</f>
        <v/>
      </c>
      <c r="K215" s="14" t="str">
        <f t="shared" si="72"/>
        <v/>
      </c>
      <c r="M215" s="51" t="str">
        <f t="shared" si="73"/>
        <v/>
      </c>
      <c r="N215" s="27" t="str">
        <f t="shared" si="77"/>
        <v/>
      </c>
      <c r="O215" s="27" t="str">
        <f>IF(C215="","",(I215*(1+M215))*(QTDEParc-CÁLCULO!C215)+$F$5-SUM($F$6:F215)-J215)</f>
        <v/>
      </c>
      <c r="P215" s="7" t="str">
        <f t="shared" si="74"/>
        <v/>
      </c>
      <c r="R215" s="44" t="str">
        <f t="shared" si="75"/>
        <v/>
      </c>
      <c r="S215" s="97"/>
      <c r="T215" s="28" t="str">
        <f t="shared" si="76"/>
        <v/>
      </c>
      <c r="U215" s="28" t="str">
        <f t="shared" si="64"/>
        <v/>
      </c>
      <c r="V215" s="7" t="str">
        <f t="shared" si="78"/>
        <v/>
      </c>
      <c r="W215" s="93" t="str">
        <f t="shared" si="83"/>
        <v/>
      </c>
      <c r="X215" s="28" t="str">
        <f t="shared" si="79"/>
        <v/>
      </c>
      <c r="Y215" s="28" t="str">
        <f t="shared" si="65"/>
        <v/>
      </c>
      <c r="Z215" s="28" t="str">
        <f t="shared" si="66"/>
        <v/>
      </c>
      <c r="AA215" s="28" t="str">
        <f t="shared" si="67"/>
        <v/>
      </c>
      <c r="AB215" s="28" t="str">
        <f t="shared" si="68"/>
        <v/>
      </c>
      <c r="AC215" s="28" t="str">
        <f t="shared" si="80"/>
        <v/>
      </c>
      <c r="AD215" s="27"/>
      <c r="AO215" s="145" t="str">
        <f t="shared" si="81"/>
        <v/>
      </c>
      <c r="AP215" s="144" t="str">
        <f t="shared" si="82"/>
        <v/>
      </c>
    </row>
    <row r="216" spans="3:42" x14ac:dyDescent="0.25">
      <c r="C216" s="12" t="str">
        <f>IFERROR(IF(AvisoErro&lt;&gt;"","",IF(C215+1&gt;PAINEL!$H$8,"",C215+1)),"")</f>
        <v/>
      </c>
      <c r="E216" s="23" t="str">
        <f t="shared" si="69"/>
        <v/>
      </c>
      <c r="F216" s="13" t="str">
        <f>IF(C216="","",IF(E216&lt;&gt;"",E216*PAINEL!$H$7,0))</f>
        <v/>
      </c>
      <c r="G216" s="13" t="str">
        <f>IF(C216="","",IF(PAINEL!$A$4=1,K215/(QTDEParc-C215),IF(AND(PAINEL!$A$4=2,C216&lt;=MomentoContemplação),ValorParcelamento/QTDEParc,K215/(QTDEParc-C215))))</f>
        <v/>
      </c>
      <c r="H216" s="13" t="str">
        <f t="shared" si="70"/>
        <v/>
      </c>
      <c r="I216" s="32" t="str">
        <f t="shared" si="71"/>
        <v/>
      </c>
      <c r="J216" s="14" t="str">
        <f>IF(C216="","",IF(C216=MomentoContemplação,PAINEL!$P$10,0))</f>
        <v/>
      </c>
      <c r="K216" s="14" t="str">
        <f t="shared" si="72"/>
        <v/>
      </c>
      <c r="M216" s="51" t="str">
        <f t="shared" si="73"/>
        <v/>
      </c>
      <c r="N216" s="27" t="str">
        <f t="shared" si="77"/>
        <v/>
      </c>
      <c r="O216" s="27" t="str">
        <f>IF(C216="","",(I216*(1+M216))*(QTDEParc-CÁLCULO!C216)+$F$5-SUM($F$6:F216)-J216)</f>
        <v/>
      </c>
      <c r="P216" s="7" t="str">
        <f t="shared" si="74"/>
        <v/>
      </c>
      <c r="R216" s="44" t="str">
        <f t="shared" si="75"/>
        <v/>
      </c>
      <c r="S216" s="97"/>
      <c r="T216" s="28" t="str">
        <f t="shared" si="76"/>
        <v/>
      </c>
      <c r="U216" s="28" t="str">
        <f t="shared" si="64"/>
        <v/>
      </c>
      <c r="V216" s="7" t="str">
        <f t="shared" si="78"/>
        <v/>
      </c>
      <c r="W216" s="93" t="str">
        <f t="shared" si="83"/>
        <v/>
      </c>
      <c r="X216" s="28" t="str">
        <f t="shared" si="79"/>
        <v/>
      </c>
      <c r="Y216" s="28" t="str">
        <f t="shared" si="65"/>
        <v/>
      </c>
      <c r="Z216" s="28" t="str">
        <f t="shared" si="66"/>
        <v/>
      </c>
      <c r="AA216" s="28" t="str">
        <f t="shared" si="67"/>
        <v/>
      </c>
      <c r="AB216" s="28" t="str">
        <f t="shared" si="68"/>
        <v/>
      </c>
      <c r="AC216" s="28" t="str">
        <f t="shared" si="80"/>
        <v/>
      </c>
      <c r="AD216" s="27"/>
      <c r="AO216" s="145" t="str">
        <f t="shared" si="81"/>
        <v/>
      </c>
      <c r="AP216" s="144" t="str">
        <f t="shared" si="82"/>
        <v/>
      </c>
    </row>
    <row r="217" spans="3:42" x14ac:dyDescent="0.25">
      <c r="C217" s="12" t="str">
        <f>IFERROR(IF(AvisoErro&lt;&gt;"","",IF(C216+1&gt;PAINEL!$H$8,"",C216+1)),"")</f>
        <v/>
      </c>
      <c r="E217" s="23" t="str">
        <f t="shared" si="69"/>
        <v/>
      </c>
      <c r="F217" s="13" t="str">
        <f>IF(C217="","",IF(E217&lt;&gt;"",E217*PAINEL!$H$7,0))</f>
        <v/>
      </c>
      <c r="G217" s="13" t="str">
        <f>IF(C217="","",IF(PAINEL!$A$4=1,K216/(QTDEParc-C216),IF(AND(PAINEL!$A$4=2,C217&lt;=MomentoContemplação),ValorParcelamento/QTDEParc,K216/(QTDEParc-C216))))</f>
        <v/>
      </c>
      <c r="H217" s="13" t="str">
        <f t="shared" si="70"/>
        <v/>
      </c>
      <c r="I217" s="32" t="str">
        <f t="shared" si="71"/>
        <v/>
      </c>
      <c r="J217" s="14" t="str">
        <f>IF(C217="","",IF(C217=MomentoContemplação,PAINEL!$P$10,0))</f>
        <v/>
      </c>
      <c r="K217" s="14" t="str">
        <f t="shared" si="72"/>
        <v/>
      </c>
      <c r="M217" s="51" t="str">
        <f t="shared" si="73"/>
        <v/>
      </c>
      <c r="N217" s="27" t="str">
        <f t="shared" si="77"/>
        <v/>
      </c>
      <c r="O217" s="27" t="str">
        <f>IF(C217="","",(I217*(1+M217))*(QTDEParc-CÁLCULO!C217)+$F$5-SUM($F$6:F217)-J217)</f>
        <v/>
      </c>
      <c r="P217" s="7" t="str">
        <f t="shared" si="74"/>
        <v/>
      </c>
      <c r="R217" s="44" t="str">
        <f t="shared" si="75"/>
        <v/>
      </c>
      <c r="S217" s="97"/>
      <c r="T217" s="28" t="str">
        <f t="shared" si="76"/>
        <v/>
      </c>
      <c r="U217" s="28" t="str">
        <f t="shared" si="64"/>
        <v/>
      </c>
      <c r="V217" s="7" t="str">
        <f t="shared" si="78"/>
        <v/>
      </c>
      <c r="W217" s="93" t="str">
        <f t="shared" si="83"/>
        <v/>
      </c>
      <c r="X217" s="28" t="str">
        <f t="shared" si="79"/>
        <v/>
      </c>
      <c r="Y217" s="28" t="str">
        <f t="shared" si="65"/>
        <v/>
      </c>
      <c r="Z217" s="28" t="str">
        <f t="shared" si="66"/>
        <v/>
      </c>
      <c r="AA217" s="28" t="str">
        <f t="shared" si="67"/>
        <v/>
      </c>
      <c r="AB217" s="28" t="str">
        <f t="shared" si="68"/>
        <v/>
      </c>
      <c r="AC217" s="28" t="str">
        <f t="shared" si="80"/>
        <v/>
      </c>
      <c r="AD217" s="27"/>
      <c r="AO217" s="145" t="str">
        <f t="shared" si="81"/>
        <v/>
      </c>
      <c r="AP217" s="144" t="str">
        <f t="shared" si="82"/>
        <v/>
      </c>
    </row>
    <row r="218" spans="3:42" x14ac:dyDescent="0.25">
      <c r="C218" s="12" t="str">
        <f>IFERROR(IF(AvisoErro&lt;&gt;"","",IF(C217+1&gt;PAINEL!$H$8,"",C217+1)),"")</f>
        <v/>
      </c>
      <c r="E218" s="23" t="str">
        <f t="shared" si="69"/>
        <v/>
      </c>
      <c r="F218" s="13" t="str">
        <f>IF(C218="","",IF(E218&lt;&gt;"",E218*PAINEL!$H$7,0))</f>
        <v/>
      </c>
      <c r="G218" s="13" t="str">
        <f>IF(C218="","",IF(PAINEL!$A$4=1,K217/(QTDEParc-C217),IF(AND(PAINEL!$A$4=2,C218&lt;=MomentoContemplação),ValorParcelamento/QTDEParc,K217/(QTDEParc-C217))))</f>
        <v/>
      </c>
      <c r="H218" s="13" t="str">
        <f t="shared" si="70"/>
        <v/>
      </c>
      <c r="I218" s="32" t="str">
        <f t="shared" si="71"/>
        <v/>
      </c>
      <c r="J218" s="14" t="str">
        <f>IF(C218="","",IF(C218=MomentoContemplação,PAINEL!$P$10,0))</f>
        <v/>
      </c>
      <c r="K218" s="14" t="str">
        <f t="shared" si="72"/>
        <v/>
      </c>
      <c r="M218" s="51" t="str">
        <f t="shared" si="73"/>
        <v/>
      </c>
      <c r="N218" s="27" t="str">
        <f t="shared" si="77"/>
        <v/>
      </c>
      <c r="O218" s="27" t="str">
        <f>IF(C218="","",(I218*(1+M218))*(QTDEParc-CÁLCULO!C218)+$F$5-SUM($F$6:F218)-J218)</f>
        <v/>
      </c>
      <c r="P218" s="7" t="str">
        <f t="shared" si="74"/>
        <v/>
      </c>
      <c r="R218" s="44" t="str">
        <f t="shared" si="75"/>
        <v/>
      </c>
      <c r="S218" s="97"/>
      <c r="T218" s="28" t="str">
        <f t="shared" si="76"/>
        <v/>
      </c>
      <c r="U218" s="28" t="str">
        <f t="shared" si="64"/>
        <v/>
      </c>
      <c r="V218" s="7" t="str">
        <f t="shared" si="78"/>
        <v/>
      </c>
      <c r="W218" s="93" t="str">
        <f t="shared" si="83"/>
        <v/>
      </c>
      <c r="X218" s="28" t="str">
        <f t="shared" si="79"/>
        <v/>
      </c>
      <c r="Y218" s="28" t="str">
        <f t="shared" si="65"/>
        <v/>
      </c>
      <c r="Z218" s="28" t="str">
        <f t="shared" si="66"/>
        <v/>
      </c>
      <c r="AA218" s="28" t="str">
        <f t="shared" si="67"/>
        <v/>
      </c>
      <c r="AB218" s="28" t="str">
        <f t="shared" si="68"/>
        <v/>
      </c>
      <c r="AC218" s="28" t="str">
        <f t="shared" si="80"/>
        <v/>
      </c>
      <c r="AD218" s="27"/>
      <c r="AO218" s="145" t="str">
        <f t="shared" si="81"/>
        <v/>
      </c>
      <c r="AP218" s="144" t="str">
        <f t="shared" si="82"/>
        <v/>
      </c>
    </row>
    <row r="219" spans="3:42" x14ac:dyDescent="0.25">
      <c r="C219" s="12" t="str">
        <f>IFERROR(IF(AvisoErro&lt;&gt;"","",IF(C218+1&gt;PAINEL!$H$8,"",C218+1)),"")</f>
        <v/>
      </c>
      <c r="E219" s="23" t="str">
        <f t="shared" si="69"/>
        <v/>
      </c>
      <c r="F219" s="13" t="str">
        <f>IF(C219="","",IF(E219&lt;&gt;"",E219*PAINEL!$H$7,0))</f>
        <v/>
      </c>
      <c r="G219" s="13" t="str">
        <f>IF(C219="","",IF(PAINEL!$A$4=1,K218/(QTDEParc-C218),IF(AND(PAINEL!$A$4=2,C219&lt;=MomentoContemplação),ValorParcelamento/QTDEParc,K218/(QTDEParc-C218))))</f>
        <v/>
      </c>
      <c r="H219" s="13" t="str">
        <f t="shared" si="70"/>
        <v/>
      </c>
      <c r="I219" s="32" t="str">
        <f t="shared" si="71"/>
        <v/>
      </c>
      <c r="J219" s="14" t="str">
        <f>IF(C219="","",IF(C219=MomentoContemplação,PAINEL!$P$10,0))</f>
        <v/>
      </c>
      <c r="K219" s="14" t="str">
        <f t="shared" si="72"/>
        <v/>
      </c>
      <c r="M219" s="51" t="str">
        <f t="shared" si="73"/>
        <v/>
      </c>
      <c r="N219" s="27" t="str">
        <f t="shared" si="77"/>
        <v/>
      </c>
      <c r="O219" s="27" t="str">
        <f>IF(C219="","",(I219*(1+M219))*(QTDEParc-CÁLCULO!C219)+$F$5-SUM($F$6:F219)-J219)</f>
        <v/>
      </c>
      <c r="P219" s="7" t="str">
        <f t="shared" si="74"/>
        <v/>
      </c>
      <c r="R219" s="44" t="str">
        <f t="shared" si="75"/>
        <v/>
      </c>
      <c r="S219" s="97"/>
      <c r="T219" s="28" t="str">
        <f t="shared" si="76"/>
        <v/>
      </c>
      <c r="U219" s="28" t="str">
        <f t="shared" si="64"/>
        <v/>
      </c>
      <c r="V219" s="7" t="str">
        <f t="shared" si="78"/>
        <v/>
      </c>
      <c r="W219" s="93" t="str">
        <f t="shared" si="83"/>
        <v/>
      </c>
      <c r="X219" s="28" t="str">
        <f t="shared" si="79"/>
        <v/>
      </c>
      <c r="Y219" s="28" t="str">
        <f t="shared" si="65"/>
        <v/>
      </c>
      <c r="Z219" s="28" t="str">
        <f t="shared" si="66"/>
        <v/>
      </c>
      <c r="AA219" s="28" t="str">
        <f t="shared" si="67"/>
        <v/>
      </c>
      <c r="AB219" s="28" t="str">
        <f t="shared" si="68"/>
        <v/>
      </c>
      <c r="AC219" s="28" t="str">
        <f t="shared" si="80"/>
        <v/>
      </c>
      <c r="AD219" s="27"/>
      <c r="AO219" s="145" t="str">
        <f t="shared" si="81"/>
        <v/>
      </c>
      <c r="AP219" s="144" t="str">
        <f t="shared" si="82"/>
        <v/>
      </c>
    </row>
    <row r="220" spans="3:42" x14ac:dyDescent="0.25">
      <c r="C220" s="12" t="str">
        <f>IFERROR(IF(AvisoErro&lt;&gt;"","",IF(C219+1&gt;PAINEL!$H$8,"",C219+1)),"")</f>
        <v/>
      </c>
      <c r="E220" s="23" t="str">
        <f t="shared" si="69"/>
        <v/>
      </c>
      <c r="F220" s="13" t="str">
        <f>IF(C220="","",IF(E220&lt;&gt;"",E220*PAINEL!$H$7,0))</f>
        <v/>
      </c>
      <c r="G220" s="13" t="str">
        <f>IF(C220="","",IF(PAINEL!$A$4=1,K219/(QTDEParc-C219),IF(AND(PAINEL!$A$4=2,C220&lt;=MomentoContemplação),ValorParcelamento/QTDEParc,K219/(QTDEParc-C219))))</f>
        <v/>
      </c>
      <c r="H220" s="13" t="str">
        <f t="shared" si="70"/>
        <v/>
      </c>
      <c r="I220" s="32" t="str">
        <f t="shared" si="71"/>
        <v/>
      </c>
      <c r="J220" s="14" t="str">
        <f>IF(C220="","",IF(C220=MomentoContemplação,PAINEL!$P$10,0))</f>
        <v/>
      </c>
      <c r="K220" s="14" t="str">
        <f t="shared" si="72"/>
        <v/>
      </c>
      <c r="M220" s="51" t="str">
        <f t="shared" si="73"/>
        <v/>
      </c>
      <c r="N220" s="27" t="str">
        <f t="shared" si="77"/>
        <v/>
      </c>
      <c r="O220" s="27" t="str">
        <f>IF(C220="","",(I220*(1+M220))*(QTDEParc-CÁLCULO!C220)+$F$5-SUM($F$6:F220)-J220)</f>
        <v/>
      </c>
      <c r="P220" s="7" t="str">
        <f t="shared" si="74"/>
        <v/>
      </c>
      <c r="R220" s="44" t="str">
        <f t="shared" si="75"/>
        <v/>
      </c>
      <c r="S220" s="97"/>
      <c r="T220" s="28" t="str">
        <f t="shared" si="76"/>
        <v/>
      </c>
      <c r="U220" s="28" t="str">
        <f t="shared" si="64"/>
        <v/>
      </c>
      <c r="V220" s="7" t="str">
        <f t="shared" si="78"/>
        <v/>
      </c>
      <c r="W220" s="93" t="str">
        <f t="shared" si="83"/>
        <v/>
      </c>
      <c r="X220" s="28" t="str">
        <f t="shared" si="79"/>
        <v/>
      </c>
      <c r="Y220" s="28" t="str">
        <f t="shared" si="65"/>
        <v/>
      </c>
      <c r="Z220" s="28" t="str">
        <f t="shared" si="66"/>
        <v/>
      </c>
      <c r="AA220" s="28" t="str">
        <f t="shared" si="67"/>
        <v/>
      </c>
      <c r="AB220" s="28" t="str">
        <f t="shared" si="68"/>
        <v/>
      </c>
      <c r="AC220" s="28" t="str">
        <f t="shared" si="80"/>
        <v/>
      </c>
      <c r="AD220" s="27"/>
      <c r="AO220" s="145" t="str">
        <f t="shared" si="81"/>
        <v/>
      </c>
      <c r="AP220" s="144" t="str">
        <f t="shared" si="82"/>
        <v/>
      </c>
    </row>
    <row r="221" spans="3:42" x14ac:dyDescent="0.25">
      <c r="C221" s="12" t="str">
        <f>IFERROR(IF(AvisoErro&lt;&gt;"","",IF(C220+1&gt;PAINEL!$H$8,"",C220+1)),"")</f>
        <v/>
      </c>
      <c r="E221" s="23" t="str">
        <f t="shared" si="69"/>
        <v/>
      </c>
      <c r="F221" s="13" t="str">
        <f>IF(C221="","",IF(E221&lt;&gt;"",E221*PAINEL!$H$7,0))</f>
        <v/>
      </c>
      <c r="G221" s="13" t="str">
        <f>IF(C221="","",IF(PAINEL!$A$4=1,K220/(QTDEParc-C220),IF(AND(PAINEL!$A$4=2,C221&lt;=MomentoContemplação),ValorParcelamento/QTDEParc,K220/(QTDEParc-C220))))</f>
        <v/>
      </c>
      <c r="H221" s="13" t="str">
        <f t="shared" si="70"/>
        <v/>
      </c>
      <c r="I221" s="32" t="str">
        <f t="shared" si="71"/>
        <v/>
      </c>
      <c r="J221" s="14" t="str">
        <f>IF(C221="","",IF(C221=MomentoContemplação,PAINEL!$P$10,0))</f>
        <v/>
      </c>
      <c r="K221" s="14" t="str">
        <f t="shared" si="72"/>
        <v/>
      </c>
      <c r="M221" s="51" t="str">
        <f t="shared" si="73"/>
        <v/>
      </c>
      <c r="N221" s="27" t="str">
        <f t="shared" si="77"/>
        <v/>
      </c>
      <c r="O221" s="27" t="str">
        <f>IF(C221="","",(I221*(1+M221))*(QTDEParc-CÁLCULO!C221)+$F$5-SUM($F$6:F221)-J221)</f>
        <v/>
      </c>
      <c r="P221" s="7" t="str">
        <f t="shared" si="74"/>
        <v/>
      </c>
      <c r="R221" s="44" t="str">
        <f t="shared" si="75"/>
        <v/>
      </c>
      <c r="S221" s="97"/>
      <c r="T221" s="28" t="str">
        <f t="shared" si="76"/>
        <v/>
      </c>
      <c r="U221" s="28" t="str">
        <f t="shared" si="64"/>
        <v/>
      </c>
      <c r="V221" s="7" t="str">
        <f t="shared" si="78"/>
        <v/>
      </c>
      <c r="W221" s="93" t="str">
        <f t="shared" si="83"/>
        <v/>
      </c>
      <c r="X221" s="28" t="str">
        <f t="shared" si="79"/>
        <v/>
      </c>
      <c r="Y221" s="28" t="str">
        <f t="shared" si="65"/>
        <v/>
      </c>
      <c r="Z221" s="28" t="str">
        <f t="shared" si="66"/>
        <v/>
      </c>
      <c r="AA221" s="28" t="str">
        <f t="shared" si="67"/>
        <v/>
      </c>
      <c r="AB221" s="28" t="str">
        <f t="shared" si="68"/>
        <v/>
      </c>
      <c r="AC221" s="28" t="str">
        <f t="shared" si="80"/>
        <v/>
      </c>
      <c r="AD221" s="27"/>
      <c r="AO221" s="145" t="str">
        <f t="shared" si="81"/>
        <v/>
      </c>
      <c r="AP221" s="144" t="str">
        <f t="shared" si="82"/>
        <v/>
      </c>
    </row>
    <row r="222" spans="3:42" x14ac:dyDescent="0.25">
      <c r="C222" s="12" t="str">
        <f>IFERROR(IF(AvisoErro&lt;&gt;"","",IF(C221+1&gt;PAINEL!$H$8,"",C221+1)),"")</f>
        <v/>
      </c>
      <c r="E222" s="23" t="str">
        <f t="shared" si="69"/>
        <v/>
      </c>
      <c r="F222" s="13" t="str">
        <f>IF(C222="","",IF(E222&lt;&gt;"",E222*PAINEL!$H$7,0))</f>
        <v/>
      </c>
      <c r="G222" s="13" t="str">
        <f>IF(C222="","",IF(PAINEL!$A$4=1,K221/(QTDEParc-C221),IF(AND(PAINEL!$A$4=2,C222&lt;=MomentoContemplação),ValorParcelamento/QTDEParc,K221/(QTDEParc-C221))))</f>
        <v/>
      </c>
      <c r="H222" s="13" t="str">
        <f t="shared" si="70"/>
        <v/>
      </c>
      <c r="I222" s="32" t="str">
        <f t="shared" si="71"/>
        <v/>
      </c>
      <c r="J222" s="14" t="str">
        <f>IF(C222="","",IF(C222=MomentoContemplação,PAINEL!$P$10,0))</f>
        <v/>
      </c>
      <c r="K222" s="14" t="str">
        <f t="shared" si="72"/>
        <v/>
      </c>
      <c r="M222" s="51" t="str">
        <f t="shared" si="73"/>
        <v/>
      </c>
      <c r="N222" s="27" t="str">
        <f t="shared" si="77"/>
        <v/>
      </c>
      <c r="O222" s="27" t="str">
        <f>IF(C222="","",(I222*(1+M222))*(QTDEParc-CÁLCULO!C222)+$F$5-SUM($F$6:F222)-J222)</f>
        <v/>
      </c>
      <c r="P222" s="7" t="str">
        <f t="shared" si="74"/>
        <v/>
      </c>
      <c r="R222" s="44" t="str">
        <f t="shared" si="75"/>
        <v/>
      </c>
      <c r="S222" s="97"/>
      <c r="T222" s="28" t="str">
        <f t="shared" si="76"/>
        <v/>
      </c>
      <c r="U222" s="28" t="str">
        <f t="shared" si="64"/>
        <v/>
      </c>
      <c r="V222" s="7" t="str">
        <f t="shared" si="78"/>
        <v/>
      </c>
      <c r="W222" s="93" t="str">
        <f t="shared" si="83"/>
        <v/>
      </c>
      <c r="X222" s="28" t="str">
        <f t="shared" si="79"/>
        <v/>
      </c>
      <c r="Y222" s="28" t="str">
        <f t="shared" si="65"/>
        <v/>
      </c>
      <c r="Z222" s="28" t="str">
        <f t="shared" si="66"/>
        <v/>
      </c>
      <c r="AA222" s="28" t="str">
        <f t="shared" si="67"/>
        <v/>
      </c>
      <c r="AB222" s="28" t="str">
        <f t="shared" si="68"/>
        <v/>
      </c>
      <c r="AC222" s="28" t="str">
        <f t="shared" si="80"/>
        <v/>
      </c>
      <c r="AD222" s="27"/>
      <c r="AO222" s="145" t="str">
        <f t="shared" si="81"/>
        <v/>
      </c>
      <c r="AP222" s="144" t="str">
        <f t="shared" si="82"/>
        <v/>
      </c>
    </row>
    <row r="223" spans="3:42" x14ac:dyDescent="0.25">
      <c r="C223" s="12" t="str">
        <f>IFERROR(IF(AvisoErro&lt;&gt;"","",IF(C222+1&gt;PAINEL!$H$8,"",C222+1)),"")</f>
        <v/>
      </c>
      <c r="E223" s="23" t="str">
        <f t="shared" si="69"/>
        <v/>
      </c>
      <c r="F223" s="13" t="str">
        <f>IF(C223="","",IF(E223&lt;&gt;"",E223*PAINEL!$H$7,0))</f>
        <v/>
      </c>
      <c r="G223" s="13" t="str">
        <f>IF(C223="","",IF(PAINEL!$A$4=1,K222/(QTDEParc-C222),IF(AND(PAINEL!$A$4=2,C223&lt;=MomentoContemplação),ValorParcelamento/QTDEParc,K222/(QTDEParc-C222))))</f>
        <v/>
      </c>
      <c r="H223" s="13" t="str">
        <f t="shared" si="70"/>
        <v/>
      </c>
      <c r="I223" s="32" t="str">
        <f t="shared" si="71"/>
        <v/>
      </c>
      <c r="J223" s="14" t="str">
        <f>IF(C223="","",IF(C223=MomentoContemplação,PAINEL!$P$10,0))</f>
        <v/>
      </c>
      <c r="K223" s="14" t="str">
        <f t="shared" si="72"/>
        <v/>
      </c>
      <c r="M223" s="51" t="str">
        <f t="shared" si="73"/>
        <v/>
      </c>
      <c r="N223" s="27" t="str">
        <f t="shared" si="77"/>
        <v/>
      </c>
      <c r="O223" s="27" t="str">
        <f>IF(C223="","",(I223*(1+M223))*(QTDEParc-CÁLCULO!C223)+$F$5-SUM($F$6:F223)-J223)</f>
        <v/>
      </c>
      <c r="P223" s="7" t="str">
        <f t="shared" si="74"/>
        <v/>
      </c>
      <c r="R223" s="44" t="str">
        <f t="shared" si="75"/>
        <v/>
      </c>
      <c r="S223" s="97"/>
      <c r="T223" s="28" t="str">
        <f t="shared" si="76"/>
        <v/>
      </c>
      <c r="U223" s="28" t="str">
        <f t="shared" si="64"/>
        <v/>
      </c>
      <c r="V223" s="7" t="str">
        <f t="shared" si="78"/>
        <v/>
      </c>
      <c r="W223" s="93" t="str">
        <f t="shared" si="83"/>
        <v/>
      </c>
      <c r="X223" s="28" t="str">
        <f t="shared" si="79"/>
        <v/>
      </c>
      <c r="Y223" s="28" t="str">
        <f t="shared" si="65"/>
        <v/>
      </c>
      <c r="Z223" s="28" t="str">
        <f t="shared" si="66"/>
        <v/>
      </c>
      <c r="AA223" s="28" t="str">
        <f t="shared" si="67"/>
        <v/>
      </c>
      <c r="AB223" s="28" t="str">
        <f t="shared" si="68"/>
        <v/>
      </c>
      <c r="AC223" s="28" t="str">
        <f t="shared" si="80"/>
        <v/>
      </c>
      <c r="AD223" s="27"/>
      <c r="AO223" s="145" t="str">
        <f t="shared" si="81"/>
        <v/>
      </c>
      <c r="AP223" s="144" t="str">
        <f t="shared" si="82"/>
        <v/>
      </c>
    </row>
    <row r="224" spans="3:42" x14ac:dyDescent="0.25">
      <c r="C224" s="12" t="str">
        <f>IFERROR(IF(AvisoErro&lt;&gt;"","",IF(C223+1&gt;PAINEL!$H$8,"",C223+1)),"")</f>
        <v/>
      </c>
      <c r="E224" s="23" t="str">
        <f t="shared" si="69"/>
        <v/>
      </c>
      <c r="F224" s="13" t="str">
        <f>IF(C224="","",IF(E224&lt;&gt;"",E224*PAINEL!$H$7,0))</f>
        <v/>
      </c>
      <c r="G224" s="13" t="str">
        <f>IF(C224="","",IF(PAINEL!$A$4=1,K223/(QTDEParc-C223),IF(AND(PAINEL!$A$4=2,C224&lt;=MomentoContemplação),ValorParcelamento/QTDEParc,K223/(QTDEParc-C223))))</f>
        <v/>
      </c>
      <c r="H224" s="13" t="str">
        <f t="shared" si="70"/>
        <v/>
      </c>
      <c r="I224" s="32" t="str">
        <f t="shared" si="71"/>
        <v/>
      </c>
      <c r="J224" s="14" t="str">
        <f>IF(C224="","",IF(C224=MomentoContemplação,PAINEL!$P$10,0))</f>
        <v/>
      </c>
      <c r="K224" s="14" t="str">
        <f t="shared" si="72"/>
        <v/>
      </c>
      <c r="M224" s="51" t="str">
        <f t="shared" si="73"/>
        <v/>
      </c>
      <c r="N224" s="27" t="str">
        <f t="shared" si="77"/>
        <v/>
      </c>
      <c r="O224" s="27" t="str">
        <f>IF(C224="","",(I224*(1+M224))*(QTDEParc-CÁLCULO!C224)+$F$5-SUM($F$6:F224)-J224)</f>
        <v/>
      </c>
      <c r="P224" s="7" t="str">
        <f t="shared" si="74"/>
        <v/>
      </c>
      <c r="R224" s="44" t="str">
        <f t="shared" si="75"/>
        <v/>
      </c>
      <c r="S224" s="97"/>
      <c r="T224" s="28" t="str">
        <f t="shared" si="76"/>
        <v/>
      </c>
      <c r="U224" s="28" t="str">
        <f t="shared" si="64"/>
        <v/>
      </c>
      <c r="V224" s="7" t="str">
        <f t="shared" si="78"/>
        <v/>
      </c>
      <c r="W224" s="93" t="str">
        <f t="shared" si="83"/>
        <v/>
      </c>
      <c r="X224" s="28" t="str">
        <f t="shared" si="79"/>
        <v/>
      </c>
      <c r="Y224" s="28" t="str">
        <f t="shared" si="65"/>
        <v/>
      </c>
      <c r="Z224" s="28" t="str">
        <f t="shared" si="66"/>
        <v/>
      </c>
      <c r="AA224" s="28" t="str">
        <f t="shared" si="67"/>
        <v/>
      </c>
      <c r="AB224" s="28" t="str">
        <f t="shared" si="68"/>
        <v/>
      </c>
      <c r="AC224" s="28" t="str">
        <f t="shared" si="80"/>
        <v/>
      </c>
      <c r="AD224" s="27"/>
      <c r="AO224" s="145" t="str">
        <f t="shared" si="81"/>
        <v/>
      </c>
      <c r="AP224" s="144" t="str">
        <f t="shared" si="82"/>
        <v/>
      </c>
    </row>
    <row r="225" spans="3:42" x14ac:dyDescent="0.25">
      <c r="C225" s="12" t="str">
        <f>IFERROR(IF(AvisoErro&lt;&gt;"","",IF(C224+1&gt;PAINEL!$H$8,"",C224+1)),"")</f>
        <v/>
      </c>
      <c r="E225" s="23" t="str">
        <f t="shared" si="69"/>
        <v/>
      </c>
      <c r="F225" s="13" t="str">
        <f>IF(C225="","",IF(E225&lt;&gt;"",E225*PAINEL!$H$7,0))</f>
        <v/>
      </c>
      <c r="G225" s="13" t="str">
        <f>IF(C225="","",IF(PAINEL!$A$4=1,K224/(QTDEParc-C224),IF(AND(PAINEL!$A$4=2,C225&lt;=MomentoContemplação),ValorParcelamento/QTDEParc,K224/(QTDEParc-C224))))</f>
        <v/>
      </c>
      <c r="H225" s="13" t="str">
        <f t="shared" si="70"/>
        <v/>
      </c>
      <c r="I225" s="32" t="str">
        <f t="shared" si="71"/>
        <v/>
      </c>
      <c r="J225" s="14" t="str">
        <f>IF(C225="","",IF(C225=MomentoContemplação,PAINEL!$P$10,0))</f>
        <v/>
      </c>
      <c r="K225" s="14" t="str">
        <f t="shared" si="72"/>
        <v/>
      </c>
      <c r="M225" s="51" t="str">
        <f t="shared" si="73"/>
        <v/>
      </c>
      <c r="N225" s="27" t="str">
        <f t="shared" si="77"/>
        <v/>
      </c>
      <c r="O225" s="27" t="str">
        <f>IF(C225="","",(I225*(1+M225))*(QTDEParc-CÁLCULO!C225)+$F$5-SUM($F$6:F225)-J225)</f>
        <v/>
      </c>
      <c r="P225" s="7" t="str">
        <f t="shared" si="74"/>
        <v/>
      </c>
      <c r="R225" s="44" t="str">
        <f t="shared" si="75"/>
        <v/>
      </c>
      <c r="S225" s="97"/>
      <c r="T225" s="28" t="str">
        <f t="shared" si="76"/>
        <v/>
      </c>
      <c r="U225" s="28" t="str">
        <f t="shared" si="64"/>
        <v/>
      </c>
      <c r="V225" s="7" t="str">
        <f t="shared" si="78"/>
        <v/>
      </c>
      <c r="W225" s="93" t="str">
        <f t="shared" si="83"/>
        <v/>
      </c>
      <c r="X225" s="28" t="str">
        <f t="shared" si="79"/>
        <v/>
      </c>
      <c r="Y225" s="28" t="str">
        <f t="shared" si="65"/>
        <v/>
      </c>
      <c r="Z225" s="28" t="str">
        <f t="shared" si="66"/>
        <v/>
      </c>
      <c r="AA225" s="28" t="str">
        <f t="shared" si="67"/>
        <v/>
      </c>
      <c r="AB225" s="28" t="str">
        <f t="shared" si="68"/>
        <v/>
      </c>
      <c r="AC225" s="28" t="str">
        <f t="shared" si="80"/>
        <v/>
      </c>
      <c r="AD225" s="27"/>
      <c r="AO225" s="145" t="str">
        <f t="shared" si="81"/>
        <v/>
      </c>
      <c r="AP225" s="144" t="str">
        <f t="shared" si="82"/>
        <v/>
      </c>
    </row>
    <row r="226" spans="3:42" x14ac:dyDescent="0.25">
      <c r="C226" s="12" t="str">
        <f>IFERROR(IF(AvisoErro&lt;&gt;"","",IF(C225+1&gt;PAINEL!$H$8,"",C225+1)),"")</f>
        <v/>
      </c>
      <c r="E226" s="23" t="str">
        <f t="shared" si="69"/>
        <v/>
      </c>
      <c r="F226" s="13" t="str">
        <f>IF(C226="","",IF(E226&lt;&gt;"",E226*PAINEL!$H$7,0))</f>
        <v/>
      </c>
      <c r="G226" s="13" t="str">
        <f>IF(C226="","",IF(PAINEL!$A$4=1,K225/(QTDEParc-C225),IF(AND(PAINEL!$A$4=2,C226&lt;=MomentoContemplação),ValorParcelamento/QTDEParc,K225/(QTDEParc-C225))))</f>
        <v/>
      </c>
      <c r="H226" s="13" t="str">
        <f t="shared" si="70"/>
        <v/>
      </c>
      <c r="I226" s="32" t="str">
        <f t="shared" si="71"/>
        <v/>
      </c>
      <c r="J226" s="14" t="str">
        <f>IF(C226="","",IF(C226=MomentoContemplação,PAINEL!$P$10,0))</f>
        <v/>
      </c>
      <c r="K226" s="14" t="str">
        <f t="shared" si="72"/>
        <v/>
      </c>
      <c r="M226" s="51" t="str">
        <f t="shared" si="73"/>
        <v/>
      </c>
      <c r="N226" s="27" t="str">
        <f t="shared" si="77"/>
        <v/>
      </c>
      <c r="O226" s="27" t="str">
        <f>IF(C226="","",(I226*(1+M226))*(QTDEParc-CÁLCULO!C226)+$F$5-SUM($F$6:F226)-J226)</f>
        <v/>
      </c>
      <c r="P226" s="7" t="str">
        <f t="shared" si="74"/>
        <v/>
      </c>
      <c r="R226" s="44" t="str">
        <f t="shared" si="75"/>
        <v/>
      </c>
      <c r="S226" s="97"/>
      <c r="T226" s="28" t="str">
        <f t="shared" si="76"/>
        <v/>
      </c>
      <c r="U226" s="28" t="str">
        <f t="shared" si="64"/>
        <v/>
      </c>
      <c r="V226" s="7" t="str">
        <f t="shared" si="78"/>
        <v/>
      </c>
      <c r="W226" s="93" t="str">
        <f t="shared" si="83"/>
        <v/>
      </c>
      <c r="X226" s="28" t="str">
        <f t="shared" si="79"/>
        <v/>
      </c>
      <c r="Y226" s="28" t="str">
        <f t="shared" si="65"/>
        <v/>
      </c>
      <c r="Z226" s="28" t="str">
        <f t="shared" si="66"/>
        <v/>
      </c>
      <c r="AA226" s="28" t="str">
        <f t="shared" si="67"/>
        <v/>
      </c>
      <c r="AB226" s="28" t="str">
        <f t="shared" si="68"/>
        <v/>
      </c>
      <c r="AC226" s="28" t="str">
        <f t="shared" si="80"/>
        <v/>
      </c>
      <c r="AD226" s="27"/>
      <c r="AO226" s="145" t="str">
        <f t="shared" si="81"/>
        <v/>
      </c>
      <c r="AP226" s="144" t="str">
        <f t="shared" si="82"/>
        <v/>
      </c>
    </row>
    <row r="227" spans="3:42" x14ac:dyDescent="0.25">
      <c r="C227" s="12" t="str">
        <f>IFERROR(IF(AvisoErro&lt;&gt;"","",IF(C226+1&gt;PAINEL!$H$8,"",C226+1)),"")</f>
        <v/>
      </c>
      <c r="E227" s="23" t="str">
        <f t="shared" si="69"/>
        <v/>
      </c>
      <c r="F227" s="13" t="str">
        <f>IF(C227="","",IF(E227&lt;&gt;"",E227*PAINEL!$H$7,0))</f>
        <v/>
      </c>
      <c r="G227" s="13" t="str">
        <f>IF(C227="","",IF(PAINEL!$A$4=1,K226/(QTDEParc-C226),IF(AND(PAINEL!$A$4=2,C227&lt;=MomentoContemplação),ValorParcelamento/QTDEParc,K226/(QTDEParc-C226))))</f>
        <v/>
      </c>
      <c r="H227" s="13" t="str">
        <f t="shared" si="70"/>
        <v/>
      </c>
      <c r="I227" s="32" t="str">
        <f t="shared" si="71"/>
        <v/>
      </c>
      <c r="J227" s="14" t="str">
        <f>IF(C227="","",IF(C227=MomentoContemplação,PAINEL!$P$10,0))</f>
        <v/>
      </c>
      <c r="K227" s="14" t="str">
        <f t="shared" si="72"/>
        <v/>
      </c>
      <c r="M227" s="51" t="str">
        <f t="shared" si="73"/>
        <v/>
      </c>
      <c r="N227" s="27" t="str">
        <f t="shared" si="77"/>
        <v/>
      </c>
      <c r="O227" s="27" t="str">
        <f>IF(C227="","",(I227*(1+M227))*(QTDEParc-CÁLCULO!C227)+$F$5-SUM($F$6:F227)-J227)</f>
        <v/>
      </c>
      <c r="P227" s="7" t="str">
        <f t="shared" si="74"/>
        <v/>
      </c>
      <c r="R227" s="44" t="str">
        <f t="shared" si="75"/>
        <v/>
      </c>
      <c r="S227" s="97"/>
      <c r="T227" s="28" t="str">
        <f t="shared" si="76"/>
        <v/>
      </c>
      <c r="U227" s="28" t="str">
        <f t="shared" si="64"/>
        <v/>
      </c>
      <c r="V227" s="7" t="str">
        <f t="shared" si="78"/>
        <v/>
      </c>
      <c r="W227" s="93" t="str">
        <f t="shared" si="83"/>
        <v/>
      </c>
      <c r="X227" s="28" t="str">
        <f t="shared" si="79"/>
        <v/>
      </c>
      <c r="Y227" s="28" t="str">
        <f t="shared" si="65"/>
        <v/>
      </c>
      <c r="Z227" s="28" t="str">
        <f t="shared" si="66"/>
        <v/>
      </c>
      <c r="AA227" s="28" t="str">
        <f t="shared" si="67"/>
        <v/>
      </c>
      <c r="AB227" s="28" t="str">
        <f t="shared" si="68"/>
        <v/>
      </c>
      <c r="AC227" s="28" t="str">
        <f t="shared" si="80"/>
        <v/>
      </c>
      <c r="AD227" s="27"/>
      <c r="AO227" s="145" t="str">
        <f t="shared" si="81"/>
        <v/>
      </c>
      <c r="AP227" s="144" t="str">
        <f t="shared" si="82"/>
        <v/>
      </c>
    </row>
    <row r="228" spans="3:42" x14ac:dyDescent="0.25">
      <c r="C228" s="12" t="str">
        <f>IFERROR(IF(AvisoErro&lt;&gt;"","",IF(C227+1&gt;PAINEL!$H$8,"",C227+1)),"")</f>
        <v/>
      </c>
      <c r="E228" s="23" t="str">
        <f t="shared" si="69"/>
        <v/>
      </c>
      <c r="F228" s="13" t="str">
        <f>IF(C228="","",IF(E228&lt;&gt;"",E228*PAINEL!$H$7,0))</f>
        <v/>
      </c>
      <c r="G228" s="13" t="str">
        <f>IF(C228="","",IF(PAINEL!$A$4=1,K227/(QTDEParc-C227),IF(AND(PAINEL!$A$4=2,C228&lt;=MomentoContemplação),ValorParcelamento/QTDEParc,K227/(QTDEParc-C227))))</f>
        <v/>
      </c>
      <c r="H228" s="13" t="str">
        <f t="shared" si="70"/>
        <v/>
      </c>
      <c r="I228" s="32" t="str">
        <f t="shared" si="71"/>
        <v/>
      </c>
      <c r="J228" s="14" t="str">
        <f>IF(C228="","",IF(C228=MomentoContemplação,PAINEL!$P$10,0))</f>
        <v/>
      </c>
      <c r="K228" s="14" t="str">
        <f t="shared" si="72"/>
        <v/>
      </c>
      <c r="M228" s="51" t="str">
        <f t="shared" si="73"/>
        <v/>
      </c>
      <c r="N228" s="27" t="str">
        <f t="shared" si="77"/>
        <v/>
      </c>
      <c r="O228" s="27" t="str">
        <f>IF(C228="","",(I228*(1+M228))*(QTDEParc-CÁLCULO!C228)+$F$5-SUM($F$6:F228)-J228)</f>
        <v/>
      </c>
      <c r="P228" s="7" t="str">
        <f t="shared" si="74"/>
        <v/>
      </c>
      <c r="R228" s="44" t="str">
        <f t="shared" si="75"/>
        <v/>
      </c>
      <c r="S228" s="97"/>
      <c r="T228" s="28" t="str">
        <f t="shared" si="76"/>
        <v/>
      </c>
      <c r="U228" s="28" t="str">
        <f t="shared" si="64"/>
        <v/>
      </c>
      <c r="V228" s="7" t="str">
        <f t="shared" si="78"/>
        <v/>
      </c>
      <c r="W228" s="93" t="str">
        <f t="shared" si="83"/>
        <v/>
      </c>
      <c r="X228" s="28" t="str">
        <f t="shared" si="79"/>
        <v/>
      </c>
      <c r="Y228" s="28" t="str">
        <f t="shared" si="65"/>
        <v/>
      </c>
      <c r="Z228" s="28" t="str">
        <f t="shared" si="66"/>
        <v/>
      </c>
      <c r="AA228" s="28" t="str">
        <f t="shared" si="67"/>
        <v/>
      </c>
      <c r="AB228" s="28" t="str">
        <f t="shared" si="68"/>
        <v/>
      </c>
      <c r="AC228" s="28" t="str">
        <f t="shared" si="80"/>
        <v/>
      </c>
      <c r="AD228" s="27"/>
      <c r="AO228" s="145" t="str">
        <f t="shared" si="81"/>
        <v/>
      </c>
      <c r="AP228" s="144" t="str">
        <f t="shared" si="82"/>
        <v/>
      </c>
    </row>
    <row r="229" spans="3:42" x14ac:dyDescent="0.25">
      <c r="C229" s="12" t="str">
        <f>IFERROR(IF(AvisoErro&lt;&gt;"","",IF(C228+1&gt;PAINEL!$H$8,"",C228+1)),"")</f>
        <v/>
      </c>
      <c r="E229" s="23" t="str">
        <f t="shared" si="69"/>
        <v/>
      </c>
      <c r="F229" s="13" t="str">
        <f>IF(C229="","",IF(E229&lt;&gt;"",E229*PAINEL!$H$7,0))</f>
        <v/>
      </c>
      <c r="G229" s="13" t="str">
        <f>IF(C229="","",IF(PAINEL!$A$4=1,K228/(QTDEParc-C228),IF(AND(PAINEL!$A$4=2,C229&lt;=MomentoContemplação),ValorParcelamento/QTDEParc,K228/(QTDEParc-C228))))</f>
        <v/>
      </c>
      <c r="H229" s="13" t="str">
        <f t="shared" si="70"/>
        <v/>
      </c>
      <c r="I229" s="32" t="str">
        <f t="shared" si="71"/>
        <v/>
      </c>
      <c r="J229" s="14" t="str">
        <f>IF(C229="","",IF(C229=MomentoContemplação,PAINEL!$P$10,0))</f>
        <v/>
      </c>
      <c r="K229" s="14" t="str">
        <f t="shared" si="72"/>
        <v/>
      </c>
      <c r="M229" s="51" t="str">
        <f t="shared" si="73"/>
        <v/>
      </c>
      <c r="N229" s="27" t="str">
        <f t="shared" si="77"/>
        <v/>
      </c>
      <c r="O229" s="27" t="str">
        <f>IF(C229="","",(I229*(1+M229))*(QTDEParc-CÁLCULO!C229)+$F$5-SUM($F$6:F229)-J229)</f>
        <v/>
      </c>
      <c r="P229" s="7" t="str">
        <f t="shared" si="74"/>
        <v/>
      </c>
      <c r="R229" s="44" t="str">
        <f t="shared" si="75"/>
        <v/>
      </c>
      <c r="S229" s="97"/>
      <c r="T229" s="28" t="str">
        <f t="shared" si="76"/>
        <v/>
      </c>
      <c r="U229" s="28" t="str">
        <f t="shared" si="64"/>
        <v/>
      </c>
      <c r="V229" s="7" t="str">
        <f t="shared" si="78"/>
        <v/>
      </c>
      <c r="W229" s="93" t="str">
        <f t="shared" si="83"/>
        <v/>
      </c>
      <c r="X229" s="28" t="str">
        <f t="shared" si="79"/>
        <v/>
      </c>
      <c r="Y229" s="28" t="str">
        <f t="shared" si="65"/>
        <v/>
      </c>
      <c r="Z229" s="28" t="str">
        <f t="shared" si="66"/>
        <v/>
      </c>
      <c r="AA229" s="28" t="str">
        <f t="shared" si="67"/>
        <v/>
      </c>
      <c r="AB229" s="28" t="str">
        <f t="shared" si="68"/>
        <v/>
      </c>
      <c r="AC229" s="28" t="str">
        <f t="shared" si="80"/>
        <v/>
      </c>
      <c r="AD229" s="27"/>
      <c r="AO229" s="145" t="str">
        <f t="shared" si="81"/>
        <v/>
      </c>
      <c r="AP229" s="144" t="str">
        <f t="shared" si="82"/>
        <v/>
      </c>
    </row>
    <row r="230" spans="3:42" x14ac:dyDescent="0.25">
      <c r="C230" s="12" t="str">
        <f>IFERROR(IF(AvisoErro&lt;&gt;"","",IF(C229+1&gt;PAINEL!$H$8,"",C229+1)),"")</f>
        <v/>
      </c>
      <c r="E230" s="23" t="str">
        <f t="shared" si="69"/>
        <v/>
      </c>
      <c r="F230" s="13" t="str">
        <f>IF(C230="","",IF(E230&lt;&gt;"",E230*PAINEL!$H$7,0))</f>
        <v/>
      </c>
      <c r="G230" s="13" t="str">
        <f>IF(C230="","",IF(PAINEL!$A$4=1,K229/(QTDEParc-C229),IF(AND(PAINEL!$A$4=2,C230&lt;=MomentoContemplação),ValorParcelamento/QTDEParc,K229/(QTDEParc-C229))))</f>
        <v/>
      </c>
      <c r="H230" s="13" t="str">
        <f t="shared" si="70"/>
        <v/>
      </c>
      <c r="I230" s="32" t="str">
        <f t="shared" si="71"/>
        <v/>
      </c>
      <c r="J230" s="14" t="str">
        <f>IF(C230="","",IF(C230=MomentoContemplação,PAINEL!$P$10,0))</f>
        <v/>
      </c>
      <c r="K230" s="14" t="str">
        <f t="shared" si="72"/>
        <v/>
      </c>
      <c r="M230" s="51" t="str">
        <f t="shared" si="73"/>
        <v/>
      </c>
      <c r="N230" s="27" t="str">
        <f t="shared" si="77"/>
        <v/>
      </c>
      <c r="O230" s="27" t="str">
        <f>IF(C230="","",(I230*(1+M230))*(QTDEParc-CÁLCULO!C230)+$F$5-SUM($F$6:F230)-J230)</f>
        <v/>
      </c>
      <c r="P230" s="7" t="str">
        <f t="shared" si="74"/>
        <v/>
      </c>
      <c r="R230" s="44" t="str">
        <f t="shared" si="75"/>
        <v/>
      </c>
      <c r="S230" s="97"/>
      <c r="T230" s="28" t="str">
        <f t="shared" si="76"/>
        <v/>
      </c>
      <c r="U230" s="28" t="str">
        <f t="shared" si="64"/>
        <v/>
      </c>
      <c r="V230" s="7" t="str">
        <f t="shared" si="78"/>
        <v/>
      </c>
      <c r="W230" s="93" t="str">
        <f t="shared" si="83"/>
        <v/>
      </c>
      <c r="X230" s="28" t="str">
        <f t="shared" si="79"/>
        <v/>
      </c>
      <c r="Y230" s="28" t="str">
        <f t="shared" si="65"/>
        <v/>
      </c>
      <c r="Z230" s="28" t="str">
        <f t="shared" si="66"/>
        <v/>
      </c>
      <c r="AA230" s="28" t="str">
        <f t="shared" si="67"/>
        <v/>
      </c>
      <c r="AB230" s="28" t="str">
        <f t="shared" si="68"/>
        <v/>
      </c>
      <c r="AC230" s="28" t="str">
        <f t="shared" si="80"/>
        <v/>
      </c>
      <c r="AD230" s="27"/>
      <c r="AO230" s="145" t="str">
        <f t="shared" si="81"/>
        <v/>
      </c>
      <c r="AP230" s="144" t="str">
        <f t="shared" si="82"/>
        <v/>
      </c>
    </row>
    <row r="231" spans="3:42" x14ac:dyDescent="0.25">
      <c r="C231" s="12" t="str">
        <f>IFERROR(IF(AvisoErro&lt;&gt;"","",IF(C230+1&gt;PAINEL!$H$8,"",C230+1)),"")</f>
        <v/>
      </c>
      <c r="E231" s="23" t="str">
        <f t="shared" si="69"/>
        <v/>
      </c>
      <c r="F231" s="13" t="str">
        <f>IF(C231="","",IF(E231&lt;&gt;"",E231*PAINEL!$H$7,0))</f>
        <v/>
      </c>
      <c r="G231" s="13" t="str">
        <f>IF(C231="","",IF(PAINEL!$A$4=1,K230/(QTDEParc-C230),IF(AND(PAINEL!$A$4=2,C231&lt;=MomentoContemplação),ValorParcelamento/QTDEParc,K230/(QTDEParc-C230))))</f>
        <v/>
      </c>
      <c r="H231" s="13" t="str">
        <f t="shared" si="70"/>
        <v/>
      </c>
      <c r="I231" s="32" t="str">
        <f t="shared" si="71"/>
        <v/>
      </c>
      <c r="J231" s="14" t="str">
        <f>IF(C231="","",IF(C231=MomentoContemplação,PAINEL!$P$10,0))</f>
        <v/>
      </c>
      <c r="K231" s="14" t="str">
        <f t="shared" si="72"/>
        <v/>
      </c>
      <c r="M231" s="51" t="str">
        <f t="shared" si="73"/>
        <v/>
      </c>
      <c r="N231" s="27" t="str">
        <f t="shared" si="77"/>
        <v/>
      </c>
      <c r="O231" s="27" t="str">
        <f>IF(C231="","",(I231*(1+M231))*(QTDEParc-CÁLCULO!C231)+$F$5-SUM($F$6:F231)-J231)</f>
        <v/>
      </c>
      <c r="P231" s="7" t="str">
        <f t="shared" si="74"/>
        <v/>
      </c>
      <c r="R231" s="44" t="str">
        <f t="shared" si="75"/>
        <v/>
      </c>
      <c r="S231" s="97"/>
      <c r="T231" s="28" t="str">
        <f t="shared" si="76"/>
        <v/>
      </c>
      <c r="U231" s="28" t="str">
        <f t="shared" si="64"/>
        <v/>
      </c>
      <c r="V231" s="7" t="str">
        <f t="shared" si="78"/>
        <v/>
      </c>
      <c r="W231" s="93" t="str">
        <f t="shared" si="83"/>
        <v/>
      </c>
      <c r="X231" s="28" t="str">
        <f t="shared" si="79"/>
        <v/>
      </c>
      <c r="Y231" s="28" t="str">
        <f t="shared" si="65"/>
        <v/>
      </c>
      <c r="Z231" s="28" t="str">
        <f t="shared" si="66"/>
        <v/>
      </c>
      <c r="AA231" s="28" t="str">
        <f t="shared" si="67"/>
        <v/>
      </c>
      <c r="AB231" s="28" t="str">
        <f t="shared" si="68"/>
        <v/>
      </c>
      <c r="AC231" s="28" t="str">
        <f t="shared" si="80"/>
        <v/>
      </c>
      <c r="AD231" s="27"/>
      <c r="AO231" s="145" t="str">
        <f t="shared" si="81"/>
        <v/>
      </c>
      <c r="AP231" s="144" t="str">
        <f t="shared" si="82"/>
        <v/>
      </c>
    </row>
    <row r="232" spans="3:42" x14ac:dyDescent="0.25">
      <c r="C232" s="12" t="str">
        <f>IFERROR(IF(AvisoErro&lt;&gt;"","",IF(C231+1&gt;PAINEL!$H$8,"",C231+1)),"")</f>
        <v/>
      </c>
      <c r="E232" s="23" t="str">
        <f t="shared" si="69"/>
        <v/>
      </c>
      <c r="F232" s="13" t="str">
        <f>IF(C232="","",IF(E232&lt;&gt;"",E232*PAINEL!$H$7,0))</f>
        <v/>
      </c>
      <c r="G232" s="13" t="str">
        <f>IF(C232="","",IF(PAINEL!$A$4=1,K231/(QTDEParc-C231),IF(AND(PAINEL!$A$4=2,C232&lt;=MomentoContemplação),ValorParcelamento/QTDEParc,K231/(QTDEParc-C231))))</f>
        <v/>
      </c>
      <c r="H232" s="13" t="str">
        <f t="shared" si="70"/>
        <v/>
      </c>
      <c r="I232" s="32" t="str">
        <f t="shared" si="71"/>
        <v/>
      </c>
      <c r="J232" s="14" t="str">
        <f>IF(C232="","",IF(C232=MomentoContemplação,PAINEL!$P$10,0))</f>
        <v/>
      </c>
      <c r="K232" s="14" t="str">
        <f t="shared" si="72"/>
        <v/>
      </c>
      <c r="M232" s="51" t="str">
        <f t="shared" si="73"/>
        <v/>
      </c>
      <c r="N232" s="27" t="str">
        <f t="shared" si="77"/>
        <v/>
      </c>
      <c r="O232" s="27" t="str">
        <f>IF(C232="","",(I232*(1+M232))*(QTDEParc-CÁLCULO!C232)+$F$5-SUM($F$6:F232)-J232)</f>
        <v/>
      </c>
      <c r="P232" s="7" t="str">
        <f t="shared" si="74"/>
        <v/>
      </c>
      <c r="R232" s="44" t="str">
        <f t="shared" si="75"/>
        <v/>
      </c>
      <c r="S232" s="97"/>
      <c r="T232" s="28" t="str">
        <f t="shared" si="76"/>
        <v/>
      </c>
      <c r="U232" s="28" t="str">
        <f t="shared" si="64"/>
        <v/>
      </c>
      <c r="V232" s="7" t="str">
        <f t="shared" si="78"/>
        <v/>
      </c>
      <c r="W232" s="93" t="str">
        <f t="shared" si="83"/>
        <v/>
      </c>
      <c r="X232" s="28" t="str">
        <f t="shared" si="79"/>
        <v/>
      </c>
      <c r="Y232" s="28" t="str">
        <f t="shared" si="65"/>
        <v/>
      </c>
      <c r="Z232" s="28" t="str">
        <f t="shared" si="66"/>
        <v/>
      </c>
      <c r="AA232" s="28" t="str">
        <f t="shared" si="67"/>
        <v/>
      </c>
      <c r="AB232" s="28" t="str">
        <f t="shared" si="68"/>
        <v/>
      </c>
      <c r="AC232" s="28" t="str">
        <f t="shared" si="80"/>
        <v/>
      </c>
      <c r="AD232" s="27"/>
      <c r="AO232" s="145" t="str">
        <f t="shared" si="81"/>
        <v/>
      </c>
      <c r="AP232" s="144" t="str">
        <f t="shared" si="82"/>
        <v/>
      </c>
    </row>
    <row r="233" spans="3:42" x14ac:dyDescent="0.25">
      <c r="C233" s="12" t="str">
        <f>IFERROR(IF(AvisoErro&lt;&gt;"","",IF(C232+1&gt;PAINEL!$H$8,"",C232+1)),"")</f>
        <v/>
      </c>
      <c r="E233" s="23" t="str">
        <f t="shared" si="69"/>
        <v/>
      </c>
      <c r="F233" s="13" t="str">
        <f>IF(C233="","",IF(E233&lt;&gt;"",E233*PAINEL!$H$7,0))</f>
        <v/>
      </c>
      <c r="G233" s="13" t="str">
        <f>IF(C233="","",IF(PAINEL!$A$4=1,K232/(QTDEParc-C232),IF(AND(PAINEL!$A$4=2,C233&lt;=MomentoContemplação),ValorParcelamento/QTDEParc,K232/(QTDEParc-C232))))</f>
        <v/>
      </c>
      <c r="H233" s="13" t="str">
        <f t="shared" si="70"/>
        <v/>
      </c>
      <c r="I233" s="32" t="str">
        <f t="shared" si="71"/>
        <v/>
      </c>
      <c r="J233" s="14" t="str">
        <f>IF(C233="","",IF(C233=MomentoContemplação,PAINEL!$P$10,0))</f>
        <v/>
      </c>
      <c r="K233" s="14" t="str">
        <f t="shared" si="72"/>
        <v/>
      </c>
      <c r="M233" s="51" t="str">
        <f t="shared" si="73"/>
        <v/>
      </c>
      <c r="N233" s="27" t="str">
        <f t="shared" si="77"/>
        <v/>
      </c>
      <c r="O233" s="27" t="str">
        <f>IF(C233="","",(I233*(1+M233))*(QTDEParc-CÁLCULO!C233)+$F$5-SUM($F$6:F233)-J233)</f>
        <v/>
      </c>
      <c r="P233" s="7" t="str">
        <f t="shared" si="74"/>
        <v/>
      </c>
      <c r="R233" s="44" t="str">
        <f t="shared" si="75"/>
        <v/>
      </c>
      <c r="S233" s="97"/>
      <c r="T233" s="28" t="str">
        <f t="shared" si="76"/>
        <v/>
      </c>
      <c r="U233" s="28" t="str">
        <f t="shared" si="64"/>
        <v/>
      </c>
      <c r="V233" s="7" t="str">
        <f t="shared" si="78"/>
        <v/>
      </c>
      <c r="W233" s="93" t="str">
        <f t="shared" si="83"/>
        <v/>
      </c>
      <c r="X233" s="28" t="str">
        <f t="shared" si="79"/>
        <v/>
      </c>
      <c r="Y233" s="28" t="str">
        <f t="shared" si="65"/>
        <v/>
      </c>
      <c r="Z233" s="28" t="str">
        <f t="shared" si="66"/>
        <v/>
      </c>
      <c r="AA233" s="28" t="str">
        <f t="shared" si="67"/>
        <v/>
      </c>
      <c r="AB233" s="28" t="str">
        <f t="shared" si="68"/>
        <v/>
      </c>
      <c r="AC233" s="28" t="str">
        <f t="shared" si="80"/>
        <v/>
      </c>
      <c r="AD233" s="27"/>
      <c r="AO233" s="145" t="str">
        <f t="shared" si="81"/>
        <v/>
      </c>
      <c r="AP233" s="144" t="str">
        <f t="shared" si="82"/>
        <v/>
      </c>
    </row>
    <row r="234" spans="3:42" x14ac:dyDescent="0.25">
      <c r="C234" s="12" t="str">
        <f>IFERROR(IF(AvisoErro&lt;&gt;"","",IF(C233+1&gt;PAINEL!$H$8,"",C233+1)),"")</f>
        <v/>
      </c>
      <c r="E234" s="23" t="str">
        <f t="shared" si="69"/>
        <v/>
      </c>
      <c r="F234" s="13" t="str">
        <f>IF(C234="","",IF(E234&lt;&gt;"",E234*PAINEL!$H$7,0))</f>
        <v/>
      </c>
      <c r="G234" s="13" t="str">
        <f>IF(C234="","",IF(PAINEL!$A$4=1,K233/(QTDEParc-C233),IF(AND(PAINEL!$A$4=2,C234&lt;=MomentoContemplação),ValorParcelamento/QTDEParc,K233/(QTDEParc-C233))))</f>
        <v/>
      </c>
      <c r="H234" s="13" t="str">
        <f t="shared" si="70"/>
        <v/>
      </c>
      <c r="I234" s="32" t="str">
        <f t="shared" si="71"/>
        <v/>
      </c>
      <c r="J234" s="14" t="str">
        <f>IF(C234="","",IF(C234=MomentoContemplação,PAINEL!$P$10,0))</f>
        <v/>
      </c>
      <c r="K234" s="14" t="str">
        <f t="shared" si="72"/>
        <v/>
      </c>
      <c r="M234" s="51" t="str">
        <f t="shared" si="73"/>
        <v/>
      </c>
      <c r="N234" s="27" t="str">
        <f t="shared" si="77"/>
        <v/>
      </c>
      <c r="O234" s="27" t="str">
        <f>IF(C234="","",(I234*(1+M234))*(QTDEParc-CÁLCULO!C234)+$F$5-SUM($F$6:F234)-J234)</f>
        <v/>
      </c>
      <c r="P234" s="7" t="str">
        <f t="shared" si="74"/>
        <v/>
      </c>
      <c r="R234" s="44" t="str">
        <f t="shared" si="75"/>
        <v/>
      </c>
      <c r="S234" s="97"/>
      <c r="T234" s="28" t="str">
        <f t="shared" si="76"/>
        <v/>
      </c>
      <c r="U234" s="28" t="str">
        <f t="shared" si="64"/>
        <v/>
      </c>
      <c r="V234" s="7" t="str">
        <f t="shared" si="78"/>
        <v/>
      </c>
      <c r="W234" s="93" t="str">
        <f t="shared" si="83"/>
        <v/>
      </c>
      <c r="X234" s="28" t="str">
        <f t="shared" si="79"/>
        <v/>
      </c>
      <c r="Y234" s="28" t="str">
        <f t="shared" si="65"/>
        <v/>
      </c>
      <c r="Z234" s="28" t="str">
        <f t="shared" si="66"/>
        <v/>
      </c>
      <c r="AA234" s="28" t="str">
        <f t="shared" si="67"/>
        <v/>
      </c>
      <c r="AB234" s="28" t="str">
        <f t="shared" si="68"/>
        <v/>
      </c>
      <c r="AC234" s="28" t="str">
        <f t="shared" si="80"/>
        <v/>
      </c>
      <c r="AD234" s="27"/>
      <c r="AO234" s="145" t="str">
        <f t="shared" si="81"/>
        <v/>
      </c>
      <c r="AP234" s="144" t="str">
        <f t="shared" si="82"/>
        <v/>
      </c>
    </row>
    <row r="235" spans="3:42" x14ac:dyDescent="0.25">
      <c r="C235" s="12" t="str">
        <f>IFERROR(IF(AvisoErro&lt;&gt;"","",IF(C234+1&gt;PAINEL!$H$8,"",C234+1)),"")</f>
        <v/>
      </c>
      <c r="E235" s="23" t="str">
        <f t="shared" si="69"/>
        <v/>
      </c>
      <c r="F235" s="13" t="str">
        <f>IF(C235="","",IF(E235&lt;&gt;"",E235*PAINEL!$H$7,0))</f>
        <v/>
      </c>
      <c r="G235" s="13" t="str">
        <f>IF(C235="","",IF(PAINEL!$A$4=1,K234/(QTDEParc-C234),IF(AND(PAINEL!$A$4=2,C235&lt;=MomentoContemplação),ValorParcelamento/QTDEParc,K234/(QTDEParc-C234))))</f>
        <v/>
      </c>
      <c r="H235" s="13" t="str">
        <f t="shared" si="70"/>
        <v/>
      </c>
      <c r="I235" s="32" t="str">
        <f t="shared" si="71"/>
        <v/>
      </c>
      <c r="J235" s="14" t="str">
        <f>IF(C235="","",IF(C235=MomentoContemplação,PAINEL!$P$10,0))</f>
        <v/>
      </c>
      <c r="K235" s="14" t="str">
        <f t="shared" si="72"/>
        <v/>
      </c>
      <c r="M235" s="51" t="str">
        <f t="shared" si="73"/>
        <v/>
      </c>
      <c r="N235" s="27" t="str">
        <f t="shared" si="77"/>
        <v/>
      </c>
      <c r="O235" s="27" t="str">
        <f>IF(C235="","",(I235*(1+M235))*(QTDEParc-CÁLCULO!C235)+$F$5-SUM($F$6:F235)-J235)</f>
        <v/>
      </c>
      <c r="P235" s="7" t="str">
        <f t="shared" si="74"/>
        <v/>
      </c>
      <c r="R235" s="44" t="str">
        <f t="shared" si="75"/>
        <v/>
      </c>
      <c r="S235" s="97"/>
      <c r="T235" s="28" t="str">
        <f t="shared" si="76"/>
        <v/>
      </c>
      <c r="U235" s="28" t="str">
        <f t="shared" si="64"/>
        <v/>
      </c>
      <c r="V235" s="7" t="str">
        <f t="shared" si="78"/>
        <v/>
      </c>
      <c r="W235" s="93" t="str">
        <f t="shared" si="83"/>
        <v/>
      </c>
      <c r="X235" s="28" t="str">
        <f t="shared" si="79"/>
        <v/>
      </c>
      <c r="Y235" s="28" t="str">
        <f t="shared" si="65"/>
        <v/>
      </c>
      <c r="Z235" s="28" t="str">
        <f t="shared" si="66"/>
        <v/>
      </c>
      <c r="AA235" s="28" t="str">
        <f t="shared" si="67"/>
        <v/>
      </c>
      <c r="AB235" s="28" t="str">
        <f t="shared" si="68"/>
        <v/>
      </c>
      <c r="AC235" s="28" t="str">
        <f t="shared" si="80"/>
        <v/>
      </c>
      <c r="AD235" s="27"/>
      <c r="AO235" s="145" t="str">
        <f t="shared" si="81"/>
        <v/>
      </c>
      <c r="AP235" s="144" t="str">
        <f t="shared" si="82"/>
        <v/>
      </c>
    </row>
    <row r="236" spans="3:42" x14ac:dyDescent="0.25">
      <c r="C236" s="12" t="str">
        <f>IFERROR(IF(AvisoErro&lt;&gt;"","",IF(C235+1&gt;PAINEL!$H$8,"",C235+1)),"")</f>
        <v/>
      </c>
      <c r="E236" s="23" t="str">
        <f t="shared" si="69"/>
        <v/>
      </c>
      <c r="F236" s="13" t="str">
        <f>IF(C236="","",IF(E236&lt;&gt;"",E236*PAINEL!$H$7,0))</f>
        <v/>
      </c>
      <c r="G236" s="13" t="str">
        <f>IF(C236="","",IF(PAINEL!$A$4=1,K235/(QTDEParc-C235),IF(AND(PAINEL!$A$4=2,C236&lt;=MomentoContemplação),ValorParcelamento/QTDEParc,K235/(QTDEParc-C235))))</f>
        <v/>
      </c>
      <c r="H236" s="13" t="str">
        <f t="shared" si="70"/>
        <v/>
      </c>
      <c r="I236" s="32" t="str">
        <f t="shared" si="71"/>
        <v/>
      </c>
      <c r="J236" s="14" t="str">
        <f>IF(C236="","",IF(C236=MomentoContemplação,PAINEL!$P$10,0))</f>
        <v/>
      </c>
      <c r="K236" s="14" t="str">
        <f t="shared" si="72"/>
        <v/>
      </c>
      <c r="M236" s="51" t="str">
        <f t="shared" si="73"/>
        <v/>
      </c>
      <c r="N236" s="27" t="str">
        <f t="shared" si="77"/>
        <v/>
      </c>
      <c r="O236" s="27" t="str">
        <f>IF(C236="","",(I236*(1+M236))*(QTDEParc-CÁLCULO!C236)+$F$5-SUM($F$6:F236)-J236)</f>
        <v/>
      </c>
      <c r="P236" s="7" t="str">
        <f t="shared" si="74"/>
        <v/>
      </c>
      <c r="R236" s="44" t="str">
        <f t="shared" si="75"/>
        <v/>
      </c>
      <c r="S236" s="97"/>
      <c r="T236" s="28" t="str">
        <f t="shared" si="76"/>
        <v/>
      </c>
      <c r="U236" s="28" t="str">
        <f t="shared" si="64"/>
        <v/>
      </c>
      <c r="V236" s="7" t="str">
        <f t="shared" si="78"/>
        <v/>
      </c>
      <c r="W236" s="93" t="str">
        <f t="shared" si="83"/>
        <v/>
      </c>
      <c r="X236" s="28" t="str">
        <f t="shared" si="79"/>
        <v/>
      </c>
      <c r="Y236" s="28" t="str">
        <f t="shared" si="65"/>
        <v/>
      </c>
      <c r="Z236" s="28" t="str">
        <f t="shared" si="66"/>
        <v/>
      </c>
      <c r="AA236" s="28" t="str">
        <f t="shared" si="67"/>
        <v/>
      </c>
      <c r="AB236" s="28" t="str">
        <f t="shared" si="68"/>
        <v/>
      </c>
      <c r="AC236" s="28" t="str">
        <f t="shared" si="80"/>
        <v/>
      </c>
      <c r="AD236" s="27"/>
      <c r="AO236" s="145" t="str">
        <f t="shared" si="81"/>
        <v/>
      </c>
      <c r="AP236" s="144" t="str">
        <f t="shared" si="82"/>
        <v/>
      </c>
    </row>
    <row r="237" spans="3:42" x14ac:dyDescent="0.25">
      <c r="C237" s="12" t="str">
        <f>IFERROR(IF(AvisoErro&lt;&gt;"","",IF(C236+1&gt;PAINEL!$H$8,"",C236+1)),"")</f>
        <v/>
      </c>
      <c r="E237" s="23" t="str">
        <f t="shared" si="69"/>
        <v/>
      </c>
      <c r="F237" s="13" t="str">
        <f>IF(C237="","",IF(E237&lt;&gt;"",E237*PAINEL!$H$7,0))</f>
        <v/>
      </c>
      <c r="G237" s="13" t="str">
        <f>IF(C237="","",IF(PAINEL!$A$4=1,K236/(QTDEParc-C236),IF(AND(PAINEL!$A$4=2,C237&lt;=MomentoContemplação),ValorParcelamento/QTDEParc,K236/(QTDEParc-C236))))</f>
        <v/>
      </c>
      <c r="H237" s="13" t="str">
        <f t="shared" si="70"/>
        <v/>
      </c>
      <c r="I237" s="32" t="str">
        <f t="shared" si="71"/>
        <v/>
      </c>
      <c r="J237" s="14" t="str">
        <f>IF(C237="","",IF(C237=MomentoContemplação,PAINEL!$P$10,0))</f>
        <v/>
      </c>
      <c r="K237" s="14" t="str">
        <f t="shared" si="72"/>
        <v/>
      </c>
      <c r="M237" s="51" t="str">
        <f t="shared" si="73"/>
        <v/>
      </c>
      <c r="N237" s="27" t="str">
        <f t="shared" si="77"/>
        <v/>
      </c>
      <c r="O237" s="27" t="str">
        <f>IF(C237="","",(I237*(1+M237))*(QTDEParc-CÁLCULO!C237)+$F$5-SUM($F$6:F237)-J237)</f>
        <v/>
      </c>
      <c r="P237" s="7" t="str">
        <f t="shared" si="74"/>
        <v/>
      </c>
      <c r="R237" s="44" t="str">
        <f t="shared" si="75"/>
        <v/>
      </c>
      <c r="S237" s="97"/>
      <c r="T237" s="28" t="str">
        <f t="shared" si="76"/>
        <v/>
      </c>
      <c r="U237" s="28" t="str">
        <f t="shared" si="64"/>
        <v/>
      </c>
      <c r="V237" s="7" t="str">
        <f t="shared" si="78"/>
        <v/>
      </c>
      <c r="W237" s="93" t="str">
        <f t="shared" si="83"/>
        <v/>
      </c>
      <c r="X237" s="28" t="str">
        <f t="shared" si="79"/>
        <v/>
      </c>
      <c r="Y237" s="28" t="str">
        <f t="shared" si="65"/>
        <v/>
      </c>
      <c r="Z237" s="28" t="str">
        <f t="shared" si="66"/>
        <v/>
      </c>
      <c r="AA237" s="28" t="str">
        <f t="shared" si="67"/>
        <v/>
      </c>
      <c r="AB237" s="28" t="str">
        <f t="shared" si="68"/>
        <v/>
      </c>
      <c r="AC237" s="28" t="str">
        <f t="shared" si="80"/>
        <v/>
      </c>
      <c r="AD237" s="27"/>
      <c r="AO237" s="145" t="str">
        <f t="shared" si="81"/>
        <v/>
      </c>
      <c r="AP237" s="144" t="str">
        <f t="shared" si="82"/>
        <v/>
      </c>
    </row>
    <row r="238" spans="3:42" x14ac:dyDescent="0.25">
      <c r="C238" s="12" t="str">
        <f>IFERROR(IF(AvisoErro&lt;&gt;"","",IF(C237+1&gt;PAINEL!$H$8,"",C237+1)),"")</f>
        <v/>
      </c>
      <c r="E238" s="23" t="str">
        <f t="shared" si="69"/>
        <v/>
      </c>
      <c r="F238" s="13" t="str">
        <f>IF(C238="","",IF(E238&lt;&gt;"",E238*PAINEL!$H$7,0))</f>
        <v/>
      </c>
      <c r="G238" s="13" t="str">
        <f>IF(C238="","",IF(PAINEL!$A$4=1,K237/(QTDEParc-C237),IF(AND(PAINEL!$A$4=2,C238&lt;=MomentoContemplação),ValorParcelamento/QTDEParc,K237/(QTDEParc-C237))))</f>
        <v/>
      </c>
      <c r="H238" s="13" t="str">
        <f t="shared" si="70"/>
        <v/>
      </c>
      <c r="I238" s="32" t="str">
        <f t="shared" si="71"/>
        <v/>
      </c>
      <c r="J238" s="14" t="str">
        <f>IF(C238="","",IF(C238=MomentoContemplação,PAINEL!$P$10,0))</f>
        <v/>
      </c>
      <c r="K238" s="14" t="str">
        <f t="shared" si="72"/>
        <v/>
      </c>
      <c r="M238" s="51" t="str">
        <f t="shared" si="73"/>
        <v/>
      </c>
      <c r="N238" s="27" t="str">
        <f t="shared" si="77"/>
        <v/>
      </c>
      <c r="O238" s="27" t="str">
        <f>IF(C238="","",(I238*(1+M238))*(QTDEParc-CÁLCULO!C238)+$F$5-SUM($F$6:F238)-J238)</f>
        <v/>
      </c>
      <c r="P238" s="7" t="str">
        <f t="shared" si="74"/>
        <v/>
      </c>
      <c r="R238" s="44" t="str">
        <f t="shared" si="75"/>
        <v/>
      </c>
      <c r="S238" s="97"/>
      <c r="T238" s="28" t="str">
        <f t="shared" si="76"/>
        <v/>
      </c>
      <c r="U238" s="28" t="str">
        <f t="shared" si="64"/>
        <v/>
      </c>
      <c r="V238" s="7" t="str">
        <f t="shared" si="78"/>
        <v/>
      </c>
      <c r="W238" s="93" t="str">
        <f t="shared" si="83"/>
        <v/>
      </c>
      <c r="X238" s="28" t="str">
        <f t="shared" si="79"/>
        <v/>
      </c>
      <c r="Y238" s="28" t="str">
        <f t="shared" si="65"/>
        <v/>
      </c>
      <c r="Z238" s="28" t="str">
        <f t="shared" si="66"/>
        <v/>
      </c>
      <c r="AA238" s="28" t="str">
        <f t="shared" si="67"/>
        <v/>
      </c>
      <c r="AB238" s="28" t="str">
        <f t="shared" si="68"/>
        <v/>
      </c>
      <c r="AC238" s="28" t="str">
        <f t="shared" si="80"/>
        <v/>
      </c>
      <c r="AD238" s="27"/>
      <c r="AO238" s="145" t="str">
        <f t="shared" si="81"/>
        <v/>
      </c>
      <c r="AP238" s="144" t="str">
        <f t="shared" si="82"/>
        <v/>
      </c>
    </row>
    <row r="239" spans="3:42" x14ac:dyDescent="0.25">
      <c r="C239" s="12" t="str">
        <f>IFERROR(IF(AvisoErro&lt;&gt;"","",IF(C238+1&gt;PAINEL!$H$8,"",C238+1)),"")</f>
        <v/>
      </c>
      <c r="E239" s="23" t="str">
        <f t="shared" si="69"/>
        <v/>
      </c>
      <c r="F239" s="13" t="str">
        <f>IF(C239="","",IF(E239&lt;&gt;"",E239*PAINEL!$H$7,0))</f>
        <v/>
      </c>
      <c r="G239" s="13" t="str">
        <f>IF(C239="","",IF(PAINEL!$A$4=1,K238/(QTDEParc-C238),IF(AND(PAINEL!$A$4=2,C239&lt;=MomentoContemplação),ValorParcelamento/QTDEParc,K238/(QTDEParc-C238))))</f>
        <v/>
      </c>
      <c r="H239" s="13" t="str">
        <f t="shared" si="70"/>
        <v/>
      </c>
      <c r="I239" s="32" t="str">
        <f t="shared" si="71"/>
        <v/>
      </c>
      <c r="J239" s="14" t="str">
        <f>IF(C239="","",IF(C239=MomentoContemplação,PAINEL!$P$10,0))</f>
        <v/>
      </c>
      <c r="K239" s="14" t="str">
        <f t="shared" si="72"/>
        <v/>
      </c>
      <c r="M239" s="51" t="str">
        <f t="shared" si="73"/>
        <v/>
      </c>
      <c r="N239" s="27" t="str">
        <f t="shared" si="77"/>
        <v/>
      </c>
      <c r="O239" s="27" t="str">
        <f>IF(C239="","",(I239*(1+M239))*(QTDEParc-CÁLCULO!C239)+$F$5-SUM($F$6:F239)-J239)</f>
        <v/>
      </c>
      <c r="P239" s="7" t="str">
        <f t="shared" si="74"/>
        <v/>
      </c>
      <c r="R239" s="44" t="str">
        <f t="shared" si="75"/>
        <v/>
      </c>
      <c r="S239" s="97"/>
      <c r="T239" s="28" t="str">
        <f t="shared" si="76"/>
        <v/>
      </c>
      <c r="U239" s="28" t="str">
        <f t="shared" si="64"/>
        <v/>
      </c>
      <c r="V239" s="7" t="str">
        <f t="shared" si="78"/>
        <v/>
      </c>
      <c r="W239" s="93" t="str">
        <f t="shared" si="83"/>
        <v/>
      </c>
      <c r="X239" s="28" t="str">
        <f t="shared" si="79"/>
        <v/>
      </c>
      <c r="Y239" s="28" t="str">
        <f t="shared" si="65"/>
        <v/>
      </c>
      <c r="Z239" s="28" t="str">
        <f t="shared" si="66"/>
        <v/>
      </c>
      <c r="AA239" s="28" t="str">
        <f t="shared" si="67"/>
        <v/>
      </c>
      <c r="AB239" s="28" t="str">
        <f t="shared" si="68"/>
        <v/>
      </c>
      <c r="AC239" s="28" t="str">
        <f t="shared" si="80"/>
        <v/>
      </c>
      <c r="AD239" s="27"/>
      <c r="AO239" s="145" t="str">
        <f t="shared" si="81"/>
        <v/>
      </c>
      <c r="AP239" s="144" t="str">
        <f t="shared" si="82"/>
        <v/>
      </c>
    </row>
    <row r="240" spans="3:42" x14ac:dyDescent="0.25">
      <c r="C240" s="12" t="str">
        <f>IFERROR(IF(AvisoErro&lt;&gt;"","",IF(C239+1&gt;PAINEL!$H$8,"",C239+1)),"")</f>
        <v/>
      </c>
      <c r="E240" s="23" t="str">
        <f t="shared" si="69"/>
        <v/>
      </c>
      <c r="F240" s="13" t="str">
        <f>IF(C240="","",IF(E240&lt;&gt;"",E240*PAINEL!$H$7,0))</f>
        <v/>
      </c>
      <c r="G240" s="13" t="str">
        <f>IF(C240="","",IF(PAINEL!$A$4=1,K239/(QTDEParc-C239),IF(AND(PAINEL!$A$4=2,C240&lt;=MomentoContemplação),ValorParcelamento/QTDEParc,K239/(QTDEParc-C239))))</f>
        <v/>
      </c>
      <c r="H240" s="13" t="str">
        <f t="shared" si="70"/>
        <v/>
      </c>
      <c r="I240" s="32" t="str">
        <f t="shared" si="71"/>
        <v/>
      </c>
      <c r="J240" s="14" t="str">
        <f>IF(C240="","",IF(C240=MomentoContemplação,PAINEL!$P$10,0))</f>
        <v/>
      </c>
      <c r="K240" s="14" t="str">
        <f t="shared" si="72"/>
        <v/>
      </c>
      <c r="M240" s="51" t="str">
        <f t="shared" si="73"/>
        <v/>
      </c>
      <c r="N240" s="27" t="str">
        <f t="shared" si="77"/>
        <v/>
      </c>
      <c r="O240" s="27" t="str">
        <f>IF(C240="","",(I240*(1+M240))*(QTDEParc-CÁLCULO!C240)+$F$5-SUM($F$6:F240)-J240)</f>
        <v/>
      </c>
      <c r="P240" s="7" t="str">
        <f t="shared" si="74"/>
        <v/>
      </c>
      <c r="R240" s="44" t="str">
        <f t="shared" si="75"/>
        <v/>
      </c>
      <c r="S240" s="97"/>
      <c r="T240" s="28" t="str">
        <f t="shared" si="76"/>
        <v/>
      </c>
      <c r="U240" s="28" t="str">
        <f t="shared" si="64"/>
        <v/>
      </c>
      <c r="V240" s="7" t="str">
        <f t="shared" si="78"/>
        <v/>
      </c>
      <c r="W240" s="93" t="str">
        <f t="shared" si="83"/>
        <v/>
      </c>
      <c r="X240" s="28" t="str">
        <f t="shared" si="79"/>
        <v/>
      </c>
      <c r="Y240" s="28" t="str">
        <f t="shared" si="65"/>
        <v/>
      </c>
      <c r="Z240" s="28" t="str">
        <f t="shared" si="66"/>
        <v/>
      </c>
      <c r="AA240" s="28" t="str">
        <f t="shared" si="67"/>
        <v/>
      </c>
      <c r="AB240" s="28" t="str">
        <f t="shared" si="68"/>
        <v/>
      </c>
      <c r="AC240" s="28" t="str">
        <f t="shared" si="80"/>
        <v/>
      </c>
      <c r="AD240" s="27"/>
      <c r="AO240" s="145" t="str">
        <f t="shared" si="81"/>
        <v/>
      </c>
      <c r="AP240" s="144" t="str">
        <f t="shared" si="82"/>
        <v/>
      </c>
    </row>
    <row r="241" spans="3:42" x14ac:dyDescent="0.25">
      <c r="C241" s="12" t="str">
        <f>IFERROR(IF(AvisoErro&lt;&gt;"","",IF(C240+1&gt;PAINEL!$H$8,"",C240+1)),"")</f>
        <v/>
      </c>
      <c r="E241" s="23" t="str">
        <f t="shared" si="69"/>
        <v/>
      </c>
      <c r="F241" s="13" t="str">
        <f>IF(C241="","",IF(E241&lt;&gt;"",E241*PAINEL!$H$7,0))</f>
        <v/>
      </c>
      <c r="G241" s="13" t="str">
        <f>IF(C241="","",IF(PAINEL!$A$4=1,K240/(QTDEParc-C240),IF(AND(PAINEL!$A$4=2,C241&lt;=MomentoContemplação),ValorParcelamento/QTDEParc,K240/(QTDEParc-C240))))</f>
        <v/>
      </c>
      <c r="H241" s="13" t="str">
        <f t="shared" si="70"/>
        <v/>
      </c>
      <c r="I241" s="32" t="str">
        <f t="shared" si="71"/>
        <v/>
      </c>
      <c r="J241" s="14" t="str">
        <f>IF(C241="","",IF(C241=MomentoContemplação,PAINEL!$P$10,0))</f>
        <v/>
      </c>
      <c r="K241" s="14" t="str">
        <f t="shared" si="72"/>
        <v/>
      </c>
      <c r="M241" s="51" t="str">
        <f t="shared" si="73"/>
        <v/>
      </c>
      <c r="N241" s="27" t="str">
        <f t="shared" si="77"/>
        <v/>
      </c>
      <c r="O241" s="27" t="str">
        <f>IF(C241="","",(I241*(1+M241))*(QTDEParc-CÁLCULO!C241)+$F$5-SUM($F$6:F241)-J241)</f>
        <v/>
      </c>
      <c r="P241" s="7" t="str">
        <f t="shared" si="74"/>
        <v/>
      </c>
      <c r="R241" s="44" t="str">
        <f t="shared" si="75"/>
        <v/>
      </c>
      <c r="S241" s="97"/>
      <c r="T241" s="28" t="str">
        <f t="shared" si="76"/>
        <v/>
      </c>
      <c r="U241" s="28" t="str">
        <f t="shared" si="64"/>
        <v/>
      </c>
      <c r="V241" s="7" t="str">
        <f t="shared" si="78"/>
        <v/>
      </c>
      <c r="W241" s="93" t="str">
        <f t="shared" si="83"/>
        <v/>
      </c>
      <c r="X241" s="28" t="str">
        <f t="shared" si="79"/>
        <v/>
      </c>
      <c r="Y241" s="28" t="str">
        <f t="shared" si="65"/>
        <v/>
      </c>
      <c r="Z241" s="28" t="str">
        <f t="shared" si="66"/>
        <v/>
      </c>
      <c r="AA241" s="28" t="str">
        <f t="shared" si="67"/>
        <v/>
      </c>
      <c r="AB241" s="28" t="str">
        <f t="shared" si="68"/>
        <v/>
      </c>
      <c r="AC241" s="28" t="str">
        <f t="shared" si="80"/>
        <v/>
      </c>
      <c r="AD241" s="27"/>
      <c r="AO241" s="145" t="str">
        <f t="shared" si="81"/>
        <v/>
      </c>
      <c r="AP241" s="144" t="str">
        <f t="shared" si="82"/>
        <v/>
      </c>
    </row>
    <row r="242" spans="3:42" x14ac:dyDescent="0.25">
      <c r="C242" s="12" t="str">
        <f>IFERROR(IF(AvisoErro&lt;&gt;"","",IF(C241+1&gt;PAINEL!$H$8,"",C241+1)),"")</f>
        <v/>
      </c>
      <c r="E242" s="23" t="str">
        <f t="shared" si="69"/>
        <v/>
      </c>
      <c r="F242" s="13" t="str">
        <f>IF(C242="","",IF(E242&lt;&gt;"",E242*PAINEL!$H$7,0))</f>
        <v/>
      </c>
      <c r="G242" s="13" t="str">
        <f>IF(C242="","",IF(PAINEL!$A$4=1,K241/(QTDEParc-C241),IF(AND(PAINEL!$A$4=2,C242&lt;=MomentoContemplação),ValorParcelamento/QTDEParc,K241/(QTDEParc-C241))))</f>
        <v/>
      </c>
      <c r="H242" s="13" t="str">
        <f t="shared" si="70"/>
        <v/>
      </c>
      <c r="I242" s="32" t="str">
        <f t="shared" si="71"/>
        <v/>
      </c>
      <c r="J242" s="14" t="str">
        <f>IF(C242="","",IF(C242=MomentoContemplação,PAINEL!$P$10,0))</f>
        <v/>
      </c>
      <c r="K242" s="14" t="str">
        <f t="shared" si="72"/>
        <v/>
      </c>
      <c r="M242" s="51" t="str">
        <f t="shared" si="73"/>
        <v/>
      </c>
      <c r="N242" s="27" t="str">
        <f t="shared" si="77"/>
        <v/>
      </c>
      <c r="O242" s="27" t="str">
        <f>IF(C242="","",(I242*(1+M242))*(QTDEParc-CÁLCULO!C242)+$F$5-SUM($F$6:F242)-J242)</f>
        <v/>
      </c>
      <c r="P242" s="7" t="str">
        <f t="shared" si="74"/>
        <v/>
      </c>
      <c r="R242" s="44" t="str">
        <f t="shared" si="75"/>
        <v/>
      </c>
      <c r="S242" s="97"/>
      <c r="T242" s="28" t="str">
        <f t="shared" si="76"/>
        <v/>
      </c>
      <c r="U242" s="28" t="str">
        <f t="shared" si="64"/>
        <v/>
      </c>
      <c r="V242" s="7" t="str">
        <f t="shared" si="78"/>
        <v/>
      </c>
      <c r="W242" s="93" t="str">
        <f t="shared" si="83"/>
        <v/>
      </c>
      <c r="X242" s="28" t="str">
        <f t="shared" si="79"/>
        <v/>
      </c>
      <c r="Y242" s="28" t="str">
        <f t="shared" si="65"/>
        <v/>
      </c>
      <c r="Z242" s="28" t="str">
        <f t="shared" si="66"/>
        <v/>
      </c>
      <c r="AA242" s="28" t="str">
        <f t="shared" si="67"/>
        <v/>
      </c>
      <c r="AB242" s="28" t="str">
        <f t="shared" si="68"/>
        <v/>
      </c>
      <c r="AC242" s="28" t="str">
        <f t="shared" si="80"/>
        <v/>
      </c>
      <c r="AD242" s="27"/>
      <c r="AO242" s="145" t="str">
        <f t="shared" si="81"/>
        <v/>
      </c>
      <c r="AP242" s="144" t="str">
        <f t="shared" si="82"/>
        <v/>
      </c>
    </row>
    <row r="243" spans="3:42" x14ac:dyDescent="0.25">
      <c r="C243" s="12" t="str">
        <f>IFERROR(IF(AvisoErro&lt;&gt;"","",IF(C242+1&gt;PAINEL!$H$8,"",C242+1)),"")</f>
        <v/>
      </c>
      <c r="E243" s="23" t="str">
        <f t="shared" si="69"/>
        <v/>
      </c>
      <c r="F243" s="13" t="str">
        <f>IF(C243="","",IF(E243&lt;&gt;"",E243*PAINEL!$H$7,0))</f>
        <v/>
      </c>
      <c r="G243" s="13" t="str">
        <f>IF(C243="","",IF(PAINEL!$A$4=1,K242/(QTDEParc-C242),IF(AND(PAINEL!$A$4=2,C243&lt;=MomentoContemplação),ValorParcelamento/QTDEParc,K242/(QTDEParc-C242))))</f>
        <v/>
      </c>
      <c r="H243" s="13" t="str">
        <f t="shared" si="70"/>
        <v/>
      </c>
      <c r="I243" s="32" t="str">
        <f t="shared" si="71"/>
        <v/>
      </c>
      <c r="J243" s="14" t="str">
        <f>IF(C243="","",IF(C243=MomentoContemplação,PAINEL!$P$10,0))</f>
        <v/>
      </c>
      <c r="K243" s="14" t="str">
        <f t="shared" si="72"/>
        <v/>
      </c>
      <c r="M243" s="51" t="str">
        <f t="shared" si="73"/>
        <v/>
      </c>
      <c r="N243" s="27" t="str">
        <f t="shared" si="77"/>
        <v/>
      </c>
      <c r="O243" s="27" t="str">
        <f>IF(C243="","",(I243*(1+M243))*(QTDEParc-CÁLCULO!C243)+$F$5-SUM($F$6:F243)-J243)</f>
        <v/>
      </c>
      <c r="P243" s="7" t="str">
        <f t="shared" si="74"/>
        <v/>
      </c>
      <c r="R243" s="44" t="str">
        <f t="shared" si="75"/>
        <v/>
      </c>
      <c r="S243" s="97"/>
      <c r="T243" s="28" t="str">
        <f t="shared" si="76"/>
        <v/>
      </c>
      <c r="U243" s="28" t="str">
        <f t="shared" si="64"/>
        <v/>
      </c>
      <c r="V243" s="7" t="str">
        <f t="shared" si="78"/>
        <v/>
      </c>
      <c r="W243" s="93" t="str">
        <f t="shared" si="83"/>
        <v/>
      </c>
      <c r="X243" s="28" t="str">
        <f t="shared" si="79"/>
        <v/>
      </c>
      <c r="Y243" s="28" t="str">
        <f t="shared" si="65"/>
        <v/>
      </c>
      <c r="Z243" s="28" t="str">
        <f t="shared" si="66"/>
        <v/>
      </c>
      <c r="AA243" s="28" t="str">
        <f t="shared" si="67"/>
        <v/>
      </c>
      <c r="AB243" s="28" t="str">
        <f t="shared" si="68"/>
        <v/>
      </c>
      <c r="AC243" s="28" t="str">
        <f t="shared" si="80"/>
        <v/>
      </c>
      <c r="AD243" s="27"/>
      <c r="AO243" s="145" t="str">
        <f t="shared" si="81"/>
        <v/>
      </c>
      <c r="AP243" s="144" t="str">
        <f t="shared" si="82"/>
        <v/>
      </c>
    </row>
    <row r="244" spans="3:42" x14ac:dyDescent="0.25">
      <c r="C244" s="12" t="str">
        <f>IFERROR(IF(AvisoErro&lt;&gt;"","",IF(C243+1&gt;PAINEL!$H$8,"",C243+1)),"")</f>
        <v/>
      </c>
      <c r="E244" s="23" t="str">
        <f t="shared" si="69"/>
        <v/>
      </c>
      <c r="F244" s="13" t="str">
        <f>IF(C244="","",IF(E244&lt;&gt;"",E244*PAINEL!$H$7,0))</f>
        <v/>
      </c>
      <c r="G244" s="13" t="str">
        <f>IF(C244="","",IF(PAINEL!$A$4=1,K243/(QTDEParc-C243),IF(AND(PAINEL!$A$4=2,C244&lt;=MomentoContemplação),ValorParcelamento/QTDEParc,K243/(QTDEParc-C243))))</f>
        <v/>
      </c>
      <c r="H244" s="13" t="str">
        <f t="shared" si="70"/>
        <v/>
      </c>
      <c r="I244" s="32" t="str">
        <f t="shared" si="71"/>
        <v/>
      </c>
      <c r="J244" s="14" t="str">
        <f>IF(C244="","",IF(C244=MomentoContemplação,PAINEL!$P$10,0))</f>
        <v/>
      </c>
      <c r="K244" s="14" t="str">
        <f t="shared" si="72"/>
        <v/>
      </c>
      <c r="M244" s="51" t="str">
        <f t="shared" si="73"/>
        <v/>
      </c>
      <c r="N244" s="27" t="str">
        <f t="shared" si="77"/>
        <v/>
      </c>
      <c r="O244" s="27" t="str">
        <f>IF(C244="","",(I244*(1+M244))*(QTDEParc-CÁLCULO!C244)+$F$5-SUM($F$6:F244)-J244)</f>
        <v/>
      </c>
      <c r="P244" s="7" t="str">
        <f t="shared" si="74"/>
        <v/>
      </c>
      <c r="R244" s="44" t="str">
        <f t="shared" si="75"/>
        <v/>
      </c>
      <c r="S244" s="97"/>
      <c r="T244" s="28" t="str">
        <f t="shared" si="76"/>
        <v/>
      </c>
      <c r="U244" s="28" t="str">
        <f t="shared" si="64"/>
        <v/>
      </c>
      <c r="V244" s="7" t="str">
        <f t="shared" si="78"/>
        <v/>
      </c>
      <c r="W244" s="93" t="str">
        <f t="shared" si="83"/>
        <v/>
      </c>
      <c r="X244" s="28" t="str">
        <f t="shared" si="79"/>
        <v/>
      </c>
      <c r="Y244" s="28" t="str">
        <f t="shared" si="65"/>
        <v/>
      </c>
      <c r="Z244" s="28" t="str">
        <f t="shared" si="66"/>
        <v/>
      </c>
      <c r="AA244" s="28" t="str">
        <f t="shared" si="67"/>
        <v/>
      </c>
      <c r="AB244" s="28" t="str">
        <f t="shared" si="68"/>
        <v/>
      </c>
      <c r="AC244" s="28" t="str">
        <f t="shared" si="80"/>
        <v/>
      </c>
      <c r="AD244" s="27"/>
      <c r="AO244" s="145" t="str">
        <f t="shared" si="81"/>
        <v/>
      </c>
      <c r="AP244" s="144" t="str">
        <f t="shared" si="82"/>
        <v/>
      </c>
    </row>
    <row r="245" spans="3:42" x14ac:dyDescent="0.25">
      <c r="C245" s="12" t="str">
        <f>IFERROR(IF(AvisoErro&lt;&gt;"","",IF(C244+1&gt;PAINEL!$H$8,"",C244+1)),"")</f>
        <v/>
      </c>
      <c r="E245" s="23" t="str">
        <f t="shared" si="69"/>
        <v/>
      </c>
      <c r="F245" s="13" t="str">
        <f>IF(C245="","",IF(E245&lt;&gt;"",E245*PAINEL!$H$7,0))</f>
        <v/>
      </c>
      <c r="G245" s="13" t="str">
        <f>IF(C245="","",IF(PAINEL!$A$4=1,K244/(QTDEParc-C244),IF(AND(PAINEL!$A$4=2,C245&lt;=MomentoContemplação),ValorParcelamento/QTDEParc,K244/(QTDEParc-C244))))</f>
        <v/>
      </c>
      <c r="H245" s="13" t="str">
        <f t="shared" si="70"/>
        <v/>
      </c>
      <c r="I245" s="32" t="str">
        <f t="shared" si="71"/>
        <v/>
      </c>
      <c r="J245" s="14" t="str">
        <f>IF(C245="","",IF(C245=MomentoContemplação,PAINEL!$P$10,0))</f>
        <v/>
      </c>
      <c r="K245" s="14" t="str">
        <f t="shared" si="72"/>
        <v/>
      </c>
      <c r="M245" s="51" t="str">
        <f t="shared" si="73"/>
        <v/>
      </c>
      <c r="N245" s="27" t="str">
        <f t="shared" si="77"/>
        <v/>
      </c>
      <c r="O245" s="27" t="str">
        <f>IF(C245="","",(I245*(1+M245))*(QTDEParc-CÁLCULO!C245)+$F$5-SUM($F$6:F245)-J245)</f>
        <v/>
      </c>
      <c r="P245" s="7" t="str">
        <f t="shared" si="74"/>
        <v/>
      </c>
      <c r="R245" s="44" t="str">
        <f t="shared" si="75"/>
        <v/>
      </c>
      <c r="S245" s="97"/>
      <c r="T245" s="28" t="str">
        <f t="shared" si="76"/>
        <v/>
      </c>
      <c r="U245" s="28" t="str">
        <f t="shared" si="64"/>
        <v/>
      </c>
      <c r="V245" s="7" t="str">
        <f t="shared" si="78"/>
        <v/>
      </c>
      <c r="W245" s="93" t="str">
        <f t="shared" si="83"/>
        <v/>
      </c>
      <c r="X245" s="28" t="str">
        <f t="shared" si="79"/>
        <v/>
      </c>
      <c r="Y245" s="28" t="str">
        <f t="shared" si="65"/>
        <v/>
      </c>
      <c r="Z245" s="28" t="str">
        <f t="shared" si="66"/>
        <v/>
      </c>
      <c r="AA245" s="28" t="str">
        <f t="shared" si="67"/>
        <v/>
      </c>
      <c r="AB245" s="28" t="str">
        <f t="shared" si="68"/>
        <v/>
      </c>
      <c r="AC245" s="28" t="str">
        <f t="shared" si="80"/>
        <v/>
      </c>
      <c r="AD245" s="27"/>
      <c r="AO245" s="145" t="str">
        <f t="shared" si="81"/>
        <v/>
      </c>
      <c r="AP245" s="144" t="str">
        <f t="shared" si="82"/>
        <v/>
      </c>
    </row>
    <row r="246" spans="3:42" x14ac:dyDescent="0.25">
      <c r="C246" s="12" t="str">
        <f>IFERROR(IF(AvisoErro&lt;&gt;"","",IF(C245+1&gt;PAINEL!$H$8,"",C245+1)),"")</f>
        <v/>
      </c>
      <c r="E246" s="23" t="str">
        <f t="shared" si="69"/>
        <v/>
      </c>
      <c r="F246" s="13" t="str">
        <f>IF(C246="","",IF(E246&lt;&gt;"",E246*PAINEL!$H$7,0))</f>
        <v/>
      </c>
      <c r="G246" s="13" t="str">
        <f>IF(C246="","",IF(PAINEL!$A$4=1,K245/(QTDEParc-C245),IF(AND(PAINEL!$A$4=2,C246&lt;=MomentoContemplação),ValorParcelamento/QTDEParc,K245/(QTDEParc-C245))))</f>
        <v/>
      </c>
      <c r="H246" s="13" t="str">
        <f t="shared" si="70"/>
        <v/>
      </c>
      <c r="I246" s="32" t="str">
        <f t="shared" si="71"/>
        <v/>
      </c>
      <c r="J246" s="14" t="str">
        <f>IF(C246="","",IF(C246=MomentoContemplação,PAINEL!$P$10,0))</f>
        <v/>
      </c>
      <c r="K246" s="14" t="str">
        <f t="shared" si="72"/>
        <v/>
      </c>
      <c r="M246" s="51" t="str">
        <f t="shared" si="73"/>
        <v/>
      </c>
      <c r="N246" s="27" t="str">
        <f t="shared" si="77"/>
        <v/>
      </c>
      <c r="O246" s="27" t="str">
        <f>IF(C246="","",(I246*(1+M246))*(QTDEParc-CÁLCULO!C246)+$F$5-SUM($F$6:F246)-J246)</f>
        <v/>
      </c>
      <c r="P246" s="7" t="str">
        <f t="shared" si="74"/>
        <v/>
      </c>
      <c r="R246" s="44" t="str">
        <f t="shared" si="75"/>
        <v/>
      </c>
      <c r="S246" s="97"/>
      <c r="T246" s="28" t="str">
        <f t="shared" si="76"/>
        <v/>
      </c>
      <c r="U246" s="28" t="str">
        <f t="shared" si="64"/>
        <v/>
      </c>
      <c r="V246" s="7" t="str">
        <f t="shared" si="78"/>
        <v/>
      </c>
      <c r="W246" s="93" t="str">
        <f t="shared" si="83"/>
        <v/>
      </c>
      <c r="X246" s="28" t="str">
        <f t="shared" si="79"/>
        <v/>
      </c>
      <c r="Y246" s="28" t="str">
        <f t="shared" si="65"/>
        <v/>
      </c>
      <c r="Z246" s="28" t="str">
        <f t="shared" si="66"/>
        <v/>
      </c>
      <c r="AA246" s="28" t="str">
        <f t="shared" si="67"/>
        <v/>
      </c>
      <c r="AB246" s="28" t="str">
        <f t="shared" si="68"/>
        <v/>
      </c>
      <c r="AC246" s="28" t="str">
        <f t="shared" si="80"/>
        <v/>
      </c>
      <c r="AD246" s="27"/>
      <c r="AO246" s="145" t="str">
        <f t="shared" si="81"/>
        <v/>
      </c>
      <c r="AP246" s="144" t="str">
        <f t="shared" si="82"/>
        <v/>
      </c>
    </row>
    <row r="247" spans="3:42" x14ac:dyDescent="0.25">
      <c r="C247" s="12" t="str">
        <f>IFERROR(IF(AvisoErro&lt;&gt;"","",IF(C246+1&gt;PAINEL!$H$8,"",C246+1)),"")</f>
        <v/>
      </c>
      <c r="E247" s="23" t="str">
        <f t="shared" si="69"/>
        <v/>
      </c>
      <c r="F247" s="13" t="str">
        <f>IF(C247="","",IF(E247&lt;&gt;"",E247*PAINEL!$H$7,0))</f>
        <v/>
      </c>
      <c r="G247" s="13" t="str">
        <f>IF(C247="","",IF(PAINEL!$A$4=1,K246/(QTDEParc-C246),IF(AND(PAINEL!$A$4=2,C247&lt;=MomentoContemplação),ValorParcelamento/QTDEParc,K246/(QTDEParc-C246))))</f>
        <v/>
      </c>
      <c r="H247" s="13" t="str">
        <f t="shared" si="70"/>
        <v/>
      </c>
      <c r="I247" s="32" t="str">
        <f t="shared" si="71"/>
        <v/>
      </c>
      <c r="J247" s="14" t="str">
        <f>IF(C247="","",IF(C247=MomentoContemplação,PAINEL!$P$10,0))</f>
        <v/>
      </c>
      <c r="K247" s="14" t="str">
        <f t="shared" si="72"/>
        <v/>
      </c>
      <c r="M247" s="51" t="str">
        <f t="shared" si="73"/>
        <v/>
      </c>
      <c r="N247" s="27" t="str">
        <f t="shared" si="77"/>
        <v/>
      </c>
      <c r="O247" s="27" t="str">
        <f>IF(C247="","",(I247*(1+M247))*(QTDEParc-CÁLCULO!C247)+$F$5-SUM($F$6:F247)-J247)</f>
        <v/>
      </c>
      <c r="P247" s="7" t="str">
        <f t="shared" si="74"/>
        <v/>
      </c>
      <c r="R247" s="44" t="str">
        <f t="shared" si="75"/>
        <v/>
      </c>
      <c r="S247" s="97"/>
      <c r="T247" s="28" t="str">
        <f t="shared" si="76"/>
        <v/>
      </c>
      <c r="U247" s="28" t="str">
        <f t="shared" si="64"/>
        <v/>
      </c>
      <c r="V247" s="7" t="str">
        <f t="shared" si="78"/>
        <v/>
      </c>
      <c r="W247" s="93" t="str">
        <f t="shared" si="83"/>
        <v/>
      </c>
      <c r="X247" s="28" t="str">
        <f t="shared" si="79"/>
        <v/>
      </c>
      <c r="Y247" s="28" t="str">
        <f t="shared" si="65"/>
        <v/>
      </c>
      <c r="Z247" s="28" t="str">
        <f t="shared" si="66"/>
        <v/>
      </c>
      <c r="AA247" s="28" t="str">
        <f t="shared" si="67"/>
        <v/>
      </c>
      <c r="AB247" s="28" t="str">
        <f t="shared" si="68"/>
        <v/>
      </c>
      <c r="AC247" s="28" t="str">
        <f t="shared" si="80"/>
        <v/>
      </c>
      <c r="AD247" s="27"/>
      <c r="AO247" s="145" t="str">
        <f t="shared" si="81"/>
        <v/>
      </c>
      <c r="AP247" s="144" t="str">
        <f t="shared" si="82"/>
        <v/>
      </c>
    </row>
    <row r="248" spans="3:42" x14ac:dyDescent="0.25">
      <c r="C248" s="12" t="str">
        <f>IFERROR(IF(AvisoErro&lt;&gt;"","",IF(C247+1&gt;PAINEL!$H$8,"",C247+1)),"")</f>
        <v/>
      </c>
      <c r="E248" s="23" t="str">
        <f t="shared" si="69"/>
        <v/>
      </c>
      <c r="F248" s="13" t="str">
        <f>IF(C248="","",IF(E248&lt;&gt;"",E248*PAINEL!$H$7,0))</f>
        <v/>
      </c>
      <c r="G248" s="13" t="str">
        <f>IF(C248="","",IF(PAINEL!$A$4=1,K247/(QTDEParc-C247),IF(AND(PAINEL!$A$4=2,C248&lt;=MomentoContemplação),ValorParcelamento/QTDEParc,K247/(QTDEParc-C247))))</f>
        <v/>
      </c>
      <c r="H248" s="13" t="str">
        <f t="shared" si="70"/>
        <v/>
      </c>
      <c r="I248" s="32" t="str">
        <f t="shared" si="71"/>
        <v/>
      </c>
      <c r="J248" s="14" t="str">
        <f>IF(C248="","",IF(C248=MomentoContemplação,PAINEL!$P$10,0))</f>
        <v/>
      </c>
      <c r="K248" s="14" t="str">
        <f t="shared" si="72"/>
        <v/>
      </c>
      <c r="M248" s="51" t="str">
        <f t="shared" si="73"/>
        <v/>
      </c>
      <c r="N248" s="27" t="str">
        <f t="shared" si="77"/>
        <v/>
      </c>
      <c r="O248" s="27" t="str">
        <f>IF(C248="","",(I248*(1+M248))*(QTDEParc-CÁLCULO!C248)+$F$5-SUM($F$6:F248)-J248)</f>
        <v/>
      </c>
      <c r="P248" s="7" t="str">
        <f t="shared" si="74"/>
        <v/>
      </c>
      <c r="R248" s="44" t="str">
        <f t="shared" si="75"/>
        <v/>
      </c>
      <c r="S248" s="97"/>
      <c r="T248" s="28" t="str">
        <f t="shared" si="76"/>
        <v/>
      </c>
      <c r="U248" s="28" t="str">
        <f t="shared" si="64"/>
        <v/>
      </c>
      <c r="V248" s="7" t="str">
        <f t="shared" si="78"/>
        <v/>
      </c>
      <c r="W248" s="93" t="str">
        <f t="shared" si="83"/>
        <v/>
      </c>
      <c r="X248" s="28" t="str">
        <f t="shared" si="79"/>
        <v/>
      </c>
      <c r="Y248" s="28" t="str">
        <f t="shared" si="65"/>
        <v/>
      </c>
      <c r="Z248" s="28" t="str">
        <f t="shared" si="66"/>
        <v/>
      </c>
      <c r="AA248" s="28" t="str">
        <f t="shared" si="67"/>
        <v/>
      </c>
      <c r="AB248" s="28" t="str">
        <f t="shared" si="68"/>
        <v/>
      </c>
      <c r="AC248" s="28" t="str">
        <f t="shared" si="80"/>
        <v/>
      </c>
      <c r="AD248" s="27"/>
      <c r="AO248" s="145" t="str">
        <f t="shared" si="81"/>
        <v/>
      </c>
      <c r="AP248" s="144" t="str">
        <f t="shared" si="82"/>
        <v/>
      </c>
    </row>
    <row r="249" spans="3:42" x14ac:dyDescent="0.25">
      <c r="C249" s="12" t="str">
        <f>IFERROR(IF(AvisoErro&lt;&gt;"","",IF(C248+1&gt;PAINEL!$H$8,"",C248+1)),"")</f>
        <v/>
      </c>
      <c r="E249" s="23" t="str">
        <f t="shared" si="69"/>
        <v/>
      </c>
      <c r="F249" s="13" t="str">
        <f>IF(C249="","",IF(E249&lt;&gt;"",E249*PAINEL!$H$7,0))</f>
        <v/>
      </c>
      <c r="G249" s="13" t="str">
        <f>IF(C249="","",IF(PAINEL!$A$4=1,K248/(QTDEParc-C248),IF(AND(PAINEL!$A$4=2,C249&lt;=MomentoContemplação),ValorParcelamento/QTDEParc,K248/(QTDEParc-C248))))</f>
        <v/>
      </c>
      <c r="H249" s="13" t="str">
        <f t="shared" si="70"/>
        <v/>
      </c>
      <c r="I249" s="32" t="str">
        <f t="shared" si="71"/>
        <v/>
      </c>
      <c r="J249" s="14" t="str">
        <f>IF(C249="","",IF(C249=MomentoContemplação,PAINEL!$P$10,0))</f>
        <v/>
      </c>
      <c r="K249" s="14" t="str">
        <f t="shared" si="72"/>
        <v/>
      </c>
      <c r="M249" s="51" t="str">
        <f t="shared" si="73"/>
        <v/>
      </c>
      <c r="N249" s="27" t="str">
        <f t="shared" si="77"/>
        <v/>
      </c>
      <c r="O249" s="27" t="str">
        <f>IF(C249="","",(I249*(1+M249))*(QTDEParc-CÁLCULO!C249)+$F$5-SUM($F$6:F249)-J249)</f>
        <v/>
      </c>
      <c r="P249" s="7" t="str">
        <f t="shared" si="74"/>
        <v/>
      </c>
      <c r="R249" s="44" t="str">
        <f t="shared" si="75"/>
        <v/>
      </c>
      <c r="S249" s="97"/>
      <c r="T249" s="28" t="str">
        <f t="shared" si="76"/>
        <v/>
      </c>
      <c r="U249" s="28" t="str">
        <f t="shared" si="64"/>
        <v/>
      </c>
      <c r="V249" s="7" t="str">
        <f t="shared" si="78"/>
        <v/>
      </c>
      <c r="W249" s="93" t="str">
        <f t="shared" si="83"/>
        <v/>
      </c>
      <c r="X249" s="28" t="str">
        <f t="shared" si="79"/>
        <v/>
      </c>
      <c r="Y249" s="28" t="str">
        <f t="shared" si="65"/>
        <v/>
      </c>
      <c r="Z249" s="28" t="str">
        <f t="shared" si="66"/>
        <v/>
      </c>
      <c r="AA249" s="28" t="str">
        <f t="shared" si="67"/>
        <v/>
      </c>
      <c r="AB249" s="28" t="str">
        <f t="shared" si="68"/>
        <v/>
      </c>
      <c r="AC249" s="28" t="str">
        <f t="shared" si="80"/>
        <v/>
      </c>
      <c r="AD249" s="27"/>
      <c r="AO249" s="145" t="str">
        <f t="shared" si="81"/>
        <v/>
      </c>
      <c r="AP249" s="144" t="str">
        <f t="shared" si="82"/>
        <v/>
      </c>
    </row>
    <row r="250" spans="3:42" x14ac:dyDescent="0.25">
      <c r="C250" s="12" t="str">
        <f>IFERROR(IF(AvisoErro&lt;&gt;"","",IF(C249+1&gt;PAINEL!$H$8,"",C249+1)),"")</f>
        <v/>
      </c>
      <c r="E250" s="23" t="str">
        <f t="shared" si="69"/>
        <v/>
      </c>
      <c r="F250" s="13" t="str">
        <f>IF(C250="","",IF(E250&lt;&gt;"",E250*PAINEL!$H$7,0))</f>
        <v/>
      </c>
      <c r="G250" s="13" t="str">
        <f>IF(C250="","",IF(PAINEL!$A$4=1,K249/(QTDEParc-C249),IF(AND(PAINEL!$A$4=2,C250&lt;=MomentoContemplação),ValorParcelamento/QTDEParc,K249/(QTDEParc-C249))))</f>
        <v/>
      </c>
      <c r="H250" s="13" t="str">
        <f t="shared" si="70"/>
        <v/>
      </c>
      <c r="I250" s="32" t="str">
        <f t="shared" si="71"/>
        <v/>
      </c>
      <c r="J250" s="14" t="str">
        <f>IF(C250="","",IF(C250=MomentoContemplação,PAINEL!$P$10,0))</f>
        <v/>
      </c>
      <c r="K250" s="14" t="str">
        <f t="shared" si="72"/>
        <v/>
      </c>
      <c r="M250" s="51" t="str">
        <f t="shared" si="73"/>
        <v/>
      </c>
      <c r="N250" s="27" t="str">
        <f t="shared" si="77"/>
        <v/>
      </c>
      <c r="O250" s="27" t="str">
        <f>IF(C250="","",(I250*(1+M250))*(QTDEParc-CÁLCULO!C250)+$F$5-SUM($F$6:F250)-J250)</f>
        <v/>
      </c>
      <c r="P250" s="7" t="str">
        <f t="shared" si="74"/>
        <v/>
      </c>
      <c r="R250" s="44" t="str">
        <f t="shared" si="75"/>
        <v/>
      </c>
      <c r="S250" s="97"/>
      <c r="T250" s="28" t="str">
        <f t="shared" si="76"/>
        <v/>
      </c>
      <c r="U250" s="28" t="str">
        <f t="shared" si="64"/>
        <v/>
      </c>
      <c r="V250" s="7" t="str">
        <f t="shared" si="78"/>
        <v/>
      </c>
      <c r="W250" s="93" t="str">
        <f t="shared" si="83"/>
        <v/>
      </c>
      <c r="X250" s="28" t="str">
        <f t="shared" si="79"/>
        <v/>
      </c>
      <c r="Y250" s="28" t="str">
        <f t="shared" si="65"/>
        <v/>
      </c>
      <c r="Z250" s="28" t="str">
        <f t="shared" si="66"/>
        <v/>
      </c>
      <c r="AA250" s="28" t="str">
        <f t="shared" si="67"/>
        <v/>
      </c>
      <c r="AB250" s="28" t="str">
        <f t="shared" si="68"/>
        <v/>
      </c>
      <c r="AC250" s="28" t="str">
        <f t="shared" si="80"/>
        <v/>
      </c>
      <c r="AD250" s="27"/>
      <c r="AO250" s="145" t="str">
        <f t="shared" si="81"/>
        <v/>
      </c>
      <c r="AP250" s="144" t="str">
        <f t="shared" si="82"/>
        <v/>
      </c>
    </row>
    <row r="251" spans="3:42" x14ac:dyDescent="0.25">
      <c r="C251" s="12" t="str">
        <f>IFERROR(IF(AvisoErro&lt;&gt;"","",IF(C250+1&gt;PAINEL!$H$8,"",C250+1)),"")</f>
        <v/>
      </c>
      <c r="E251" s="23" t="str">
        <f t="shared" si="69"/>
        <v/>
      </c>
      <c r="F251" s="13" t="str">
        <f>IF(C251="","",IF(E251&lt;&gt;"",E251*PAINEL!$H$7,0))</f>
        <v/>
      </c>
      <c r="G251" s="13" t="str">
        <f>IF(C251="","",IF(PAINEL!$A$4=1,K250/(QTDEParc-C250),IF(AND(PAINEL!$A$4=2,C251&lt;=MomentoContemplação),ValorParcelamento/QTDEParc,K250/(QTDEParc-C250))))</f>
        <v/>
      </c>
      <c r="H251" s="13" t="str">
        <f t="shared" si="70"/>
        <v/>
      </c>
      <c r="I251" s="32" t="str">
        <f t="shared" si="71"/>
        <v/>
      </c>
      <c r="J251" s="14" t="str">
        <f>IF(C251="","",IF(C251=MomentoContemplação,PAINEL!$P$10,0))</f>
        <v/>
      </c>
      <c r="K251" s="14" t="str">
        <f t="shared" si="72"/>
        <v/>
      </c>
      <c r="M251" s="51" t="str">
        <f t="shared" si="73"/>
        <v/>
      </c>
      <c r="N251" s="27" t="str">
        <f t="shared" si="77"/>
        <v/>
      </c>
      <c r="O251" s="27" t="str">
        <f>IF(C251="","",(I251*(1+M251))*(QTDEParc-CÁLCULO!C251)+$F$5-SUM($F$6:F251)-J251)</f>
        <v/>
      </c>
      <c r="P251" s="7" t="str">
        <f t="shared" si="74"/>
        <v/>
      </c>
      <c r="R251" s="44" t="str">
        <f t="shared" si="75"/>
        <v/>
      </c>
      <c r="S251" s="97"/>
      <c r="T251" s="28" t="str">
        <f t="shared" si="76"/>
        <v/>
      </c>
      <c r="U251" s="28" t="str">
        <f t="shared" si="64"/>
        <v/>
      </c>
      <c r="V251" s="7" t="str">
        <f t="shared" si="78"/>
        <v/>
      </c>
      <c r="W251" s="93" t="str">
        <f t="shared" si="83"/>
        <v/>
      </c>
      <c r="X251" s="28" t="str">
        <f t="shared" si="79"/>
        <v/>
      </c>
      <c r="Y251" s="28" t="str">
        <f t="shared" si="65"/>
        <v/>
      </c>
      <c r="Z251" s="28" t="str">
        <f t="shared" si="66"/>
        <v/>
      </c>
      <c r="AA251" s="28" t="str">
        <f t="shared" si="67"/>
        <v/>
      </c>
      <c r="AB251" s="28" t="str">
        <f t="shared" si="68"/>
        <v/>
      </c>
      <c r="AC251" s="28" t="str">
        <f t="shared" si="80"/>
        <v/>
      </c>
      <c r="AD251" s="27"/>
      <c r="AO251" s="145" t="str">
        <f t="shared" si="81"/>
        <v/>
      </c>
      <c r="AP251" s="144" t="str">
        <f t="shared" si="82"/>
        <v/>
      </c>
    </row>
    <row r="252" spans="3:42" x14ac:dyDescent="0.25">
      <c r="C252" s="12" t="str">
        <f>IFERROR(IF(AvisoErro&lt;&gt;"","",IF(C251+1&gt;PAINEL!$H$8,"",C251+1)),"")</f>
        <v/>
      </c>
      <c r="E252" s="23" t="str">
        <f t="shared" si="69"/>
        <v/>
      </c>
      <c r="F252" s="13" t="str">
        <f>IF(C252="","",IF(E252&lt;&gt;"",E252*PAINEL!$H$7,0))</f>
        <v/>
      </c>
      <c r="G252" s="13" t="str">
        <f>IF(C252="","",IF(PAINEL!$A$4=1,K251/(QTDEParc-C251),IF(AND(PAINEL!$A$4=2,C252&lt;=MomentoContemplação),ValorParcelamento/QTDEParc,K251/(QTDEParc-C251))))</f>
        <v/>
      </c>
      <c r="H252" s="13" t="str">
        <f t="shared" si="70"/>
        <v/>
      </c>
      <c r="I252" s="32" t="str">
        <f t="shared" si="71"/>
        <v/>
      </c>
      <c r="J252" s="14" t="str">
        <f>IF(C252="","",IF(C252=MomentoContemplação,PAINEL!$P$10,0))</f>
        <v/>
      </c>
      <c r="K252" s="14" t="str">
        <f t="shared" si="72"/>
        <v/>
      </c>
      <c r="M252" s="51" t="str">
        <f t="shared" si="73"/>
        <v/>
      </c>
      <c r="N252" s="27" t="str">
        <f t="shared" si="77"/>
        <v/>
      </c>
      <c r="O252" s="27" t="str">
        <f>IF(C252="","",(I252*(1+M252))*(QTDEParc-CÁLCULO!C252)+$F$5-SUM($F$6:F252)-J252)</f>
        <v/>
      </c>
      <c r="P252" s="7" t="str">
        <f t="shared" si="74"/>
        <v/>
      </c>
      <c r="R252" s="44" t="str">
        <f t="shared" si="75"/>
        <v/>
      </c>
      <c r="S252" s="97"/>
      <c r="T252" s="28" t="str">
        <f t="shared" si="76"/>
        <v/>
      </c>
      <c r="U252" s="28" t="str">
        <f t="shared" si="64"/>
        <v/>
      </c>
      <c r="V252" s="7" t="str">
        <f t="shared" si="78"/>
        <v/>
      </c>
      <c r="W252" s="93" t="str">
        <f t="shared" si="83"/>
        <v/>
      </c>
      <c r="X252" s="28" t="str">
        <f t="shared" si="79"/>
        <v/>
      </c>
      <c r="Y252" s="28" t="str">
        <f t="shared" si="65"/>
        <v/>
      </c>
      <c r="Z252" s="28" t="str">
        <f t="shared" si="66"/>
        <v/>
      </c>
      <c r="AA252" s="28" t="str">
        <f t="shared" si="67"/>
        <v/>
      </c>
      <c r="AB252" s="28" t="str">
        <f t="shared" si="68"/>
        <v/>
      </c>
      <c r="AC252" s="28" t="str">
        <f t="shared" si="80"/>
        <v/>
      </c>
      <c r="AD252" s="27"/>
      <c r="AO252" s="145" t="str">
        <f t="shared" si="81"/>
        <v/>
      </c>
      <c r="AP252" s="144" t="str">
        <f t="shared" si="82"/>
        <v/>
      </c>
    </row>
    <row r="253" spans="3:42" x14ac:dyDescent="0.25">
      <c r="C253" s="12" t="str">
        <f>IFERROR(IF(AvisoErro&lt;&gt;"","",IF(C252+1&gt;PAINEL!$H$8,"",C252+1)),"")</f>
        <v/>
      </c>
      <c r="E253" s="23" t="str">
        <f t="shared" si="69"/>
        <v/>
      </c>
      <c r="F253" s="13" t="str">
        <f>IF(C253="","",IF(E253&lt;&gt;"",E253*PAINEL!$H$7,0))</f>
        <v/>
      </c>
      <c r="G253" s="13" t="str">
        <f>IF(C253="","",IF(PAINEL!$A$4=1,K252/(QTDEParc-C252),IF(AND(PAINEL!$A$4=2,C253&lt;=MomentoContemplação),ValorParcelamento/QTDEParc,K252/(QTDEParc-C252))))</f>
        <v/>
      </c>
      <c r="H253" s="13" t="str">
        <f t="shared" si="70"/>
        <v/>
      </c>
      <c r="I253" s="32" t="str">
        <f t="shared" si="71"/>
        <v/>
      </c>
      <c r="J253" s="14" t="str">
        <f>IF(C253="","",IF(C253=MomentoContemplação,PAINEL!$P$10,0))</f>
        <v/>
      </c>
      <c r="K253" s="14" t="str">
        <f t="shared" si="72"/>
        <v/>
      </c>
      <c r="M253" s="51" t="str">
        <f t="shared" si="73"/>
        <v/>
      </c>
      <c r="N253" s="27" t="str">
        <f t="shared" si="77"/>
        <v/>
      </c>
      <c r="O253" s="27" t="str">
        <f>IF(C253="","",(I253*(1+M253))*(QTDEParc-CÁLCULO!C253)+$F$5-SUM($F$6:F253)-J253)</f>
        <v/>
      </c>
      <c r="P253" s="7" t="str">
        <f t="shared" si="74"/>
        <v/>
      </c>
      <c r="R253" s="44" t="str">
        <f t="shared" si="75"/>
        <v/>
      </c>
      <c r="S253" s="97"/>
      <c r="T253" s="28" t="str">
        <f t="shared" si="76"/>
        <v/>
      </c>
      <c r="U253" s="28" t="str">
        <f t="shared" si="64"/>
        <v/>
      </c>
      <c r="V253" s="7" t="str">
        <f t="shared" si="78"/>
        <v/>
      </c>
      <c r="W253" s="93" t="str">
        <f t="shared" si="83"/>
        <v/>
      </c>
      <c r="X253" s="28" t="str">
        <f t="shared" si="79"/>
        <v/>
      </c>
      <c r="Y253" s="28" t="str">
        <f t="shared" si="65"/>
        <v/>
      </c>
      <c r="Z253" s="28" t="str">
        <f t="shared" si="66"/>
        <v/>
      </c>
      <c r="AA253" s="28" t="str">
        <f t="shared" si="67"/>
        <v/>
      </c>
      <c r="AB253" s="28" t="str">
        <f t="shared" si="68"/>
        <v/>
      </c>
      <c r="AC253" s="28" t="str">
        <f t="shared" si="80"/>
        <v/>
      </c>
      <c r="AD253" s="27"/>
      <c r="AO253" s="145" t="str">
        <f t="shared" si="81"/>
        <v/>
      </c>
      <c r="AP253" s="144" t="str">
        <f t="shared" si="82"/>
        <v/>
      </c>
    </row>
    <row r="254" spans="3:42" x14ac:dyDescent="0.25">
      <c r="C254" s="12" t="str">
        <f>IFERROR(IF(AvisoErro&lt;&gt;"","",IF(C253+1&gt;PAINEL!$H$8,"",C253+1)),"")</f>
        <v/>
      </c>
      <c r="E254" s="23" t="str">
        <f t="shared" si="69"/>
        <v/>
      </c>
      <c r="F254" s="13" t="str">
        <f>IF(C254="","",IF(E254&lt;&gt;"",E254*PAINEL!$H$7,0))</f>
        <v/>
      </c>
      <c r="G254" s="13" t="str">
        <f>IF(C254="","",IF(PAINEL!$A$4=1,K253/(QTDEParc-C253),IF(AND(PAINEL!$A$4=2,C254&lt;=MomentoContemplação),ValorParcelamento/QTDEParc,K253/(QTDEParc-C253))))</f>
        <v/>
      </c>
      <c r="H254" s="13" t="str">
        <f t="shared" si="70"/>
        <v/>
      </c>
      <c r="I254" s="32" t="str">
        <f t="shared" si="71"/>
        <v/>
      </c>
      <c r="J254" s="14" t="str">
        <f>IF(C254="","",IF(C254=MomentoContemplação,PAINEL!$P$10,0))</f>
        <v/>
      </c>
      <c r="K254" s="14" t="str">
        <f t="shared" si="72"/>
        <v/>
      </c>
      <c r="M254" s="51" t="str">
        <f t="shared" si="73"/>
        <v/>
      </c>
      <c r="N254" s="27" t="str">
        <f t="shared" si="77"/>
        <v/>
      </c>
      <c r="O254" s="27" t="str">
        <f>IF(C254="","",(I254*(1+M254))*(QTDEParc-CÁLCULO!C254)+$F$5-SUM($F$6:F254)-J254)</f>
        <v/>
      </c>
      <c r="P254" s="7" t="str">
        <f t="shared" si="74"/>
        <v/>
      </c>
      <c r="R254" s="44" t="str">
        <f t="shared" si="75"/>
        <v/>
      </c>
      <c r="S254" s="97"/>
      <c r="T254" s="28" t="str">
        <f t="shared" si="76"/>
        <v/>
      </c>
      <c r="U254" s="28" t="str">
        <f t="shared" si="64"/>
        <v/>
      </c>
      <c r="V254" s="7" t="str">
        <f t="shared" si="78"/>
        <v/>
      </c>
      <c r="W254" s="93" t="str">
        <f t="shared" si="83"/>
        <v/>
      </c>
      <c r="X254" s="28" t="str">
        <f t="shared" si="79"/>
        <v/>
      </c>
      <c r="Y254" s="28" t="str">
        <f t="shared" si="65"/>
        <v/>
      </c>
      <c r="Z254" s="28" t="str">
        <f t="shared" si="66"/>
        <v/>
      </c>
      <c r="AA254" s="28" t="str">
        <f t="shared" si="67"/>
        <v/>
      </c>
      <c r="AB254" s="28" t="str">
        <f t="shared" si="68"/>
        <v/>
      </c>
      <c r="AC254" s="28" t="str">
        <f t="shared" si="80"/>
        <v/>
      </c>
      <c r="AD254" s="27"/>
      <c r="AO254" s="145" t="str">
        <f t="shared" si="81"/>
        <v/>
      </c>
      <c r="AP254" s="144" t="str">
        <f t="shared" si="82"/>
        <v/>
      </c>
    </row>
    <row r="255" spans="3:42" x14ac:dyDescent="0.25">
      <c r="C255" s="12" t="str">
        <f>IFERROR(IF(AvisoErro&lt;&gt;"","",IF(C254+1&gt;PAINEL!$H$8,"",C254+1)),"")</f>
        <v/>
      </c>
      <c r="E255" s="23" t="str">
        <f t="shared" si="69"/>
        <v/>
      </c>
      <c r="F255" s="13" t="str">
        <f>IF(C255="","",IF(E255&lt;&gt;"",E255*PAINEL!$H$7,0))</f>
        <v/>
      </c>
      <c r="G255" s="13" t="str">
        <f>IF(C255="","",IF(PAINEL!$A$4=1,K254/(QTDEParc-C254),IF(AND(PAINEL!$A$4=2,C255&lt;=MomentoContemplação),ValorParcelamento/QTDEParc,K254/(QTDEParc-C254))))</f>
        <v/>
      </c>
      <c r="H255" s="13" t="str">
        <f t="shared" si="70"/>
        <v/>
      </c>
      <c r="I255" s="32" t="str">
        <f t="shared" si="71"/>
        <v/>
      </c>
      <c r="J255" s="14" t="str">
        <f>IF(C255="","",IF(C255=MomentoContemplação,PAINEL!$P$10,0))</f>
        <v/>
      </c>
      <c r="K255" s="14" t="str">
        <f t="shared" si="72"/>
        <v/>
      </c>
      <c r="M255" s="51" t="str">
        <f t="shared" si="73"/>
        <v/>
      </c>
      <c r="N255" s="27" t="str">
        <f t="shared" si="77"/>
        <v/>
      </c>
      <c r="O255" s="27" t="str">
        <f>IF(C255="","",(I255*(1+M255))*(QTDEParc-CÁLCULO!C255)+$F$5-SUM($F$6:F255)-J255)</f>
        <v/>
      </c>
      <c r="P255" s="7" t="str">
        <f t="shared" si="74"/>
        <v/>
      </c>
      <c r="R255" s="44" t="str">
        <f t="shared" si="75"/>
        <v/>
      </c>
      <c r="S255" s="97"/>
      <c r="T255" s="28" t="str">
        <f t="shared" si="76"/>
        <v/>
      </c>
      <c r="U255" s="28" t="str">
        <f t="shared" si="64"/>
        <v/>
      </c>
      <c r="V255" s="7" t="str">
        <f t="shared" si="78"/>
        <v/>
      </c>
      <c r="W255" s="93" t="str">
        <f t="shared" si="83"/>
        <v/>
      </c>
      <c r="X255" s="28" t="str">
        <f t="shared" si="79"/>
        <v/>
      </c>
      <c r="Y255" s="28" t="str">
        <f t="shared" si="65"/>
        <v/>
      </c>
      <c r="Z255" s="28" t="str">
        <f t="shared" si="66"/>
        <v/>
      </c>
      <c r="AA255" s="28" t="str">
        <f t="shared" si="67"/>
        <v/>
      </c>
      <c r="AB255" s="28" t="str">
        <f t="shared" si="68"/>
        <v/>
      </c>
      <c r="AC255" s="28" t="str">
        <f t="shared" si="80"/>
        <v/>
      </c>
      <c r="AD255" s="27"/>
      <c r="AO255" s="145" t="str">
        <f t="shared" si="81"/>
        <v/>
      </c>
      <c r="AP255" s="144" t="str">
        <f t="shared" si="82"/>
        <v/>
      </c>
    </row>
    <row r="256" spans="3:42" x14ac:dyDescent="0.25">
      <c r="C256" s="12" t="str">
        <f>IFERROR(IF(AvisoErro&lt;&gt;"","",IF(C255+1&gt;PAINEL!$H$8,"",C255+1)),"")</f>
        <v/>
      </c>
      <c r="E256" s="23" t="str">
        <f t="shared" si="69"/>
        <v/>
      </c>
      <c r="F256" s="13" t="str">
        <f>IF(C256="","",IF(E256&lt;&gt;"",E256*PAINEL!$H$7,0))</f>
        <v/>
      </c>
      <c r="G256" s="13" t="str">
        <f>IF(C256="","",IF(PAINEL!$A$4=1,K255/(QTDEParc-C255),IF(AND(PAINEL!$A$4=2,C256&lt;=MomentoContemplação),ValorParcelamento/QTDEParc,K255/(QTDEParc-C255))))</f>
        <v/>
      </c>
      <c r="H256" s="13" t="str">
        <f t="shared" si="70"/>
        <v/>
      </c>
      <c r="I256" s="32" t="str">
        <f t="shared" si="71"/>
        <v/>
      </c>
      <c r="J256" s="14" t="str">
        <f>IF(C256="","",IF(C256=MomentoContemplação,PAINEL!$P$10,0))</f>
        <v/>
      </c>
      <c r="K256" s="14" t="str">
        <f t="shared" si="72"/>
        <v/>
      </c>
      <c r="M256" s="51" t="str">
        <f t="shared" si="73"/>
        <v/>
      </c>
      <c r="N256" s="27" t="str">
        <f t="shared" si="77"/>
        <v/>
      </c>
      <c r="O256" s="27" t="str">
        <f>IF(C256="","",(I256*(1+M256))*(QTDEParc-CÁLCULO!C256)+$F$5-SUM($F$6:F256)-J256)</f>
        <v/>
      </c>
      <c r="P256" s="7" t="str">
        <f t="shared" si="74"/>
        <v/>
      </c>
      <c r="R256" s="44" t="str">
        <f t="shared" si="75"/>
        <v/>
      </c>
      <c r="S256" s="97"/>
      <c r="T256" s="28" t="str">
        <f t="shared" si="76"/>
        <v/>
      </c>
      <c r="U256" s="28" t="str">
        <f t="shared" si="64"/>
        <v/>
      </c>
      <c r="V256" s="7" t="str">
        <f t="shared" si="78"/>
        <v/>
      </c>
      <c r="W256" s="93" t="str">
        <f t="shared" si="83"/>
        <v/>
      </c>
      <c r="X256" s="28" t="str">
        <f t="shared" si="79"/>
        <v/>
      </c>
      <c r="Y256" s="28" t="str">
        <f t="shared" si="65"/>
        <v/>
      </c>
      <c r="Z256" s="28" t="str">
        <f t="shared" si="66"/>
        <v/>
      </c>
      <c r="AA256" s="28" t="str">
        <f t="shared" si="67"/>
        <v/>
      </c>
      <c r="AB256" s="28" t="str">
        <f t="shared" si="68"/>
        <v/>
      </c>
      <c r="AC256" s="28" t="str">
        <f t="shared" si="80"/>
        <v/>
      </c>
      <c r="AD256" s="27"/>
      <c r="AO256" s="145" t="str">
        <f t="shared" si="81"/>
        <v/>
      </c>
      <c r="AP256" s="144" t="str">
        <f t="shared" si="82"/>
        <v/>
      </c>
    </row>
    <row r="257" spans="3:42" x14ac:dyDescent="0.25">
      <c r="C257" s="12" t="str">
        <f>IFERROR(IF(AvisoErro&lt;&gt;"","",IF(C256+1&gt;PAINEL!$H$8,"",C256+1)),"")</f>
        <v/>
      </c>
      <c r="E257" s="23" t="str">
        <f t="shared" si="69"/>
        <v/>
      </c>
      <c r="F257" s="13" t="str">
        <f>IF(C257="","",IF(E257&lt;&gt;"",E257*PAINEL!$H$7,0))</f>
        <v/>
      </c>
      <c r="G257" s="13" t="str">
        <f>IF(C257="","",IF(PAINEL!$A$4=1,K256/(QTDEParc-C256),IF(AND(PAINEL!$A$4=2,C257&lt;=MomentoContemplação),ValorParcelamento/QTDEParc,K256/(QTDEParc-C256))))</f>
        <v/>
      </c>
      <c r="H257" s="13" t="str">
        <f t="shared" si="70"/>
        <v/>
      </c>
      <c r="I257" s="32" t="str">
        <f t="shared" si="71"/>
        <v/>
      </c>
      <c r="J257" s="14" t="str">
        <f>IF(C257="","",IF(C257=MomentoContemplação,PAINEL!$P$10,0))</f>
        <v/>
      </c>
      <c r="K257" s="14" t="str">
        <f t="shared" si="72"/>
        <v/>
      </c>
      <c r="M257" s="51" t="str">
        <f t="shared" si="73"/>
        <v/>
      </c>
      <c r="N257" s="27" t="str">
        <f t="shared" si="77"/>
        <v/>
      </c>
      <c r="O257" s="27" t="str">
        <f>IF(C257="","",(I257*(1+M257))*(QTDEParc-CÁLCULO!C257)+$F$5-SUM($F$6:F257)-J257)</f>
        <v/>
      </c>
      <c r="P257" s="7" t="str">
        <f t="shared" si="74"/>
        <v/>
      </c>
      <c r="R257" s="44" t="str">
        <f t="shared" si="75"/>
        <v/>
      </c>
      <c r="S257" s="97"/>
      <c r="T257" s="28" t="str">
        <f t="shared" si="76"/>
        <v/>
      </c>
      <c r="U257" s="28" t="str">
        <f t="shared" si="64"/>
        <v/>
      </c>
      <c r="V257" s="7" t="str">
        <f t="shared" si="78"/>
        <v/>
      </c>
      <c r="W257" s="93" t="str">
        <f t="shared" si="83"/>
        <v/>
      </c>
      <c r="X257" s="28" t="str">
        <f t="shared" si="79"/>
        <v/>
      </c>
      <c r="Y257" s="28" t="str">
        <f t="shared" si="65"/>
        <v/>
      </c>
      <c r="Z257" s="28" t="str">
        <f t="shared" si="66"/>
        <v/>
      </c>
      <c r="AA257" s="28" t="str">
        <f t="shared" si="67"/>
        <v/>
      </c>
      <c r="AB257" s="28" t="str">
        <f t="shared" si="68"/>
        <v/>
      </c>
      <c r="AC257" s="28" t="str">
        <f t="shared" si="80"/>
        <v/>
      </c>
      <c r="AD257" s="27"/>
      <c r="AO257" s="145" t="str">
        <f t="shared" si="81"/>
        <v/>
      </c>
      <c r="AP257" s="144" t="str">
        <f t="shared" si="82"/>
        <v/>
      </c>
    </row>
    <row r="258" spans="3:42" x14ac:dyDescent="0.25">
      <c r="C258" s="12" t="str">
        <f>IFERROR(IF(AvisoErro&lt;&gt;"","",IF(C257+1&gt;PAINEL!$H$8,"",C257+1)),"")</f>
        <v/>
      </c>
      <c r="E258" s="23" t="str">
        <f t="shared" si="69"/>
        <v/>
      </c>
      <c r="F258" s="13" t="str">
        <f>IF(C258="","",IF(E258&lt;&gt;"",E258*PAINEL!$H$7,0))</f>
        <v/>
      </c>
      <c r="G258" s="13" t="str">
        <f>IF(C258="","",IF(PAINEL!$A$4=1,K257/(QTDEParc-C257),IF(AND(PAINEL!$A$4=2,C258&lt;=MomentoContemplação),ValorParcelamento/QTDEParc,K257/(QTDEParc-C257))))</f>
        <v/>
      </c>
      <c r="H258" s="13" t="str">
        <f t="shared" si="70"/>
        <v/>
      </c>
      <c r="I258" s="32" t="str">
        <f t="shared" si="71"/>
        <v/>
      </c>
      <c r="J258" s="14" t="str">
        <f>IF(C258="","",IF(C258=MomentoContemplação,PAINEL!$P$10,0))</f>
        <v/>
      </c>
      <c r="K258" s="14" t="str">
        <f t="shared" si="72"/>
        <v/>
      </c>
      <c r="M258" s="51" t="str">
        <f t="shared" si="73"/>
        <v/>
      </c>
      <c r="N258" s="27" t="str">
        <f t="shared" si="77"/>
        <v/>
      </c>
      <c r="O258" s="27" t="str">
        <f>IF(C258="","",(I258*(1+M258))*(QTDEParc-CÁLCULO!C258)+$F$5-SUM($F$6:F258)-J258)</f>
        <v/>
      </c>
      <c r="P258" s="7" t="str">
        <f t="shared" si="74"/>
        <v/>
      </c>
      <c r="R258" s="44" t="str">
        <f t="shared" si="75"/>
        <v/>
      </c>
      <c r="S258" s="97"/>
      <c r="T258" s="28" t="str">
        <f t="shared" si="76"/>
        <v/>
      </c>
      <c r="U258" s="28" t="str">
        <f t="shared" si="64"/>
        <v/>
      </c>
      <c r="V258" s="7" t="str">
        <f t="shared" si="78"/>
        <v/>
      </c>
      <c r="W258" s="93" t="str">
        <f t="shared" si="83"/>
        <v/>
      </c>
      <c r="X258" s="28" t="str">
        <f t="shared" si="79"/>
        <v/>
      </c>
      <c r="Y258" s="28" t="str">
        <f t="shared" si="65"/>
        <v/>
      </c>
      <c r="Z258" s="28" t="str">
        <f t="shared" si="66"/>
        <v/>
      </c>
      <c r="AA258" s="28" t="str">
        <f t="shared" si="67"/>
        <v/>
      </c>
      <c r="AB258" s="28" t="str">
        <f t="shared" si="68"/>
        <v/>
      </c>
      <c r="AC258" s="28" t="str">
        <f t="shared" si="80"/>
        <v/>
      </c>
      <c r="AD258" s="27"/>
      <c r="AO258" s="145" t="str">
        <f t="shared" si="81"/>
        <v/>
      </c>
      <c r="AP258" s="144" t="str">
        <f t="shared" si="82"/>
        <v/>
      </c>
    </row>
    <row r="259" spans="3:42" x14ac:dyDescent="0.25">
      <c r="C259" s="12" t="str">
        <f>IFERROR(IF(AvisoErro&lt;&gt;"","",IF(C258+1&gt;PAINEL!$H$8,"",C258+1)),"")</f>
        <v/>
      </c>
      <c r="E259" s="23" t="str">
        <f t="shared" si="69"/>
        <v/>
      </c>
      <c r="F259" s="13" t="str">
        <f>IF(C259="","",IF(E259&lt;&gt;"",E259*PAINEL!$H$7,0))</f>
        <v/>
      </c>
      <c r="G259" s="13" t="str">
        <f>IF(C259="","",IF(PAINEL!$A$4=1,K258/(QTDEParc-C258),IF(AND(PAINEL!$A$4=2,C259&lt;=MomentoContemplação),ValorParcelamento/QTDEParc,K258/(QTDEParc-C258))))</f>
        <v/>
      </c>
      <c r="H259" s="13" t="str">
        <f t="shared" si="70"/>
        <v/>
      </c>
      <c r="I259" s="32" t="str">
        <f t="shared" si="71"/>
        <v/>
      </c>
      <c r="J259" s="14" t="str">
        <f>IF(C259="","",IF(C259=MomentoContemplação,PAINEL!$P$10,0))</f>
        <v/>
      </c>
      <c r="K259" s="14" t="str">
        <f t="shared" si="72"/>
        <v/>
      </c>
      <c r="M259" s="51" t="str">
        <f t="shared" si="73"/>
        <v/>
      </c>
      <c r="N259" s="27" t="str">
        <f t="shared" si="77"/>
        <v/>
      </c>
      <c r="O259" s="27" t="str">
        <f>IF(C259="","",(I259*(1+M259))*(QTDEParc-CÁLCULO!C259)+$F$5-SUM($F$6:F259)-J259)</f>
        <v/>
      </c>
      <c r="P259" s="7" t="str">
        <f t="shared" si="74"/>
        <v/>
      </c>
      <c r="R259" s="44" t="str">
        <f t="shared" si="75"/>
        <v/>
      </c>
      <c r="S259" s="97"/>
      <c r="T259" s="28" t="str">
        <f t="shared" si="76"/>
        <v/>
      </c>
      <c r="U259" s="28" t="str">
        <f t="shared" si="64"/>
        <v/>
      </c>
      <c r="V259" s="7" t="str">
        <f t="shared" si="78"/>
        <v/>
      </c>
      <c r="W259" s="93" t="str">
        <f t="shared" si="83"/>
        <v/>
      </c>
      <c r="X259" s="28" t="str">
        <f t="shared" si="79"/>
        <v/>
      </c>
      <c r="Y259" s="28" t="str">
        <f t="shared" si="65"/>
        <v/>
      </c>
      <c r="Z259" s="28" t="str">
        <f t="shared" si="66"/>
        <v/>
      </c>
      <c r="AA259" s="28" t="str">
        <f t="shared" si="67"/>
        <v/>
      </c>
      <c r="AB259" s="28" t="str">
        <f t="shared" si="68"/>
        <v/>
      </c>
      <c r="AC259" s="28" t="str">
        <f t="shared" si="80"/>
        <v/>
      </c>
      <c r="AD259" s="27"/>
      <c r="AO259" s="145" t="str">
        <f t="shared" si="81"/>
        <v/>
      </c>
      <c r="AP259" s="144" t="str">
        <f t="shared" si="82"/>
        <v/>
      </c>
    </row>
    <row r="260" spans="3:42" x14ac:dyDescent="0.25">
      <c r="C260" s="12" t="str">
        <f>IFERROR(IF(AvisoErro&lt;&gt;"","",IF(C259+1&gt;PAINEL!$H$8,"",C259+1)),"")</f>
        <v/>
      </c>
      <c r="E260" s="23" t="str">
        <f t="shared" si="69"/>
        <v/>
      </c>
      <c r="F260" s="13" t="str">
        <f>IF(C260="","",IF(E260&lt;&gt;"",E260*PAINEL!$H$7,0))</f>
        <v/>
      </c>
      <c r="G260" s="13" t="str">
        <f>IF(C260="","",IF(PAINEL!$A$4=1,K259/(QTDEParc-C259),IF(AND(PAINEL!$A$4=2,C260&lt;=MomentoContemplação),ValorParcelamento/QTDEParc,K259/(QTDEParc-C259))))</f>
        <v/>
      </c>
      <c r="H260" s="13" t="str">
        <f t="shared" si="70"/>
        <v/>
      </c>
      <c r="I260" s="32" t="str">
        <f t="shared" si="71"/>
        <v/>
      </c>
      <c r="J260" s="14" t="str">
        <f>IF(C260="","",IF(C260=MomentoContemplação,PAINEL!$P$10,0))</f>
        <v/>
      </c>
      <c r="K260" s="14" t="str">
        <f t="shared" si="72"/>
        <v/>
      </c>
      <c r="M260" s="51" t="str">
        <f t="shared" si="73"/>
        <v/>
      </c>
      <c r="N260" s="27" t="str">
        <f t="shared" si="77"/>
        <v/>
      </c>
      <c r="O260" s="27" t="str">
        <f>IF(C260="","",(I260*(1+M260))*(QTDEParc-CÁLCULO!C260)+$F$5-SUM($F$6:F260)-J260)</f>
        <v/>
      </c>
      <c r="P260" s="7" t="str">
        <f t="shared" si="74"/>
        <v/>
      </c>
      <c r="R260" s="44" t="str">
        <f t="shared" si="75"/>
        <v/>
      </c>
      <c r="S260" s="97"/>
      <c r="T260" s="28" t="str">
        <f t="shared" si="76"/>
        <v/>
      </c>
      <c r="U260" s="28" t="str">
        <f t="shared" si="64"/>
        <v/>
      </c>
      <c r="V260" s="7" t="str">
        <f t="shared" si="78"/>
        <v/>
      </c>
      <c r="W260" s="93" t="str">
        <f t="shared" si="83"/>
        <v/>
      </c>
      <c r="X260" s="28" t="str">
        <f t="shared" si="79"/>
        <v/>
      </c>
      <c r="Y260" s="28" t="str">
        <f t="shared" si="65"/>
        <v/>
      </c>
      <c r="Z260" s="28" t="str">
        <f t="shared" si="66"/>
        <v/>
      </c>
      <c r="AA260" s="28" t="str">
        <f t="shared" si="67"/>
        <v/>
      </c>
      <c r="AB260" s="28" t="str">
        <f t="shared" si="68"/>
        <v/>
      </c>
      <c r="AC260" s="28" t="str">
        <f t="shared" si="80"/>
        <v/>
      </c>
      <c r="AD260" s="27"/>
      <c r="AO260" s="145" t="str">
        <f t="shared" si="81"/>
        <v/>
      </c>
      <c r="AP260" s="144" t="str">
        <f t="shared" si="82"/>
        <v/>
      </c>
    </row>
    <row r="261" spans="3:42" x14ac:dyDescent="0.25">
      <c r="C261" s="12" t="str">
        <f>IFERROR(IF(AvisoErro&lt;&gt;"","",IF(C260+1&gt;PAINEL!$H$8,"",C260+1)),"")</f>
        <v/>
      </c>
      <c r="E261" s="23" t="str">
        <f t="shared" si="69"/>
        <v/>
      </c>
      <c r="F261" s="13" t="str">
        <f>IF(C261="","",IF(E261&lt;&gt;"",E261*PAINEL!$H$7,0))</f>
        <v/>
      </c>
      <c r="G261" s="13" t="str">
        <f>IF(C261="","",IF(PAINEL!$A$4=1,K260/(QTDEParc-C260),IF(AND(PAINEL!$A$4=2,C261&lt;=MomentoContemplação),ValorParcelamento/QTDEParc,K260/(QTDEParc-C260))))</f>
        <v/>
      </c>
      <c r="H261" s="13" t="str">
        <f t="shared" si="70"/>
        <v/>
      </c>
      <c r="I261" s="32" t="str">
        <f t="shared" si="71"/>
        <v/>
      </c>
      <c r="J261" s="14" t="str">
        <f>IF(C261="","",IF(C261=MomentoContemplação,PAINEL!$P$10,0))</f>
        <v/>
      </c>
      <c r="K261" s="14" t="str">
        <f t="shared" si="72"/>
        <v/>
      </c>
      <c r="M261" s="51" t="str">
        <f t="shared" si="73"/>
        <v/>
      </c>
      <c r="N261" s="27" t="str">
        <f t="shared" si="77"/>
        <v/>
      </c>
      <c r="O261" s="27" t="str">
        <f>IF(C261="","",(I261*(1+M261))*(QTDEParc-CÁLCULO!C261)+$F$5-SUM($F$6:F261)-J261)</f>
        <v/>
      </c>
      <c r="P261" s="7" t="str">
        <f t="shared" si="74"/>
        <v/>
      </c>
      <c r="R261" s="44" t="str">
        <f t="shared" si="75"/>
        <v/>
      </c>
      <c r="S261" s="97"/>
      <c r="T261" s="28" t="str">
        <f t="shared" si="76"/>
        <v/>
      </c>
      <c r="U261" s="28" t="str">
        <f t="shared" si="64"/>
        <v/>
      </c>
      <c r="V261" s="7" t="str">
        <f t="shared" si="78"/>
        <v/>
      </c>
      <c r="W261" s="93" t="str">
        <f t="shared" si="83"/>
        <v/>
      </c>
      <c r="X261" s="28" t="str">
        <f t="shared" si="79"/>
        <v/>
      </c>
      <c r="Y261" s="28" t="str">
        <f t="shared" si="65"/>
        <v/>
      </c>
      <c r="Z261" s="28" t="str">
        <f t="shared" si="66"/>
        <v/>
      </c>
      <c r="AA261" s="28" t="str">
        <f t="shared" si="67"/>
        <v/>
      </c>
      <c r="AB261" s="28" t="str">
        <f t="shared" si="68"/>
        <v/>
      </c>
      <c r="AC261" s="28" t="str">
        <f t="shared" si="80"/>
        <v/>
      </c>
      <c r="AD261" s="27"/>
      <c r="AO261" s="145" t="str">
        <f t="shared" si="81"/>
        <v/>
      </c>
      <c r="AP261" s="144" t="str">
        <f t="shared" si="82"/>
        <v/>
      </c>
    </row>
    <row r="262" spans="3:42" x14ac:dyDescent="0.25">
      <c r="C262" s="12" t="str">
        <f>IFERROR(IF(AvisoErro&lt;&gt;"","",IF(C261+1&gt;PAINEL!$H$8,"",C261+1)),"")</f>
        <v/>
      </c>
      <c r="E262" s="23" t="str">
        <f t="shared" si="69"/>
        <v/>
      </c>
      <c r="F262" s="13" t="str">
        <f>IF(C262="","",IF(E262&lt;&gt;"",E262*PAINEL!$H$7,0))</f>
        <v/>
      </c>
      <c r="G262" s="13" t="str">
        <f>IF(C262="","",IF(PAINEL!$A$4=1,K261/(QTDEParc-C261),IF(AND(PAINEL!$A$4=2,C262&lt;=MomentoContemplação),ValorParcelamento/QTDEParc,K261/(QTDEParc-C261))))</f>
        <v/>
      </c>
      <c r="H262" s="13" t="str">
        <f t="shared" si="70"/>
        <v/>
      </c>
      <c r="I262" s="32" t="str">
        <f t="shared" si="71"/>
        <v/>
      </c>
      <c r="J262" s="14" t="str">
        <f>IF(C262="","",IF(C262=MomentoContemplação,PAINEL!$P$10,0))</f>
        <v/>
      </c>
      <c r="K262" s="14" t="str">
        <f t="shared" si="72"/>
        <v/>
      </c>
      <c r="M262" s="51" t="str">
        <f t="shared" si="73"/>
        <v/>
      </c>
      <c r="N262" s="27" t="str">
        <f t="shared" si="77"/>
        <v/>
      </c>
      <c r="O262" s="27" t="str">
        <f>IF(C262="","",(I262*(1+M262))*(QTDEParc-CÁLCULO!C262)+$F$5-SUM($F$6:F262)-J262)</f>
        <v/>
      </c>
      <c r="P262" s="7" t="str">
        <f t="shared" si="74"/>
        <v/>
      </c>
      <c r="R262" s="44" t="str">
        <f t="shared" si="75"/>
        <v/>
      </c>
      <c r="S262" s="97"/>
      <c r="T262" s="28" t="str">
        <f t="shared" si="76"/>
        <v/>
      </c>
      <c r="U262" s="28" t="str">
        <f t="shared" ref="U262:U325" si="84">IF(C262="","",(PercTxFRes*N262/(100%+PercTxAdm+PercTxFRes)))</f>
        <v/>
      </c>
      <c r="V262" s="7" t="str">
        <f t="shared" si="78"/>
        <v/>
      </c>
      <c r="W262" s="93" t="str">
        <f t="shared" si="83"/>
        <v/>
      </c>
      <c r="X262" s="28" t="str">
        <f t="shared" si="79"/>
        <v/>
      </c>
      <c r="Y262" s="28" t="str">
        <f t="shared" ref="Y262:Y325" si="85">IF($C262="","",PV(TMAFinal,$C262,,-T262))</f>
        <v/>
      </c>
      <c r="Z262" s="28" t="str">
        <f t="shared" ref="Z262:Z325" si="86">IF($C262="","",PV(TMAFinal,$C262,,-U262))</f>
        <v/>
      </c>
      <c r="AA262" s="28" t="str">
        <f t="shared" ref="AA262:AA325" si="87">IF($C262="","",PV(TMAFinal,$C262,,-V262))</f>
        <v/>
      </c>
      <c r="AB262" s="28" t="str">
        <f t="shared" ref="AB262:AB325" si="88">IF($C262="","",PV(TMAFinal,$C262,,-W262))</f>
        <v/>
      </c>
      <c r="AC262" s="28" t="str">
        <f t="shared" si="80"/>
        <v/>
      </c>
      <c r="AD262" s="27"/>
      <c r="AO262" s="145" t="str">
        <f t="shared" si="81"/>
        <v/>
      </c>
      <c r="AP262" s="144" t="str">
        <f t="shared" si="82"/>
        <v/>
      </c>
    </row>
    <row r="263" spans="3:42" x14ac:dyDescent="0.25">
      <c r="C263" s="12" t="str">
        <f>IFERROR(IF(AvisoErro&lt;&gt;"","",IF(C262+1&gt;PAINEL!$H$8,"",C262+1)),"")</f>
        <v/>
      </c>
      <c r="E263" s="23" t="str">
        <f t="shared" ref="E263:E326" si="89">IF(C263="","",IF(C263&lt;=NroParcAntecipadasCalc,PercTxAdmAntecipada/NroParcAntecipadasCalc,""))</f>
        <v/>
      </c>
      <c r="F263" s="13" t="str">
        <f>IF(C263="","",IF(E263&lt;&gt;"",E263*PAINEL!$H$7,0))</f>
        <v/>
      </c>
      <c r="G263" s="13" t="str">
        <f>IF(C263="","",IF(PAINEL!$A$4=1,K262/(QTDEParc-C262),IF(AND(PAINEL!$A$4=2,C263&lt;=MomentoContemplação),ValorParcelamento/QTDEParc,K262/(QTDEParc-C262))))</f>
        <v/>
      </c>
      <c r="H263" s="13" t="str">
        <f t="shared" ref="H263:H326" si="90">IF(C263="","",IF(AND(AposContemplacao=TRUE,OR(MomentoContemplação="",MomentoContemplação=0)),0,IF(AposContemplacao=FALSE,K262*PercSeguroVida,IF(C263&gt;MomentoContemplação,K262*PercSeguroVida,0))))</f>
        <v/>
      </c>
      <c r="I263" s="32" t="str">
        <f t="shared" ref="I263:I326" si="91">IF(C263="","",G263+H263)</f>
        <v/>
      </c>
      <c r="J263" s="14" t="str">
        <f>IF(C263="","",IF(C263=MomentoContemplação,PAINEL!$P$10,0))</f>
        <v/>
      </c>
      <c r="K263" s="14" t="str">
        <f t="shared" ref="K263:K326" si="92">IF(C263="","",K262+H263-I263-J263)</f>
        <v/>
      </c>
      <c r="M263" s="51" t="str">
        <f t="shared" ref="M263:M326" si="93">IF(OR(C263="",C263=0),"",VLOOKUP(C263,PV_Perc_Reajuste,2))</f>
        <v/>
      </c>
      <c r="N263" s="27" t="str">
        <f t="shared" si="77"/>
        <v/>
      </c>
      <c r="O263" s="27" t="str">
        <f>IF(C263="","",(I263*(1+M263))*(QTDEParc-CÁLCULO!C263)+$F$5-SUM($F$6:F263)-J263)</f>
        <v/>
      </c>
      <c r="P263" s="7" t="str">
        <f t="shared" ref="P263:P326" si="94">IF(C263="","",IF(ROW(C263)=6,0,IF(ROW(C263)=7,ValorCredito,ValorCredito*(1+M263))))</f>
        <v/>
      </c>
      <c r="R263" s="44" t="str">
        <f t="shared" ref="R263:R326" si="95">IF(C263="","",PV(TMAFinal,C263,,N263))</f>
        <v/>
      </c>
      <c r="S263" s="97"/>
      <c r="T263" s="28" t="str">
        <f t="shared" ref="T263:T326" si="96">IF(C263="","",((PercTxAdm-PercTxAdmAntecipada)*(N263-F263))/(100%+(PercTxAdm-PercTxAdmAntecipada)+PercTxFRes)+F263)</f>
        <v/>
      </c>
      <c r="U263" s="28" t="str">
        <f t="shared" si="84"/>
        <v/>
      </c>
      <c r="V263" s="7" t="str">
        <f t="shared" si="78"/>
        <v/>
      </c>
      <c r="W263" s="93" t="str">
        <f t="shared" si="83"/>
        <v/>
      </c>
      <c r="X263" s="28" t="str">
        <f t="shared" si="79"/>
        <v/>
      </c>
      <c r="Y263" s="28" t="str">
        <f t="shared" si="85"/>
        <v/>
      </c>
      <c r="Z263" s="28" t="str">
        <f t="shared" si="86"/>
        <v/>
      </c>
      <c r="AA263" s="28" t="str">
        <f t="shared" si="87"/>
        <v/>
      </c>
      <c r="AB263" s="28" t="str">
        <f t="shared" si="88"/>
        <v/>
      </c>
      <c r="AC263" s="28" t="str">
        <f t="shared" si="80"/>
        <v/>
      </c>
      <c r="AD263" s="27"/>
      <c r="AO263" s="145" t="str">
        <f t="shared" si="81"/>
        <v/>
      </c>
      <c r="AP263" s="144" t="str">
        <f t="shared" si="82"/>
        <v/>
      </c>
    </row>
    <row r="264" spans="3:42" x14ac:dyDescent="0.25">
      <c r="C264" s="12" t="str">
        <f>IFERROR(IF(AvisoErro&lt;&gt;"","",IF(C263+1&gt;PAINEL!$H$8,"",C263+1)),"")</f>
        <v/>
      </c>
      <c r="E264" s="23" t="str">
        <f t="shared" si="89"/>
        <v/>
      </c>
      <c r="F264" s="13" t="str">
        <f>IF(C264="","",IF(E264&lt;&gt;"",E264*PAINEL!$H$7,0))</f>
        <v/>
      </c>
      <c r="G264" s="13" t="str">
        <f>IF(C264="","",IF(PAINEL!$A$4=1,K263/(QTDEParc-C263),IF(AND(PAINEL!$A$4=2,C264&lt;=MomentoContemplação),ValorParcelamento/QTDEParc,K263/(QTDEParc-C263))))</f>
        <v/>
      </c>
      <c r="H264" s="13" t="str">
        <f t="shared" si="90"/>
        <v/>
      </c>
      <c r="I264" s="32" t="str">
        <f t="shared" si="91"/>
        <v/>
      </c>
      <c r="J264" s="14" t="str">
        <f>IF(C264="","",IF(C264=MomentoContemplação,PAINEL!$P$10,0))</f>
        <v/>
      </c>
      <c r="K264" s="14" t="str">
        <f t="shared" si="92"/>
        <v/>
      </c>
      <c r="M264" s="51" t="str">
        <f t="shared" si="93"/>
        <v/>
      </c>
      <c r="N264" s="27" t="str">
        <f t="shared" ref="N264:N327" si="97">IF(C264="","",(I264*(1+M264))+F264+J264)</f>
        <v/>
      </c>
      <c r="O264" s="27" t="str">
        <f>IF(C264="","",(I264*(1+M264))*(QTDEParc-CÁLCULO!C264)+$F$5-SUM($F$6:F264)-J264)</f>
        <v/>
      </c>
      <c r="P264" s="7" t="str">
        <f t="shared" si="94"/>
        <v/>
      </c>
      <c r="R264" s="44" t="str">
        <f t="shared" si="95"/>
        <v/>
      </c>
      <c r="S264" s="97"/>
      <c r="T264" s="28" t="str">
        <f t="shared" si="96"/>
        <v/>
      </c>
      <c r="U264" s="28" t="str">
        <f t="shared" si="84"/>
        <v/>
      </c>
      <c r="V264" s="7" t="str">
        <f t="shared" ref="V264:V327" si="98">IF(C264="","",H264)</f>
        <v/>
      </c>
      <c r="W264" s="93" t="str">
        <f t="shared" si="83"/>
        <v/>
      </c>
      <c r="X264" s="28" t="str">
        <f t="shared" ref="X264:X327" si="99">IF(C264="","",SUM(T264:W264))</f>
        <v/>
      </c>
      <c r="Y264" s="28" t="str">
        <f t="shared" si="85"/>
        <v/>
      </c>
      <c r="Z264" s="28" t="str">
        <f t="shared" si="86"/>
        <v/>
      </c>
      <c r="AA264" s="28" t="str">
        <f t="shared" si="87"/>
        <v/>
      </c>
      <c r="AB264" s="28" t="str">
        <f t="shared" si="88"/>
        <v/>
      </c>
      <c r="AC264" s="28" t="str">
        <f t="shared" ref="AC264:AC327" si="100">IF(I264="","",SUM(Y264:AB264))</f>
        <v/>
      </c>
      <c r="AD264" s="27"/>
      <c r="AO264" s="145" t="str">
        <f t="shared" ref="AO264:AO327" si="101">IF(C264="","",C264)</f>
        <v/>
      </c>
      <c r="AP264" s="144" t="str">
        <f t="shared" ref="AP264:AP327" si="102">IF(C264="","",$AP$6*(1+M264))</f>
        <v/>
      </c>
    </row>
    <row r="265" spans="3:42" x14ac:dyDescent="0.25">
      <c r="C265" s="12" t="str">
        <f>IFERROR(IF(AvisoErro&lt;&gt;"","",IF(C264+1&gt;PAINEL!$H$8,"",C264+1)),"")</f>
        <v/>
      </c>
      <c r="E265" s="23" t="str">
        <f t="shared" si="89"/>
        <v/>
      </c>
      <c r="F265" s="13" t="str">
        <f>IF(C265="","",IF(E265&lt;&gt;"",E265*PAINEL!$H$7,0))</f>
        <v/>
      </c>
      <c r="G265" s="13" t="str">
        <f>IF(C265="","",IF(PAINEL!$A$4=1,K264/(QTDEParc-C264),IF(AND(PAINEL!$A$4=2,C265&lt;=MomentoContemplação),ValorParcelamento/QTDEParc,K264/(QTDEParc-C264))))</f>
        <v/>
      </c>
      <c r="H265" s="13" t="str">
        <f t="shared" si="90"/>
        <v/>
      </c>
      <c r="I265" s="32" t="str">
        <f t="shared" si="91"/>
        <v/>
      </c>
      <c r="J265" s="14" t="str">
        <f>IF(C265="","",IF(C265=MomentoContemplação,PAINEL!$P$10,0))</f>
        <v/>
      </c>
      <c r="K265" s="14" t="str">
        <f t="shared" si="92"/>
        <v/>
      </c>
      <c r="M265" s="51" t="str">
        <f t="shared" si="93"/>
        <v/>
      </c>
      <c r="N265" s="27" t="str">
        <f t="shared" si="97"/>
        <v/>
      </c>
      <c r="O265" s="27" t="str">
        <f>IF(C265="","",(I265*(1+M265))*(QTDEParc-CÁLCULO!C265)+$F$5-SUM($F$6:F265)-J265)</f>
        <v/>
      </c>
      <c r="P265" s="7" t="str">
        <f t="shared" si="94"/>
        <v/>
      </c>
      <c r="R265" s="44" t="str">
        <f t="shared" si="95"/>
        <v/>
      </c>
      <c r="S265" s="97"/>
      <c r="T265" s="28" t="str">
        <f t="shared" si="96"/>
        <v/>
      </c>
      <c r="U265" s="28" t="str">
        <f t="shared" si="84"/>
        <v/>
      </c>
      <c r="V265" s="7" t="str">
        <f t="shared" si="98"/>
        <v/>
      </c>
      <c r="W265" s="93" t="str">
        <f t="shared" ref="W265:W328" si="103">IF(C265="","",0)</f>
        <v/>
      </c>
      <c r="X265" s="28" t="str">
        <f t="shared" si="99"/>
        <v/>
      </c>
      <c r="Y265" s="28" t="str">
        <f t="shared" si="85"/>
        <v/>
      </c>
      <c r="Z265" s="28" t="str">
        <f t="shared" si="86"/>
        <v/>
      </c>
      <c r="AA265" s="28" t="str">
        <f t="shared" si="87"/>
        <v/>
      </c>
      <c r="AB265" s="28" t="str">
        <f t="shared" si="88"/>
        <v/>
      </c>
      <c r="AC265" s="28" t="str">
        <f t="shared" si="100"/>
        <v/>
      </c>
      <c r="AD265" s="27"/>
      <c r="AO265" s="145" t="str">
        <f t="shared" si="101"/>
        <v/>
      </c>
      <c r="AP265" s="144" t="str">
        <f t="shared" si="102"/>
        <v/>
      </c>
    </row>
    <row r="266" spans="3:42" x14ac:dyDescent="0.25">
      <c r="C266" s="12" t="str">
        <f>IFERROR(IF(AvisoErro&lt;&gt;"","",IF(C265+1&gt;PAINEL!$H$8,"",C265+1)),"")</f>
        <v/>
      </c>
      <c r="E266" s="23" t="str">
        <f t="shared" si="89"/>
        <v/>
      </c>
      <c r="F266" s="13" t="str">
        <f>IF(C266="","",IF(E266&lt;&gt;"",E266*PAINEL!$H$7,0))</f>
        <v/>
      </c>
      <c r="G266" s="13" t="str">
        <f>IF(C266="","",IF(PAINEL!$A$4=1,K265/(QTDEParc-C265),IF(AND(PAINEL!$A$4=2,C266&lt;=MomentoContemplação),ValorParcelamento/QTDEParc,K265/(QTDEParc-C265))))</f>
        <v/>
      </c>
      <c r="H266" s="13" t="str">
        <f t="shared" si="90"/>
        <v/>
      </c>
      <c r="I266" s="32" t="str">
        <f t="shared" si="91"/>
        <v/>
      </c>
      <c r="J266" s="14" t="str">
        <f>IF(C266="","",IF(C266=MomentoContemplação,PAINEL!$P$10,0))</f>
        <v/>
      </c>
      <c r="K266" s="14" t="str">
        <f t="shared" si="92"/>
        <v/>
      </c>
      <c r="M266" s="51" t="str">
        <f t="shared" si="93"/>
        <v/>
      </c>
      <c r="N266" s="27" t="str">
        <f t="shared" si="97"/>
        <v/>
      </c>
      <c r="O266" s="27" t="str">
        <f>IF(C266="","",(I266*(1+M266))*(QTDEParc-CÁLCULO!C266)+$F$5-SUM($F$6:F266)-J266)</f>
        <v/>
      </c>
      <c r="P266" s="7" t="str">
        <f t="shared" si="94"/>
        <v/>
      </c>
      <c r="R266" s="44" t="str">
        <f t="shared" si="95"/>
        <v/>
      </c>
      <c r="S266" s="97"/>
      <c r="T266" s="28" t="str">
        <f t="shared" si="96"/>
        <v/>
      </c>
      <c r="U266" s="28" t="str">
        <f t="shared" si="84"/>
        <v/>
      </c>
      <c r="V266" s="7" t="str">
        <f t="shared" si="98"/>
        <v/>
      </c>
      <c r="W266" s="93" t="str">
        <f t="shared" si="103"/>
        <v/>
      </c>
      <c r="X266" s="28" t="str">
        <f t="shared" si="99"/>
        <v/>
      </c>
      <c r="Y266" s="28" t="str">
        <f t="shared" si="85"/>
        <v/>
      </c>
      <c r="Z266" s="28" t="str">
        <f t="shared" si="86"/>
        <v/>
      </c>
      <c r="AA266" s="28" t="str">
        <f t="shared" si="87"/>
        <v/>
      </c>
      <c r="AB266" s="28" t="str">
        <f t="shared" si="88"/>
        <v/>
      </c>
      <c r="AC266" s="28" t="str">
        <f t="shared" si="100"/>
        <v/>
      </c>
      <c r="AD266" s="27"/>
      <c r="AO266" s="145" t="str">
        <f t="shared" si="101"/>
        <v/>
      </c>
      <c r="AP266" s="144" t="str">
        <f t="shared" si="102"/>
        <v/>
      </c>
    </row>
    <row r="267" spans="3:42" x14ac:dyDescent="0.25">
      <c r="C267" s="12" t="str">
        <f>IFERROR(IF(AvisoErro&lt;&gt;"","",IF(C266+1&gt;PAINEL!$H$8,"",C266+1)),"")</f>
        <v/>
      </c>
      <c r="E267" s="23" t="str">
        <f t="shared" si="89"/>
        <v/>
      </c>
      <c r="F267" s="13" t="str">
        <f>IF(C267="","",IF(E267&lt;&gt;"",E267*PAINEL!$H$7,0))</f>
        <v/>
      </c>
      <c r="G267" s="13" t="str">
        <f>IF(C267="","",IF(PAINEL!$A$4=1,K266/(QTDEParc-C266),IF(AND(PAINEL!$A$4=2,C267&lt;=MomentoContemplação),ValorParcelamento/QTDEParc,K266/(QTDEParc-C266))))</f>
        <v/>
      </c>
      <c r="H267" s="13" t="str">
        <f t="shared" si="90"/>
        <v/>
      </c>
      <c r="I267" s="32" t="str">
        <f t="shared" si="91"/>
        <v/>
      </c>
      <c r="J267" s="14" t="str">
        <f>IF(C267="","",IF(C267=MomentoContemplação,PAINEL!$P$10,0))</f>
        <v/>
      </c>
      <c r="K267" s="14" t="str">
        <f t="shared" si="92"/>
        <v/>
      </c>
      <c r="M267" s="51" t="str">
        <f t="shared" si="93"/>
        <v/>
      </c>
      <c r="N267" s="27" t="str">
        <f t="shared" si="97"/>
        <v/>
      </c>
      <c r="O267" s="27" t="str">
        <f>IF(C267="","",(I267*(1+M267))*(QTDEParc-CÁLCULO!C267)+$F$5-SUM($F$6:F267)-J267)</f>
        <v/>
      </c>
      <c r="P267" s="7" t="str">
        <f t="shared" si="94"/>
        <v/>
      </c>
      <c r="R267" s="44" t="str">
        <f t="shared" si="95"/>
        <v/>
      </c>
      <c r="S267" s="97"/>
      <c r="T267" s="28" t="str">
        <f t="shared" si="96"/>
        <v/>
      </c>
      <c r="U267" s="28" t="str">
        <f t="shared" si="84"/>
        <v/>
      </c>
      <c r="V267" s="7" t="str">
        <f t="shared" si="98"/>
        <v/>
      </c>
      <c r="W267" s="93" t="str">
        <f t="shared" si="103"/>
        <v/>
      </c>
      <c r="X267" s="28" t="str">
        <f t="shared" si="99"/>
        <v/>
      </c>
      <c r="Y267" s="28" t="str">
        <f t="shared" si="85"/>
        <v/>
      </c>
      <c r="Z267" s="28" t="str">
        <f t="shared" si="86"/>
        <v/>
      </c>
      <c r="AA267" s="28" t="str">
        <f t="shared" si="87"/>
        <v/>
      </c>
      <c r="AB267" s="28" t="str">
        <f t="shared" si="88"/>
        <v/>
      </c>
      <c r="AC267" s="28" t="str">
        <f t="shared" si="100"/>
        <v/>
      </c>
      <c r="AD267" s="27"/>
      <c r="AO267" s="145" t="str">
        <f t="shared" si="101"/>
        <v/>
      </c>
      <c r="AP267" s="144" t="str">
        <f t="shared" si="102"/>
        <v/>
      </c>
    </row>
    <row r="268" spans="3:42" x14ac:dyDescent="0.25">
      <c r="C268" s="12" t="str">
        <f>IFERROR(IF(AvisoErro&lt;&gt;"","",IF(C267+1&gt;PAINEL!$H$8,"",C267+1)),"")</f>
        <v/>
      </c>
      <c r="E268" s="23" t="str">
        <f t="shared" si="89"/>
        <v/>
      </c>
      <c r="F268" s="13" t="str">
        <f>IF(C268="","",IF(E268&lt;&gt;"",E268*PAINEL!$H$7,0))</f>
        <v/>
      </c>
      <c r="G268" s="13" t="str">
        <f>IF(C268="","",IF(PAINEL!$A$4=1,K267/(QTDEParc-C267),IF(AND(PAINEL!$A$4=2,C268&lt;=MomentoContemplação),ValorParcelamento/QTDEParc,K267/(QTDEParc-C267))))</f>
        <v/>
      </c>
      <c r="H268" s="13" t="str">
        <f t="shared" si="90"/>
        <v/>
      </c>
      <c r="I268" s="32" t="str">
        <f t="shared" si="91"/>
        <v/>
      </c>
      <c r="J268" s="14" t="str">
        <f>IF(C268="","",IF(C268=MomentoContemplação,PAINEL!$P$10,0))</f>
        <v/>
      </c>
      <c r="K268" s="14" t="str">
        <f t="shared" si="92"/>
        <v/>
      </c>
      <c r="M268" s="51" t="str">
        <f t="shared" si="93"/>
        <v/>
      </c>
      <c r="N268" s="27" t="str">
        <f t="shared" si="97"/>
        <v/>
      </c>
      <c r="O268" s="27" t="str">
        <f>IF(C268="","",(I268*(1+M268))*(QTDEParc-CÁLCULO!C268)+$F$5-SUM($F$6:F268)-J268)</f>
        <v/>
      </c>
      <c r="P268" s="7" t="str">
        <f t="shared" si="94"/>
        <v/>
      </c>
      <c r="R268" s="44" t="str">
        <f t="shared" si="95"/>
        <v/>
      </c>
      <c r="S268" s="97"/>
      <c r="T268" s="28" t="str">
        <f t="shared" si="96"/>
        <v/>
      </c>
      <c r="U268" s="28" t="str">
        <f t="shared" si="84"/>
        <v/>
      </c>
      <c r="V268" s="7" t="str">
        <f t="shared" si="98"/>
        <v/>
      </c>
      <c r="W268" s="93" t="str">
        <f t="shared" si="103"/>
        <v/>
      </c>
      <c r="X268" s="28" t="str">
        <f t="shared" si="99"/>
        <v/>
      </c>
      <c r="Y268" s="28" t="str">
        <f t="shared" si="85"/>
        <v/>
      </c>
      <c r="Z268" s="28" t="str">
        <f t="shared" si="86"/>
        <v/>
      </c>
      <c r="AA268" s="28" t="str">
        <f t="shared" si="87"/>
        <v/>
      </c>
      <c r="AB268" s="28" t="str">
        <f t="shared" si="88"/>
        <v/>
      </c>
      <c r="AC268" s="28" t="str">
        <f t="shared" si="100"/>
        <v/>
      </c>
      <c r="AD268" s="27"/>
      <c r="AO268" s="145" t="str">
        <f t="shared" si="101"/>
        <v/>
      </c>
      <c r="AP268" s="144" t="str">
        <f t="shared" si="102"/>
        <v/>
      </c>
    </row>
    <row r="269" spans="3:42" x14ac:dyDescent="0.25">
      <c r="C269" s="12" t="str">
        <f>IFERROR(IF(AvisoErro&lt;&gt;"","",IF(C268+1&gt;PAINEL!$H$8,"",C268+1)),"")</f>
        <v/>
      </c>
      <c r="E269" s="23" t="str">
        <f t="shared" si="89"/>
        <v/>
      </c>
      <c r="F269" s="13" t="str">
        <f>IF(C269="","",IF(E269&lt;&gt;"",E269*PAINEL!$H$7,0))</f>
        <v/>
      </c>
      <c r="G269" s="13" t="str">
        <f>IF(C269="","",IF(PAINEL!$A$4=1,K268/(QTDEParc-C268),IF(AND(PAINEL!$A$4=2,C269&lt;=MomentoContemplação),ValorParcelamento/QTDEParc,K268/(QTDEParc-C268))))</f>
        <v/>
      </c>
      <c r="H269" s="13" t="str">
        <f t="shared" si="90"/>
        <v/>
      </c>
      <c r="I269" s="32" t="str">
        <f t="shared" si="91"/>
        <v/>
      </c>
      <c r="J269" s="14" t="str">
        <f>IF(C269="","",IF(C269=MomentoContemplação,PAINEL!$P$10,0))</f>
        <v/>
      </c>
      <c r="K269" s="14" t="str">
        <f t="shared" si="92"/>
        <v/>
      </c>
      <c r="M269" s="51" t="str">
        <f t="shared" si="93"/>
        <v/>
      </c>
      <c r="N269" s="27" t="str">
        <f t="shared" si="97"/>
        <v/>
      </c>
      <c r="O269" s="27" t="str">
        <f>IF(C269="","",(I269*(1+M269))*(QTDEParc-CÁLCULO!C269)+$F$5-SUM($F$6:F269)-J269)</f>
        <v/>
      </c>
      <c r="P269" s="7" t="str">
        <f t="shared" si="94"/>
        <v/>
      </c>
      <c r="R269" s="44" t="str">
        <f t="shared" si="95"/>
        <v/>
      </c>
      <c r="S269" s="97"/>
      <c r="T269" s="28" t="str">
        <f t="shared" si="96"/>
        <v/>
      </c>
      <c r="U269" s="28" t="str">
        <f t="shared" si="84"/>
        <v/>
      </c>
      <c r="V269" s="7" t="str">
        <f t="shared" si="98"/>
        <v/>
      </c>
      <c r="W269" s="93" t="str">
        <f t="shared" si="103"/>
        <v/>
      </c>
      <c r="X269" s="28" t="str">
        <f t="shared" si="99"/>
        <v/>
      </c>
      <c r="Y269" s="28" t="str">
        <f t="shared" si="85"/>
        <v/>
      </c>
      <c r="Z269" s="28" t="str">
        <f t="shared" si="86"/>
        <v/>
      </c>
      <c r="AA269" s="28" t="str">
        <f t="shared" si="87"/>
        <v/>
      </c>
      <c r="AB269" s="28" t="str">
        <f t="shared" si="88"/>
        <v/>
      </c>
      <c r="AC269" s="28" t="str">
        <f t="shared" si="100"/>
        <v/>
      </c>
      <c r="AD269" s="27"/>
      <c r="AO269" s="145" t="str">
        <f t="shared" si="101"/>
        <v/>
      </c>
      <c r="AP269" s="144" t="str">
        <f t="shared" si="102"/>
        <v/>
      </c>
    </row>
    <row r="270" spans="3:42" x14ac:dyDescent="0.25">
      <c r="C270" s="12" t="str">
        <f>IFERROR(IF(AvisoErro&lt;&gt;"","",IF(C269+1&gt;PAINEL!$H$8,"",C269+1)),"")</f>
        <v/>
      </c>
      <c r="E270" s="23" t="str">
        <f t="shared" si="89"/>
        <v/>
      </c>
      <c r="F270" s="13" t="str">
        <f>IF(C270="","",IF(E270&lt;&gt;"",E270*PAINEL!$H$7,0))</f>
        <v/>
      </c>
      <c r="G270" s="13" t="str">
        <f>IF(C270="","",IF(PAINEL!$A$4=1,K269/(QTDEParc-C269),IF(AND(PAINEL!$A$4=2,C270&lt;=MomentoContemplação),ValorParcelamento/QTDEParc,K269/(QTDEParc-C269))))</f>
        <v/>
      </c>
      <c r="H270" s="13" t="str">
        <f t="shared" si="90"/>
        <v/>
      </c>
      <c r="I270" s="32" t="str">
        <f t="shared" si="91"/>
        <v/>
      </c>
      <c r="J270" s="14" t="str">
        <f>IF(C270="","",IF(C270=MomentoContemplação,PAINEL!$P$10,0))</f>
        <v/>
      </c>
      <c r="K270" s="14" t="str">
        <f t="shared" si="92"/>
        <v/>
      </c>
      <c r="M270" s="51" t="str">
        <f t="shared" si="93"/>
        <v/>
      </c>
      <c r="N270" s="27" t="str">
        <f t="shared" si="97"/>
        <v/>
      </c>
      <c r="O270" s="27" t="str">
        <f>IF(C270="","",(I270*(1+M270))*(QTDEParc-CÁLCULO!C270)+$F$5-SUM($F$6:F270)-J270)</f>
        <v/>
      </c>
      <c r="P270" s="7" t="str">
        <f t="shared" si="94"/>
        <v/>
      </c>
      <c r="R270" s="44" t="str">
        <f t="shared" si="95"/>
        <v/>
      </c>
      <c r="S270" s="97"/>
      <c r="T270" s="28" t="str">
        <f t="shared" si="96"/>
        <v/>
      </c>
      <c r="U270" s="28" t="str">
        <f t="shared" si="84"/>
        <v/>
      </c>
      <c r="V270" s="7" t="str">
        <f t="shared" si="98"/>
        <v/>
      </c>
      <c r="W270" s="93" t="str">
        <f t="shared" si="103"/>
        <v/>
      </c>
      <c r="X270" s="28" t="str">
        <f t="shared" si="99"/>
        <v/>
      </c>
      <c r="Y270" s="28" t="str">
        <f t="shared" si="85"/>
        <v/>
      </c>
      <c r="Z270" s="28" t="str">
        <f t="shared" si="86"/>
        <v/>
      </c>
      <c r="AA270" s="28" t="str">
        <f t="shared" si="87"/>
        <v/>
      </c>
      <c r="AB270" s="28" t="str">
        <f t="shared" si="88"/>
        <v/>
      </c>
      <c r="AC270" s="28" t="str">
        <f t="shared" si="100"/>
        <v/>
      </c>
      <c r="AD270" s="27"/>
      <c r="AO270" s="145" t="str">
        <f t="shared" si="101"/>
        <v/>
      </c>
      <c r="AP270" s="144" t="str">
        <f t="shared" si="102"/>
        <v/>
      </c>
    </row>
    <row r="271" spans="3:42" x14ac:dyDescent="0.25">
      <c r="C271" s="12" t="str">
        <f>IFERROR(IF(AvisoErro&lt;&gt;"","",IF(C270+1&gt;PAINEL!$H$8,"",C270+1)),"")</f>
        <v/>
      </c>
      <c r="E271" s="23" t="str">
        <f t="shared" si="89"/>
        <v/>
      </c>
      <c r="F271" s="13" t="str">
        <f>IF(C271="","",IF(E271&lt;&gt;"",E271*PAINEL!$H$7,0))</f>
        <v/>
      </c>
      <c r="G271" s="13" t="str">
        <f>IF(C271="","",IF(PAINEL!$A$4=1,K270/(QTDEParc-C270),IF(AND(PAINEL!$A$4=2,C271&lt;=MomentoContemplação),ValorParcelamento/QTDEParc,K270/(QTDEParc-C270))))</f>
        <v/>
      </c>
      <c r="H271" s="13" t="str">
        <f t="shared" si="90"/>
        <v/>
      </c>
      <c r="I271" s="32" t="str">
        <f t="shared" si="91"/>
        <v/>
      </c>
      <c r="J271" s="14" t="str">
        <f>IF(C271="","",IF(C271=MomentoContemplação,PAINEL!$P$10,0))</f>
        <v/>
      </c>
      <c r="K271" s="14" t="str">
        <f t="shared" si="92"/>
        <v/>
      </c>
      <c r="M271" s="51" t="str">
        <f t="shared" si="93"/>
        <v/>
      </c>
      <c r="N271" s="27" t="str">
        <f t="shared" si="97"/>
        <v/>
      </c>
      <c r="O271" s="27" t="str">
        <f>IF(C271="","",(I271*(1+M271))*(QTDEParc-CÁLCULO!C271)+$F$5-SUM($F$6:F271)-J271)</f>
        <v/>
      </c>
      <c r="P271" s="7" t="str">
        <f t="shared" si="94"/>
        <v/>
      </c>
      <c r="R271" s="44" t="str">
        <f t="shared" si="95"/>
        <v/>
      </c>
      <c r="S271" s="97"/>
      <c r="T271" s="28" t="str">
        <f t="shared" si="96"/>
        <v/>
      </c>
      <c r="U271" s="28" t="str">
        <f t="shared" si="84"/>
        <v/>
      </c>
      <c r="V271" s="7" t="str">
        <f t="shared" si="98"/>
        <v/>
      </c>
      <c r="W271" s="93" t="str">
        <f t="shared" si="103"/>
        <v/>
      </c>
      <c r="X271" s="28" t="str">
        <f t="shared" si="99"/>
        <v/>
      </c>
      <c r="Y271" s="28" t="str">
        <f t="shared" si="85"/>
        <v/>
      </c>
      <c r="Z271" s="28" t="str">
        <f t="shared" si="86"/>
        <v/>
      </c>
      <c r="AA271" s="28" t="str">
        <f t="shared" si="87"/>
        <v/>
      </c>
      <c r="AB271" s="28" t="str">
        <f t="shared" si="88"/>
        <v/>
      </c>
      <c r="AC271" s="28" t="str">
        <f t="shared" si="100"/>
        <v/>
      </c>
      <c r="AD271" s="27"/>
      <c r="AO271" s="145" t="str">
        <f t="shared" si="101"/>
        <v/>
      </c>
      <c r="AP271" s="144" t="str">
        <f t="shared" si="102"/>
        <v/>
      </c>
    </row>
    <row r="272" spans="3:42" x14ac:dyDescent="0.25">
      <c r="C272" s="12" t="str">
        <f>IFERROR(IF(AvisoErro&lt;&gt;"","",IF(C271+1&gt;PAINEL!$H$8,"",C271+1)),"")</f>
        <v/>
      </c>
      <c r="E272" s="23" t="str">
        <f t="shared" si="89"/>
        <v/>
      </c>
      <c r="F272" s="13" t="str">
        <f>IF(C272="","",IF(E272&lt;&gt;"",E272*PAINEL!$H$7,0))</f>
        <v/>
      </c>
      <c r="G272" s="13" t="str">
        <f>IF(C272="","",IF(PAINEL!$A$4=1,K271/(QTDEParc-C271),IF(AND(PAINEL!$A$4=2,C272&lt;=MomentoContemplação),ValorParcelamento/QTDEParc,K271/(QTDEParc-C271))))</f>
        <v/>
      </c>
      <c r="H272" s="13" t="str">
        <f t="shared" si="90"/>
        <v/>
      </c>
      <c r="I272" s="32" t="str">
        <f t="shared" si="91"/>
        <v/>
      </c>
      <c r="J272" s="14" t="str">
        <f>IF(C272="","",IF(C272=MomentoContemplação,PAINEL!$P$10,0))</f>
        <v/>
      </c>
      <c r="K272" s="14" t="str">
        <f t="shared" si="92"/>
        <v/>
      </c>
      <c r="M272" s="51" t="str">
        <f t="shared" si="93"/>
        <v/>
      </c>
      <c r="N272" s="27" t="str">
        <f t="shared" si="97"/>
        <v/>
      </c>
      <c r="O272" s="27" t="str">
        <f>IF(C272="","",(I272*(1+M272))*(QTDEParc-CÁLCULO!C272)+$F$5-SUM($F$6:F272)-J272)</f>
        <v/>
      </c>
      <c r="P272" s="7" t="str">
        <f t="shared" si="94"/>
        <v/>
      </c>
      <c r="R272" s="44" t="str">
        <f t="shared" si="95"/>
        <v/>
      </c>
      <c r="S272" s="97"/>
      <c r="T272" s="28" t="str">
        <f t="shared" si="96"/>
        <v/>
      </c>
      <c r="U272" s="28" t="str">
        <f t="shared" si="84"/>
        <v/>
      </c>
      <c r="V272" s="7" t="str">
        <f t="shared" si="98"/>
        <v/>
      </c>
      <c r="W272" s="93" t="str">
        <f t="shared" si="103"/>
        <v/>
      </c>
      <c r="X272" s="28" t="str">
        <f t="shared" si="99"/>
        <v/>
      </c>
      <c r="Y272" s="28" t="str">
        <f t="shared" si="85"/>
        <v/>
      </c>
      <c r="Z272" s="28" t="str">
        <f t="shared" si="86"/>
        <v/>
      </c>
      <c r="AA272" s="28" t="str">
        <f t="shared" si="87"/>
        <v/>
      </c>
      <c r="AB272" s="28" t="str">
        <f t="shared" si="88"/>
        <v/>
      </c>
      <c r="AC272" s="28" t="str">
        <f t="shared" si="100"/>
        <v/>
      </c>
      <c r="AD272" s="27"/>
      <c r="AO272" s="145" t="str">
        <f t="shared" si="101"/>
        <v/>
      </c>
      <c r="AP272" s="144" t="str">
        <f t="shared" si="102"/>
        <v/>
      </c>
    </row>
    <row r="273" spans="3:42" x14ac:dyDescent="0.25">
      <c r="C273" s="12" t="str">
        <f>IFERROR(IF(AvisoErro&lt;&gt;"","",IF(C272+1&gt;PAINEL!$H$8,"",C272+1)),"")</f>
        <v/>
      </c>
      <c r="E273" s="23" t="str">
        <f t="shared" si="89"/>
        <v/>
      </c>
      <c r="F273" s="13" t="str">
        <f>IF(C273="","",IF(E273&lt;&gt;"",E273*PAINEL!$H$7,0))</f>
        <v/>
      </c>
      <c r="G273" s="13" t="str">
        <f>IF(C273="","",IF(PAINEL!$A$4=1,K272/(QTDEParc-C272),IF(AND(PAINEL!$A$4=2,C273&lt;=MomentoContemplação),ValorParcelamento/QTDEParc,K272/(QTDEParc-C272))))</f>
        <v/>
      </c>
      <c r="H273" s="13" t="str">
        <f t="shared" si="90"/>
        <v/>
      </c>
      <c r="I273" s="32" t="str">
        <f t="shared" si="91"/>
        <v/>
      </c>
      <c r="J273" s="14" t="str">
        <f>IF(C273="","",IF(C273=MomentoContemplação,PAINEL!$P$10,0))</f>
        <v/>
      </c>
      <c r="K273" s="14" t="str">
        <f t="shared" si="92"/>
        <v/>
      </c>
      <c r="M273" s="51" t="str">
        <f t="shared" si="93"/>
        <v/>
      </c>
      <c r="N273" s="27" t="str">
        <f t="shared" si="97"/>
        <v/>
      </c>
      <c r="O273" s="27" t="str">
        <f>IF(C273="","",(I273*(1+M273))*(QTDEParc-CÁLCULO!C273)+$F$5-SUM($F$6:F273)-J273)</f>
        <v/>
      </c>
      <c r="P273" s="7" t="str">
        <f t="shared" si="94"/>
        <v/>
      </c>
      <c r="R273" s="44" t="str">
        <f t="shared" si="95"/>
        <v/>
      </c>
      <c r="S273" s="97"/>
      <c r="T273" s="28" t="str">
        <f t="shared" si="96"/>
        <v/>
      </c>
      <c r="U273" s="28" t="str">
        <f t="shared" si="84"/>
        <v/>
      </c>
      <c r="V273" s="7" t="str">
        <f t="shared" si="98"/>
        <v/>
      </c>
      <c r="W273" s="93" t="str">
        <f t="shared" si="103"/>
        <v/>
      </c>
      <c r="X273" s="28" t="str">
        <f t="shared" si="99"/>
        <v/>
      </c>
      <c r="Y273" s="28" t="str">
        <f t="shared" si="85"/>
        <v/>
      </c>
      <c r="Z273" s="28" t="str">
        <f t="shared" si="86"/>
        <v/>
      </c>
      <c r="AA273" s="28" t="str">
        <f t="shared" si="87"/>
        <v/>
      </c>
      <c r="AB273" s="28" t="str">
        <f t="shared" si="88"/>
        <v/>
      </c>
      <c r="AC273" s="28" t="str">
        <f t="shared" si="100"/>
        <v/>
      </c>
      <c r="AD273" s="27"/>
      <c r="AO273" s="145" t="str">
        <f t="shared" si="101"/>
        <v/>
      </c>
      <c r="AP273" s="144" t="str">
        <f t="shared" si="102"/>
        <v/>
      </c>
    </row>
    <row r="274" spans="3:42" x14ac:dyDescent="0.25">
      <c r="C274" s="12" t="str">
        <f>IFERROR(IF(AvisoErro&lt;&gt;"","",IF(C273+1&gt;PAINEL!$H$8,"",C273+1)),"")</f>
        <v/>
      </c>
      <c r="E274" s="23" t="str">
        <f t="shared" si="89"/>
        <v/>
      </c>
      <c r="F274" s="13" t="str">
        <f>IF(C274="","",IF(E274&lt;&gt;"",E274*PAINEL!$H$7,0))</f>
        <v/>
      </c>
      <c r="G274" s="13" t="str">
        <f>IF(C274="","",IF(PAINEL!$A$4=1,K273/(QTDEParc-C273),IF(AND(PAINEL!$A$4=2,C274&lt;=MomentoContemplação),ValorParcelamento/QTDEParc,K273/(QTDEParc-C273))))</f>
        <v/>
      </c>
      <c r="H274" s="13" t="str">
        <f t="shared" si="90"/>
        <v/>
      </c>
      <c r="I274" s="32" t="str">
        <f t="shared" si="91"/>
        <v/>
      </c>
      <c r="J274" s="14" t="str">
        <f>IF(C274="","",IF(C274=MomentoContemplação,PAINEL!$P$10,0))</f>
        <v/>
      </c>
      <c r="K274" s="14" t="str">
        <f t="shared" si="92"/>
        <v/>
      </c>
      <c r="M274" s="51" t="str">
        <f t="shared" si="93"/>
        <v/>
      </c>
      <c r="N274" s="27" t="str">
        <f t="shared" si="97"/>
        <v/>
      </c>
      <c r="O274" s="27" t="str">
        <f>IF(C274="","",(I274*(1+M274))*(QTDEParc-CÁLCULO!C274)+$F$5-SUM($F$6:F274)-J274)</f>
        <v/>
      </c>
      <c r="P274" s="7" t="str">
        <f t="shared" si="94"/>
        <v/>
      </c>
      <c r="R274" s="44" t="str">
        <f t="shared" si="95"/>
        <v/>
      </c>
      <c r="S274" s="97"/>
      <c r="T274" s="28" t="str">
        <f t="shared" si="96"/>
        <v/>
      </c>
      <c r="U274" s="28" t="str">
        <f t="shared" si="84"/>
        <v/>
      </c>
      <c r="V274" s="7" t="str">
        <f t="shared" si="98"/>
        <v/>
      </c>
      <c r="W274" s="93" t="str">
        <f t="shared" si="103"/>
        <v/>
      </c>
      <c r="X274" s="28" t="str">
        <f t="shared" si="99"/>
        <v/>
      </c>
      <c r="Y274" s="28" t="str">
        <f t="shared" si="85"/>
        <v/>
      </c>
      <c r="Z274" s="28" t="str">
        <f t="shared" si="86"/>
        <v/>
      </c>
      <c r="AA274" s="28" t="str">
        <f t="shared" si="87"/>
        <v/>
      </c>
      <c r="AB274" s="28" t="str">
        <f t="shared" si="88"/>
        <v/>
      </c>
      <c r="AC274" s="28" t="str">
        <f t="shared" si="100"/>
        <v/>
      </c>
      <c r="AD274" s="27"/>
      <c r="AO274" s="145" t="str">
        <f t="shared" si="101"/>
        <v/>
      </c>
      <c r="AP274" s="144" t="str">
        <f t="shared" si="102"/>
        <v/>
      </c>
    </row>
    <row r="275" spans="3:42" x14ac:dyDescent="0.25">
      <c r="C275" s="12" t="str">
        <f>IFERROR(IF(AvisoErro&lt;&gt;"","",IF(C274+1&gt;PAINEL!$H$8,"",C274+1)),"")</f>
        <v/>
      </c>
      <c r="E275" s="23" t="str">
        <f t="shared" si="89"/>
        <v/>
      </c>
      <c r="F275" s="13" t="str">
        <f>IF(C275="","",IF(E275&lt;&gt;"",E275*PAINEL!$H$7,0))</f>
        <v/>
      </c>
      <c r="G275" s="13" t="str">
        <f>IF(C275="","",IF(PAINEL!$A$4=1,K274/(QTDEParc-C274),IF(AND(PAINEL!$A$4=2,C275&lt;=MomentoContemplação),ValorParcelamento/QTDEParc,K274/(QTDEParc-C274))))</f>
        <v/>
      </c>
      <c r="H275" s="13" t="str">
        <f t="shared" si="90"/>
        <v/>
      </c>
      <c r="I275" s="32" t="str">
        <f t="shared" si="91"/>
        <v/>
      </c>
      <c r="J275" s="14" t="str">
        <f>IF(C275="","",IF(C275=MomentoContemplação,PAINEL!$P$10,0))</f>
        <v/>
      </c>
      <c r="K275" s="14" t="str">
        <f t="shared" si="92"/>
        <v/>
      </c>
      <c r="M275" s="51" t="str">
        <f t="shared" si="93"/>
        <v/>
      </c>
      <c r="N275" s="27" t="str">
        <f t="shared" si="97"/>
        <v/>
      </c>
      <c r="O275" s="27" t="str">
        <f>IF(C275="","",(I275*(1+M275))*(QTDEParc-CÁLCULO!C275)+$F$5-SUM($F$6:F275)-J275)</f>
        <v/>
      </c>
      <c r="P275" s="7" t="str">
        <f t="shared" si="94"/>
        <v/>
      </c>
      <c r="R275" s="44" t="str">
        <f t="shared" si="95"/>
        <v/>
      </c>
      <c r="S275" s="97"/>
      <c r="T275" s="28" t="str">
        <f t="shared" si="96"/>
        <v/>
      </c>
      <c r="U275" s="28" t="str">
        <f t="shared" si="84"/>
        <v/>
      </c>
      <c r="V275" s="7" t="str">
        <f t="shared" si="98"/>
        <v/>
      </c>
      <c r="W275" s="93" t="str">
        <f t="shared" si="103"/>
        <v/>
      </c>
      <c r="X275" s="28" t="str">
        <f t="shared" si="99"/>
        <v/>
      </c>
      <c r="Y275" s="28" t="str">
        <f t="shared" si="85"/>
        <v/>
      </c>
      <c r="Z275" s="28" t="str">
        <f t="shared" si="86"/>
        <v/>
      </c>
      <c r="AA275" s="28" t="str">
        <f t="shared" si="87"/>
        <v/>
      </c>
      <c r="AB275" s="28" t="str">
        <f t="shared" si="88"/>
        <v/>
      </c>
      <c r="AC275" s="28" t="str">
        <f t="shared" si="100"/>
        <v/>
      </c>
      <c r="AD275" s="27"/>
      <c r="AO275" s="145" t="str">
        <f t="shared" si="101"/>
        <v/>
      </c>
      <c r="AP275" s="144" t="str">
        <f t="shared" si="102"/>
        <v/>
      </c>
    </row>
    <row r="276" spans="3:42" x14ac:dyDescent="0.25">
      <c r="C276" s="12" t="str">
        <f>IFERROR(IF(AvisoErro&lt;&gt;"","",IF(C275+1&gt;PAINEL!$H$8,"",C275+1)),"")</f>
        <v/>
      </c>
      <c r="E276" s="23" t="str">
        <f t="shared" si="89"/>
        <v/>
      </c>
      <c r="F276" s="13" t="str">
        <f>IF(C276="","",IF(E276&lt;&gt;"",E276*PAINEL!$H$7,0))</f>
        <v/>
      </c>
      <c r="G276" s="13" t="str">
        <f>IF(C276="","",IF(PAINEL!$A$4=1,K275/(QTDEParc-C275),IF(AND(PAINEL!$A$4=2,C276&lt;=MomentoContemplação),ValorParcelamento/QTDEParc,K275/(QTDEParc-C275))))</f>
        <v/>
      </c>
      <c r="H276" s="13" t="str">
        <f t="shared" si="90"/>
        <v/>
      </c>
      <c r="I276" s="32" t="str">
        <f t="shared" si="91"/>
        <v/>
      </c>
      <c r="J276" s="14" t="str">
        <f>IF(C276="","",IF(C276=MomentoContemplação,PAINEL!$P$10,0))</f>
        <v/>
      </c>
      <c r="K276" s="14" t="str">
        <f t="shared" si="92"/>
        <v/>
      </c>
      <c r="M276" s="51" t="str">
        <f t="shared" si="93"/>
        <v/>
      </c>
      <c r="N276" s="27" t="str">
        <f t="shared" si="97"/>
        <v/>
      </c>
      <c r="O276" s="27" t="str">
        <f>IF(C276="","",(I276*(1+M276))*(QTDEParc-CÁLCULO!C276)+$F$5-SUM($F$6:F276)-J276)</f>
        <v/>
      </c>
      <c r="P276" s="7" t="str">
        <f t="shared" si="94"/>
        <v/>
      </c>
      <c r="R276" s="44" t="str">
        <f t="shared" si="95"/>
        <v/>
      </c>
      <c r="S276" s="97"/>
      <c r="T276" s="28" t="str">
        <f t="shared" si="96"/>
        <v/>
      </c>
      <c r="U276" s="28" t="str">
        <f t="shared" si="84"/>
        <v/>
      </c>
      <c r="V276" s="7" t="str">
        <f t="shared" si="98"/>
        <v/>
      </c>
      <c r="W276" s="93" t="str">
        <f t="shared" si="103"/>
        <v/>
      </c>
      <c r="X276" s="28" t="str">
        <f t="shared" si="99"/>
        <v/>
      </c>
      <c r="Y276" s="28" t="str">
        <f t="shared" si="85"/>
        <v/>
      </c>
      <c r="Z276" s="28" t="str">
        <f t="shared" si="86"/>
        <v/>
      </c>
      <c r="AA276" s="28" t="str">
        <f t="shared" si="87"/>
        <v/>
      </c>
      <c r="AB276" s="28" t="str">
        <f t="shared" si="88"/>
        <v/>
      </c>
      <c r="AC276" s="28" t="str">
        <f t="shared" si="100"/>
        <v/>
      </c>
      <c r="AD276" s="27"/>
      <c r="AO276" s="145" t="str">
        <f t="shared" si="101"/>
        <v/>
      </c>
      <c r="AP276" s="144" t="str">
        <f t="shared" si="102"/>
        <v/>
      </c>
    </row>
    <row r="277" spans="3:42" x14ac:dyDescent="0.25">
      <c r="C277" s="12" t="str">
        <f>IFERROR(IF(AvisoErro&lt;&gt;"","",IF(C276+1&gt;PAINEL!$H$8,"",C276+1)),"")</f>
        <v/>
      </c>
      <c r="E277" s="23" t="str">
        <f t="shared" si="89"/>
        <v/>
      </c>
      <c r="F277" s="13" t="str">
        <f>IF(C277="","",IF(E277&lt;&gt;"",E277*PAINEL!$H$7,0))</f>
        <v/>
      </c>
      <c r="G277" s="13" t="str">
        <f>IF(C277="","",IF(PAINEL!$A$4=1,K276/(QTDEParc-C276),IF(AND(PAINEL!$A$4=2,C277&lt;=MomentoContemplação),ValorParcelamento/QTDEParc,K276/(QTDEParc-C276))))</f>
        <v/>
      </c>
      <c r="H277" s="13" t="str">
        <f t="shared" si="90"/>
        <v/>
      </c>
      <c r="I277" s="32" t="str">
        <f t="shared" si="91"/>
        <v/>
      </c>
      <c r="J277" s="14" t="str">
        <f>IF(C277="","",IF(C277=MomentoContemplação,PAINEL!$P$10,0))</f>
        <v/>
      </c>
      <c r="K277" s="14" t="str">
        <f t="shared" si="92"/>
        <v/>
      </c>
      <c r="M277" s="51" t="str">
        <f t="shared" si="93"/>
        <v/>
      </c>
      <c r="N277" s="27" t="str">
        <f t="shared" si="97"/>
        <v/>
      </c>
      <c r="O277" s="27" t="str">
        <f>IF(C277="","",(I277*(1+M277))*(QTDEParc-CÁLCULO!C277)+$F$5-SUM($F$6:F277)-J277)</f>
        <v/>
      </c>
      <c r="P277" s="7" t="str">
        <f t="shared" si="94"/>
        <v/>
      </c>
      <c r="R277" s="44" t="str">
        <f t="shared" si="95"/>
        <v/>
      </c>
      <c r="S277" s="97"/>
      <c r="T277" s="28" t="str">
        <f t="shared" si="96"/>
        <v/>
      </c>
      <c r="U277" s="28" t="str">
        <f t="shared" si="84"/>
        <v/>
      </c>
      <c r="V277" s="7" t="str">
        <f t="shared" si="98"/>
        <v/>
      </c>
      <c r="W277" s="93" t="str">
        <f t="shared" si="103"/>
        <v/>
      </c>
      <c r="X277" s="28" t="str">
        <f t="shared" si="99"/>
        <v/>
      </c>
      <c r="Y277" s="28" t="str">
        <f t="shared" si="85"/>
        <v/>
      </c>
      <c r="Z277" s="28" t="str">
        <f t="shared" si="86"/>
        <v/>
      </c>
      <c r="AA277" s="28" t="str">
        <f t="shared" si="87"/>
        <v/>
      </c>
      <c r="AB277" s="28" t="str">
        <f t="shared" si="88"/>
        <v/>
      </c>
      <c r="AC277" s="28" t="str">
        <f t="shared" si="100"/>
        <v/>
      </c>
      <c r="AD277" s="27"/>
      <c r="AO277" s="145" t="str">
        <f t="shared" si="101"/>
        <v/>
      </c>
      <c r="AP277" s="144" t="str">
        <f t="shared" si="102"/>
        <v/>
      </c>
    </row>
    <row r="278" spans="3:42" x14ac:dyDescent="0.25">
      <c r="C278" s="12" t="str">
        <f>IFERROR(IF(AvisoErro&lt;&gt;"","",IF(C277+1&gt;PAINEL!$H$8,"",C277+1)),"")</f>
        <v/>
      </c>
      <c r="E278" s="23" t="str">
        <f t="shared" si="89"/>
        <v/>
      </c>
      <c r="F278" s="13" t="str">
        <f>IF(C278="","",IF(E278&lt;&gt;"",E278*PAINEL!$H$7,0))</f>
        <v/>
      </c>
      <c r="G278" s="13" t="str">
        <f>IF(C278="","",IF(PAINEL!$A$4=1,K277/(QTDEParc-C277),IF(AND(PAINEL!$A$4=2,C278&lt;=MomentoContemplação),ValorParcelamento/QTDEParc,K277/(QTDEParc-C277))))</f>
        <v/>
      </c>
      <c r="H278" s="13" t="str">
        <f t="shared" si="90"/>
        <v/>
      </c>
      <c r="I278" s="32" t="str">
        <f t="shared" si="91"/>
        <v/>
      </c>
      <c r="J278" s="14" t="str">
        <f>IF(C278="","",IF(C278=MomentoContemplação,PAINEL!$P$10,0))</f>
        <v/>
      </c>
      <c r="K278" s="14" t="str">
        <f t="shared" si="92"/>
        <v/>
      </c>
      <c r="M278" s="51" t="str">
        <f t="shared" si="93"/>
        <v/>
      </c>
      <c r="N278" s="27" t="str">
        <f t="shared" si="97"/>
        <v/>
      </c>
      <c r="O278" s="27" t="str">
        <f>IF(C278="","",(I278*(1+M278))*(QTDEParc-CÁLCULO!C278)+$F$5-SUM($F$6:F278)-J278)</f>
        <v/>
      </c>
      <c r="P278" s="7" t="str">
        <f t="shared" si="94"/>
        <v/>
      </c>
      <c r="R278" s="44" t="str">
        <f t="shared" si="95"/>
        <v/>
      </c>
      <c r="S278" s="97"/>
      <c r="T278" s="28" t="str">
        <f t="shared" si="96"/>
        <v/>
      </c>
      <c r="U278" s="28" t="str">
        <f t="shared" si="84"/>
        <v/>
      </c>
      <c r="V278" s="7" t="str">
        <f t="shared" si="98"/>
        <v/>
      </c>
      <c r="W278" s="93" t="str">
        <f t="shared" si="103"/>
        <v/>
      </c>
      <c r="X278" s="28" t="str">
        <f t="shared" si="99"/>
        <v/>
      </c>
      <c r="Y278" s="28" t="str">
        <f t="shared" si="85"/>
        <v/>
      </c>
      <c r="Z278" s="28" t="str">
        <f t="shared" si="86"/>
        <v/>
      </c>
      <c r="AA278" s="28" t="str">
        <f t="shared" si="87"/>
        <v/>
      </c>
      <c r="AB278" s="28" t="str">
        <f t="shared" si="88"/>
        <v/>
      </c>
      <c r="AC278" s="28" t="str">
        <f t="shared" si="100"/>
        <v/>
      </c>
      <c r="AD278" s="27"/>
      <c r="AO278" s="145" t="str">
        <f t="shared" si="101"/>
        <v/>
      </c>
      <c r="AP278" s="144" t="str">
        <f t="shared" si="102"/>
        <v/>
      </c>
    </row>
    <row r="279" spans="3:42" x14ac:dyDescent="0.25">
      <c r="C279" s="12" t="str">
        <f>IFERROR(IF(AvisoErro&lt;&gt;"","",IF(C278+1&gt;PAINEL!$H$8,"",C278+1)),"")</f>
        <v/>
      </c>
      <c r="E279" s="23" t="str">
        <f t="shared" si="89"/>
        <v/>
      </c>
      <c r="F279" s="13" t="str">
        <f>IF(C279="","",IF(E279&lt;&gt;"",E279*PAINEL!$H$7,0))</f>
        <v/>
      </c>
      <c r="G279" s="13" t="str">
        <f>IF(C279="","",IF(PAINEL!$A$4=1,K278/(QTDEParc-C278),IF(AND(PAINEL!$A$4=2,C279&lt;=MomentoContemplação),ValorParcelamento/QTDEParc,K278/(QTDEParc-C278))))</f>
        <v/>
      </c>
      <c r="H279" s="13" t="str">
        <f t="shared" si="90"/>
        <v/>
      </c>
      <c r="I279" s="32" t="str">
        <f t="shared" si="91"/>
        <v/>
      </c>
      <c r="J279" s="14" t="str">
        <f>IF(C279="","",IF(C279=MomentoContemplação,PAINEL!$P$10,0))</f>
        <v/>
      </c>
      <c r="K279" s="14" t="str">
        <f t="shared" si="92"/>
        <v/>
      </c>
      <c r="M279" s="51" t="str">
        <f t="shared" si="93"/>
        <v/>
      </c>
      <c r="N279" s="27" t="str">
        <f t="shared" si="97"/>
        <v/>
      </c>
      <c r="O279" s="27" t="str">
        <f>IF(C279="","",(I279*(1+M279))*(QTDEParc-CÁLCULO!C279)+$F$5-SUM($F$6:F279)-J279)</f>
        <v/>
      </c>
      <c r="P279" s="7" t="str">
        <f t="shared" si="94"/>
        <v/>
      </c>
      <c r="R279" s="44" t="str">
        <f t="shared" si="95"/>
        <v/>
      </c>
      <c r="S279" s="97"/>
      <c r="T279" s="28" t="str">
        <f t="shared" si="96"/>
        <v/>
      </c>
      <c r="U279" s="28" t="str">
        <f t="shared" si="84"/>
        <v/>
      </c>
      <c r="V279" s="7" t="str">
        <f t="shared" si="98"/>
        <v/>
      </c>
      <c r="W279" s="93" t="str">
        <f t="shared" si="103"/>
        <v/>
      </c>
      <c r="X279" s="28" t="str">
        <f t="shared" si="99"/>
        <v/>
      </c>
      <c r="Y279" s="28" t="str">
        <f t="shared" si="85"/>
        <v/>
      </c>
      <c r="Z279" s="28" t="str">
        <f t="shared" si="86"/>
        <v/>
      </c>
      <c r="AA279" s="28" t="str">
        <f t="shared" si="87"/>
        <v/>
      </c>
      <c r="AB279" s="28" t="str">
        <f t="shared" si="88"/>
        <v/>
      </c>
      <c r="AC279" s="28" t="str">
        <f t="shared" si="100"/>
        <v/>
      </c>
      <c r="AD279" s="27"/>
      <c r="AO279" s="145" t="str">
        <f t="shared" si="101"/>
        <v/>
      </c>
      <c r="AP279" s="144" t="str">
        <f t="shared" si="102"/>
        <v/>
      </c>
    </row>
    <row r="280" spans="3:42" x14ac:dyDescent="0.25">
      <c r="C280" s="12" t="str">
        <f>IFERROR(IF(AvisoErro&lt;&gt;"","",IF(C279+1&gt;PAINEL!$H$8,"",C279+1)),"")</f>
        <v/>
      </c>
      <c r="E280" s="23" t="str">
        <f t="shared" si="89"/>
        <v/>
      </c>
      <c r="F280" s="13" t="str">
        <f>IF(C280="","",IF(E280&lt;&gt;"",E280*PAINEL!$H$7,0))</f>
        <v/>
      </c>
      <c r="G280" s="13" t="str">
        <f>IF(C280="","",IF(PAINEL!$A$4=1,K279/(QTDEParc-C279),IF(AND(PAINEL!$A$4=2,C280&lt;=MomentoContemplação),ValorParcelamento/QTDEParc,K279/(QTDEParc-C279))))</f>
        <v/>
      </c>
      <c r="H280" s="13" t="str">
        <f t="shared" si="90"/>
        <v/>
      </c>
      <c r="I280" s="32" t="str">
        <f t="shared" si="91"/>
        <v/>
      </c>
      <c r="J280" s="14" t="str">
        <f>IF(C280="","",IF(C280=MomentoContemplação,PAINEL!$P$10,0))</f>
        <v/>
      </c>
      <c r="K280" s="14" t="str">
        <f t="shared" si="92"/>
        <v/>
      </c>
      <c r="M280" s="51" t="str">
        <f t="shared" si="93"/>
        <v/>
      </c>
      <c r="N280" s="27" t="str">
        <f t="shared" si="97"/>
        <v/>
      </c>
      <c r="O280" s="27" t="str">
        <f>IF(C280="","",(I280*(1+M280))*(QTDEParc-CÁLCULO!C280)+$F$5-SUM($F$6:F280)-J280)</f>
        <v/>
      </c>
      <c r="P280" s="7" t="str">
        <f t="shared" si="94"/>
        <v/>
      </c>
      <c r="R280" s="44" t="str">
        <f t="shared" si="95"/>
        <v/>
      </c>
      <c r="S280" s="97"/>
      <c r="T280" s="28" t="str">
        <f t="shared" si="96"/>
        <v/>
      </c>
      <c r="U280" s="28" t="str">
        <f t="shared" si="84"/>
        <v/>
      </c>
      <c r="V280" s="7" t="str">
        <f t="shared" si="98"/>
        <v/>
      </c>
      <c r="W280" s="93" t="str">
        <f t="shared" si="103"/>
        <v/>
      </c>
      <c r="X280" s="28" t="str">
        <f t="shared" si="99"/>
        <v/>
      </c>
      <c r="Y280" s="28" t="str">
        <f t="shared" si="85"/>
        <v/>
      </c>
      <c r="Z280" s="28" t="str">
        <f t="shared" si="86"/>
        <v/>
      </c>
      <c r="AA280" s="28" t="str">
        <f t="shared" si="87"/>
        <v/>
      </c>
      <c r="AB280" s="28" t="str">
        <f t="shared" si="88"/>
        <v/>
      </c>
      <c r="AC280" s="28" t="str">
        <f t="shared" si="100"/>
        <v/>
      </c>
      <c r="AD280" s="27"/>
      <c r="AO280" s="145" t="str">
        <f t="shared" si="101"/>
        <v/>
      </c>
      <c r="AP280" s="144" t="str">
        <f t="shared" si="102"/>
        <v/>
      </c>
    </row>
    <row r="281" spans="3:42" x14ac:dyDescent="0.25">
      <c r="C281" s="12" t="str">
        <f>IFERROR(IF(AvisoErro&lt;&gt;"","",IF(C280+1&gt;PAINEL!$H$8,"",C280+1)),"")</f>
        <v/>
      </c>
      <c r="E281" s="23" t="str">
        <f t="shared" si="89"/>
        <v/>
      </c>
      <c r="F281" s="13" t="str">
        <f>IF(C281="","",IF(E281&lt;&gt;"",E281*PAINEL!$H$7,0))</f>
        <v/>
      </c>
      <c r="G281" s="13" t="str">
        <f>IF(C281="","",IF(PAINEL!$A$4=1,K280/(QTDEParc-C280),IF(AND(PAINEL!$A$4=2,C281&lt;=MomentoContemplação),ValorParcelamento/QTDEParc,K280/(QTDEParc-C280))))</f>
        <v/>
      </c>
      <c r="H281" s="13" t="str">
        <f t="shared" si="90"/>
        <v/>
      </c>
      <c r="I281" s="32" t="str">
        <f t="shared" si="91"/>
        <v/>
      </c>
      <c r="J281" s="14" t="str">
        <f>IF(C281="","",IF(C281=MomentoContemplação,PAINEL!$P$10,0))</f>
        <v/>
      </c>
      <c r="K281" s="14" t="str">
        <f t="shared" si="92"/>
        <v/>
      </c>
      <c r="M281" s="51" t="str">
        <f t="shared" si="93"/>
        <v/>
      </c>
      <c r="N281" s="27" t="str">
        <f t="shared" si="97"/>
        <v/>
      </c>
      <c r="O281" s="27" t="str">
        <f>IF(C281="","",(I281*(1+M281))*(QTDEParc-CÁLCULO!C281)+$F$5-SUM($F$6:F281)-J281)</f>
        <v/>
      </c>
      <c r="P281" s="7" t="str">
        <f t="shared" si="94"/>
        <v/>
      </c>
      <c r="R281" s="44" t="str">
        <f t="shared" si="95"/>
        <v/>
      </c>
      <c r="S281" s="97"/>
      <c r="T281" s="28" t="str">
        <f t="shared" si="96"/>
        <v/>
      </c>
      <c r="U281" s="28" t="str">
        <f t="shared" si="84"/>
        <v/>
      </c>
      <c r="V281" s="7" t="str">
        <f t="shared" si="98"/>
        <v/>
      </c>
      <c r="W281" s="93" t="str">
        <f t="shared" si="103"/>
        <v/>
      </c>
      <c r="X281" s="28" t="str">
        <f t="shared" si="99"/>
        <v/>
      </c>
      <c r="Y281" s="28" t="str">
        <f t="shared" si="85"/>
        <v/>
      </c>
      <c r="Z281" s="28" t="str">
        <f t="shared" si="86"/>
        <v/>
      </c>
      <c r="AA281" s="28" t="str">
        <f t="shared" si="87"/>
        <v/>
      </c>
      <c r="AB281" s="28" t="str">
        <f t="shared" si="88"/>
        <v/>
      </c>
      <c r="AC281" s="28" t="str">
        <f t="shared" si="100"/>
        <v/>
      </c>
      <c r="AD281" s="27"/>
      <c r="AO281" s="145" t="str">
        <f t="shared" si="101"/>
        <v/>
      </c>
      <c r="AP281" s="144" t="str">
        <f t="shared" si="102"/>
        <v/>
      </c>
    </row>
    <row r="282" spans="3:42" x14ac:dyDescent="0.25">
      <c r="C282" s="12" t="str">
        <f>IFERROR(IF(AvisoErro&lt;&gt;"","",IF(C281+1&gt;PAINEL!$H$8,"",C281+1)),"")</f>
        <v/>
      </c>
      <c r="E282" s="23" t="str">
        <f t="shared" si="89"/>
        <v/>
      </c>
      <c r="F282" s="13" t="str">
        <f>IF(C282="","",IF(E282&lt;&gt;"",E282*PAINEL!$H$7,0))</f>
        <v/>
      </c>
      <c r="G282" s="13" t="str">
        <f>IF(C282="","",IF(PAINEL!$A$4=1,K281/(QTDEParc-C281),IF(AND(PAINEL!$A$4=2,C282&lt;=MomentoContemplação),ValorParcelamento/QTDEParc,K281/(QTDEParc-C281))))</f>
        <v/>
      </c>
      <c r="H282" s="13" t="str">
        <f t="shared" si="90"/>
        <v/>
      </c>
      <c r="I282" s="32" t="str">
        <f t="shared" si="91"/>
        <v/>
      </c>
      <c r="J282" s="14" t="str">
        <f>IF(C282="","",IF(C282=MomentoContemplação,PAINEL!$P$10,0))</f>
        <v/>
      </c>
      <c r="K282" s="14" t="str">
        <f t="shared" si="92"/>
        <v/>
      </c>
      <c r="M282" s="51" t="str">
        <f t="shared" si="93"/>
        <v/>
      </c>
      <c r="N282" s="27" t="str">
        <f t="shared" si="97"/>
        <v/>
      </c>
      <c r="O282" s="27" t="str">
        <f>IF(C282="","",(I282*(1+M282))*(QTDEParc-CÁLCULO!C282)+$F$5-SUM($F$6:F282)-J282)</f>
        <v/>
      </c>
      <c r="P282" s="7" t="str">
        <f t="shared" si="94"/>
        <v/>
      </c>
      <c r="R282" s="44" t="str">
        <f t="shared" si="95"/>
        <v/>
      </c>
      <c r="S282" s="97"/>
      <c r="T282" s="28" t="str">
        <f t="shared" si="96"/>
        <v/>
      </c>
      <c r="U282" s="28" t="str">
        <f t="shared" si="84"/>
        <v/>
      </c>
      <c r="V282" s="7" t="str">
        <f t="shared" si="98"/>
        <v/>
      </c>
      <c r="W282" s="93" t="str">
        <f t="shared" si="103"/>
        <v/>
      </c>
      <c r="X282" s="28" t="str">
        <f t="shared" si="99"/>
        <v/>
      </c>
      <c r="Y282" s="28" t="str">
        <f t="shared" si="85"/>
        <v/>
      </c>
      <c r="Z282" s="28" t="str">
        <f t="shared" si="86"/>
        <v/>
      </c>
      <c r="AA282" s="28" t="str">
        <f t="shared" si="87"/>
        <v/>
      </c>
      <c r="AB282" s="28" t="str">
        <f t="shared" si="88"/>
        <v/>
      </c>
      <c r="AC282" s="28" t="str">
        <f t="shared" si="100"/>
        <v/>
      </c>
      <c r="AD282" s="27"/>
      <c r="AO282" s="145" t="str">
        <f t="shared" si="101"/>
        <v/>
      </c>
      <c r="AP282" s="144" t="str">
        <f t="shared" si="102"/>
        <v/>
      </c>
    </row>
    <row r="283" spans="3:42" x14ac:dyDescent="0.25">
      <c r="C283" s="12" t="str">
        <f>IFERROR(IF(AvisoErro&lt;&gt;"","",IF(C282+1&gt;PAINEL!$H$8,"",C282+1)),"")</f>
        <v/>
      </c>
      <c r="E283" s="23" t="str">
        <f t="shared" si="89"/>
        <v/>
      </c>
      <c r="F283" s="13" t="str">
        <f>IF(C283="","",IF(E283&lt;&gt;"",E283*PAINEL!$H$7,0))</f>
        <v/>
      </c>
      <c r="G283" s="13" t="str">
        <f>IF(C283="","",IF(PAINEL!$A$4=1,K282/(QTDEParc-C282),IF(AND(PAINEL!$A$4=2,C283&lt;=MomentoContemplação),ValorParcelamento/QTDEParc,K282/(QTDEParc-C282))))</f>
        <v/>
      </c>
      <c r="H283" s="13" t="str">
        <f t="shared" si="90"/>
        <v/>
      </c>
      <c r="I283" s="32" t="str">
        <f t="shared" si="91"/>
        <v/>
      </c>
      <c r="J283" s="14" t="str">
        <f>IF(C283="","",IF(C283=MomentoContemplação,PAINEL!$P$10,0))</f>
        <v/>
      </c>
      <c r="K283" s="14" t="str">
        <f t="shared" si="92"/>
        <v/>
      </c>
      <c r="M283" s="51" t="str">
        <f t="shared" si="93"/>
        <v/>
      </c>
      <c r="N283" s="27" t="str">
        <f t="shared" si="97"/>
        <v/>
      </c>
      <c r="O283" s="27" t="str">
        <f>IF(C283="","",(I283*(1+M283))*(QTDEParc-CÁLCULO!C283)+$F$5-SUM($F$6:F283)-J283)</f>
        <v/>
      </c>
      <c r="P283" s="7" t="str">
        <f t="shared" si="94"/>
        <v/>
      </c>
      <c r="R283" s="44" t="str">
        <f t="shared" si="95"/>
        <v/>
      </c>
      <c r="S283" s="97"/>
      <c r="T283" s="28" t="str">
        <f t="shared" si="96"/>
        <v/>
      </c>
      <c r="U283" s="28" t="str">
        <f t="shared" si="84"/>
        <v/>
      </c>
      <c r="V283" s="7" t="str">
        <f t="shared" si="98"/>
        <v/>
      </c>
      <c r="W283" s="93" t="str">
        <f t="shared" si="103"/>
        <v/>
      </c>
      <c r="X283" s="28" t="str">
        <f t="shared" si="99"/>
        <v/>
      </c>
      <c r="Y283" s="28" t="str">
        <f t="shared" si="85"/>
        <v/>
      </c>
      <c r="Z283" s="28" t="str">
        <f t="shared" si="86"/>
        <v/>
      </c>
      <c r="AA283" s="28" t="str">
        <f t="shared" si="87"/>
        <v/>
      </c>
      <c r="AB283" s="28" t="str">
        <f t="shared" si="88"/>
        <v/>
      </c>
      <c r="AC283" s="28" t="str">
        <f t="shared" si="100"/>
        <v/>
      </c>
      <c r="AD283" s="27"/>
      <c r="AO283" s="145" t="str">
        <f t="shared" si="101"/>
        <v/>
      </c>
      <c r="AP283" s="144" t="str">
        <f t="shared" si="102"/>
        <v/>
      </c>
    </row>
    <row r="284" spans="3:42" x14ac:dyDescent="0.25">
      <c r="C284" s="12" t="str">
        <f>IFERROR(IF(AvisoErro&lt;&gt;"","",IF(C283+1&gt;PAINEL!$H$8,"",C283+1)),"")</f>
        <v/>
      </c>
      <c r="E284" s="23" t="str">
        <f t="shared" si="89"/>
        <v/>
      </c>
      <c r="F284" s="13" t="str">
        <f>IF(C284="","",IF(E284&lt;&gt;"",E284*PAINEL!$H$7,0))</f>
        <v/>
      </c>
      <c r="G284" s="13" t="str">
        <f>IF(C284="","",IF(PAINEL!$A$4=1,K283/(QTDEParc-C283),IF(AND(PAINEL!$A$4=2,C284&lt;=MomentoContemplação),ValorParcelamento/QTDEParc,K283/(QTDEParc-C283))))</f>
        <v/>
      </c>
      <c r="H284" s="13" t="str">
        <f t="shared" si="90"/>
        <v/>
      </c>
      <c r="I284" s="32" t="str">
        <f t="shared" si="91"/>
        <v/>
      </c>
      <c r="J284" s="14" t="str">
        <f>IF(C284="","",IF(C284=MomentoContemplação,PAINEL!$P$10,0))</f>
        <v/>
      </c>
      <c r="K284" s="14" t="str">
        <f t="shared" si="92"/>
        <v/>
      </c>
      <c r="M284" s="51" t="str">
        <f t="shared" si="93"/>
        <v/>
      </c>
      <c r="N284" s="27" t="str">
        <f t="shared" si="97"/>
        <v/>
      </c>
      <c r="O284" s="27" t="str">
        <f>IF(C284="","",(I284*(1+M284))*(QTDEParc-CÁLCULO!C284)+$F$5-SUM($F$6:F284)-J284)</f>
        <v/>
      </c>
      <c r="P284" s="7" t="str">
        <f t="shared" si="94"/>
        <v/>
      </c>
      <c r="R284" s="44" t="str">
        <f t="shared" si="95"/>
        <v/>
      </c>
      <c r="S284" s="97"/>
      <c r="T284" s="28" t="str">
        <f t="shared" si="96"/>
        <v/>
      </c>
      <c r="U284" s="28" t="str">
        <f t="shared" si="84"/>
        <v/>
      </c>
      <c r="V284" s="7" t="str">
        <f t="shared" si="98"/>
        <v/>
      </c>
      <c r="W284" s="93" t="str">
        <f t="shared" si="103"/>
        <v/>
      </c>
      <c r="X284" s="28" t="str">
        <f t="shared" si="99"/>
        <v/>
      </c>
      <c r="Y284" s="28" t="str">
        <f t="shared" si="85"/>
        <v/>
      </c>
      <c r="Z284" s="28" t="str">
        <f t="shared" si="86"/>
        <v/>
      </c>
      <c r="AA284" s="28" t="str">
        <f t="shared" si="87"/>
        <v/>
      </c>
      <c r="AB284" s="28" t="str">
        <f t="shared" si="88"/>
        <v/>
      </c>
      <c r="AC284" s="28" t="str">
        <f t="shared" si="100"/>
        <v/>
      </c>
      <c r="AD284" s="27"/>
      <c r="AO284" s="145" t="str">
        <f t="shared" si="101"/>
        <v/>
      </c>
      <c r="AP284" s="144" t="str">
        <f t="shared" si="102"/>
        <v/>
      </c>
    </row>
    <row r="285" spans="3:42" x14ac:dyDescent="0.25">
      <c r="C285" s="12" t="str">
        <f>IFERROR(IF(AvisoErro&lt;&gt;"","",IF(C284+1&gt;PAINEL!$H$8,"",C284+1)),"")</f>
        <v/>
      </c>
      <c r="E285" s="23" t="str">
        <f t="shared" si="89"/>
        <v/>
      </c>
      <c r="F285" s="13" t="str">
        <f>IF(C285="","",IF(E285&lt;&gt;"",E285*PAINEL!$H$7,0))</f>
        <v/>
      </c>
      <c r="G285" s="13" t="str">
        <f>IF(C285="","",IF(PAINEL!$A$4=1,K284/(QTDEParc-C284),IF(AND(PAINEL!$A$4=2,C285&lt;=MomentoContemplação),ValorParcelamento/QTDEParc,K284/(QTDEParc-C284))))</f>
        <v/>
      </c>
      <c r="H285" s="13" t="str">
        <f t="shared" si="90"/>
        <v/>
      </c>
      <c r="I285" s="32" t="str">
        <f t="shared" si="91"/>
        <v/>
      </c>
      <c r="J285" s="14" t="str">
        <f>IF(C285="","",IF(C285=MomentoContemplação,PAINEL!$P$10,0))</f>
        <v/>
      </c>
      <c r="K285" s="14" t="str">
        <f t="shared" si="92"/>
        <v/>
      </c>
      <c r="M285" s="51" t="str">
        <f t="shared" si="93"/>
        <v/>
      </c>
      <c r="N285" s="27" t="str">
        <f t="shared" si="97"/>
        <v/>
      </c>
      <c r="O285" s="27" t="str">
        <f>IF(C285="","",(I285*(1+M285))*(QTDEParc-CÁLCULO!C285)+$F$5-SUM($F$6:F285)-J285)</f>
        <v/>
      </c>
      <c r="P285" s="7" t="str">
        <f t="shared" si="94"/>
        <v/>
      </c>
      <c r="R285" s="44" t="str">
        <f t="shared" si="95"/>
        <v/>
      </c>
      <c r="S285" s="97"/>
      <c r="T285" s="28" t="str">
        <f t="shared" si="96"/>
        <v/>
      </c>
      <c r="U285" s="28" t="str">
        <f t="shared" si="84"/>
        <v/>
      </c>
      <c r="V285" s="7" t="str">
        <f t="shared" si="98"/>
        <v/>
      </c>
      <c r="W285" s="93" t="str">
        <f t="shared" si="103"/>
        <v/>
      </c>
      <c r="X285" s="28" t="str">
        <f t="shared" si="99"/>
        <v/>
      </c>
      <c r="Y285" s="28" t="str">
        <f t="shared" si="85"/>
        <v/>
      </c>
      <c r="Z285" s="28" t="str">
        <f t="shared" si="86"/>
        <v/>
      </c>
      <c r="AA285" s="28" t="str">
        <f t="shared" si="87"/>
        <v/>
      </c>
      <c r="AB285" s="28" t="str">
        <f t="shared" si="88"/>
        <v/>
      </c>
      <c r="AC285" s="28" t="str">
        <f t="shared" si="100"/>
        <v/>
      </c>
      <c r="AD285" s="27"/>
      <c r="AO285" s="145" t="str">
        <f t="shared" si="101"/>
        <v/>
      </c>
      <c r="AP285" s="144" t="str">
        <f t="shared" si="102"/>
        <v/>
      </c>
    </row>
    <row r="286" spans="3:42" x14ac:dyDescent="0.25">
      <c r="C286" s="12" t="str">
        <f>IFERROR(IF(AvisoErro&lt;&gt;"","",IF(C285+1&gt;PAINEL!$H$8,"",C285+1)),"")</f>
        <v/>
      </c>
      <c r="E286" s="23" t="str">
        <f t="shared" si="89"/>
        <v/>
      </c>
      <c r="F286" s="13" t="str">
        <f>IF(C286="","",IF(E286&lt;&gt;"",E286*PAINEL!$H$7,0))</f>
        <v/>
      </c>
      <c r="G286" s="13" t="str">
        <f>IF(C286="","",IF(PAINEL!$A$4=1,K285/(QTDEParc-C285),IF(AND(PAINEL!$A$4=2,C286&lt;=MomentoContemplação),ValorParcelamento/QTDEParc,K285/(QTDEParc-C285))))</f>
        <v/>
      </c>
      <c r="H286" s="13" t="str">
        <f t="shared" si="90"/>
        <v/>
      </c>
      <c r="I286" s="32" t="str">
        <f t="shared" si="91"/>
        <v/>
      </c>
      <c r="J286" s="14" t="str">
        <f>IF(C286="","",IF(C286=MomentoContemplação,PAINEL!$P$10,0))</f>
        <v/>
      </c>
      <c r="K286" s="14" t="str">
        <f t="shared" si="92"/>
        <v/>
      </c>
      <c r="M286" s="51" t="str">
        <f t="shared" si="93"/>
        <v/>
      </c>
      <c r="N286" s="27" t="str">
        <f t="shared" si="97"/>
        <v/>
      </c>
      <c r="O286" s="27" t="str">
        <f>IF(C286="","",(I286*(1+M286))*(QTDEParc-CÁLCULO!C286)+$F$5-SUM($F$6:F286)-J286)</f>
        <v/>
      </c>
      <c r="P286" s="7" t="str">
        <f t="shared" si="94"/>
        <v/>
      </c>
      <c r="R286" s="44" t="str">
        <f t="shared" si="95"/>
        <v/>
      </c>
      <c r="S286" s="97"/>
      <c r="T286" s="28" t="str">
        <f t="shared" si="96"/>
        <v/>
      </c>
      <c r="U286" s="28" t="str">
        <f t="shared" si="84"/>
        <v/>
      </c>
      <c r="V286" s="7" t="str">
        <f t="shared" si="98"/>
        <v/>
      </c>
      <c r="W286" s="93" t="str">
        <f t="shared" si="103"/>
        <v/>
      </c>
      <c r="X286" s="28" t="str">
        <f t="shared" si="99"/>
        <v/>
      </c>
      <c r="Y286" s="28" t="str">
        <f t="shared" si="85"/>
        <v/>
      </c>
      <c r="Z286" s="28" t="str">
        <f t="shared" si="86"/>
        <v/>
      </c>
      <c r="AA286" s="28" t="str">
        <f t="shared" si="87"/>
        <v/>
      </c>
      <c r="AB286" s="28" t="str">
        <f t="shared" si="88"/>
        <v/>
      </c>
      <c r="AC286" s="28" t="str">
        <f t="shared" si="100"/>
        <v/>
      </c>
      <c r="AD286" s="27"/>
      <c r="AO286" s="145" t="str">
        <f t="shared" si="101"/>
        <v/>
      </c>
      <c r="AP286" s="144" t="str">
        <f t="shared" si="102"/>
        <v/>
      </c>
    </row>
    <row r="287" spans="3:42" x14ac:dyDescent="0.25">
      <c r="C287" s="12" t="str">
        <f>IFERROR(IF(AvisoErro&lt;&gt;"","",IF(C286+1&gt;PAINEL!$H$8,"",C286+1)),"")</f>
        <v/>
      </c>
      <c r="E287" s="23" t="str">
        <f t="shared" si="89"/>
        <v/>
      </c>
      <c r="F287" s="13" t="str">
        <f>IF(C287="","",IF(E287&lt;&gt;"",E287*PAINEL!$H$7,0))</f>
        <v/>
      </c>
      <c r="G287" s="13" t="str">
        <f>IF(C287="","",IF(PAINEL!$A$4=1,K286/(QTDEParc-C286),IF(AND(PAINEL!$A$4=2,C287&lt;=MomentoContemplação),ValorParcelamento/QTDEParc,K286/(QTDEParc-C286))))</f>
        <v/>
      </c>
      <c r="H287" s="13" t="str">
        <f t="shared" si="90"/>
        <v/>
      </c>
      <c r="I287" s="32" t="str">
        <f t="shared" si="91"/>
        <v/>
      </c>
      <c r="J287" s="14" t="str">
        <f>IF(C287="","",IF(C287=MomentoContemplação,PAINEL!$P$10,0))</f>
        <v/>
      </c>
      <c r="K287" s="14" t="str">
        <f t="shared" si="92"/>
        <v/>
      </c>
      <c r="M287" s="51" t="str">
        <f t="shared" si="93"/>
        <v/>
      </c>
      <c r="N287" s="27" t="str">
        <f t="shared" si="97"/>
        <v/>
      </c>
      <c r="O287" s="27" t="str">
        <f>IF(C287="","",(I287*(1+M287))*(QTDEParc-CÁLCULO!C287)+$F$5-SUM($F$6:F287)-J287)</f>
        <v/>
      </c>
      <c r="P287" s="7" t="str">
        <f t="shared" si="94"/>
        <v/>
      </c>
      <c r="R287" s="44" t="str">
        <f t="shared" si="95"/>
        <v/>
      </c>
      <c r="S287" s="97"/>
      <c r="T287" s="28" t="str">
        <f t="shared" si="96"/>
        <v/>
      </c>
      <c r="U287" s="28" t="str">
        <f t="shared" si="84"/>
        <v/>
      </c>
      <c r="V287" s="7" t="str">
        <f t="shared" si="98"/>
        <v/>
      </c>
      <c r="W287" s="93" t="str">
        <f t="shared" si="103"/>
        <v/>
      </c>
      <c r="X287" s="28" t="str">
        <f t="shared" si="99"/>
        <v/>
      </c>
      <c r="Y287" s="28" t="str">
        <f t="shared" si="85"/>
        <v/>
      </c>
      <c r="Z287" s="28" t="str">
        <f t="shared" si="86"/>
        <v/>
      </c>
      <c r="AA287" s="28" t="str">
        <f t="shared" si="87"/>
        <v/>
      </c>
      <c r="AB287" s="28" t="str">
        <f t="shared" si="88"/>
        <v/>
      </c>
      <c r="AC287" s="28" t="str">
        <f t="shared" si="100"/>
        <v/>
      </c>
      <c r="AD287" s="27"/>
      <c r="AO287" s="145" t="str">
        <f t="shared" si="101"/>
        <v/>
      </c>
      <c r="AP287" s="144" t="str">
        <f t="shared" si="102"/>
        <v/>
      </c>
    </row>
    <row r="288" spans="3:42" x14ac:dyDescent="0.25">
      <c r="C288" s="12" t="str">
        <f>IFERROR(IF(AvisoErro&lt;&gt;"","",IF(C287+1&gt;PAINEL!$H$8,"",C287+1)),"")</f>
        <v/>
      </c>
      <c r="E288" s="23" t="str">
        <f t="shared" si="89"/>
        <v/>
      </c>
      <c r="F288" s="13" t="str">
        <f>IF(C288="","",IF(E288&lt;&gt;"",E288*PAINEL!$H$7,0))</f>
        <v/>
      </c>
      <c r="G288" s="13" t="str">
        <f>IF(C288="","",IF(PAINEL!$A$4=1,K287/(QTDEParc-C287),IF(AND(PAINEL!$A$4=2,C288&lt;=MomentoContemplação),ValorParcelamento/QTDEParc,K287/(QTDEParc-C287))))</f>
        <v/>
      </c>
      <c r="H288" s="13" t="str">
        <f t="shared" si="90"/>
        <v/>
      </c>
      <c r="I288" s="32" t="str">
        <f t="shared" si="91"/>
        <v/>
      </c>
      <c r="J288" s="14" t="str">
        <f>IF(C288="","",IF(C288=MomentoContemplação,PAINEL!$P$10,0))</f>
        <v/>
      </c>
      <c r="K288" s="14" t="str">
        <f t="shared" si="92"/>
        <v/>
      </c>
      <c r="M288" s="51" t="str">
        <f t="shared" si="93"/>
        <v/>
      </c>
      <c r="N288" s="27" t="str">
        <f t="shared" si="97"/>
        <v/>
      </c>
      <c r="O288" s="27" t="str">
        <f>IF(C288="","",(I288*(1+M288))*(QTDEParc-CÁLCULO!C288)+$F$5-SUM($F$6:F288)-J288)</f>
        <v/>
      </c>
      <c r="P288" s="7" t="str">
        <f t="shared" si="94"/>
        <v/>
      </c>
      <c r="R288" s="44" t="str">
        <f t="shared" si="95"/>
        <v/>
      </c>
      <c r="S288" s="97"/>
      <c r="T288" s="28" t="str">
        <f t="shared" si="96"/>
        <v/>
      </c>
      <c r="U288" s="28" t="str">
        <f t="shared" si="84"/>
        <v/>
      </c>
      <c r="V288" s="7" t="str">
        <f t="shared" si="98"/>
        <v/>
      </c>
      <c r="W288" s="93" t="str">
        <f t="shared" si="103"/>
        <v/>
      </c>
      <c r="X288" s="28" t="str">
        <f t="shared" si="99"/>
        <v/>
      </c>
      <c r="Y288" s="28" t="str">
        <f t="shared" si="85"/>
        <v/>
      </c>
      <c r="Z288" s="28" t="str">
        <f t="shared" si="86"/>
        <v/>
      </c>
      <c r="AA288" s="28" t="str">
        <f t="shared" si="87"/>
        <v/>
      </c>
      <c r="AB288" s="28" t="str">
        <f t="shared" si="88"/>
        <v/>
      </c>
      <c r="AC288" s="28" t="str">
        <f t="shared" si="100"/>
        <v/>
      </c>
      <c r="AD288" s="27"/>
      <c r="AO288" s="145" t="str">
        <f t="shared" si="101"/>
        <v/>
      </c>
      <c r="AP288" s="144" t="str">
        <f t="shared" si="102"/>
        <v/>
      </c>
    </row>
    <row r="289" spans="3:42" x14ac:dyDescent="0.25">
      <c r="C289" s="12" t="str">
        <f>IFERROR(IF(AvisoErro&lt;&gt;"","",IF(C288+1&gt;PAINEL!$H$8,"",C288+1)),"")</f>
        <v/>
      </c>
      <c r="E289" s="23" t="str">
        <f t="shared" si="89"/>
        <v/>
      </c>
      <c r="F289" s="13" t="str">
        <f>IF(C289="","",IF(E289&lt;&gt;"",E289*PAINEL!$H$7,0))</f>
        <v/>
      </c>
      <c r="G289" s="13" t="str">
        <f>IF(C289="","",IF(PAINEL!$A$4=1,K288/(QTDEParc-C288),IF(AND(PAINEL!$A$4=2,C289&lt;=MomentoContemplação),ValorParcelamento/QTDEParc,K288/(QTDEParc-C288))))</f>
        <v/>
      </c>
      <c r="H289" s="13" t="str">
        <f t="shared" si="90"/>
        <v/>
      </c>
      <c r="I289" s="32" t="str">
        <f t="shared" si="91"/>
        <v/>
      </c>
      <c r="J289" s="14" t="str">
        <f>IF(C289="","",IF(C289=MomentoContemplação,PAINEL!$P$10,0))</f>
        <v/>
      </c>
      <c r="K289" s="14" t="str">
        <f t="shared" si="92"/>
        <v/>
      </c>
      <c r="M289" s="51" t="str">
        <f t="shared" si="93"/>
        <v/>
      </c>
      <c r="N289" s="27" t="str">
        <f t="shared" si="97"/>
        <v/>
      </c>
      <c r="O289" s="27" t="str">
        <f>IF(C289="","",(I289*(1+M289))*(QTDEParc-CÁLCULO!C289)+$F$5-SUM($F$6:F289)-J289)</f>
        <v/>
      </c>
      <c r="P289" s="7" t="str">
        <f t="shared" si="94"/>
        <v/>
      </c>
      <c r="R289" s="44" t="str">
        <f t="shared" si="95"/>
        <v/>
      </c>
      <c r="S289" s="97"/>
      <c r="T289" s="28" t="str">
        <f t="shared" si="96"/>
        <v/>
      </c>
      <c r="U289" s="28" t="str">
        <f t="shared" si="84"/>
        <v/>
      </c>
      <c r="V289" s="7" t="str">
        <f t="shared" si="98"/>
        <v/>
      </c>
      <c r="W289" s="93" t="str">
        <f t="shared" si="103"/>
        <v/>
      </c>
      <c r="X289" s="28" t="str">
        <f t="shared" si="99"/>
        <v/>
      </c>
      <c r="Y289" s="28" t="str">
        <f t="shared" si="85"/>
        <v/>
      </c>
      <c r="Z289" s="28" t="str">
        <f t="shared" si="86"/>
        <v/>
      </c>
      <c r="AA289" s="28" t="str">
        <f t="shared" si="87"/>
        <v/>
      </c>
      <c r="AB289" s="28" t="str">
        <f t="shared" si="88"/>
        <v/>
      </c>
      <c r="AC289" s="28" t="str">
        <f t="shared" si="100"/>
        <v/>
      </c>
      <c r="AD289" s="27"/>
      <c r="AO289" s="145" t="str">
        <f t="shared" si="101"/>
        <v/>
      </c>
      <c r="AP289" s="144" t="str">
        <f t="shared" si="102"/>
        <v/>
      </c>
    </row>
    <row r="290" spans="3:42" x14ac:dyDescent="0.25">
      <c r="C290" s="12" t="str">
        <f>IFERROR(IF(AvisoErro&lt;&gt;"","",IF(C289+1&gt;PAINEL!$H$8,"",C289+1)),"")</f>
        <v/>
      </c>
      <c r="E290" s="23" t="str">
        <f t="shared" si="89"/>
        <v/>
      </c>
      <c r="F290" s="13" t="str">
        <f>IF(C290="","",IF(E290&lt;&gt;"",E290*PAINEL!$H$7,0))</f>
        <v/>
      </c>
      <c r="G290" s="13" t="str">
        <f>IF(C290="","",IF(PAINEL!$A$4=1,K289/(QTDEParc-C289),IF(AND(PAINEL!$A$4=2,C290&lt;=MomentoContemplação),ValorParcelamento/QTDEParc,K289/(QTDEParc-C289))))</f>
        <v/>
      </c>
      <c r="H290" s="13" t="str">
        <f t="shared" si="90"/>
        <v/>
      </c>
      <c r="I290" s="32" t="str">
        <f t="shared" si="91"/>
        <v/>
      </c>
      <c r="J290" s="14" t="str">
        <f>IF(C290="","",IF(C290=MomentoContemplação,PAINEL!$P$10,0))</f>
        <v/>
      </c>
      <c r="K290" s="14" t="str">
        <f t="shared" si="92"/>
        <v/>
      </c>
      <c r="M290" s="51" t="str">
        <f t="shared" si="93"/>
        <v/>
      </c>
      <c r="N290" s="27" t="str">
        <f t="shared" si="97"/>
        <v/>
      </c>
      <c r="O290" s="27" t="str">
        <f>IF(C290="","",(I290*(1+M290))*(QTDEParc-CÁLCULO!C290)+$F$5-SUM($F$6:F290)-J290)</f>
        <v/>
      </c>
      <c r="P290" s="7" t="str">
        <f t="shared" si="94"/>
        <v/>
      </c>
      <c r="R290" s="44" t="str">
        <f t="shared" si="95"/>
        <v/>
      </c>
      <c r="S290" s="97"/>
      <c r="T290" s="28" t="str">
        <f t="shared" si="96"/>
        <v/>
      </c>
      <c r="U290" s="28" t="str">
        <f t="shared" si="84"/>
        <v/>
      </c>
      <c r="V290" s="7" t="str">
        <f t="shared" si="98"/>
        <v/>
      </c>
      <c r="W290" s="93" t="str">
        <f t="shared" si="103"/>
        <v/>
      </c>
      <c r="X290" s="28" t="str">
        <f t="shared" si="99"/>
        <v/>
      </c>
      <c r="Y290" s="28" t="str">
        <f t="shared" si="85"/>
        <v/>
      </c>
      <c r="Z290" s="28" t="str">
        <f t="shared" si="86"/>
        <v/>
      </c>
      <c r="AA290" s="28" t="str">
        <f t="shared" si="87"/>
        <v/>
      </c>
      <c r="AB290" s="28" t="str">
        <f t="shared" si="88"/>
        <v/>
      </c>
      <c r="AC290" s="28" t="str">
        <f t="shared" si="100"/>
        <v/>
      </c>
      <c r="AD290" s="27"/>
      <c r="AO290" s="145" t="str">
        <f t="shared" si="101"/>
        <v/>
      </c>
      <c r="AP290" s="144" t="str">
        <f t="shared" si="102"/>
        <v/>
      </c>
    </row>
    <row r="291" spans="3:42" x14ac:dyDescent="0.25">
      <c r="C291" s="12" t="str">
        <f>IFERROR(IF(AvisoErro&lt;&gt;"","",IF(C290+1&gt;PAINEL!$H$8,"",C290+1)),"")</f>
        <v/>
      </c>
      <c r="E291" s="23" t="str">
        <f t="shared" si="89"/>
        <v/>
      </c>
      <c r="F291" s="13" t="str">
        <f>IF(C291="","",IF(E291&lt;&gt;"",E291*PAINEL!$H$7,0))</f>
        <v/>
      </c>
      <c r="G291" s="13" t="str">
        <f>IF(C291="","",IF(PAINEL!$A$4=1,K290/(QTDEParc-C290),IF(AND(PAINEL!$A$4=2,C291&lt;=MomentoContemplação),ValorParcelamento/QTDEParc,K290/(QTDEParc-C290))))</f>
        <v/>
      </c>
      <c r="H291" s="13" t="str">
        <f t="shared" si="90"/>
        <v/>
      </c>
      <c r="I291" s="32" t="str">
        <f t="shared" si="91"/>
        <v/>
      </c>
      <c r="J291" s="14" t="str">
        <f>IF(C291="","",IF(C291=MomentoContemplação,PAINEL!$P$10,0))</f>
        <v/>
      </c>
      <c r="K291" s="14" t="str">
        <f t="shared" si="92"/>
        <v/>
      </c>
      <c r="M291" s="51" t="str">
        <f t="shared" si="93"/>
        <v/>
      </c>
      <c r="N291" s="27" t="str">
        <f t="shared" si="97"/>
        <v/>
      </c>
      <c r="O291" s="27" t="str">
        <f>IF(C291="","",(I291*(1+M291))*(QTDEParc-CÁLCULO!C291)+$F$5-SUM($F$6:F291)-J291)</f>
        <v/>
      </c>
      <c r="P291" s="7" t="str">
        <f t="shared" si="94"/>
        <v/>
      </c>
      <c r="R291" s="44" t="str">
        <f t="shared" si="95"/>
        <v/>
      </c>
      <c r="S291" s="97"/>
      <c r="T291" s="28" t="str">
        <f t="shared" si="96"/>
        <v/>
      </c>
      <c r="U291" s="28" t="str">
        <f t="shared" si="84"/>
        <v/>
      </c>
      <c r="V291" s="7" t="str">
        <f t="shared" si="98"/>
        <v/>
      </c>
      <c r="W291" s="93" t="str">
        <f t="shared" si="103"/>
        <v/>
      </c>
      <c r="X291" s="28" t="str">
        <f t="shared" si="99"/>
        <v/>
      </c>
      <c r="Y291" s="28" t="str">
        <f t="shared" si="85"/>
        <v/>
      </c>
      <c r="Z291" s="28" t="str">
        <f t="shared" si="86"/>
        <v/>
      </c>
      <c r="AA291" s="28" t="str">
        <f t="shared" si="87"/>
        <v/>
      </c>
      <c r="AB291" s="28" t="str">
        <f t="shared" si="88"/>
        <v/>
      </c>
      <c r="AC291" s="28" t="str">
        <f t="shared" si="100"/>
        <v/>
      </c>
      <c r="AD291" s="27"/>
      <c r="AO291" s="145" t="str">
        <f t="shared" si="101"/>
        <v/>
      </c>
      <c r="AP291" s="144" t="str">
        <f t="shared" si="102"/>
        <v/>
      </c>
    </row>
    <row r="292" spans="3:42" x14ac:dyDescent="0.25">
      <c r="C292" s="12" t="str">
        <f>IFERROR(IF(AvisoErro&lt;&gt;"","",IF(C291+1&gt;PAINEL!$H$8,"",C291+1)),"")</f>
        <v/>
      </c>
      <c r="E292" s="23" t="str">
        <f t="shared" si="89"/>
        <v/>
      </c>
      <c r="F292" s="13" t="str">
        <f>IF(C292="","",IF(E292&lt;&gt;"",E292*PAINEL!$H$7,0))</f>
        <v/>
      </c>
      <c r="G292" s="13" t="str">
        <f>IF(C292="","",IF(PAINEL!$A$4=1,K291/(QTDEParc-C291),IF(AND(PAINEL!$A$4=2,C292&lt;=MomentoContemplação),ValorParcelamento/QTDEParc,K291/(QTDEParc-C291))))</f>
        <v/>
      </c>
      <c r="H292" s="13" t="str">
        <f t="shared" si="90"/>
        <v/>
      </c>
      <c r="I292" s="32" t="str">
        <f t="shared" si="91"/>
        <v/>
      </c>
      <c r="J292" s="14" t="str">
        <f>IF(C292="","",IF(C292=MomentoContemplação,PAINEL!$P$10,0))</f>
        <v/>
      </c>
      <c r="K292" s="14" t="str">
        <f t="shared" si="92"/>
        <v/>
      </c>
      <c r="M292" s="51" t="str">
        <f t="shared" si="93"/>
        <v/>
      </c>
      <c r="N292" s="27" t="str">
        <f t="shared" si="97"/>
        <v/>
      </c>
      <c r="O292" s="27" t="str">
        <f>IF(C292="","",(I292*(1+M292))*(QTDEParc-CÁLCULO!C292)+$F$5-SUM($F$6:F292)-J292)</f>
        <v/>
      </c>
      <c r="P292" s="7" t="str">
        <f t="shared" si="94"/>
        <v/>
      </c>
      <c r="R292" s="44" t="str">
        <f t="shared" si="95"/>
        <v/>
      </c>
      <c r="S292" s="97"/>
      <c r="T292" s="28" t="str">
        <f t="shared" si="96"/>
        <v/>
      </c>
      <c r="U292" s="28" t="str">
        <f t="shared" si="84"/>
        <v/>
      </c>
      <c r="V292" s="7" t="str">
        <f t="shared" si="98"/>
        <v/>
      </c>
      <c r="W292" s="93" t="str">
        <f t="shared" si="103"/>
        <v/>
      </c>
      <c r="X292" s="28" t="str">
        <f t="shared" si="99"/>
        <v/>
      </c>
      <c r="Y292" s="28" t="str">
        <f t="shared" si="85"/>
        <v/>
      </c>
      <c r="Z292" s="28" t="str">
        <f t="shared" si="86"/>
        <v/>
      </c>
      <c r="AA292" s="28" t="str">
        <f t="shared" si="87"/>
        <v/>
      </c>
      <c r="AB292" s="28" t="str">
        <f t="shared" si="88"/>
        <v/>
      </c>
      <c r="AC292" s="28" t="str">
        <f t="shared" si="100"/>
        <v/>
      </c>
      <c r="AD292" s="27"/>
      <c r="AO292" s="145" t="str">
        <f t="shared" si="101"/>
        <v/>
      </c>
      <c r="AP292" s="144" t="str">
        <f t="shared" si="102"/>
        <v/>
      </c>
    </row>
    <row r="293" spans="3:42" x14ac:dyDescent="0.25">
      <c r="C293" s="12" t="str">
        <f>IFERROR(IF(AvisoErro&lt;&gt;"","",IF(C292+1&gt;PAINEL!$H$8,"",C292+1)),"")</f>
        <v/>
      </c>
      <c r="E293" s="23" t="str">
        <f t="shared" si="89"/>
        <v/>
      </c>
      <c r="F293" s="13" t="str">
        <f>IF(C293="","",IF(E293&lt;&gt;"",E293*PAINEL!$H$7,0))</f>
        <v/>
      </c>
      <c r="G293" s="13" t="str">
        <f>IF(C293="","",IF(PAINEL!$A$4=1,K292/(QTDEParc-C292),IF(AND(PAINEL!$A$4=2,C293&lt;=MomentoContemplação),ValorParcelamento/QTDEParc,K292/(QTDEParc-C292))))</f>
        <v/>
      </c>
      <c r="H293" s="13" t="str">
        <f t="shared" si="90"/>
        <v/>
      </c>
      <c r="I293" s="32" t="str">
        <f t="shared" si="91"/>
        <v/>
      </c>
      <c r="J293" s="14" t="str">
        <f>IF(C293="","",IF(C293=MomentoContemplação,PAINEL!$P$10,0))</f>
        <v/>
      </c>
      <c r="K293" s="14" t="str">
        <f t="shared" si="92"/>
        <v/>
      </c>
      <c r="M293" s="51" t="str">
        <f t="shared" si="93"/>
        <v/>
      </c>
      <c r="N293" s="27" t="str">
        <f t="shared" si="97"/>
        <v/>
      </c>
      <c r="O293" s="27" t="str">
        <f>IF(C293="","",(I293*(1+M293))*(QTDEParc-CÁLCULO!C293)+$F$5-SUM($F$6:F293)-J293)</f>
        <v/>
      </c>
      <c r="P293" s="7" t="str">
        <f t="shared" si="94"/>
        <v/>
      </c>
      <c r="R293" s="44" t="str">
        <f t="shared" si="95"/>
        <v/>
      </c>
      <c r="S293" s="97"/>
      <c r="T293" s="28" t="str">
        <f t="shared" si="96"/>
        <v/>
      </c>
      <c r="U293" s="28" t="str">
        <f t="shared" si="84"/>
        <v/>
      </c>
      <c r="V293" s="7" t="str">
        <f t="shared" si="98"/>
        <v/>
      </c>
      <c r="W293" s="93" t="str">
        <f t="shared" si="103"/>
        <v/>
      </c>
      <c r="X293" s="28" t="str">
        <f t="shared" si="99"/>
        <v/>
      </c>
      <c r="Y293" s="28" t="str">
        <f t="shared" si="85"/>
        <v/>
      </c>
      <c r="Z293" s="28" t="str">
        <f t="shared" si="86"/>
        <v/>
      </c>
      <c r="AA293" s="28" t="str">
        <f t="shared" si="87"/>
        <v/>
      </c>
      <c r="AB293" s="28" t="str">
        <f t="shared" si="88"/>
        <v/>
      </c>
      <c r="AC293" s="28" t="str">
        <f t="shared" si="100"/>
        <v/>
      </c>
      <c r="AD293" s="27"/>
      <c r="AO293" s="145" t="str">
        <f t="shared" si="101"/>
        <v/>
      </c>
      <c r="AP293" s="144" t="str">
        <f t="shared" si="102"/>
        <v/>
      </c>
    </row>
    <row r="294" spans="3:42" x14ac:dyDescent="0.25">
      <c r="C294" s="12" t="str">
        <f>IFERROR(IF(AvisoErro&lt;&gt;"","",IF(C293+1&gt;PAINEL!$H$8,"",C293+1)),"")</f>
        <v/>
      </c>
      <c r="E294" s="23" t="str">
        <f t="shared" si="89"/>
        <v/>
      </c>
      <c r="F294" s="13" t="str">
        <f>IF(C294="","",IF(E294&lt;&gt;"",E294*PAINEL!$H$7,0))</f>
        <v/>
      </c>
      <c r="G294" s="13" t="str">
        <f>IF(C294="","",IF(PAINEL!$A$4=1,K293/(QTDEParc-C293),IF(AND(PAINEL!$A$4=2,C294&lt;=MomentoContemplação),ValorParcelamento/QTDEParc,K293/(QTDEParc-C293))))</f>
        <v/>
      </c>
      <c r="H294" s="13" t="str">
        <f t="shared" si="90"/>
        <v/>
      </c>
      <c r="I294" s="32" t="str">
        <f t="shared" si="91"/>
        <v/>
      </c>
      <c r="J294" s="14" t="str">
        <f>IF(C294="","",IF(C294=MomentoContemplação,PAINEL!$P$10,0))</f>
        <v/>
      </c>
      <c r="K294" s="14" t="str">
        <f t="shared" si="92"/>
        <v/>
      </c>
      <c r="M294" s="51" t="str">
        <f t="shared" si="93"/>
        <v/>
      </c>
      <c r="N294" s="27" t="str">
        <f t="shared" si="97"/>
        <v/>
      </c>
      <c r="O294" s="27" t="str">
        <f>IF(C294="","",(I294*(1+M294))*(QTDEParc-CÁLCULO!C294)+$F$5-SUM($F$6:F294)-J294)</f>
        <v/>
      </c>
      <c r="P294" s="7" t="str">
        <f t="shared" si="94"/>
        <v/>
      </c>
      <c r="R294" s="44" t="str">
        <f t="shared" si="95"/>
        <v/>
      </c>
      <c r="S294" s="97"/>
      <c r="T294" s="28" t="str">
        <f t="shared" si="96"/>
        <v/>
      </c>
      <c r="U294" s="28" t="str">
        <f t="shared" si="84"/>
        <v/>
      </c>
      <c r="V294" s="7" t="str">
        <f t="shared" si="98"/>
        <v/>
      </c>
      <c r="W294" s="93" t="str">
        <f t="shared" si="103"/>
        <v/>
      </c>
      <c r="X294" s="28" t="str">
        <f t="shared" si="99"/>
        <v/>
      </c>
      <c r="Y294" s="28" t="str">
        <f t="shared" si="85"/>
        <v/>
      </c>
      <c r="Z294" s="28" t="str">
        <f t="shared" si="86"/>
        <v/>
      </c>
      <c r="AA294" s="28" t="str">
        <f t="shared" si="87"/>
        <v/>
      </c>
      <c r="AB294" s="28" t="str">
        <f t="shared" si="88"/>
        <v/>
      </c>
      <c r="AC294" s="28" t="str">
        <f t="shared" si="100"/>
        <v/>
      </c>
      <c r="AD294" s="27"/>
      <c r="AO294" s="145" t="str">
        <f t="shared" si="101"/>
        <v/>
      </c>
      <c r="AP294" s="144" t="str">
        <f t="shared" si="102"/>
        <v/>
      </c>
    </row>
    <row r="295" spans="3:42" x14ac:dyDescent="0.25">
      <c r="C295" s="12" t="str">
        <f>IFERROR(IF(AvisoErro&lt;&gt;"","",IF(C294+1&gt;PAINEL!$H$8,"",C294+1)),"")</f>
        <v/>
      </c>
      <c r="E295" s="23" t="str">
        <f t="shared" si="89"/>
        <v/>
      </c>
      <c r="F295" s="13" t="str">
        <f>IF(C295="","",IF(E295&lt;&gt;"",E295*PAINEL!$H$7,0))</f>
        <v/>
      </c>
      <c r="G295" s="13" t="str">
        <f>IF(C295="","",IF(PAINEL!$A$4=1,K294/(QTDEParc-C294),IF(AND(PAINEL!$A$4=2,C295&lt;=MomentoContemplação),ValorParcelamento/QTDEParc,K294/(QTDEParc-C294))))</f>
        <v/>
      </c>
      <c r="H295" s="13" t="str">
        <f t="shared" si="90"/>
        <v/>
      </c>
      <c r="I295" s="32" t="str">
        <f t="shared" si="91"/>
        <v/>
      </c>
      <c r="J295" s="14" t="str">
        <f>IF(C295="","",IF(C295=MomentoContemplação,PAINEL!$P$10,0))</f>
        <v/>
      </c>
      <c r="K295" s="14" t="str">
        <f t="shared" si="92"/>
        <v/>
      </c>
      <c r="M295" s="51" t="str">
        <f t="shared" si="93"/>
        <v/>
      </c>
      <c r="N295" s="27" t="str">
        <f t="shared" si="97"/>
        <v/>
      </c>
      <c r="O295" s="27" t="str">
        <f>IF(C295="","",(I295*(1+M295))*(QTDEParc-CÁLCULO!C295)+$F$5-SUM($F$6:F295)-J295)</f>
        <v/>
      </c>
      <c r="P295" s="7" t="str">
        <f t="shared" si="94"/>
        <v/>
      </c>
      <c r="R295" s="44" t="str">
        <f t="shared" si="95"/>
        <v/>
      </c>
      <c r="S295" s="97"/>
      <c r="T295" s="28" t="str">
        <f t="shared" si="96"/>
        <v/>
      </c>
      <c r="U295" s="28" t="str">
        <f t="shared" si="84"/>
        <v/>
      </c>
      <c r="V295" s="7" t="str">
        <f t="shared" si="98"/>
        <v/>
      </c>
      <c r="W295" s="93" t="str">
        <f t="shared" si="103"/>
        <v/>
      </c>
      <c r="X295" s="28" t="str">
        <f t="shared" si="99"/>
        <v/>
      </c>
      <c r="Y295" s="28" t="str">
        <f t="shared" si="85"/>
        <v/>
      </c>
      <c r="Z295" s="28" t="str">
        <f t="shared" si="86"/>
        <v/>
      </c>
      <c r="AA295" s="28" t="str">
        <f t="shared" si="87"/>
        <v/>
      </c>
      <c r="AB295" s="28" t="str">
        <f t="shared" si="88"/>
        <v/>
      </c>
      <c r="AC295" s="28" t="str">
        <f t="shared" si="100"/>
        <v/>
      </c>
      <c r="AD295" s="27"/>
      <c r="AO295" s="145" t="str">
        <f t="shared" si="101"/>
        <v/>
      </c>
      <c r="AP295" s="144" t="str">
        <f t="shared" si="102"/>
        <v/>
      </c>
    </row>
    <row r="296" spans="3:42" x14ac:dyDescent="0.25">
      <c r="C296" s="12" t="str">
        <f>IFERROR(IF(AvisoErro&lt;&gt;"","",IF(C295+1&gt;PAINEL!$H$8,"",C295+1)),"")</f>
        <v/>
      </c>
      <c r="E296" s="23" t="str">
        <f t="shared" si="89"/>
        <v/>
      </c>
      <c r="F296" s="13" t="str">
        <f>IF(C296="","",IF(E296&lt;&gt;"",E296*PAINEL!$H$7,0))</f>
        <v/>
      </c>
      <c r="G296" s="13" t="str">
        <f>IF(C296="","",IF(PAINEL!$A$4=1,K295/(QTDEParc-C295),IF(AND(PAINEL!$A$4=2,C296&lt;=MomentoContemplação),ValorParcelamento/QTDEParc,K295/(QTDEParc-C295))))</f>
        <v/>
      </c>
      <c r="H296" s="13" t="str">
        <f t="shared" si="90"/>
        <v/>
      </c>
      <c r="I296" s="32" t="str">
        <f t="shared" si="91"/>
        <v/>
      </c>
      <c r="J296" s="14" t="str">
        <f>IF(C296="","",IF(C296=MomentoContemplação,PAINEL!$P$10,0))</f>
        <v/>
      </c>
      <c r="K296" s="14" t="str">
        <f t="shared" si="92"/>
        <v/>
      </c>
      <c r="M296" s="51" t="str">
        <f t="shared" si="93"/>
        <v/>
      </c>
      <c r="N296" s="27" t="str">
        <f t="shared" si="97"/>
        <v/>
      </c>
      <c r="O296" s="27" t="str">
        <f>IF(C296="","",(I296*(1+M296))*(QTDEParc-CÁLCULO!C296)+$F$5-SUM($F$6:F296)-J296)</f>
        <v/>
      </c>
      <c r="P296" s="7" t="str">
        <f t="shared" si="94"/>
        <v/>
      </c>
      <c r="R296" s="44" t="str">
        <f t="shared" si="95"/>
        <v/>
      </c>
      <c r="S296" s="97"/>
      <c r="T296" s="28" t="str">
        <f t="shared" si="96"/>
        <v/>
      </c>
      <c r="U296" s="28" t="str">
        <f t="shared" si="84"/>
        <v/>
      </c>
      <c r="V296" s="7" t="str">
        <f t="shared" si="98"/>
        <v/>
      </c>
      <c r="W296" s="93" t="str">
        <f t="shared" si="103"/>
        <v/>
      </c>
      <c r="X296" s="28" t="str">
        <f t="shared" si="99"/>
        <v/>
      </c>
      <c r="Y296" s="28" t="str">
        <f t="shared" si="85"/>
        <v/>
      </c>
      <c r="Z296" s="28" t="str">
        <f t="shared" si="86"/>
        <v/>
      </c>
      <c r="AA296" s="28" t="str">
        <f t="shared" si="87"/>
        <v/>
      </c>
      <c r="AB296" s="28" t="str">
        <f t="shared" si="88"/>
        <v/>
      </c>
      <c r="AC296" s="28" t="str">
        <f t="shared" si="100"/>
        <v/>
      </c>
      <c r="AD296" s="27"/>
      <c r="AO296" s="145" t="str">
        <f t="shared" si="101"/>
        <v/>
      </c>
      <c r="AP296" s="144" t="str">
        <f t="shared" si="102"/>
        <v/>
      </c>
    </row>
    <row r="297" spans="3:42" x14ac:dyDescent="0.25">
      <c r="C297" s="12" t="str">
        <f>IFERROR(IF(AvisoErro&lt;&gt;"","",IF(C296+1&gt;PAINEL!$H$8,"",C296+1)),"")</f>
        <v/>
      </c>
      <c r="E297" s="23" t="str">
        <f t="shared" si="89"/>
        <v/>
      </c>
      <c r="F297" s="13" t="str">
        <f>IF(C297="","",IF(E297&lt;&gt;"",E297*PAINEL!$H$7,0))</f>
        <v/>
      </c>
      <c r="G297" s="13" t="str">
        <f>IF(C297="","",IF(PAINEL!$A$4=1,K296/(QTDEParc-C296),IF(AND(PAINEL!$A$4=2,C297&lt;=MomentoContemplação),ValorParcelamento/QTDEParc,K296/(QTDEParc-C296))))</f>
        <v/>
      </c>
      <c r="H297" s="13" t="str">
        <f t="shared" si="90"/>
        <v/>
      </c>
      <c r="I297" s="32" t="str">
        <f t="shared" si="91"/>
        <v/>
      </c>
      <c r="J297" s="14" t="str">
        <f>IF(C297="","",IF(C297=MomentoContemplação,PAINEL!$P$10,0))</f>
        <v/>
      </c>
      <c r="K297" s="14" t="str">
        <f t="shared" si="92"/>
        <v/>
      </c>
      <c r="M297" s="51" t="str">
        <f t="shared" si="93"/>
        <v/>
      </c>
      <c r="N297" s="27" t="str">
        <f t="shared" si="97"/>
        <v/>
      </c>
      <c r="O297" s="27" t="str">
        <f>IF(C297="","",(I297*(1+M297))*(QTDEParc-CÁLCULO!C297)+$F$5-SUM($F$6:F297)-J297)</f>
        <v/>
      </c>
      <c r="P297" s="7" t="str">
        <f t="shared" si="94"/>
        <v/>
      </c>
      <c r="R297" s="44" t="str">
        <f t="shared" si="95"/>
        <v/>
      </c>
      <c r="S297" s="97"/>
      <c r="T297" s="28" t="str">
        <f t="shared" si="96"/>
        <v/>
      </c>
      <c r="U297" s="28" t="str">
        <f t="shared" si="84"/>
        <v/>
      </c>
      <c r="V297" s="7" t="str">
        <f t="shared" si="98"/>
        <v/>
      </c>
      <c r="W297" s="93" t="str">
        <f t="shared" si="103"/>
        <v/>
      </c>
      <c r="X297" s="28" t="str">
        <f t="shared" si="99"/>
        <v/>
      </c>
      <c r="Y297" s="28" t="str">
        <f t="shared" si="85"/>
        <v/>
      </c>
      <c r="Z297" s="28" t="str">
        <f t="shared" si="86"/>
        <v/>
      </c>
      <c r="AA297" s="28" t="str">
        <f t="shared" si="87"/>
        <v/>
      </c>
      <c r="AB297" s="28" t="str">
        <f t="shared" si="88"/>
        <v/>
      </c>
      <c r="AC297" s="28" t="str">
        <f t="shared" si="100"/>
        <v/>
      </c>
      <c r="AD297" s="27"/>
      <c r="AO297" s="145" t="str">
        <f t="shared" si="101"/>
        <v/>
      </c>
      <c r="AP297" s="144" t="str">
        <f t="shared" si="102"/>
        <v/>
      </c>
    </row>
    <row r="298" spans="3:42" x14ac:dyDescent="0.25">
      <c r="C298" s="12" t="str">
        <f>IFERROR(IF(AvisoErro&lt;&gt;"","",IF(C297+1&gt;PAINEL!$H$8,"",C297+1)),"")</f>
        <v/>
      </c>
      <c r="E298" s="23" t="str">
        <f t="shared" si="89"/>
        <v/>
      </c>
      <c r="F298" s="13" t="str">
        <f>IF(C298="","",IF(E298&lt;&gt;"",E298*PAINEL!$H$7,0))</f>
        <v/>
      </c>
      <c r="G298" s="13" t="str">
        <f>IF(C298="","",IF(PAINEL!$A$4=1,K297/(QTDEParc-C297),IF(AND(PAINEL!$A$4=2,C298&lt;=MomentoContemplação),ValorParcelamento/QTDEParc,K297/(QTDEParc-C297))))</f>
        <v/>
      </c>
      <c r="H298" s="13" t="str">
        <f t="shared" si="90"/>
        <v/>
      </c>
      <c r="I298" s="32" t="str">
        <f t="shared" si="91"/>
        <v/>
      </c>
      <c r="J298" s="14" t="str">
        <f>IF(C298="","",IF(C298=MomentoContemplação,PAINEL!$P$10,0))</f>
        <v/>
      </c>
      <c r="K298" s="14" t="str">
        <f t="shared" si="92"/>
        <v/>
      </c>
      <c r="M298" s="51" t="str">
        <f t="shared" si="93"/>
        <v/>
      </c>
      <c r="N298" s="27" t="str">
        <f t="shared" si="97"/>
        <v/>
      </c>
      <c r="O298" s="27" t="str">
        <f>IF(C298="","",(I298*(1+M298))*(QTDEParc-CÁLCULO!C298)+$F$5-SUM($F$6:F298)-J298)</f>
        <v/>
      </c>
      <c r="P298" s="7" t="str">
        <f t="shared" si="94"/>
        <v/>
      </c>
      <c r="R298" s="44" t="str">
        <f t="shared" si="95"/>
        <v/>
      </c>
      <c r="S298" s="97"/>
      <c r="T298" s="28" t="str">
        <f t="shared" si="96"/>
        <v/>
      </c>
      <c r="U298" s="28" t="str">
        <f t="shared" si="84"/>
        <v/>
      </c>
      <c r="V298" s="7" t="str">
        <f t="shared" si="98"/>
        <v/>
      </c>
      <c r="W298" s="93" t="str">
        <f t="shared" si="103"/>
        <v/>
      </c>
      <c r="X298" s="28" t="str">
        <f t="shared" si="99"/>
        <v/>
      </c>
      <c r="Y298" s="28" t="str">
        <f t="shared" si="85"/>
        <v/>
      </c>
      <c r="Z298" s="28" t="str">
        <f t="shared" si="86"/>
        <v/>
      </c>
      <c r="AA298" s="28" t="str">
        <f t="shared" si="87"/>
        <v/>
      </c>
      <c r="AB298" s="28" t="str">
        <f t="shared" si="88"/>
        <v/>
      </c>
      <c r="AC298" s="28" t="str">
        <f t="shared" si="100"/>
        <v/>
      </c>
      <c r="AD298" s="27"/>
      <c r="AO298" s="145" t="str">
        <f t="shared" si="101"/>
        <v/>
      </c>
      <c r="AP298" s="144" t="str">
        <f t="shared" si="102"/>
        <v/>
      </c>
    </row>
    <row r="299" spans="3:42" x14ac:dyDescent="0.25">
      <c r="C299" s="12" t="str">
        <f>IFERROR(IF(AvisoErro&lt;&gt;"","",IF(C298+1&gt;PAINEL!$H$8,"",C298+1)),"")</f>
        <v/>
      </c>
      <c r="E299" s="23" t="str">
        <f t="shared" si="89"/>
        <v/>
      </c>
      <c r="F299" s="13" t="str">
        <f>IF(C299="","",IF(E299&lt;&gt;"",E299*PAINEL!$H$7,0))</f>
        <v/>
      </c>
      <c r="G299" s="13" t="str">
        <f>IF(C299="","",IF(PAINEL!$A$4=1,K298/(QTDEParc-C298),IF(AND(PAINEL!$A$4=2,C299&lt;=MomentoContemplação),ValorParcelamento/QTDEParc,K298/(QTDEParc-C298))))</f>
        <v/>
      </c>
      <c r="H299" s="13" t="str">
        <f t="shared" si="90"/>
        <v/>
      </c>
      <c r="I299" s="32" t="str">
        <f t="shared" si="91"/>
        <v/>
      </c>
      <c r="J299" s="14" t="str">
        <f>IF(C299="","",IF(C299=MomentoContemplação,PAINEL!$P$10,0))</f>
        <v/>
      </c>
      <c r="K299" s="14" t="str">
        <f t="shared" si="92"/>
        <v/>
      </c>
      <c r="M299" s="51" t="str">
        <f t="shared" si="93"/>
        <v/>
      </c>
      <c r="N299" s="27" t="str">
        <f t="shared" si="97"/>
        <v/>
      </c>
      <c r="O299" s="27" t="str">
        <f>IF(C299="","",(I299*(1+M299))*(QTDEParc-CÁLCULO!C299)+$F$5-SUM($F$6:F299)-J299)</f>
        <v/>
      </c>
      <c r="P299" s="7" t="str">
        <f t="shared" si="94"/>
        <v/>
      </c>
      <c r="R299" s="44" t="str">
        <f t="shared" si="95"/>
        <v/>
      </c>
      <c r="S299" s="97"/>
      <c r="T299" s="28" t="str">
        <f t="shared" si="96"/>
        <v/>
      </c>
      <c r="U299" s="28" t="str">
        <f t="shared" si="84"/>
        <v/>
      </c>
      <c r="V299" s="7" t="str">
        <f t="shared" si="98"/>
        <v/>
      </c>
      <c r="W299" s="93" t="str">
        <f t="shared" si="103"/>
        <v/>
      </c>
      <c r="X299" s="28" t="str">
        <f t="shared" si="99"/>
        <v/>
      </c>
      <c r="Y299" s="28" t="str">
        <f t="shared" si="85"/>
        <v/>
      </c>
      <c r="Z299" s="28" t="str">
        <f t="shared" si="86"/>
        <v/>
      </c>
      <c r="AA299" s="28" t="str">
        <f t="shared" si="87"/>
        <v/>
      </c>
      <c r="AB299" s="28" t="str">
        <f t="shared" si="88"/>
        <v/>
      </c>
      <c r="AC299" s="28" t="str">
        <f t="shared" si="100"/>
        <v/>
      </c>
      <c r="AD299" s="27"/>
      <c r="AO299" s="145" t="str">
        <f t="shared" si="101"/>
        <v/>
      </c>
      <c r="AP299" s="144" t="str">
        <f t="shared" si="102"/>
        <v/>
      </c>
    </row>
    <row r="300" spans="3:42" x14ac:dyDescent="0.25">
      <c r="C300" s="12" t="str">
        <f>IFERROR(IF(AvisoErro&lt;&gt;"","",IF(C299+1&gt;PAINEL!$H$8,"",C299+1)),"")</f>
        <v/>
      </c>
      <c r="E300" s="23" t="str">
        <f t="shared" si="89"/>
        <v/>
      </c>
      <c r="F300" s="13" t="str">
        <f>IF(C300="","",IF(E300&lt;&gt;"",E300*PAINEL!$H$7,0))</f>
        <v/>
      </c>
      <c r="G300" s="13" t="str">
        <f>IF(C300="","",IF(PAINEL!$A$4=1,K299/(QTDEParc-C299),IF(AND(PAINEL!$A$4=2,C300&lt;=MomentoContemplação),ValorParcelamento/QTDEParc,K299/(QTDEParc-C299))))</f>
        <v/>
      </c>
      <c r="H300" s="13" t="str">
        <f t="shared" si="90"/>
        <v/>
      </c>
      <c r="I300" s="32" t="str">
        <f t="shared" si="91"/>
        <v/>
      </c>
      <c r="J300" s="14" t="str">
        <f>IF(C300="","",IF(C300=MomentoContemplação,PAINEL!$P$10,0))</f>
        <v/>
      </c>
      <c r="K300" s="14" t="str">
        <f t="shared" si="92"/>
        <v/>
      </c>
      <c r="M300" s="51" t="str">
        <f t="shared" si="93"/>
        <v/>
      </c>
      <c r="N300" s="27" t="str">
        <f t="shared" si="97"/>
        <v/>
      </c>
      <c r="O300" s="27" t="str">
        <f>IF(C300="","",(I300*(1+M300))*(QTDEParc-CÁLCULO!C300)+$F$5-SUM($F$6:F300)-J300)</f>
        <v/>
      </c>
      <c r="P300" s="7" t="str">
        <f t="shared" si="94"/>
        <v/>
      </c>
      <c r="R300" s="44" t="str">
        <f t="shared" si="95"/>
        <v/>
      </c>
      <c r="S300" s="97"/>
      <c r="T300" s="28" t="str">
        <f t="shared" si="96"/>
        <v/>
      </c>
      <c r="U300" s="28" t="str">
        <f t="shared" si="84"/>
        <v/>
      </c>
      <c r="V300" s="7" t="str">
        <f t="shared" si="98"/>
        <v/>
      </c>
      <c r="W300" s="93" t="str">
        <f t="shared" si="103"/>
        <v/>
      </c>
      <c r="X300" s="28" t="str">
        <f t="shared" si="99"/>
        <v/>
      </c>
      <c r="Y300" s="28" t="str">
        <f t="shared" si="85"/>
        <v/>
      </c>
      <c r="Z300" s="28" t="str">
        <f t="shared" si="86"/>
        <v/>
      </c>
      <c r="AA300" s="28" t="str">
        <f t="shared" si="87"/>
        <v/>
      </c>
      <c r="AB300" s="28" t="str">
        <f t="shared" si="88"/>
        <v/>
      </c>
      <c r="AC300" s="28" t="str">
        <f t="shared" si="100"/>
        <v/>
      </c>
      <c r="AD300" s="27"/>
      <c r="AO300" s="145" t="str">
        <f t="shared" si="101"/>
        <v/>
      </c>
      <c r="AP300" s="144" t="str">
        <f t="shared" si="102"/>
        <v/>
      </c>
    </row>
    <row r="301" spans="3:42" x14ac:dyDescent="0.25">
      <c r="C301" s="12" t="str">
        <f>IFERROR(IF(AvisoErro&lt;&gt;"","",IF(C300+1&gt;PAINEL!$H$8,"",C300+1)),"")</f>
        <v/>
      </c>
      <c r="E301" s="23" t="str">
        <f t="shared" si="89"/>
        <v/>
      </c>
      <c r="F301" s="13" t="str">
        <f>IF(C301="","",IF(E301&lt;&gt;"",E301*PAINEL!$H$7,0))</f>
        <v/>
      </c>
      <c r="G301" s="13" t="str">
        <f>IF(C301="","",IF(PAINEL!$A$4=1,K300/(QTDEParc-C300),IF(AND(PAINEL!$A$4=2,C301&lt;=MomentoContemplação),ValorParcelamento/QTDEParc,K300/(QTDEParc-C300))))</f>
        <v/>
      </c>
      <c r="H301" s="13" t="str">
        <f t="shared" si="90"/>
        <v/>
      </c>
      <c r="I301" s="32" t="str">
        <f t="shared" si="91"/>
        <v/>
      </c>
      <c r="J301" s="14" t="str">
        <f>IF(C301="","",IF(C301=MomentoContemplação,PAINEL!$P$10,0))</f>
        <v/>
      </c>
      <c r="K301" s="14" t="str">
        <f t="shared" si="92"/>
        <v/>
      </c>
      <c r="M301" s="51" t="str">
        <f t="shared" si="93"/>
        <v/>
      </c>
      <c r="N301" s="27" t="str">
        <f t="shared" si="97"/>
        <v/>
      </c>
      <c r="O301" s="27" t="str">
        <f>IF(C301="","",(I301*(1+M301))*(QTDEParc-CÁLCULO!C301)+$F$5-SUM($F$6:F301)-J301)</f>
        <v/>
      </c>
      <c r="P301" s="7" t="str">
        <f t="shared" si="94"/>
        <v/>
      </c>
      <c r="R301" s="44" t="str">
        <f t="shared" si="95"/>
        <v/>
      </c>
      <c r="S301" s="97"/>
      <c r="T301" s="28" t="str">
        <f t="shared" si="96"/>
        <v/>
      </c>
      <c r="U301" s="28" t="str">
        <f t="shared" si="84"/>
        <v/>
      </c>
      <c r="V301" s="7" t="str">
        <f t="shared" si="98"/>
        <v/>
      </c>
      <c r="W301" s="93" t="str">
        <f t="shared" si="103"/>
        <v/>
      </c>
      <c r="X301" s="28" t="str">
        <f t="shared" si="99"/>
        <v/>
      </c>
      <c r="Y301" s="28" t="str">
        <f t="shared" si="85"/>
        <v/>
      </c>
      <c r="Z301" s="28" t="str">
        <f t="shared" si="86"/>
        <v/>
      </c>
      <c r="AA301" s="28" t="str">
        <f t="shared" si="87"/>
        <v/>
      </c>
      <c r="AB301" s="28" t="str">
        <f t="shared" si="88"/>
        <v/>
      </c>
      <c r="AC301" s="28" t="str">
        <f t="shared" si="100"/>
        <v/>
      </c>
      <c r="AD301" s="27"/>
      <c r="AO301" s="145" t="str">
        <f t="shared" si="101"/>
        <v/>
      </c>
      <c r="AP301" s="144" t="str">
        <f t="shared" si="102"/>
        <v/>
      </c>
    </row>
    <row r="302" spans="3:42" x14ac:dyDescent="0.25">
      <c r="C302" s="12" t="str">
        <f>IFERROR(IF(AvisoErro&lt;&gt;"","",IF(C301+1&gt;PAINEL!$H$8,"",C301+1)),"")</f>
        <v/>
      </c>
      <c r="E302" s="23" t="str">
        <f t="shared" si="89"/>
        <v/>
      </c>
      <c r="F302" s="13" t="str">
        <f>IF(C302="","",IF(E302&lt;&gt;"",E302*PAINEL!$H$7,0))</f>
        <v/>
      </c>
      <c r="G302" s="13" t="str">
        <f>IF(C302="","",IF(PAINEL!$A$4=1,K301/(QTDEParc-C301),IF(AND(PAINEL!$A$4=2,C302&lt;=MomentoContemplação),ValorParcelamento/QTDEParc,K301/(QTDEParc-C301))))</f>
        <v/>
      </c>
      <c r="H302" s="13" t="str">
        <f t="shared" si="90"/>
        <v/>
      </c>
      <c r="I302" s="32" t="str">
        <f t="shared" si="91"/>
        <v/>
      </c>
      <c r="J302" s="14" t="str">
        <f>IF(C302="","",IF(C302=MomentoContemplação,PAINEL!$P$10,0))</f>
        <v/>
      </c>
      <c r="K302" s="14" t="str">
        <f t="shared" si="92"/>
        <v/>
      </c>
      <c r="M302" s="51" t="str">
        <f t="shared" si="93"/>
        <v/>
      </c>
      <c r="N302" s="27" t="str">
        <f t="shared" si="97"/>
        <v/>
      </c>
      <c r="O302" s="27" t="str">
        <f>IF(C302="","",(I302*(1+M302))*(QTDEParc-CÁLCULO!C302)+$F$5-SUM($F$6:F302)-J302)</f>
        <v/>
      </c>
      <c r="P302" s="7" t="str">
        <f t="shared" si="94"/>
        <v/>
      </c>
      <c r="R302" s="44" t="str">
        <f t="shared" si="95"/>
        <v/>
      </c>
      <c r="S302" s="97"/>
      <c r="T302" s="28" t="str">
        <f t="shared" si="96"/>
        <v/>
      </c>
      <c r="U302" s="28" t="str">
        <f t="shared" si="84"/>
        <v/>
      </c>
      <c r="V302" s="7" t="str">
        <f t="shared" si="98"/>
        <v/>
      </c>
      <c r="W302" s="93" t="str">
        <f t="shared" si="103"/>
        <v/>
      </c>
      <c r="X302" s="28" t="str">
        <f t="shared" si="99"/>
        <v/>
      </c>
      <c r="Y302" s="28" t="str">
        <f t="shared" si="85"/>
        <v/>
      </c>
      <c r="Z302" s="28" t="str">
        <f t="shared" si="86"/>
        <v/>
      </c>
      <c r="AA302" s="28" t="str">
        <f t="shared" si="87"/>
        <v/>
      </c>
      <c r="AB302" s="28" t="str">
        <f t="shared" si="88"/>
        <v/>
      </c>
      <c r="AC302" s="28" t="str">
        <f t="shared" si="100"/>
        <v/>
      </c>
      <c r="AD302" s="27"/>
      <c r="AO302" s="145" t="str">
        <f t="shared" si="101"/>
        <v/>
      </c>
      <c r="AP302" s="144" t="str">
        <f t="shared" si="102"/>
        <v/>
      </c>
    </row>
    <row r="303" spans="3:42" x14ac:dyDescent="0.25">
      <c r="C303" s="12" t="str">
        <f>IFERROR(IF(AvisoErro&lt;&gt;"","",IF(C302+1&gt;PAINEL!$H$8,"",C302+1)),"")</f>
        <v/>
      </c>
      <c r="E303" s="23" t="str">
        <f t="shared" si="89"/>
        <v/>
      </c>
      <c r="F303" s="13" t="str">
        <f>IF(C303="","",IF(E303&lt;&gt;"",E303*PAINEL!$H$7,0))</f>
        <v/>
      </c>
      <c r="G303" s="13" t="str">
        <f>IF(C303="","",IF(PAINEL!$A$4=1,K302/(QTDEParc-C302),IF(AND(PAINEL!$A$4=2,C303&lt;=MomentoContemplação),ValorParcelamento/QTDEParc,K302/(QTDEParc-C302))))</f>
        <v/>
      </c>
      <c r="H303" s="13" t="str">
        <f t="shared" si="90"/>
        <v/>
      </c>
      <c r="I303" s="32" t="str">
        <f t="shared" si="91"/>
        <v/>
      </c>
      <c r="J303" s="14" t="str">
        <f>IF(C303="","",IF(C303=MomentoContemplação,PAINEL!$P$10,0))</f>
        <v/>
      </c>
      <c r="K303" s="14" t="str">
        <f t="shared" si="92"/>
        <v/>
      </c>
      <c r="M303" s="51" t="str">
        <f t="shared" si="93"/>
        <v/>
      </c>
      <c r="N303" s="27" t="str">
        <f t="shared" si="97"/>
        <v/>
      </c>
      <c r="O303" s="27" t="str">
        <f>IF(C303="","",(I303*(1+M303))*(QTDEParc-CÁLCULO!C303)+$F$5-SUM($F$6:F303)-J303)</f>
        <v/>
      </c>
      <c r="P303" s="7" t="str">
        <f t="shared" si="94"/>
        <v/>
      </c>
      <c r="R303" s="44" t="str">
        <f t="shared" si="95"/>
        <v/>
      </c>
      <c r="S303" s="97"/>
      <c r="T303" s="28" t="str">
        <f t="shared" si="96"/>
        <v/>
      </c>
      <c r="U303" s="28" t="str">
        <f t="shared" si="84"/>
        <v/>
      </c>
      <c r="V303" s="7" t="str">
        <f t="shared" si="98"/>
        <v/>
      </c>
      <c r="W303" s="93" t="str">
        <f t="shared" si="103"/>
        <v/>
      </c>
      <c r="X303" s="28" t="str">
        <f t="shared" si="99"/>
        <v/>
      </c>
      <c r="Y303" s="28" t="str">
        <f t="shared" si="85"/>
        <v/>
      </c>
      <c r="Z303" s="28" t="str">
        <f t="shared" si="86"/>
        <v/>
      </c>
      <c r="AA303" s="28" t="str">
        <f t="shared" si="87"/>
        <v/>
      </c>
      <c r="AB303" s="28" t="str">
        <f t="shared" si="88"/>
        <v/>
      </c>
      <c r="AC303" s="28" t="str">
        <f t="shared" si="100"/>
        <v/>
      </c>
      <c r="AD303" s="27"/>
      <c r="AO303" s="145" t="str">
        <f t="shared" si="101"/>
        <v/>
      </c>
      <c r="AP303" s="144" t="str">
        <f t="shared" si="102"/>
        <v/>
      </c>
    </row>
    <row r="304" spans="3:42" x14ac:dyDescent="0.25">
      <c r="C304" s="12" t="str">
        <f>IFERROR(IF(AvisoErro&lt;&gt;"","",IF(C303+1&gt;PAINEL!$H$8,"",C303+1)),"")</f>
        <v/>
      </c>
      <c r="E304" s="23" t="str">
        <f t="shared" si="89"/>
        <v/>
      </c>
      <c r="F304" s="13" t="str">
        <f>IF(C304="","",IF(E304&lt;&gt;"",E304*PAINEL!$H$7,0))</f>
        <v/>
      </c>
      <c r="G304" s="13" t="str">
        <f>IF(C304="","",IF(PAINEL!$A$4=1,K303/(QTDEParc-C303),IF(AND(PAINEL!$A$4=2,C304&lt;=MomentoContemplação),ValorParcelamento/QTDEParc,K303/(QTDEParc-C303))))</f>
        <v/>
      </c>
      <c r="H304" s="13" t="str">
        <f t="shared" si="90"/>
        <v/>
      </c>
      <c r="I304" s="32" t="str">
        <f t="shared" si="91"/>
        <v/>
      </c>
      <c r="J304" s="14" t="str">
        <f>IF(C304="","",IF(C304=MomentoContemplação,PAINEL!$P$10,0))</f>
        <v/>
      </c>
      <c r="K304" s="14" t="str">
        <f t="shared" si="92"/>
        <v/>
      </c>
      <c r="M304" s="51" t="str">
        <f t="shared" si="93"/>
        <v/>
      </c>
      <c r="N304" s="27" t="str">
        <f t="shared" si="97"/>
        <v/>
      </c>
      <c r="O304" s="27" t="str">
        <f>IF(C304="","",(I304*(1+M304))*(QTDEParc-CÁLCULO!C304)+$F$5-SUM($F$6:F304)-J304)</f>
        <v/>
      </c>
      <c r="P304" s="7" t="str">
        <f t="shared" si="94"/>
        <v/>
      </c>
      <c r="R304" s="44" t="str">
        <f t="shared" si="95"/>
        <v/>
      </c>
      <c r="S304" s="97"/>
      <c r="T304" s="28" t="str">
        <f t="shared" si="96"/>
        <v/>
      </c>
      <c r="U304" s="28" t="str">
        <f t="shared" si="84"/>
        <v/>
      </c>
      <c r="V304" s="7" t="str">
        <f t="shared" si="98"/>
        <v/>
      </c>
      <c r="W304" s="93" t="str">
        <f t="shared" si="103"/>
        <v/>
      </c>
      <c r="X304" s="28" t="str">
        <f t="shared" si="99"/>
        <v/>
      </c>
      <c r="Y304" s="28" t="str">
        <f t="shared" si="85"/>
        <v/>
      </c>
      <c r="Z304" s="28" t="str">
        <f t="shared" si="86"/>
        <v/>
      </c>
      <c r="AA304" s="28" t="str">
        <f t="shared" si="87"/>
        <v/>
      </c>
      <c r="AB304" s="28" t="str">
        <f t="shared" si="88"/>
        <v/>
      </c>
      <c r="AC304" s="28" t="str">
        <f t="shared" si="100"/>
        <v/>
      </c>
      <c r="AD304" s="27"/>
      <c r="AO304" s="145" t="str">
        <f t="shared" si="101"/>
        <v/>
      </c>
      <c r="AP304" s="144" t="str">
        <f t="shared" si="102"/>
        <v/>
      </c>
    </row>
    <row r="305" spans="3:42" x14ac:dyDescent="0.25">
      <c r="C305" s="12" t="str">
        <f>IFERROR(IF(AvisoErro&lt;&gt;"","",IF(C304+1&gt;PAINEL!$H$8,"",C304+1)),"")</f>
        <v/>
      </c>
      <c r="E305" s="23" t="str">
        <f t="shared" si="89"/>
        <v/>
      </c>
      <c r="F305" s="13" t="str">
        <f>IF(C305="","",IF(E305&lt;&gt;"",E305*PAINEL!$H$7,0))</f>
        <v/>
      </c>
      <c r="G305" s="13" t="str">
        <f>IF(C305="","",IF(PAINEL!$A$4=1,K304/(QTDEParc-C304),IF(AND(PAINEL!$A$4=2,C305&lt;=MomentoContemplação),ValorParcelamento/QTDEParc,K304/(QTDEParc-C304))))</f>
        <v/>
      </c>
      <c r="H305" s="13" t="str">
        <f t="shared" si="90"/>
        <v/>
      </c>
      <c r="I305" s="32" t="str">
        <f t="shared" si="91"/>
        <v/>
      </c>
      <c r="J305" s="14" t="str">
        <f>IF(C305="","",IF(C305=MomentoContemplação,PAINEL!$P$10,0))</f>
        <v/>
      </c>
      <c r="K305" s="14" t="str">
        <f t="shared" si="92"/>
        <v/>
      </c>
      <c r="M305" s="51" t="str">
        <f t="shared" si="93"/>
        <v/>
      </c>
      <c r="N305" s="27" t="str">
        <f t="shared" si="97"/>
        <v/>
      </c>
      <c r="O305" s="27" t="str">
        <f>IF(C305="","",(I305*(1+M305))*(QTDEParc-CÁLCULO!C305)+$F$5-SUM($F$6:F305)-J305)</f>
        <v/>
      </c>
      <c r="P305" s="7" t="str">
        <f t="shared" si="94"/>
        <v/>
      </c>
      <c r="R305" s="44" t="str">
        <f t="shared" si="95"/>
        <v/>
      </c>
      <c r="S305" s="97"/>
      <c r="T305" s="28" t="str">
        <f t="shared" si="96"/>
        <v/>
      </c>
      <c r="U305" s="28" t="str">
        <f t="shared" si="84"/>
        <v/>
      </c>
      <c r="V305" s="7" t="str">
        <f t="shared" si="98"/>
        <v/>
      </c>
      <c r="W305" s="93" t="str">
        <f t="shared" si="103"/>
        <v/>
      </c>
      <c r="X305" s="28" t="str">
        <f t="shared" si="99"/>
        <v/>
      </c>
      <c r="Y305" s="28" t="str">
        <f t="shared" si="85"/>
        <v/>
      </c>
      <c r="Z305" s="28" t="str">
        <f t="shared" si="86"/>
        <v/>
      </c>
      <c r="AA305" s="28" t="str">
        <f t="shared" si="87"/>
        <v/>
      </c>
      <c r="AB305" s="28" t="str">
        <f t="shared" si="88"/>
        <v/>
      </c>
      <c r="AC305" s="28" t="str">
        <f t="shared" si="100"/>
        <v/>
      </c>
      <c r="AD305" s="27"/>
      <c r="AO305" s="145" t="str">
        <f t="shared" si="101"/>
        <v/>
      </c>
      <c r="AP305" s="144" t="str">
        <f t="shared" si="102"/>
        <v/>
      </c>
    </row>
    <row r="306" spans="3:42" x14ac:dyDescent="0.25">
      <c r="C306" s="12" t="str">
        <f>IFERROR(IF(AvisoErro&lt;&gt;"","",IF(C305+1&gt;PAINEL!$H$8,"",C305+1)),"")</f>
        <v/>
      </c>
      <c r="E306" s="23" t="str">
        <f t="shared" si="89"/>
        <v/>
      </c>
      <c r="F306" s="13" t="str">
        <f>IF(C306="","",IF(E306&lt;&gt;"",E306*PAINEL!$H$7,0))</f>
        <v/>
      </c>
      <c r="G306" s="13" t="str">
        <f>IF(C306="","",IF(PAINEL!$A$4=1,K305/(QTDEParc-C305),IF(AND(PAINEL!$A$4=2,C306&lt;=MomentoContemplação),ValorParcelamento/QTDEParc,K305/(QTDEParc-C305))))</f>
        <v/>
      </c>
      <c r="H306" s="13" t="str">
        <f t="shared" si="90"/>
        <v/>
      </c>
      <c r="I306" s="32" t="str">
        <f t="shared" si="91"/>
        <v/>
      </c>
      <c r="J306" s="14" t="str">
        <f>IF(C306="","",IF(C306=MomentoContemplação,PAINEL!$P$10,0))</f>
        <v/>
      </c>
      <c r="K306" s="14" t="str">
        <f t="shared" si="92"/>
        <v/>
      </c>
      <c r="M306" s="51" t="str">
        <f t="shared" si="93"/>
        <v/>
      </c>
      <c r="N306" s="27" t="str">
        <f t="shared" si="97"/>
        <v/>
      </c>
      <c r="O306" s="27" t="str">
        <f>IF(C306="","",(I306*(1+M306))*(QTDEParc-CÁLCULO!C306)+$F$5-SUM($F$6:F306)-J306)</f>
        <v/>
      </c>
      <c r="P306" s="7" t="str">
        <f t="shared" si="94"/>
        <v/>
      </c>
      <c r="R306" s="44" t="str">
        <f t="shared" si="95"/>
        <v/>
      </c>
      <c r="S306" s="97"/>
      <c r="T306" s="28" t="str">
        <f t="shared" si="96"/>
        <v/>
      </c>
      <c r="U306" s="28" t="str">
        <f t="shared" si="84"/>
        <v/>
      </c>
      <c r="V306" s="7" t="str">
        <f t="shared" si="98"/>
        <v/>
      </c>
      <c r="W306" s="93" t="str">
        <f t="shared" si="103"/>
        <v/>
      </c>
      <c r="X306" s="28" t="str">
        <f t="shared" si="99"/>
        <v/>
      </c>
      <c r="Y306" s="28" t="str">
        <f t="shared" si="85"/>
        <v/>
      </c>
      <c r="Z306" s="28" t="str">
        <f t="shared" si="86"/>
        <v/>
      </c>
      <c r="AA306" s="28" t="str">
        <f t="shared" si="87"/>
        <v/>
      </c>
      <c r="AB306" s="28" t="str">
        <f t="shared" si="88"/>
        <v/>
      </c>
      <c r="AC306" s="28" t="str">
        <f t="shared" si="100"/>
        <v/>
      </c>
      <c r="AD306" s="27"/>
      <c r="AO306" s="145" t="str">
        <f t="shared" si="101"/>
        <v/>
      </c>
      <c r="AP306" s="144" t="str">
        <f t="shared" si="102"/>
        <v/>
      </c>
    </row>
    <row r="307" spans="3:42" x14ac:dyDescent="0.25">
      <c r="C307" s="12" t="str">
        <f>IFERROR(IF(AvisoErro&lt;&gt;"","",IF(C306+1&gt;PAINEL!$H$8,"",C306+1)),"")</f>
        <v/>
      </c>
      <c r="E307" s="23" t="str">
        <f t="shared" si="89"/>
        <v/>
      </c>
      <c r="F307" s="13" t="str">
        <f>IF(C307="","",IF(E307&lt;&gt;"",E307*PAINEL!$H$7,0))</f>
        <v/>
      </c>
      <c r="G307" s="13" t="str">
        <f>IF(C307="","",IF(PAINEL!$A$4=1,K306/(QTDEParc-C306),IF(AND(PAINEL!$A$4=2,C307&lt;=MomentoContemplação),ValorParcelamento/QTDEParc,K306/(QTDEParc-C306))))</f>
        <v/>
      </c>
      <c r="H307" s="13" t="str">
        <f t="shared" si="90"/>
        <v/>
      </c>
      <c r="I307" s="32" t="str">
        <f t="shared" si="91"/>
        <v/>
      </c>
      <c r="J307" s="14" t="str">
        <f>IF(C307="","",IF(C307=MomentoContemplação,PAINEL!$P$10,0))</f>
        <v/>
      </c>
      <c r="K307" s="14" t="str">
        <f t="shared" si="92"/>
        <v/>
      </c>
      <c r="M307" s="51" t="str">
        <f t="shared" si="93"/>
        <v/>
      </c>
      <c r="N307" s="27" t="str">
        <f t="shared" si="97"/>
        <v/>
      </c>
      <c r="O307" s="27" t="str">
        <f>IF(C307="","",(I307*(1+M307))*(QTDEParc-CÁLCULO!C307)+$F$5-SUM($F$6:F307)-J307)</f>
        <v/>
      </c>
      <c r="P307" s="7" t="str">
        <f t="shared" si="94"/>
        <v/>
      </c>
      <c r="R307" s="44" t="str">
        <f t="shared" si="95"/>
        <v/>
      </c>
      <c r="S307" s="97"/>
      <c r="T307" s="28" t="str">
        <f t="shared" si="96"/>
        <v/>
      </c>
      <c r="U307" s="28" t="str">
        <f t="shared" si="84"/>
        <v/>
      </c>
      <c r="V307" s="7" t="str">
        <f t="shared" si="98"/>
        <v/>
      </c>
      <c r="W307" s="93" t="str">
        <f t="shared" si="103"/>
        <v/>
      </c>
      <c r="X307" s="28" t="str">
        <f t="shared" si="99"/>
        <v/>
      </c>
      <c r="Y307" s="28" t="str">
        <f t="shared" si="85"/>
        <v/>
      </c>
      <c r="Z307" s="28" t="str">
        <f t="shared" si="86"/>
        <v/>
      </c>
      <c r="AA307" s="28" t="str">
        <f t="shared" si="87"/>
        <v/>
      </c>
      <c r="AB307" s="28" t="str">
        <f t="shared" si="88"/>
        <v/>
      </c>
      <c r="AC307" s="28" t="str">
        <f t="shared" si="100"/>
        <v/>
      </c>
      <c r="AD307" s="27"/>
      <c r="AO307" s="145" t="str">
        <f t="shared" si="101"/>
        <v/>
      </c>
      <c r="AP307" s="144" t="str">
        <f t="shared" si="102"/>
        <v/>
      </c>
    </row>
    <row r="308" spans="3:42" x14ac:dyDescent="0.25">
      <c r="C308" s="12" t="str">
        <f>IFERROR(IF(AvisoErro&lt;&gt;"","",IF(C307+1&gt;PAINEL!$H$8,"",C307+1)),"")</f>
        <v/>
      </c>
      <c r="E308" s="23" t="str">
        <f t="shared" si="89"/>
        <v/>
      </c>
      <c r="F308" s="13" t="str">
        <f>IF(C308="","",IF(E308&lt;&gt;"",E308*PAINEL!$H$7,0))</f>
        <v/>
      </c>
      <c r="G308" s="13" t="str">
        <f>IF(C308="","",IF(PAINEL!$A$4=1,K307/(QTDEParc-C307),IF(AND(PAINEL!$A$4=2,C308&lt;=MomentoContemplação),ValorParcelamento/QTDEParc,K307/(QTDEParc-C307))))</f>
        <v/>
      </c>
      <c r="H308" s="13" t="str">
        <f t="shared" si="90"/>
        <v/>
      </c>
      <c r="I308" s="32" t="str">
        <f t="shared" si="91"/>
        <v/>
      </c>
      <c r="J308" s="14" t="str">
        <f>IF(C308="","",IF(C308=MomentoContemplação,PAINEL!$P$10,0))</f>
        <v/>
      </c>
      <c r="K308" s="14" t="str">
        <f t="shared" si="92"/>
        <v/>
      </c>
      <c r="M308" s="51" t="str">
        <f t="shared" si="93"/>
        <v/>
      </c>
      <c r="N308" s="27" t="str">
        <f t="shared" si="97"/>
        <v/>
      </c>
      <c r="O308" s="27" t="str">
        <f>IF(C308="","",(I308*(1+M308))*(QTDEParc-CÁLCULO!C308)+$F$5-SUM($F$6:F308)-J308)</f>
        <v/>
      </c>
      <c r="P308" s="7" t="str">
        <f t="shared" si="94"/>
        <v/>
      </c>
      <c r="R308" s="44" t="str">
        <f t="shared" si="95"/>
        <v/>
      </c>
      <c r="S308" s="97"/>
      <c r="T308" s="28" t="str">
        <f t="shared" si="96"/>
        <v/>
      </c>
      <c r="U308" s="28" t="str">
        <f t="shared" si="84"/>
        <v/>
      </c>
      <c r="V308" s="7" t="str">
        <f t="shared" si="98"/>
        <v/>
      </c>
      <c r="W308" s="93" t="str">
        <f t="shared" si="103"/>
        <v/>
      </c>
      <c r="X308" s="28" t="str">
        <f t="shared" si="99"/>
        <v/>
      </c>
      <c r="Y308" s="28" t="str">
        <f t="shared" si="85"/>
        <v/>
      </c>
      <c r="Z308" s="28" t="str">
        <f t="shared" si="86"/>
        <v/>
      </c>
      <c r="AA308" s="28" t="str">
        <f t="shared" si="87"/>
        <v/>
      </c>
      <c r="AB308" s="28" t="str">
        <f t="shared" si="88"/>
        <v/>
      </c>
      <c r="AC308" s="28" t="str">
        <f t="shared" si="100"/>
        <v/>
      </c>
      <c r="AD308" s="27"/>
      <c r="AO308" s="145" t="str">
        <f t="shared" si="101"/>
        <v/>
      </c>
      <c r="AP308" s="144" t="str">
        <f t="shared" si="102"/>
        <v/>
      </c>
    </row>
    <row r="309" spans="3:42" x14ac:dyDescent="0.25">
      <c r="C309" s="12" t="str">
        <f>IFERROR(IF(AvisoErro&lt;&gt;"","",IF(C308+1&gt;PAINEL!$H$8,"",C308+1)),"")</f>
        <v/>
      </c>
      <c r="E309" s="23" t="str">
        <f t="shared" si="89"/>
        <v/>
      </c>
      <c r="F309" s="13" t="str">
        <f>IF(C309="","",IF(E309&lt;&gt;"",E309*PAINEL!$H$7,0))</f>
        <v/>
      </c>
      <c r="G309" s="13" t="str">
        <f>IF(C309="","",IF(PAINEL!$A$4=1,K308/(QTDEParc-C308),IF(AND(PAINEL!$A$4=2,C309&lt;=MomentoContemplação),ValorParcelamento/QTDEParc,K308/(QTDEParc-C308))))</f>
        <v/>
      </c>
      <c r="H309" s="13" t="str">
        <f t="shared" si="90"/>
        <v/>
      </c>
      <c r="I309" s="32" t="str">
        <f t="shared" si="91"/>
        <v/>
      </c>
      <c r="J309" s="14" t="str">
        <f>IF(C309="","",IF(C309=MomentoContemplação,PAINEL!$P$10,0))</f>
        <v/>
      </c>
      <c r="K309" s="14" t="str">
        <f t="shared" si="92"/>
        <v/>
      </c>
      <c r="M309" s="51" t="str">
        <f t="shared" si="93"/>
        <v/>
      </c>
      <c r="N309" s="27" t="str">
        <f t="shared" si="97"/>
        <v/>
      </c>
      <c r="O309" s="27" t="str">
        <f>IF(C309="","",(I309*(1+M309))*(QTDEParc-CÁLCULO!C309)+$F$5-SUM($F$6:F309)-J309)</f>
        <v/>
      </c>
      <c r="P309" s="7" t="str">
        <f t="shared" si="94"/>
        <v/>
      </c>
      <c r="R309" s="44" t="str">
        <f t="shared" si="95"/>
        <v/>
      </c>
      <c r="S309" s="97"/>
      <c r="T309" s="28" t="str">
        <f t="shared" si="96"/>
        <v/>
      </c>
      <c r="U309" s="28" t="str">
        <f t="shared" si="84"/>
        <v/>
      </c>
      <c r="V309" s="7" t="str">
        <f t="shared" si="98"/>
        <v/>
      </c>
      <c r="W309" s="93" t="str">
        <f t="shared" si="103"/>
        <v/>
      </c>
      <c r="X309" s="28" t="str">
        <f t="shared" si="99"/>
        <v/>
      </c>
      <c r="Y309" s="28" t="str">
        <f t="shared" si="85"/>
        <v/>
      </c>
      <c r="Z309" s="28" t="str">
        <f t="shared" si="86"/>
        <v/>
      </c>
      <c r="AA309" s="28" t="str">
        <f t="shared" si="87"/>
        <v/>
      </c>
      <c r="AB309" s="28" t="str">
        <f t="shared" si="88"/>
        <v/>
      </c>
      <c r="AC309" s="28" t="str">
        <f t="shared" si="100"/>
        <v/>
      </c>
      <c r="AD309" s="27"/>
      <c r="AO309" s="145" t="str">
        <f t="shared" si="101"/>
        <v/>
      </c>
      <c r="AP309" s="144" t="str">
        <f t="shared" si="102"/>
        <v/>
      </c>
    </row>
    <row r="310" spans="3:42" x14ac:dyDescent="0.25">
      <c r="C310" s="12" t="str">
        <f>IFERROR(IF(AvisoErro&lt;&gt;"","",IF(C309+1&gt;PAINEL!$H$8,"",C309+1)),"")</f>
        <v/>
      </c>
      <c r="E310" s="23" t="str">
        <f t="shared" si="89"/>
        <v/>
      </c>
      <c r="F310" s="13" t="str">
        <f>IF(C310="","",IF(E310&lt;&gt;"",E310*PAINEL!$H$7,0))</f>
        <v/>
      </c>
      <c r="G310" s="13" t="str">
        <f>IF(C310="","",IF(PAINEL!$A$4=1,K309/(QTDEParc-C309),IF(AND(PAINEL!$A$4=2,C310&lt;=MomentoContemplação),ValorParcelamento/QTDEParc,K309/(QTDEParc-C309))))</f>
        <v/>
      </c>
      <c r="H310" s="13" t="str">
        <f t="shared" si="90"/>
        <v/>
      </c>
      <c r="I310" s="32" t="str">
        <f t="shared" si="91"/>
        <v/>
      </c>
      <c r="J310" s="14" t="str">
        <f>IF(C310="","",IF(C310=MomentoContemplação,PAINEL!$P$10,0))</f>
        <v/>
      </c>
      <c r="K310" s="14" t="str">
        <f t="shared" si="92"/>
        <v/>
      </c>
      <c r="M310" s="51" t="str">
        <f t="shared" si="93"/>
        <v/>
      </c>
      <c r="N310" s="27" t="str">
        <f t="shared" si="97"/>
        <v/>
      </c>
      <c r="O310" s="27" t="str">
        <f>IF(C310="","",(I310*(1+M310))*(QTDEParc-CÁLCULO!C310)+$F$5-SUM($F$6:F310)-J310)</f>
        <v/>
      </c>
      <c r="P310" s="7" t="str">
        <f t="shared" si="94"/>
        <v/>
      </c>
      <c r="R310" s="44" t="str">
        <f t="shared" si="95"/>
        <v/>
      </c>
      <c r="S310" s="97"/>
      <c r="T310" s="28" t="str">
        <f t="shared" si="96"/>
        <v/>
      </c>
      <c r="U310" s="28" t="str">
        <f t="shared" si="84"/>
        <v/>
      </c>
      <c r="V310" s="7" t="str">
        <f t="shared" si="98"/>
        <v/>
      </c>
      <c r="W310" s="93" t="str">
        <f t="shared" si="103"/>
        <v/>
      </c>
      <c r="X310" s="28" t="str">
        <f t="shared" si="99"/>
        <v/>
      </c>
      <c r="Y310" s="28" t="str">
        <f t="shared" si="85"/>
        <v/>
      </c>
      <c r="Z310" s="28" t="str">
        <f t="shared" si="86"/>
        <v/>
      </c>
      <c r="AA310" s="28" t="str">
        <f t="shared" si="87"/>
        <v/>
      </c>
      <c r="AB310" s="28" t="str">
        <f t="shared" si="88"/>
        <v/>
      </c>
      <c r="AC310" s="28" t="str">
        <f t="shared" si="100"/>
        <v/>
      </c>
      <c r="AD310" s="27"/>
      <c r="AO310" s="145" t="str">
        <f t="shared" si="101"/>
        <v/>
      </c>
      <c r="AP310" s="144" t="str">
        <f t="shared" si="102"/>
        <v/>
      </c>
    </row>
    <row r="311" spans="3:42" x14ac:dyDescent="0.25">
      <c r="C311" s="12" t="str">
        <f>IFERROR(IF(AvisoErro&lt;&gt;"","",IF(C310+1&gt;PAINEL!$H$8,"",C310+1)),"")</f>
        <v/>
      </c>
      <c r="E311" s="23" t="str">
        <f t="shared" si="89"/>
        <v/>
      </c>
      <c r="F311" s="13" t="str">
        <f>IF(C311="","",IF(E311&lt;&gt;"",E311*PAINEL!$H$7,0))</f>
        <v/>
      </c>
      <c r="G311" s="13" t="str">
        <f>IF(C311="","",IF(PAINEL!$A$4=1,K310/(QTDEParc-C310),IF(AND(PAINEL!$A$4=2,C311&lt;=MomentoContemplação),ValorParcelamento/QTDEParc,K310/(QTDEParc-C310))))</f>
        <v/>
      </c>
      <c r="H311" s="13" t="str">
        <f t="shared" si="90"/>
        <v/>
      </c>
      <c r="I311" s="32" t="str">
        <f t="shared" si="91"/>
        <v/>
      </c>
      <c r="J311" s="14" t="str">
        <f>IF(C311="","",IF(C311=MomentoContemplação,PAINEL!$P$10,0))</f>
        <v/>
      </c>
      <c r="K311" s="14" t="str">
        <f t="shared" si="92"/>
        <v/>
      </c>
      <c r="M311" s="51" t="str">
        <f t="shared" si="93"/>
        <v/>
      </c>
      <c r="N311" s="27" t="str">
        <f t="shared" si="97"/>
        <v/>
      </c>
      <c r="O311" s="27" t="str">
        <f>IF(C311="","",(I311*(1+M311))*(QTDEParc-CÁLCULO!C311)+$F$5-SUM($F$6:F311)-J311)</f>
        <v/>
      </c>
      <c r="P311" s="7" t="str">
        <f t="shared" si="94"/>
        <v/>
      </c>
      <c r="R311" s="44" t="str">
        <f t="shared" si="95"/>
        <v/>
      </c>
      <c r="S311" s="97"/>
      <c r="T311" s="28" t="str">
        <f t="shared" si="96"/>
        <v/>
      </c>
      <c r="U311" s="28" t="str">
        <f t="shared" si="84"/>
        <v/>
      </c>
      <c r="V311" s="7" t="str">
        <f t="shared" si="98"/>
        <v/>
      </c>
      <c r="W311" s="93" t="str">
        <f t="shared" si="103"/>
        <v/>
      </c>
      <c r="X311" s="28" t="str">
        <f t="shared" si="99"/>
        <v/>
      </c>
      <c r="Y311" s="28" t="str">
        <f t="shared" si="85"/>
        <v/>
      </c>
      <c r="Z311" s="28" t="str">
        <f t="shared" si="86"/>
        <v/>
      </c>
      <c r="AA311" s="28" t="str">
        <f t="shared" si="87"/>
        <v/>
      </c>
      <c r="AB311" s="28" t="str">
        <f t="shared" si="88"/>
        <v/>
      </c>
      <c r="AC311" s="28" t="str">
        <f t="shared" si="100"/>
        <v/>
      </c>
      <c r="AD311" s="27"/>
      <c r="AO311" s="145" t="str">
        <f t="shared" si="101"/>
        <v/>
      </c>
      <c r="AP311" s="144" t="str">
        <f t="shared" si="102"/>
        <v/>
      </c>
    </row>
    <row r="312" spans="3:42" x14ac:dyDescent="0.25">
      <c r="C312" s="12" t="str">
        <f>IFERROR(IF(AvisoErro&lt;&gt;"","",IF(C311+1&gt;PAINEL!$H$8,"",C311+1)),"")</f>
        <v/>
      </c>
      <c r="E312" s="23" t="str">
        <f t="shared" si="89"/>
        <v/>
      </c>
      <c r="F312" s="13" t="str">
        <f>IF(C312="","",IF(E312&lt;&gt;"",E312*PAINEL!$H$7,0))</f>
        <v/>
      </c>
      <c r="G312" s="13" t="str">
        <f>IF(C312="","",IF(PAINEL!$A$4=1,K311/(QTDEParc-C311),IF(AND(PAINEL!$A$4=2,C312&lt;=MomentoContemplação),ValorParcelamento/QTDEParc,K311/(QTDEParc-C311))))</f>
        <v/>
      </c>
      <c r="H312" s="13" t="str">
        <f t="shared" si="90"/>
        <v/>
      </c>
      <c r="I312" s="32" t="str">
        <f t="shared" si="91"/>
        <v/>
      </c>
      <c r="J312" s="14" t="str">
        <f>IF(C312="","",IF(C312=MomentoContemplação,PAINEL!$P$10,0))</f>
        <v/>
      </c>
      <c r="K312" s="14" t="str">
        <f t="shared" si="92"/>
        <v/>
      </c>
      <c r="M312" s="51" t="str">
        <f t="shared" si="93"/>
        <v/>
      </c>
      <c r="N312" s="27" t="str">
        <f t="shared" si="97"/>
        <v/>
      </c>
      <c r="O312" s="27" t="str">
        <f>IF(C312="","",(I312*(1+M312))*(QTDEParc-CÁLCULO!C312)+$F$5-SUM($F$6:F312)-J312)</f>
        <v/>
      </c>
      <c r="P312" s="7" t="str">
        <f t="shared" si="94"/>
        <v/>
      </c>
      <c r="R312" s="44" t="str">
        <f t="shared" si="95"/>
        <v/>
      </c>
      <c r="S312" s="97"/>
      <c r="T312" s="28" t="str">
        <f t="shared" si="96"/>
        <v/>
      </c>
      <c r="U312" s="28" t="str">
        <f t="shared" si="84"/>
        <v/>
      </c>
      <c r="V312" s="7" t="str">
        <f t="shared" si="98"/>
        <v/>
      </c>
      <c r="W312" s="93" t="str">
        <f t="shared" si="103"/>
        <v/>
      </c>
      <c r="X312" s="28" t="str">
        <f t="shared" si="99"/>
        <v/>
      </c>
      <c r="Y312" s="28" t="str">
        <f t="shared" si="85"/>
        <v/>
      </c>
      <c r="Z312" s="28" t="str">
        <f t="shared" si="86"/>
        <v/>
      </c>
      <c r="AA312" s="28" t="str">
        <f t="shared" si="87"/>
        <v/>
      </c>
      <c r="AB312" s="28" t="str">
        <f t="shared" si="88"/>
        <v/>
      </c>
      <c r="AC312" s="28" t="str">
        <f t="shared" si="100"/>
        <v/>
      </c>
      <c r="AD312" s="27"/>
      <c r="AO312" s="145" t="str">
        <f t="shared" si="101"/>
        <v/>
      </c>
      <c r="AP312" s="144" t="str">
        <f t="shared" si="102"/>
        <v/>
      </c>
    </row>
    <row r="313" spans="3:42" x14ac:dyDescent="0.25">
      <c r="C313" s="12" t="str">
        <f>IFERROR(IF(AvisoErro&lt;&gt;"","",IF(C312+1&gt;PAINEL!$H$8,"",C312+1)),"")</f>
        <v/>
      </c>
      <c r="E313" s="23" t="str">
        <f t="shared" si="89"/>
        <v/>
      </c>
      <c r="F313" s="13" t="str">
        <f>IF(C313="","",IF(E313&lt;&gt;"",E313*PAINEL!$H$7,0))</f>
        <v/>
      </c>
      <c r="G313" s="13" t="str">
        <f>IF(C313="","",IF(PAINEL!$A$4=1,K312/(QTDEParc-C312),IF(AND(PAINEL!$A$4=2,C313&lt;=MomentoContemplação),ValorParcelamento/QTDEParc,K312/(QTDEParc-C312))))</f>
        <v/>
      </c>
      <c r="H313" s="13" t="str">
        <f t="shared" si="90"/>
        <v/>
      </c>
      <c r="I313" s="32" t="str">
        <f t="shared" si="91"/>
        <v/>
      </c>
      <c r="J313" s="14" t="str">
        <f>IF(C313="","",IF(C313=MomentoContemplação,PAINEL!$P$10,0))</f>
        <v/>
      </c>
      <c r="K313" s="14" t="str">
        <f t="shared" si="92"/>
        <v/>
      </c>
      <c r="M313" s="51" t="str">
        <f t="shared" si="93"/>
        <v/>
      </c>
      <c r="N313" s="27" t="str">
        <f t="shared" si="97"/>
        <v/>
      </c>
      <c r="O313" s="27" t="str">
        <f>IF(C313="","",(I313*(1+M313))*(QTDEParc-CÁLCULO!C313)+$F$5-SUM($F$6:F313)-J313)</f>
        <v/>
      </c>
      <c r="P313" s="7" t="str">
        <f t="shared" si="94"/>
        <v/>
      </c>
      <c r="R313" s="44" t="str">
        <f t="shared" si="95"/>
        <v/>
      </c>
      <c r="S313" s="97"/>
      <c r="T313" s="28" t="str">
        <f t="shared" si="96"/>
        <v/>
      </c>
      <c r="U313" s="28" t="str">
        <f t="shared" si="84"/>
        <v/>
      </c>
      <c r="V313" s="7" t="str">
        <f t="shared" si="98"/>
        <v/>
      </c>
      <c r="W313" s="93" t="str">
        <f t="shared" si="103"/>
        <v/>
      </c>
      <c r="X313" s="28" t="str">
        <f t="shared" si="99"/>
        <v/>
      </c>
      <c r="Y313" s="28" t="str">
        <f t="shared" si="85"/>
        <v/>
      </c>
      <c r="Z313" s="28" t="str">
        <f t="shared" si="86"/>
        <v/>
      </c>
      <c r="AA313" s="28" t="str">
        <f t="shared" si="87"/>
        <v/>
      </c>
      <c r="AB313" s="28" t="str">
        <f t="shared" si="88"/>
        <v/>
      </c>
      <c r="AC313" s="28" t="str">
        <f t="shared" si="100"/>
        <v/>
      </c>
      <c r="AD313" s="27"/>
      <c r="AO313" s="145" t="str">
        <f t="shared" si="101"/>
        <v/>
      </c>
      <c r="AP313" s="144" t="str">
        <f t="shared" si="102"/>
        <v/>
      </c>
    </row>
    <row r="314" spans="3:42" x14ac:dyDescent="0.25">
      <c r="C314" s="12" t="str">
        <f>IFERROR(IF(AvisoErro&lt;&gt;"","",IF(C313+1&gt;PAINEL!$H$8,"",C313+1)),"")</f>
        <v/>
      </c>
      <c r="E314" s="23" t="str">
        <f t="shared" si="89"/>
        <v/>
      </c>
      <c r="F314" s="13" t="str">
        <f>IF(C314="","",IF(E314&lt;&gt;"",E314*PAINEL!$H$7,0))</f>
        <v/>
      </c>
      <c r="G314" s="13" t="str">
        <f>IF(C314="","",IF(PAINEL!$A$4=1,K313/(QTDEParc-C313),IF(AND(PAINEL!$A$4=2,C314&lt;=MomentoContemplação),ValorParcelamento/QTDEParc,K313/(QTDEParc-C313))))</f>
        <v/>
      </c>
      <c r="H314" s="13" t="str">
        <f t="shared" si="90"/>
        <v/>
      </c>
      <c r="I314" s="32" t="str">
        <f t="shared" si="91"/>
        <v/>
      </c>
      <c r="J314" s="14" t="str">
        <f>IF(C314="","",IF(C314=MomentoContemplação,PAINEL!$P$10,0))</f>
        <v/>
      </c>
      <c r="K314" s="14" t="str">
        <f t="shared" si="92"/>
        <v/>
      </c>
      <c r="M314" s="51" t="str">
        <f t="shared" si="93"/>
        <v/>
      </c>
      <c r="N314" s="27" t="str">
        <f t="shared" si="97"/>
        <v/>
      </c>
      <c r="O314" s="27" t="str">
        <f>IF(C314="","",(I314*(1+M314))*(QTDEParc-CÁLCULO!C314)+$F$5-SUM($F$6:F314)-J314)</f>
        <v/>
      </c>
      <c r="P314" s="7" t="str">
        <f t="shared" si="94"/>
        <v/>
      </c>
      <c r="R314" s="44" t="str">
        <f t="shared" si="95"/>
        <v/>
      </c>
      <c r="S314" s="97"/>
      <c r="T314" s="28" t="str">
        <f t="shared" si="96"/>
        <v/>
      </c>
      <c r="U314" s="28" t="str">
        <f t="shared" si="84"/>
        <v/>
      </c>
      <c r="V314" s="7" t="str">
        <f t="shared" si="98"/>
        <v/>
      </c>
      <c r="W314" s="93" t="str">
        <f t="shared" si="103"/>
        <v/>
      </c>
      <c r="X314" s="28" t="str">
        <f t="shared" si="99"/>
        <v/>
      </c>
      <c r="Y314" s="28" t="str">
        <f t="shared" si="85"/>
        <v/>
      </c>
      <c r="Z314" s="28" t="str">
        <f t="shared" si="86"/>
        <v/>
      </c>
      <c r="AA314" s="28" t="str">
        <f t="shared" si="87"/>
        <v/>
      </c>
      <c r="AB314" s="28" t="str">
        <f t="shared" si="88"/>
        <v/>
      </c>
      <c r="AC314" s="28" t="str">
        <f t="shared" si="100"/>
        <v/>
      </c>
      <c r="AD314" s="27"/>
      <c r="AO314" s="145" t="str">
        <f t="shared" si="101"/>
        <v/>
      </c>
      <c r="AP314" s="144" t="str">
        <f t="shared" si="102"/>
        <v/>
      </c>
    </row>
    <row r="315" spans="3:42" x14ac:dyDescent="0.25">
      <c r="C315" s="12" t="str">
        <f>IFERROR(IF(AvisoErro&lt;&gt;"","",IF(C314+1&gt;PAINEL!$H$8,"",C314+1)),"")</f>
        <v/>
      </c>
      <c r="E315" s="23" t="str">
        <f t="shared" si="89"/>
        <v/>
      </c>
      <c r="F315" s="13" t="str">
        <f>IF(C315="","",IF(E315&lt;&gt;"",E315*PAINEL!$H$7,0))</f>
        <v/>
      </c>
      <c r="G315" s="13" t="str">
        <f>IF(C315="","",IF(PAINEL!$A$4=1,K314/(QTDEParc-C314),IF(AND(PAINEL!$A$4=2,C315&lt;=MomentoContemplação),ValorParcelamento/QTDEParc,K314/(QTDEParc-C314))))</f>
        <v/>
      </c>
      <c r="H315" s="13" t="str">
        <f t="shared" si="90"/>
        <v/>
      </c>
      <c r="I315" s="32" t="str">
        <f t="shared" si="91"/>
        <v/>
      </c>
      <c r="J315" s="14" t="str">
        <f>IF(C315="","",IF(C315=MomentoContemplação,PAINEL!$P$10,0))</f>
        <v/>
      </c>
      <c r="K315" s="14" t="str">
        <f t="shared" si="92"/>
        <v/>
      </c>
      <c r="M315" s="51" t="str">
        <f t="shared" si="93"/>
        <v/>
      </c>
      <c r="N315" s="27" t="str">
        <f t="shared" si="97"/>
        <v/>
      </c>
      <c r="O315" s="27" t="str">
        <f>IF(C315="","",(I315*(1+M315))*(QTDEParc-CÁLCULO!C315)+$F$5-SUM($F$6:F315)-J315)</f>
        <v/>
      </c>
      <c r="P315" s="7" t="str">
        <f t="shared" si="94"/>
        <v/>
      </c>
      <c r="R315" s="44" t="str">
        <f t="shared" si="95"/>
        <v/>
      </c>
      <c r="S315" s="97"/>
      <c r="T315" s="28" t="str">
        <f t="shared" si="96"/>
        <v/>
      </c>
      <c r="U315" s="28" t="str">
        <f t="shared" si="84"/>
        <v/>
      </c>
      <c r="V315" s="7" t="str">
        <f t="shared" si="98"/>
        <v/>
      </c>
      <c r="W315" s="93" t="str">
        <f t="shared" si="103"/>
        <v/>
      </c>
      <c r="X315" s="28" t="str">
        <f t="shared" si="99"/>
        <v/>
      </c>
      <c r="Y315" s="28" t="str">
        <f t="shared" si="85"/>
        <v/>
      </c>
      <c r="Z315" s="28" t="str">
        <f t="shared" si="86"/>
        <v/>
      </c>
      <c r="AA315" s="28" t="str">
        <f t="shared" si="87"/>
        <v/>
      </c>
      <c r="AB315" s="28" t="str">
        <f t="shared" si="88"/>
        <v/>
      </c>
      <c r="AC315" s="28" t="str">
        <f t="shared" si="100"/>
        <v/>
      </c>
      <c r="AD315" s="27"/>
      <c r="AO315" s="145" t="str">
        <f t="shared" si="101"/>
        <v/>
      </c>
      <c r="AP315" s="144" t="str">
        <f t="shared" si="102"/>
        <v/>
      </c>
    </row>
    <row r="316" spans="3:42" x14ac:dyDescent="0.25">
      <c r="C316" s="12" t="str">
        <f>IFERROR(IF(AvisoErro&lt;&gt;"","",IF(C315+1&gt;PAINEL!$H$8,"",C315+1)),"")</f>
        <v/>
      </c>
      <c r="E316" s="23" t="str">
        <f t="shared" si="89"/>
        <v/>
      </c>
      <c r="F316" s="13" t="str">
        <f>IF(C316="","",IF(E316&lt;&gt;"",E316*PAINEL!$H$7,0))</f>
        <v/>
      </c>
      <c r="G316" s="13" t="str">
        <f>IF(C316="","",IF(PAINEL!$A$4=1,K315/(QTDEParc-C315),IF(AND(PAINEL!$A$4=2,C316&lt;=MomentoContemplação),ValorParcelamento/QTDEParc,K315/(QTDEParc-C315))))</f>
        <v/>
      </c>
      <c r="H316" s="13" t="str">
        <f t="shared" si="90"/>
        <v/>
      </c>
      <c r="I316" s="32" t="str">
        <f t="shared" si="91"/>
        <v/>
      </c>
      <c r="J316" s="14" t="str">
        <f>IF(C316="","",IF(C316=MomentoContemplação,PAINEL!$P$10,0))</f>
        <v/>
      </c>
      <c r="K316" s="14" t="str">
        <f t="shared" si="92"/>
        <v/>
      </c>
      <c r="M316" s="51" t="str">
        <f t="shared" si="93"/>
        <v/>
      </c>
      <c r="N316" s="27" t="str">
        <f t="shared" si="97"/>
        <v/>
      </c>
      <c r="O316" s="27" t="str">
        <f>IF(C316="","",(I316*(1+M316))*(QTDEParc-CÁLCULO!C316)+$F$5-SUM($F$6:F316)-J316)</f>
        <v/>
      </c>
      <c r="P316" s="7" t="str">
        <f t="shared" si="94"/>
        <v/>
      </c>
      <c r="R316" s="44" t="str">
        <f t="shared" si="95"/>
        <v/>
      </c>
      <c r="S316" s="97"/>
      <c r="T316" s="28" t="str">
        <f t="shared" si="96"/>
        <v/>
      </c>
      <c r="U316" s="28" t="str">
        <f t="shared" si="84"/>
        <v/>
      </c>
      <c r="V316" s="7" t="str">
        <f t="shared" si="98"/>
        <v/>
      </c>
      <c r="W316" s="93" t="str">
        <f t="shared" si="103"/>
        <v/>
      </c>
      <c r="X316" s="28" t="str">
        <f t="shared" si="99"/>
        <v/>
      </c>
      <c r="Y316" s="28" t="str">
        <f t="shared" si="85"/>
        <v/>
      </c>
      <c r="Z316" s="28" t="str">
        <f t="shared" si="86"/>
        <v/>
      </c>
      <c r="AA316" s="28" t="str">
        <f t="shared" si="87"/>
        <v/>
      </c>
      <c r="AB316" s="28" t="str">
        <f t="shared" si="88"/>
        <v/>
      </c>
      <c r="AC316" s="28" t="str">
        <f t="shared" si="100"/>
        <v/>
      </c>
      <c r="AD316" s="27"/>
      <c r="AO316" s="145" t="str">
        <f t="shared" si="101"/>
        <v/>
      </c>
      <c r="AP316" s="144" t="str">
        <f t="shared" si="102"/>
        <v/>
      </c>
    </row>
    <row r="317" spans="3:42" x14ac:dyDescent="0.25">
      <c r="C317" s="12" t="str">
        <f>IFERROR(IF(AvisoErro&lt;&gt;"","",IF(C316+1&gt;PAINEL!$H$8,"",C316+1)),"")</f>
        <v/>
      </c>
      <c r="E317" s="23" t="str">
        <f t="shared" si="89"/>
        <v/>
      </c>
      <c r="F317" s="13" t="str">
        <f>IF(C317="","",IF(E317&lt;&gt;"",E317*PAINEL!$H$7,0))</f>
        <v/>
      </c>
      <c r="G317" s="13" t="str">
        <f>IF(C317="","",IF(PAINEL!$A$4=1,K316/(QTDEParc-C316),IF(AND(PAINEL!$A$4=2,C317&lt;=MomentoContemplação),ValorParcelamento/QTDEParc,K316/(QTDEParc-C316))))</f>
        <v/>
      </c>
      <c r="H317" s="13" t="str">
        <f t="shared" si="90"/>
        <v/>
      </c>
      <c r="I317" s="32" t="str">
        <f t="shared" si="91"/>
        <v/>
      </c>
      <c r="J317" s="14" t="str">
        <f>IF(C317="","",IF(C317=MomentoContemplação,PAINEL!$P$10,0))</f>
        <v/>
      </c>
      <c r="K317" s="14" t="str">
        <f t="shared" si="92"/>
        <v/>
      </c>
      <c r="M317" s="51" t="str">
        <f t="shared" si="93"/>
        <v/>
      </c>
      <c r="N317" s="27" t="str">
        <f t="shared" si="97"/>
        <v/>
      </c>
      <c r="O317" s="27" t="str">
        <f>IF(C317="","",(I317*(1+M317))*(QTDEParc-CÁLCULO!C317)+$F$5-SUM($F$6:F317)-J317)</f>
        <v/>
      </c>
      <c r="P317" s="7" t="str">
        <f t="shared" si="94"/>
        <v/>
      </c>
      <c r="R317" s="44" t="str">
        <f t="shared" si="95"/>
        <v/>
      </c>
      <c r="S317" s="97"/>
      <c r="T317" s="28" t="str">
        <f t="shared" si="96"/>
        <v/>
      </c>
      <c r="U317" s="28" t="str">
        <f t="shared" si="84"/>
        <v/>
      </c>
      <c r="V317" s="7" t="str">
        <f t="shared" si="98"/>
        <v/>
      </c>
      <c r="W317" s="93" t="str">
        <f t="shared" si="103"/>
        <v/>
      </c>
      <c r="X317" s="28" t="str">
        <f t="shared" si="99"/>
        <v/>
      </c>
      <c r="Y317" s="28" t="str">
        <f t="shared" si="85"/>
        <v/>
      </c>
      <c r="Z317" s="28" t="str">
        <f t="shared" si="86"/>
        <v/>
      </c>
      <c r="AA317" s="28" t="str">
        <f t="shared" si="87"/>
        <v/>
      </c>
      <c r="AB317" s="28" t="str">
        <f t="shared" si="88"/>
        <v/>
      </c>
      <c r="AC317" s="28" t="str">
        <f t="shared" si="100"/>
        <v/>
      </c>
      <c r="AD317" s="27"/>
      <c r="AO317" s="145" t="str">
        <f t="shared" si="101"/>
        <v/>
      </c>
      <c r="AP317" s="144" t="str">
        <f t="shared" si="102"/>
        <v/>
      </c>
    </row>
    <row r="318" spans="3:42" x14ac:dyDescent="0.25">
      <c r="C318" s="12" t="str">
        <f>IFERROR(IF(AvisoErro&lt;&gt;"","",IF(C317+1&gt;PAINEL!$H$8,"",C317+1)),"")</f>
        <v/>
      </c>
      <c r="E318" s="23" t="str">
        <f t="shared" si="89"/>
        <v/>
      </c>
      <c r="F318" s="13" t="str">
        <f>IF(C318="","",IF(E318&lt;&gt;"",E318*PAINEL!$H$7,0))</f>
        <v/>
      </c>
      <c r="G318" s="13" t="str">
        <f>IF(C318="","",IF(PAINEL!$A$4=1,K317/(QTDEParc-C317),IF(AND(PAINEL!$A$4=2,C318&lt;=MomentoContemplação),ValorParcelamento/QTDEParc,K317/(QTDEParc-C317))))</f>
        <v/>
      </c>
      <c r="H318" s="13" t="str">
        <f t="shared" si="90"/>
        <v/>
      </c>
      <c r="I318" s="32" t="str">
        <f t="shared" si="91"/>
        <v/>
      </c>
      <c r="J318" s="14" t="str">
        <f>IF(C318="","",IF(C318=MomentoContemplação,PAINEL!$P$10,0))</f>
        <v/>
      </c>
      <c r="K318" s="14" t="str">
        <f t="shared" si="92"/>
        <v/>
      </c>
      <c r="M318" s="51" t="str">
        <f t="shared" si="93"/>
        <v/>
      </c>
      <c r="N318" s="27" t="str">
        <f t="shared" si="97"/>
        <v/>
      </c>
      <c r="O318" s="27" t="str">
        <f>IF(C318="","",(I318*(1+M318))*(QTDEParc-CÁLCULO!C318)+$F$5-SUM($F$6:F318)-J318)</f>
        <v/>
      </c>
      <c r="P318" s="7" t="str">
        <f t="shared" si="94"/>
        <v/>
      </c>
      <c r="R318" s="44" t="str">
        <f t="shared" si="95"/>
        <v/>
      </c>
      <c r="S318" s="97"/>
      <c r="T318" s="28" t="str">
        <f t="shared" si="96"/>
        <v/>
      </c>
      <c r="U318" s="28" t="str">
        <f t="shared" si="84"/>
        <v/>
      </c>
      <c r="V318" s="7" t="str">
        <f t="shared" si="98"/>
        <v/>
      </c>
      <c r="W318" s="93" t="str">
        <f t="shared" si="103"/>
        <v/>
      </c>
      <c r="X318" s="28" t="str">
        <f t="shared" si="99"/>
        <v/>
      </c>
      <c r="Y318" s="28" t="str">
        <f t="shared" si="85"/>
        <v/>
      </c>
      <c r="Z318" s="28" t="str">
        <f t="shared" si="86"/>
        <v/>
      </c>
      <c r="AA318" s="28" t="str">
        <f t="shared" si="87"/>
        <v/>
      </c>
      <c r="AB318" s="28" t="str">
        <f t="shared" si="88"/>
        <v/>
      </c>
      <c r="AC318" s="28" t="str">
        <f t="shared" si="100"/>
        <v/>
      </c>
      <c r="AD318" s="27"/>
      <c r="AO318" s="145" t="str">
        <f t="shared" si="101"/>
        <v/>
      </c>
      <c r="AP318" s="144" t="str">
        <f t="shared" si="102"/>
        <v/>
      </c>
    </row>
    <row r="319" spans="3:42" x14ac:dyDescent="0.25">
      <c r="C319" s="12" t="str">
        <f>IFERROR(IF(AvisoErro&lt;&gt;"","",IF(C318+1&gt;PAINEL!$H$8,"",C318+1)),"")</f>
        <v/>
      </c>
      <c r="E319" s="23" t="str">
        <f t="shared" si="89"/>
        <v/>
      </c>
      <c r="F319" s="13" t="str">
        <f>IF(C319="","",IF(E319&lt;&gt;"",E319*PAINEL!$H$7,0))</f>
        <v/>
      </c>
      <c r="G319" s="13" t="str">
        <f>IF(C319="","",IF(PAINEL!$A$4=1,K318/(QTDEParc-C318),IF(AND(PAINEL!$A$4=2,C319&lt;=MomentoContemplação),ValorParcelamento/QTDEParc,K318/(QTDEParc-C318))))</f>
        <v/>
      </c>
      <c r="H319" s="13" t="str">
        <f t="shared" si="90"/>
        <v/>
      </c>
      <c r="I319" s="32" t="str">
        <f t="shared" si="91"/>
        <v/>
      </c>
      <c r="J319" s="14" t="str">
        <f>IF(C319="","",IF(C319=MomentoContemplação,PAINEL!$P$10,0))</f>
        <v/>
      </c>
      <c r="K319" s="14" t="str">
        <f t="shared" si="92"/>
        <v/>
      </c>
      <c r="M319" s="51" t="str">
        <f t="shared" si="93"/>
        <v/>
      </c>
      <c r="N319" s="27" t="str">
        <f t="shared" si="97"/>
        <v/>
      </c>
      <c r="O319" s="27" t="str">
        <f>IF(C319="","",(I319*(1+M319))*(QTDEParc-CÁLCULO!C319)+$F$5-SUM($F$6:F319)-J319)</f>
        <v/>
      </c>
      <c r="P319" s="7" t="str">
        <f t="shared" si="94"/>
        <v/>
      </c>
      <c r="R319" s="44" t="str">
        <f t="shared" si="95"/>
        <v/>
      </c>
      <c r="S319" s="97"/>
      <c r="T319" s="28" t="str">
        <f t="shared" si="96"/>
        <v/>
      </c>
      <c r="U319" s="28" t="str">
        <f t="shared" si="84"/>
        <v/>
      </c>
      <c r="V319" s="7" t="str">
        <f t="shared" si="98"/>
        <v/>
      </c>
      <c r="W319" s="93" t="str">
        <f t="shared" si="103"/>
        <v/>
      </c>
      <c r="X319" s="28" t="str">
        <f t="shared" si="99"/>
        <v/>
      </c>
      <c r="Y319" s="28" t="str">
        <f t="shared" si="85"/>
        <v/>
      </c>
      <c r="Z319" s="28" t="str">
        <f t="shared" si="86"/>
        <v/>
      </c>
      <c r="AA319" s="28" t="str">
        <f t="shared" si="87"/>
        <v/>
      </c>
      <c r="AB319" s="28" t="str">
        <f t="shared" si="88"/>
        <v/>
      </c>
      <c r="AC319" s="28" t="str">
        <f t="shared" si="100"/>
        <v/>
      </c>
      <c r="AD319" s="27"/>
      <c r="AO319" s="145" t="str">
        <f t="shared" si="101"/>
        <v/>
      </c>
      <c r="AP319" s="144" t="str">
        <f t="shared" si="102"/>
        <v/>
      </c>
    </row>
    <row r="320" spans="3:42" x14ac:dyDescent="0.25">
      <c r="C320" s="12" t="str">
        <f>IFERROR(IF(AvisoErro&lt;&gt;"","",IF(C319+1&gt;PAINEL!$H$8,"",C319+1)),"")</f>
        <v/>
      </c>
      <c r="E320" s="23" t="str">
        <f t="shared" si="89"/>
        <v/>
      </c>
      <c r="F320" s="13" t="str">
        <f>IF(C320="","",IF(E320&lt;&gt;"",E320*PAINEL!$H$7,0))</f>
        <v/>
      </c>
      <c r="G320" s="13" t="str">
        <f>IF(C320="","",IF(PAINEL!$A$4=1,K319/(QTDEParc-C319),IF(AND(PAINEL!$A$4=2,C320&lt;=MomentoContemplação),ValorParcelamento/QTDEParc,K319/(QTDEParc-C319))))</f>
        <v/>
      </c>
      <c r="H320" s="13" t="str">
        <f t="shared" si="90"/>
        <v/>
      </c>
      <c r="I320" s="32" t="str">
        <f t="shared" si="91"/>
        <v/>
      </c>
      <c r="J320" s="14" t="str">
        <f>IF(C320="","",IF(C320=MomentoContemplação,PAINEL!$P$10,0))</f>
        <v/>
      </c>
      <c r="K320" s="14" t="str">
        <f t="shared" si="92"/>
        <v/>
      </c>
      <c r="M320" s="51" t="str">
        <f t="shared" si="93"/>
        <v/>
      </c>
      <c r="N320" s="27" t="str">
        <f t="shared" si="97"/>
        <v/>
      </c>
      <c r="O320" s="27" t="str">
        <f>IF(C320="","",(I320*(1+M320))*(QTDEParc-CÁLCULO!C320)+$F$5-SUM($F$6:F320)-J320)</f>
        <v/>
      </c>
      <c r="P320" s="7" t="str">
        <f t="shared" si="94"/>
        <v/>
      </c>
      <c r="R320" s="44" t="str">
        <f t="shared" si="95"/>
        <v/>
      </c>
      <c r="S320" s="97"/>
      <c r="T320" s="28" t="str">
        <f t="shared" si="96"/>
        <v/>
      </c>
      <c r="U320" s="28" t="str">
        <f t="shared" si="84"/>
        <v/>
      </c>
      <c r="V320" s="7" t="str">
        <f t="shared" si="98"/>
        <v/>
      </c>
      <c r="W320" s="93" t="str">
        <f t="shared" si="103"/>
        <v/>
      </c>
      <c r="X320" s="28" t="str">
        <f t="shared" si="99"/>
        <v/>
      </c>
      <c r="Y320" s="28" t="str">
        <f t="shared" si="85"/>
        <v/>
      </c>
      <c r="Z320" s="28" t="str">
        <f t="shared" si="86"/>
        <v/>
      </c>
      <c r="AA320" s="28" t="str">
        <f t="shared" si="87"/>
        <v/>
      </c>
      <c r="AB320" s="28" t="str">
        <f t="shared" si="88"/>
        <v/>
      </c>
      <c r="AC320" s="28" t="str">
        <f t="shared" si="100"/>
        <v/>
      </c>
      <c r="AD320" s="27"/>
      <c r="AO320" s="145" t="str">
        <f t="shared" si="101"/>
        <v/>
      </c>
      <c r="AP320" s="144" t="str">
        <f t="shared" si="102"/>
        <v/>
      </c>
    </row>
    <row r="321" spans="3:42" x14ac:dyDescent="0.25">
      <c r="C321" s="12" t="str">
        <f>IFERROR(IF(AvisoErro&lt;&gt;"","",IF(C320+1&gt;PAINEL!$H$8,"",C320+1)),"")</f>
        <v/>
      </c>
      <c r="E321" s="23" t="str">
        <f t="shared" si="89"/>
        <v/>
      </c>
      <c r="F321" s="13" t="str">
        <f>IF(C321="","",IF(E321&lt;&gt;"",E321*PAINEL!$H$7,0))</f>
        <v/>
      </c>
      <c r="G321" s="13" t="str">
        <f>IF(C321="","",IF(PAINEL!$A$4=1,K320/(QTDEParc-C320),IF(AND(PAINEL!$A$4=2,C321&lt;=MomentoContemplação),ValorParcelamento/QTDEParc,K320/(QTDEParc-C320))))</f>
        <v/>
      </c>
      <c r="H321" s="13" t="str">
        <f t="shared" si="90"/>
        <v/>
      </c>
      <c r="I321" s="32" t="str">
        <f t="shared" si="91"/>
        <v/>
      </c>
      <c r="J321" s="14" t="str">
        <f>IF(C321="","",IF(C321=MomentoContemplação,PAINEL!$P$10,0))</f>
        <v/>
      </c>
      <c r="K321" s="14" t="str">
        <f t="shared" si="92"/>
        <v/>
      </c>
      <c r="M321" s="51" t="str">
        <f t="shared" si="93"/>
        <v/>
      </c>
      <c r="N321" s="27" t="str">
        <f t="shared" si="97"/>
        <v/>
      </c>
      <c r="O321" s="27" t="str">
        <f>IF(C321="","",(I321*(1+M321))*(QTDEParc-CÁLCULO!C321)+$F$5-SUM($F$6:F321)-J321)</f>
        <v/>
      </c>
      <c r="P321" s="7" t="str">
        <f t="shared" si="94"/>
        <v/>
      </c>
      <c r="R321" s="44" t="str">
        <f t="shared" si="95"/>
        <v/>
      </c>
      <c r="S321" s="97"/>
      <c r="T321" s="28" t="str">
        <f t="shared" si="96"/>
        <v/>
      </c>
      <c r="U321" s="28" t="str">
        <f t="shared" si="84"/>
        <v/>
      </c>
      <c r="V321" s="7" t="str">
        <f t="shared" si="98"/>
        <v/>
      </c>
      <c r="W321" s="93" t="str">
        <f t="shared" si="103"/>
        <v/>
      </c>
      <c r="X321" s="28" t="str">
        <f t="shared" si="99"/>
        <v/>
      </c>
      <c r="Y321" s="28" t="str">
        <f t="shared" si="85"/>
        <v/>
      </c>
      <c r="Z321" s="28" t="str">
        <f t="shared" si="86"/>
        <v/>
      </c>
      <c r="AA321" s="28" t="str">
        <f t="shared" si="87"/>
        <v/>
      </c>
      <c r="AB321" s="28" t="str">
        <f t="shared" si="88"/>
        <v/>
      </c>
      <c r="AC321" s="28" t="str">
        <f t="shared" si="100"/>
        <v/>
      </c>
      <c r="AD321" s="27"/>
      <c r="AO321" s="145" t="str">
        <f t="shared" si="101"/>
        <v/>
      </c>
      <c r="AP321" s="144" t="str">
        <f t="shared" si="102"/>
        <v/>
      </c>
    </row>
    <row r="322" spans="3:42" x14ac:dyDescent="0.25">
      <c r="C322" s="12" t="str">
        <f>IFERROR(IF(AvisoErro&lt;&gt;"","",IF(C321+1&gt;PAINEL!$H$8,"",C321+1)),"")</f>
        <v/>
      </c>
      <c r="E322" s="23" t="str">
        <f t="shared" si="89"/>
        <v/>
      </c>
      <c r="F322" s="13" t="str">
        <f>IF(C322="","",IF(E322&lt;&gt;"",E322*PAINEL!$H$7,0))</f>
        <v/>
      </c>
      <c r="G322" s="13" t="str">
        <f>IF(C322="","",IF(PAINEL!$A$4=1,K321/(QTDEParc-C321),IF(AND(PAINEL!$A$4=2,C322&lt;=MomentoContemplação),ValorParcelamento/QTDEParc,K321/(QTDEParc-C321))))</f>
        <v/>
      </c>
      <c r="H322" s="13" t="str">
        <f t="shared" si="90"/>
        <v/>
      </c>
      <c r="I322" s="32" t="str">
        <f t="shared" si="91"/>
        <v/>
      </c>
      <c r="J322" s="14" t="str">
        <f>IF(C322="","",IF(C322=MomentoContemplação,PAINEL!$P$10,0))</f>
        <v/>
      </c>
      <c r="K322" s="14" t="str">
        <f t="shared" si="92"/>
        <v/>
      </c>
      <c r="M322" s="51" t="str">
        <f t="shared" si="93"/>
        <v/>
      </c>
      <c r="N322" s="27" t="str">
        <f t="shared" si="97"/>
        <v/>
      </c>
      <c r="O322" s="27" t="str">
        <f>IF(C322="","",(I322*(1+M322))*(QTDEParc-CÁLCULO!C322)+$F$5-SUM($F$6:F322)-J322)</f>
        <v/>
      </c>
      <c r="P322" s="7" t="str">
        <f t="shared" si="94"/>
        <v/>
      </c>
      <c r="R322" s="44" t="str">
        <f t="shared" si="95"/>
        <v/>
      </c>
      <c r="S322" s="97"/>
      <c r="T322" s="28" t="str">
        <f t="shared" si="96"/>
        <v/>
      </c>
      <c r="U322" s="28" t="str">
        <f t="shared" si="84"/>
        <v/>
      </c>
      <c r="V322" s="7" t="str">
        <f t="shared" si="98"/>
        <v/>
      </c>
      <c r="W322" s="93" t="str">
        <f t="shared" si="103"/>
        <v/>
      </c>
      <c r="X322" s="28" t="str">
        <f t="shared" si="99"/>
        <v/>
      </c>
      <c r="Y322" s="28" t="str">
        <f t="shared" si="85"/>
        <v/>
      </c>
      <c r="Z322" s="28" t="str">
        <f t="shared" si="86"/>
        <v/>
      </c>
      <c r="AA322" s="28" t="str">
        <f t="shared" si="87"/>
        <v/>
      </c>
      <c r="AB322" s="28" t="str">
        <f t="shared" si="88"/>
        <v/>
      </c>
      <c r="AC322" s="28" t="str">
        <f t="shared" si="100"/>
        <v/>
      </c>
      <c r="AD322" s="27"/>
      <c r="AO322" s="145" t="str">
        <f t="shared" si="101"/>
        <v/>
      </c>
      <c r="AP322" s="144" t="str">
        <f t="shared" si="102"/>
        <v/>
      </c>
    </row>
    <row r="323" spans="3:42" x14ac:dyDescent="0.25">
      <c r="C323" s="12" t="str">
        <f>IFERROR(IF(AvisoErro&lt;&gt;"","",IF(C322+1&gt;PAINEL!$H$8,"",C322+1)),"")</f>
        <v/>
      </c>
      <c r="E323" s="23" t="str">
        <f t="shared" si="89"/>
        <v/>
      </c>
      <c r="F323" s="13" t="str">
        <f>IF(C323="","",IF(E323&lt;&gt;"",E323*PAINEL!$H$7,0))</f>
        <v/>
      </c>
      <c r="G323" s="13" t="str">
        <f>IF(C323="","",IF(PAINEL!$A$4=1,K322/(QTDEParc-C322),IF(AND(PAINEL!$A$4=2,C323&lt;=MomentoContemplação),ValorParcelamento/QTDEParc,K322/(QTDEParc-C322))))</f>
        <v/>
      </c>
      <c r="H323" s="13" t="str">
        <f t="shared" si="90"/>
        <v/>
      </c>
      <c r="I323" s="32" t="str">
        <f t="shared" si="91"/>
        <v/>
      </c>
      <c r="J323" s="14" t="str">
        <f>IF(C323="","",IF(C323=MomentoContemplação,PAINEL!$P$10,0))</f>
        <v/>
      </c>
      <c r="K323" s="14" t="str">
        <f t="shared" si="92"/>
        <v/>
      </c>
      <c r="M323" s="51" t="str">
        <f t="shared" si="93"/>
        <v/>
      </c>
      <c r="N323" s="27" t="str">
        <f t="shared" si="97"/>
        <v/>
      </c>
      <c r="O323" s="27" t="str">
        <f>IF(C323="","",(I323*(1+M323))*(QTDEParc-CÁLCULO!C323)+$F$5-SUM($F$6:F323)-J323)</f>
        <v/>
      </c>
      <c r="P323" s="7" t="str">
        <f t="shared" si="94"/>
        <v/>
      </c>
      <c r="R323" s="44" t="str">
        <f t="shared" si="95"/>
        <v/>
      </c>
      <c r="S323" s="97"/>
      <c r="T323" s="28" t="str">
        <f t="shared" si="96"/>
        <v/>
      </c>
      <c r="U323" s="28" t="str">
        <f t="shared" si="84"/>
        <v/>
      </c>
      <c r="V323" s="7" t="str">
        <f t="shared" si="98"/>
        <v/>
      </c>
      <c r="W323" s="93" t="str">
        <f t="shared" si="103"/>
        <v/>
      </c>
      <c r="X323" s="28" t="str">
        <f t="shared" si="99"/>
        <v/>
      </c>
      <c r="Y323" s="28" t="str">
        <f t="shared" si="85"/>
        <v/>
      </c>
      <c r="Z323" s="28" t="str">
        <f t="shared" si="86"/>
        <v/>
      </c>
      <c r="AA323" s="28" t="str">
        <f t="shared" si="87"/>
        <v/>
      </c>
      <c r="AB323" s="28" t="str">
        <f t="shared" si="88"/>
        <v/>
      </c>
      <c r="AC323" s="28" t="str">
        <f t="shared" si="100"/>
        <v/>
      </c>
      <c r="AD323" s="27"/>
      <c r="AO323" s="145" t="str">
        <f t="shared" si="101"/>
        <v/>
      </c>
      <c r="AP323" s="144" t="str">
        <f t="shared" si="102"/>
        <v/>
      </c>
    </row>
    <row r="324" spans="3:42" x14ac:dyDescent="0.25">
      <c r="C324" s="12" t="str">
        <f>IFERROR(IF(AvisoErro&lt;&gt;"","",IF(C323+1&gt;PAINEL!$H$8,"",C323+1)),"")</f>
        <v/>
      </c>
      <c r="E324" s="23" t="str">
        <f t="shared" si="89"/>
        <v/>
      </c>
      <c r="F324" s="13" t="str">
        <f>IF(C324="","",IF(E324&lt;&gt;"",E324*PAINEL!$H$7,0))</f>
        <v/>
      </c>
      <c r="G324" s="13" t="str">
        <f>IF(C324="","",IF(PAINEL!$A$4=1,K323/(QTDEParc-C323),IF(AND(PAINEL!$A$4=2,C324&lt;=MomentoContemplação),ValorParcelamento/QTDEParc,K323/(QTDEParc-C323))))</f>
        <v/>
      </c>
      <c r="H324" s="13" t="str">
        <f t="shared" si="90"/>
        <v/>
      </c>
      <c r="I324" s="32" t="str">
        <f t="shared" si="91"/>
        <v/>
      </c>
      <c r="J324" s="14" t="str">
        <f>IF(C324="","",IF(C324=MomentoContemplação,PAINEL!$P$10,0))</f>
        <v/>
      </c>
      <c r="K324" s="14" t="str">
        <f t="shared" si="92"/>
        <v/>
      </c>
      <c r="M324" s="51" t="str">
        <f t="shared" si="93"/>
        <v/>
      </c>
      <c r="N324" s="27" t="str">
        <f t="shared" si="97"/>
        <v/>
      </c>
      <c r="O324" s="27" t="str">
        <f>IF(C324="","",(I324*(1+M324))*(QTDEParc-CÁLCULO!C324)+$F$5-SUM($F$6:F324)-J324)</f>
        <v/>
      </c>
      <c r="P324" s="7" t="str">
        <f t="shared" si="94"/>
        <v/>
      </c>
      <c r="R324" s="44" t="str">
        <f t="shared" si="95"/>
        <v/>
      </c>
      <c r="S324" s="97"/>
      <c r="T324" s="28" t="str">
        <f t="shared" si="96"/>
        <v/>
      </c>
      <c r="U324" s="28" t="str">
        <f t="shared" si="84"/>
        <v/>
      </c>
      <c r="V324" s="7" t="str">
        <f t="shared" si="98"/>
        <v/>
      </c>
      <c r="W324" s="93" t="str">
        <f t="shared" si="103"/>
        <v/>
      </c>
      <c r="X324" s="28" t="str">
        <f t="shared" si="99"/>
        <v/>
      </c>
      <c r="Y324" s="28" t="str">
        <f t="shared" si="85"/>
        <v/>
      </c>
      <c r="Z324" s="28" t="str">
        <f t="shared" si="86"/>
        <v/>
      </c>
      <c r="AA324" s="28" t="str">
        <f t="shared" si="87"/>
        <v/>
      </c>
      <c r="AB324" s="28" t="str">
        <f t="shared" si="88"/>
        <v/>
      </c>
      <c r="AC324" s="28" t="str">
        <f t="shared" si="100"/>
        <v/>
      </c>
      <c r="AD324" s="27"/>
      <c r="AO324" s="145" t="str">
        <f t="shared" si="101"/>
        <v/>
      </c>
      <c r="AP324" s="144" t="str">
        <f t="shared" si="102"/>
        <v/>
      </c>
    </row>
    <row r="325" spans="3:42" x14ac:dyDescent="0.25">
      <c r="C325" s="12" t="str">
        <f>IFERROR(IF(AvisoErro&lt;&gt;"","",IF(C324+1&gt;PAINEL!$H$8,"",C324+1)),"")</f>
        <v/>
      </c>
      <c r="E325" s="23" t="str">
        <f t="shared" si="89"/>
        <v/>
      </c>
      <c r="F325" s="13" t="str">
        <f>IF(C325="","",IF(E325&lt;&gt;"",E325*PAINEL!$H$7,0))</f>
        <v/>
      </c>
      <c r="G325" s="13" t="str">
        <f>IF(C325="","",IF(PAINEL!$A$4=1,K324/(QTDEParc-C324),IF(AND(PAINEL!$A$4=2,C325&lt;=MomentoContemplação),ValorParcelamento/QTDEParc,K324/(QTDEParc-C324))))</f>
        <v/>
      </c>
      <c r="H325" s="13" t="str">
        <f t="shared" si="90"/>
        <v/>
      </c>
      <c r="I325" s="32" t="str">
        <f t="shared" si="91"/>
        <v/>
      </c>
      <c r="J325" s="14" t="str">
        <f>IF(C325="","",IF(C325=MomentoContemplação,PAINEL!$P$10,0))</f>
        <v/>
      </c>
      <c r="K325" s="14" t="str">
        <f t="shared" si="92"/>
        <v/>
      </c>
      <c r="M325" s="51" t="str">
        <f t="shared" si="93"/>
        <v/>
      </c>
      <c r="N325" s="27" t="str">
        <f t="shared" si="97"/>
        <v/>
      </c>
      <c r="O325" s="27" t="str">
        <f>IF(C325="","",(I325*(1+M325))*(QTDEParc-CÁLCULO!C325)+$F$5-SUM($F$6:F325)-J325)</f>
        <v/>
      </c>
      <c r="P325" s="7" t="str">
        <f t="shared" si="94"/>
        <v/>
      </c>
      <c r="R325" s="44" t="str">
        <f t="shared" si="95"/>
        <v/>
      </c>
      <c r="S325" s="97"/>
      <c r="T325" s="28" t="str">
        <f t="shared" si="96"/>
        <v/>
      </c>
      <c r="U325" s="28" t="str">
        <f t="shared" si="84"/>
        <v/>
      </c>
      <c r="V325" s="7" t="str">
        <f t="shared" si="98"/>
        <v/>
      </c>
      <c r="W325" s="93" t="str">
        <f t="shared" si="103"/>
        <v/>
      </c>
      <c r="X325" s="28" t="str">
        <f t="shared" si="99"/>
        <v/>
      </c>
      <c r="Y325" s="28" t="str">
        <f t="shared" si="85"/>
        <v/>
      </c>
      <c r="Z325" s="28" t="str">
        <f t="shared" si="86"/>
        <v/>
      </c>
      <c r="AA325" s="28" t="str">
        <f t="shared" si="87"/>
        <v/>
      </c>
      <c r="AB325" s="28" t="str">
        <f t="shared" si="88"/>
        <v/>
      </c>
      <c r="AC325" s="28" t="str">
        <f t="shared" si="100"/>
        <v/>
      </c>
      <c r="AD325" s="27"/>
      <c r="AO325" s="145" t="str">
        <f t="shared" si="101"/>
        <v/>
      </c>
      <c r="AP325" s="144" t="str">
        <f t="shared" si="102"/>
        <v/>
      </c>
    </row>
    <row r="326" spans="3:42" x14ac:dyDescent="0.25">
      <c r="C326" s="12" t="str">
        <f>IFERROR(IF(AvisoErro&lt;&gt;"","",IF(C325+1&gt;PAINEL!$H$8,"",C325+1)),"")</f>
        <v/>
      </c>
      <c r="E326" s="23" t="str">
        <f t="shared" si="89"/>
        <v/>
      </c>
      <c r="F326" s="13" t="str">
        <f>IF(C326="","",IF(E326&lt;&gt;"",E326*PAINEL!$H$7,0))</f>
        <v/>
      </c>
      <c r="G326" s="13" t="str">
        <f>IF(C326="","",IF(PAINEL!$A$4=1,K325/(QTDEParc-C325),IF(AND(PAINEL!$A$4=2,C326&lt;=MomentoContemplação),ValorParcelamento/QTDEParc,K325/(QTDEParc-C325))))</f>
        <v/>
      </c>
      <c r="H326" s="13" t="str">
        <f t="shared" si="90"/>
        <v/>
      </c>
      <c r="I326" s="32" t="str">
        <f t="shared" si="91"/>
        <v/>
      </c>
      <c r="J326" s="14" t="str">
        <f>IF(C326="","",IF(C326=MomentoContemplação,PAINEL!$P$10,0))</f>
        <v/>
      </c>
      <c r="K326" s="14" t="str">
        <f t="shared" si="92"/>
        <v/>
      </c>
      <c r="M326" s="51" t="str">
        <f t="shared" si="93"/>
        <v/>
      </c>
      <c r="N326" s="27" t="str">
        <f t="shared" si="97"/>
        <v/>
      </c>
      <c r="O326" s="27" t="str">
        <f>IF(C326="","",(I326*(1+M326))*(QTDEParc-CÁLCULO!C326)+$F$5-SUM($F$6:F326)-J326)</f>
        <v/>
      </c>
      <c r="P326" s="7" t="str">
        <f t="shared" si="94"/>
        <v/>
      </c>
      <c r="R326" s="44" t="str">
        <f t="shared" si="95"/>
        <v/>
      </c>
      <c r="S326" s="97"/>
      <c r="T326" s="28" t="str">
        <f t="shared" si="96"/>
        <v/>
      </c>
      <c r="U326" s="28" t="str">
        <f t="shared" ref="U326:U332" si="104">IF(C326="","",(PercTxFRes*N326/(100%+PercTxAdm+PercTxFRes)))</f>
        <v/>
      </c>
      <c r="V326" s="7" t="str">
        <f t="shared" si="98"/>
        <v/>
      </c>
      <c r="W326" s="93" t="str">
        <f t="shared" si="103"/>
        <v/>
      </c>
      <c r="X326" s="28" t="str">
        <f t="shared" si="99"/>
        <v/>
      </c>
      <c r="Y326" s="28" t="str">
        <f t="shared" ref="Y326:Y332" si="105">IF($C326="","",PV(TMAFinal,$C326,,-T326))</f>
        <v/>
      </c>
      <c r="Z326" s="28" t="str">
        <f t="shared" ref="Z326:Z332" si="106">IF($C326="","",PV(TMAFinal,$C326,,-U326))</f>
        <v/>
      </c>
      <c r="AA326" s="28" t="str">
        <f t="shared" ref="AA326:AA332" si="107">IF($C326="","",PV(TMAFinal,$C326,,-V326))</f>
        <v/>
      </c>
      <c r="AB326" s="28" t="str">
        <f t="shared" ref="AB326:AB332" si="108">IF($C326="","",PV(TMAFinal,$C326,,-W326))</f>
        <v/>
      </c>
      <c r="AC326" s="28" t="str">
        <f t="shared" si="100"/>
        <v/>
      </c>
      <c r="AD326" s="27"/>
      <c r="AO326" s="145" t="str">
        <f t="shared" si="101"/>
        <v/>
      </c>
      <c r="AP326" s="144" t="str">
        <f t="shared" si="102"/>
        <v/>
      </c>
    </row>
    <row r="327" spans="3:42" x14ac:dyDescent="0.25">
      <c r="C327" s="12" t="str">
        <f>IFERROR(IF(AvisoErro&lt;&gt;"","",IF(C326+1&gt;PAINEL!$H$8,"",C326+1)),"")</f>
        <v/>
      </c>
      <c r="E327" s="23" t="str">
        <f t="shared" ref="E327:E332" si="109">IF(C327="","",IF(C327&lt;=NroParcAntecipadasCalc,PercTxAdmAntecipada/NroParcAntecipadasCalc,""))</f>
        <v/>
      </c>
      <c r="F327" s="13" t="str">
        <f>IF(C327="","",IF(E327&lt;&gt;"",E327*PAINEL!$H$7,0))</f>
        <v/>
      </c>
      <c r="G327" s="13" t="str">
        <f>IF(C327="","",IF(PAINEL!$A$4=1,K326/(QTDEParc-C326),IF(AND(PAINEL!$A$4=2,C327&lt;=MomentoContemplação),ValorParcelamento/QTDEParc,K326/(QTDEParc-C326))))</f>
        <v/>
      </c>
      <c r="H327" s="13" t="str">
        <f t="shared" ref="H327:H332" si="110">IF(C327="","",IF(AND(AposContemplacao=TRUE,OR(MomentoContemplação="",MomentoContemplação=0)),0,IF(AposContemplacao=FALSE,K326*PercSeguroVida,IF(C327&gt;MomentoContemplação,K326*PercSeguroVida,0))))</f>
        <v/>
      </c>
      <c r="I327" s="32" t="str">
        <f t="shared" ref="I327:I332" si="111">IF(C327="","",G327+H327)</f>
        <v/>
      </c>
      <c r="J327" s="14" t="str">
        <f>IF(C327="","",IF(C327=MomentoContemplação,PAINEL!$P$10,0))</f>
        <v/>
      </c>
      <c r="K327" s="14" t="str">
        <f t="shared" ref="K327:K332" si="112">IF(C327="","",K326+H327-I327-J327)</f>
        <v/>
      </c>
      <c r="M327" s="51" t="str">
        <f t="shared" ref="M327:M332" si="113">IF(OR(C327="",C327=0),"",VLOOKUP(C327,PV_Perc_Reajuste,2))</f>
        <v/>
      </c>
      <c r="N327" s="27" t="str">
        <f t="shared" si="97"/>
        <v/>
      </c>
      <c r="O327" s="27" t="str">
        <f>IF(C327="","",(I327*(1+M327))*(QTDEParc-CÁLCULO!C327)+$F$5-SUM($F$6:F327)-J327)</f>
        <v/>
      </c>
      <c r="P327" s="7" t="str">
        <f t="shared" ref="P327:P332" si="114">IF(C327="","",IF(ROW(C327)=6,0,IF(ROW(C327)=7,ValorCredito,ValorCredito*(1+M327))))</f>
        <v/>
      </c>
      <c r="R327" s="44" t="str">
        <f t="shared" ref="R327:R332" si="115">IF(C327="","",PV(TMAFinal,C327,,N327))</f>
        <v/>
      </c>
      <c r="S327" s="97"/>
      <c r="T327" s="28" t="str">
        <f t="shared" ref="T327:T332" si="116">IF(C327="","",((PercTxAdm-PercTxAdmAntecipada)*(N327-F327))/(100%+(PercTxAdm-PercTxAdmAntecipada)+PercTxFRes)+F327)</f>
        <v/>
      </c>
      <c r="U327" s="28" t="str">
        <f t="shared" si="104"/>
        <v/>
      </c>
      <c r="V327" s="7" t="str">
        <f t="shared" si="98"/>
        <v/>
      </c>
      <c r="W327" s="93" t="str">
        <f t="shared" si="103"/>
        <v/>
      </c>
      <c r="X327" s="28" t="str">
        <f t="shared" si="99"/>
        <v/>
      </c>
      <c r="Y327" s="28" t="str">
        <f t="shared" si="105"/>
        <v/>
      </c>
      <c r="Z327" s="28" t="str">
        <f t="shared" si="106"/>
        <v/>
      </c>
      <c r="AA327" s="28" t="str">
        <f t="shared" si="107"/>
        <v/>
      </c>
      <c r="AB327" s="28" t="str">
        <f t="shared" si="108"/>
        <v/>
      </c>
      <c r="AC327" s="28" t="str">
        <f t="shared" si="100"/>
        <v/>
      </c>
      <c r="AD327" s="27"/>
      <c r="AO327" s="145" t="str">
        <f t="shared" si="101"/>
        <v/>
      </c>
      <c r="AP327" s="144" t="str">
        <f t="shared" si="102"/>
        <v/>
      </c>
    </row>
    <row r="328" spans="3:42" x14ac:dyDescent="0.25">
      <c r="C328" s="12" t="str">
        <f>IFERROR(IF(AvisoErro&lt;&gt;"","",IF(C327+1&gt;PAINEL!$H$8,"",C327+1)),"")</f>
        <v/>
      </c>
      <c r="E328" s="23" t="str">
        <f t="shared" si="109"/>
        <v/>
      </c>
      <c r="F328" s="13" t="str">
        <f>IF(C328="","",IF(E328&lt;&gt;"",E328*PAINEL!$H$7,0))</f>
        <v/>
      </c>
      <c r="G328" s="13" t="str">
        <f>IF(C328="","",IF(PAINEL!$A$4=1,K327/(QTDEParc-C327),IF(AND(PAINEL!$A$4=2,C328&lt;=MomentoContemplação),ValorParcelamento/QTDEParc,K327/(QTDEParc-C327))))</f>
        <v/>
      </c>
      <c r="H328" s="13" t="str">
        <f t="shared" si="110"/>
        <v/>
      </c>
      <c r="I328" s="32" t="str">
        <f t="shared" si="111"/>
        <v/>
      </c>
      <c r="J328" s="14" t="str">
        <f>IF(C328="","",IF(C328=MomentoContemplação,PAINEL!$P$10,0))</f>
        <v/>
      </c>
      <c r="K328" s="14" t="str">
        <f t="shared" si="112"/>
        <v/>
      </c>
      <c r="M328" s="51" t="str">
        <f t="shared" si="113"/>
        <v/>
      </c>
      <c r="N328" s="27" t="str">
        <f t="shared" ref="N328:N332" si="117">IF(C328="","",(I328*(1+M328))+F328+J328)</f>
        <v/>
      </c>
      <c r="O328" s="27" t="str">
        <f>IF(C328="","",(I328*(1+M328))*(QTDEParc-CÁLCULO!C328)+$F$5-SUM($F$6:F328)-J328)</f>
        <v/>
      </c>
      <c r="P328" s="7" t="str">
        <f t="shared" si="114"/>
        <v/>
      </c>
      <c r="R328" s="44" t="str">
        <f t="shared" si="115"/>
        <v/>
      </c>
      <c r="S328" s="97"/>
      <c r="T328" s="28" t="str">
        <f t="shared" si="116"/>
        <v/>
      </c>
      <c r="U328" s="28" t="str">
        <f t="shared" si="104"/>
        <v/>
      </c>
      <c r="V328" s="7" t="str">
        <f t="shared" ref="V328:V332" si="118">IF(C328="","",H328)</f>
        <v/>
      </c>
      <c r="W328" s="93" t="str">
        <f t="shared" si="103"/>
        <v/>
      </c>
      <c r="X328" s="28" t="str">
        <f t="shared" ref="X328:X332" si="119">IF(C328="","",SUM(T328:W328))</f>
        <v/>
      </c>
      <c r="Y328" s="28" t="str">
        <f t="shared" si="105"/>
        <v/>
      </c>
      <c r="Z328" s="28" t="str">
        <f t="shared" si="106"/>
        <v/>
      </c>
      <c r="AA328" s="28" t="str">
        <f t="shared" si="107"/>
        <v/>
      </c>
      <c r="AB328" s="28" t="str">
        <f t="shared" si="108"/>
        <v/>
      </c>
      <c r="AC328" s="28" t="str">
        <f t="shared" ref="AC328:AC332" si="120">IF(I328="","",SUM(Y328:AB328))</f>
        <v/>
      </c>
      <c r="AD328" s="27"/>
      <c r="AO328" s="145" t="str">
        <f t="shared" ref="AO328:AO332" si="121">IF(C328="","",C328)</f>
        <v/>
      </c>
      <c r="AP328" s="144" t="str">
        <f t="shared" ref="AP328:AP332" si="122">IF(C328="","",$AP$6*(1+M328))</f>
        <v/>
      </c>
    </row>
    <row r="329" spans="3:42" x14ac:dyDescent="0.25">
      <c r="C329" s="12" t="str">
        <f>IFERROR(IF(AvisoErro&lt;&gt;"","",IF(C328+1&gt;PAINEL!$H$8,"",C328+1)),"")</f>
        <v/>
      </c>
      <c r="E329" s="23" t="str">
        <f t="shared" si="109"/>
        <v/>
      </c>
      <c r="F329" s="13" t="str">
        <f>IF(C329="","",IF(E329&lt;&gt;"",E329*PAINEL!$H$7,0))</f>
        <v/>
      </c>
      <c r="G329" s="13" t="str">
        <f>IF(C329="","",IF(PAINEL!$A$4=1,K328/(QTDEParc-C328),IF(AND(PAINEL!$A$4=2,C329&lt;=MomentoContemplação),ValorParcelamento/QTDEParc,K328/(QTDEParc-C328))))</f>
        <v/>
      </c>
      <c r="H329" s="13" t="str">
        <f t="shared" si="110"/>
        <v/>
      </c>
      <c r="I329" s="32" t="str">
        <f t="shared" si="111"/>
        <v/>
      </c>
      <c r="J329" s="14" t="str">
        <f>IF(C329="","",IF(C329=MomentoContemplação,PAINEL!$P$10,0))</f>
        <v/>
      </c>
      <c r="K329" s="14" t="str">
        <f t="shared" si="112"/>
        <v/>
      </c>
      <c r="M329" s="51" t="str">
        <f t="shared" si="113"/>
        <v/>
      </c>
      <c r="N329" s="27" t="str">
        <f t="shared" si="117"/>
        <v/>
      </c>
      <c r="O329" s="27" t="str">
        <f>IF(C329="","",(I329*(1+M329))*(QTDEParc-CÁLCULO!C329)+$F$5-SUM($F$6:F329)-J329)</f>
        <v/>
      </c>
      <c r="P329" s="7" t="str">
        <f t="shared" si="114"/>
        <v/>
      </c>
      <c r="R329" s="44" t="str">
        <f t="shared" si="115"/>
        <v/>
      </c>
      <c r="S329" s="97"/>
      <c r="T329" s="28" t="str">
        <f t="shared" si="116"/>
        <v/>
      </c>
      <c r="U329" s="28" t="str">
        <f t="shared" si="104"/>
        <v/>
      </c>
      <c r="V329" s="7" t="str">
        <f t="shared" si="118"/>
        <v/>
      </c>
      <c r="W329" s="93" t="str">
        <f t="shared" ref="W329:W332" si="123">IF(C329="","",0)</f>
        <v/>
      </c>
      <c r="X329" s="28" t="str">
        <f t="shared" si="119"/>
        <v/>
      </c>
      <c r="Y329" s="28" t="str">
        <f t="shared" si="105"/>
        <v/>
      </c>
      <c r="Z329" s="28" t="str">
        <f t="shared" si="106"/>
        <v/>
      </c>
      <c r="AA329" s="28" t="str">
        <f t="shared" si="107"/>
        <v/>
      </c>
      <c r="AB329" s="28" t="str">
        <f t="shared" si="108"/>
        <v/>
      </c>
      <c r="AC329" s="28" t="str">
        <f t="shared" si="120"/>
        <v/>
      </c>
      <c r="AD329" s="27"/>
      <c r="AO329" s="145" t="str">
        <f t="shared" si="121"/>
        <v/>
      </c>
      <c r="AP329" s="144" t="str">
        <f t="shared" si="122"/>
        <v/>
      </c>
    </row>
    <row r="330" spans="3:42" x14ac:dyDescent="0.25">
      <c r="C330" s="12" t="str">
        <f>IFERROR(IF(AvisoErro&lt;&gt;"","",IF(C329+1&gt;PAINEL!$H$8,"",C329+1)),"")</f>
        <v/>
      </c>
      <c r="E330" s="23" t="str">
        <f t="shared" si="109"/>
        <v/>
      </c>
      <c r="F330" s="13" t="str">
        <f>IF(C330="","",IF(E330&lt;&gt;"",E330*PAINEL!$H$7,0))</f>
        <v/>
      </c>
      <c r="G330" s="13" t="str">
        <f>IF(C330="","",IF(PAINEL!$A$4=1,K329/(QTDEParc-C329),IF(AND(PAINEL!$A$4=2,C330&lt;=MomentoContemplação),ValorParcelamento/QTDEParc,K329/(QTDEParc-C329))))</f>
        <v/>
      </c>
      <c r="H330" s="13" t="str">
        <f t="shared" si="110"/>
        <v/>
      </c>
      <c r="I330" s="32" t="str">
        <f t="shared" si="111"/>
        <v/>
      </c>
      <c r="J330" s="14" t="str">
        <f>IF(C330="","",IF(C330=MomentoContemplação,PAINEL!$P$10,0))</f>
        <v/>
      </c>
      <c r="K330" s="14" t="str">
        <f t="shared" si="112"/>
        <v/>
      </c>
      <c r="M330" s="51" t="str">
        <f t="shared" si="113"/>
        <v/>
      </c>
      <c r="N330" s="27" t="str">
        <f t="shared" si="117"/>
        <v/>
      </c>
      <c r="O330" s="27" t="str">
        <f>IF(C330="","",(I330*(1+M330))*(QTDEParc-CÁLCULO!C330)+$F$5-SUM($F$6:F330)-J330)</f>
        <v/>
      </c>
      <c r="P330" s="7" t="str">
        <f t="shared" si="114"/>
        <v/>
      </c>
      <c r="R330" s="44" t="str">
        <f t="shared" si="115"/>
        <v/>
      </c>
      <c r="S330" s="97"/>
      <c r="T330" s="28" t="str">
        <f t="shared" si="116"/>
        <v/>
      </c>
      <c r="U330" s="28" t="str">
        <f t="shared" si="104"/>
        <v/>
      </c>
      <c r="V330" s="7" t="str">
        <f t="shared" si="118"/>
        <v/>
      </c>
      <c r="W330" s="93" t="str">
        <f t="shared" si="123"/>
        <v/>
      </c>
      <c r="X330" s="28" t="str">
        <f t="shared" si="119"/>
        <v/>
      </c>
      <c r="Y330" s="28" t="str">
        <f t="shared" si="105"/>
        <v/>
      </c>
      <c r="Z330" s="28" t="str">
        <f t="shared" si="106"/>
        <v/>
      </c>
      <c r="AA330" s="28" t="str">
        <f t="shared" si="107"/>
        <v/>
      </c>
      <c r="AB330" s="28" t="str">
        <f t="shared" si="108"/>
        <v/>
      </c>
      <c r="AC330" s="28" t="str">
        <f t="shared" si="120"/>
        <v/>
      </c>
      <c r="AD330" s="27"/>
      <c r="AO330" s="145" t="str">
        <f t="shared" si="121"/>
        <v/>
      </c>
      <c r="AP330" s="144" t="str">
        <f t="shared" si="122"/>
        <v/>
      </c>
    </row>
    <row r="331" spans="3:42" x14ac:dyDescent="0.25">
      <c r="C331" s="12" t="str">
        <f>IFERROR(IF(AvisoErro&lt;&gt;"","",IF(C330+1&gt;PAINEL!$H$8,"",C330+1)),"")</f>
        <v/>
      </c>
      <c r="E331" s="23" t="str">
        <f t="shared" si="109"/>
        <v/>
      </c>
      <c r="F331" s="13" t="str">
        <f>IF(C331="","",IF(E331&lt;&gt;"",E331*PAINEL!$H$7,0))</f>
        <v/>
      </c>
      <c r="G331" s="13" t="str">
        <f>IF(C331="","",IF(PAINEL!$A$4=1,K330/(QTDEParc-C330),IF(AND(PAINEL!$A$4=2,C331&lt;=MomentoContemplação),ValorParcelamento/QTDEParc,K330/(QTDEParc-C330))))</f>
        <v/>
      </c>
      <c r="H331" s="13" t="str">
        <f t="shared" si="110"/>
        <v/>
      </c>
      <c r="I331" s="32" t="str">
        <f t="shared" si="111"/>
        <v/>
      </c>
      <c r="J331" s="14" t="str">
        <f>IF(C331="","",IF(C331=MomentoContemplação,PAINEL!$P$10,0))</f>
        <v/>
      </c>
      <c r="K331" s="14" t="str">
        <f t="shared" si="112"/>
        <v/>
      </c>
      <c r="M331" s="51" t="str">
        <f t="shared" si="113"/>
        <v/>
      </c>
      <c r="N331" s="27" t="str">
        <f t="shared" si="117"/>
        <v/>
      </c>
      <c r="O331" s="27" t="str">
        <f>IF(C331="","",(I331*(1+M331))*(QTDEParc-CÁLCULO!C331)+$F$5-SUM($F$6:F331)-J331)</f>
        <v/>
      </c>
      <c r="P331" s="7" t="str">
        <f t="shared" si="114"/>
        <v/>
      </c>
      <c r="R331" s="44" t="str">
        <f t="shared" si="115"/>
        <v/>
      </c>
      <c r="S331" s="97"/>
      <c r="T331" s="28" t="str">
        <f t="shared" si="116"/>
        <v/>
      </c>
      <c r="U331" s="28" t="str">
        <f t="shared" si="104"/>
        <v/>
      </c>
      <c r="V331" s="7" t="str">
        <f t="shared" si="118"/>
        <v/>
      </c>
      <c r="W331" s="93" t="str">
        <f t="shared" si="123"/>
        <v/>
      </c>
      <c r="X331" s="28" t="str">
        <f t="shared" si="119"/>
        <v/>
      </c>
      <c r="Y331" s="28" t="str">
        <f t="shared" si="105"/>
        <v/>
      </c>
      <c r="Z331" s="28" t="str">
        <f t="shared" si="106"/>
        <v/>
      </c>
      <c r="AA331" s="28" t="str">
        <f t="shared" si="107"/>
        <v/>
      </c>
      <c r="AB331" s="28" t="str">
        <f t="shared" si="108"/>
        <v/>
      </c>
      <c r="AC331" s="28" t="str">
        <f t="shared" si="120"/>
        <v/>
      </c>
      <c r="AD331" s="27"/>
      <c r="AO331" s="145" t="str">
        <f t="shared" si="121"/>
        <v/>
      </c>
      <c r="AP331" s="144" t="str">
        <f t="shared" si="122"/>
        <v/>
      </c>
    </row>
    <row r="332" spans="3:42" x14ac:dyDescent="0.25">
      <c r="C332" s="12" t="str">
        <f>IFERROR(IF(AvisoErro&lt;&gt;"","",IF(C331+1&gt;PAINEL!$H$8,"",C331+1)),"")</f>
        <v/>
      </c>
      <c r="E332" s="23" t="str">
        <f t="shared" si="109"/>
        <v/>
      </c>
      <c r="F332" s="13" t="str">
        <f>IF(C332="","",IF(E332&lt;&gt;"",E332*PAINEL!$H$7,0))</f>
        <v/>
      </c>
      <c r="G332" s="13" t="str">
        <f>IF(C332="","",IF(PAINEL!$A$4=1,K331/(QTDEParc-C331),IF(AND(PAINEL!$A$4=2,C332&lt;=MomentoContemplação),ValorParcelamento/QTDEParc,K331/(QTDEParc-C331))))</f>
        <v/>
      </c>
      <c r="H332" s="13" t="str">
        <f t="shared" si="110"/>
        <v/>
      </c>
      <c r="I332" s="32" t="str">
        <f t="shared" si="111"/>
        <v/>
      </c>
      <c r="J332" s="14" t="str">
        <f>IF(C332="","",IF(C332=MomentoContemplação,PAINEL!$P$10,0))</f>
        <v/>
      </c>
      <c r="K332" s="14" t="str">
        <f t="shared" si="112"/>
        <v/>
      </c>
      <c r="M332" s="51" t="str">
        <f t="shared" si="113"/>
        <v/>
      </c>
      <c r="N332" s="27" t="str">
        <f t="shared" si="117"/>
        <v/>
      </c>
      <c r="O332" s="27" t="str">
        <f>IF(C332="","",(I332*(1+M332))*(QTDEParc-CÁLCULO!C332)+$F$5-SUM($F$6:F332)-J332)</f>
        <v/>
      </c>
      <c r="P332" s="7" t="str">
        <f t="shared" si="114"/>
        <v/>
      </c>
      <c r="R332" s="44" t="str">
        <f t="shared" si="115"/>
        <v/>
      </c>
      <c r="S332" s="97"/>
      <c r="T332" s="28" t="str">
        <f t="shared" si="116"/>
        <v/>
      </c>
      <c r="U332" s="28" t="str">
        <f t="shared" si="104"/>
        <v/>
      </c>
      <c r="V332" s="7" t="str">
        <f t="shared" si="118"/>
        <v/>
      </c>
      <c r="W332" s="93" t="str">
        <f t="shared" si="123"/>
        <v/>
      </c>
      <c r="X332" s="28" t="str">
        <f t="shared" si="119"/>
        <v/>
      </c>
      <c r="Y332" s="28" t="str">
        <f t="shared" si="105"/>
        <v/>
      </c>
      <c r="Z332" s="28" t="str">
        <f t="shared" si="106"/>
        <v/>
      </c>
      <c r="AA332" s="28" t="str">
        <f t="shared" si="107"/>
        <v/>
      </c>
      <c r="AB332" s="28" t="str">
        <f t="shared" si="108"/>
        <v/>
      </c>
      <c r="AC332" s="28" t="str">
        <f t="shared" si="120"/>
        <v/>
      </c>
      <c r="AD332" s="27"/>
      <c r="AO332" s="145" t="str">
        <f t="shared" si="121"/>
        <v/>
      </c>
      <c r="AP332" s="144" t="str">
        <f t="shared" si="122"/>
        <v/>
      </c>
    </row>
  </sheetData>
  <sheetProtection algorithmName="SHA-512" hashValue="cDbhCsDGGMZ03xLtUF6rnS79sBaxT7UskNPblAK7f+fHFpuwbDwBmnaY1UDARt4l4vs98GfOVKYI3DUQk1lbTw==" saltValue="8UwTr9oOZ4/OO+rRTFO/vg==" spinCount="100000" sheet="1" objects="1" scenarios="1"/>
  <mergeCells count="31">
    <mergeCell ref="T2:X2"/>
    <mergeCell ref="Y3:Y4"/>
    <mergeCell ref="Z3:Z4"/>
    <mergeCell ref="AA3:AA4"/>
    <mergeCell ref="AB3:AB4"/>
    <mergeCell ref="T3:T4"/>
    <mergeCell ref="U3:U4"/>
    <mergeCell ref="V3:V4"/>
    <mergeCell ref="W3:W4"/>
    <mergeCell ref="X3:X4"/>
    <mergeCell ref="AC3:AC4"/>
    <mergeCell ref="Y2:AC2"/>
    <mergeCell ref="AK3:AM3"/>
    <mergeCell ref="AK4:AM4"/>
    <mergeCell ref="AK5:AM5"/>
    <mergeCell ref="AK2:AM2"/>
    <mergeCell ref="R2:R3"/>
    <mergeCell ref="M2:P2"/>
    <mergeCell ref="P3:P5"/>
    <mergeCell ref="O3:O5"/>
    <mergeCell ref="M3:M5"/>
    <mergeCell ref="N3:N4"/>
    <mergeCell ref="E2:K2"/>
    <mergeCell ref="C2:C5"/>
    <mergeCell ref="K3:K4"/>
    <mergeCell ref="H3:H4"/>
    <mergeCell ref="E3:E4"/>
    <mergeCell ref="F3:F4"/>
    <mergeCell ref="G3:G4"/>
    <mergeCell ref="I3:I4"/>
    <mergeCell ref="J3:J4"/>
  </mergeCells>
  <conditionalFormatting sqref="M6:P332">
    <cfRule type="expression" dxfId="17" priority="9">
      <formula>$C6&lt;&gt;""</formula>
    </cfRule>
  </conditionalFormatting>
  <conditionalFormatting sqref="R6:R332">
    <cfRule type="expression" dxfId="16" priority="7">
      <formula>$C6&lt;&gt;""</formula>
    </cfRule>
  </conditionalFormatting>
  <conditionalFormatting sqref="C6:C332 E6:K332">
    <cfRule type="expression" dxfId="15" priority="10">
      <formula>$C6&lt;&gt;""</formula>
    </cfRule>
  </conditionalFormatting>
  <conditionalFormatting sqref="M8:M332">
    <cfRule type="expression" dxfId="14" priority="5">
      <formula>$M8=$M7</formula>
    </cfRule>
  </conditionalFormatting>
  <conditionalFormatting sqref="T6:AC332">
    <cfRule type="expression" dxfId="13" priority="2">
      <formula>$C6&lt;&gt;""</formula>
    </cfRule>
  </conditionalFormatting>
  <pageMargins left="0.51181102362204722" right="0.15748031496062992" top="0.64" bottom="0.78740157480314965" header="0.31496062992125984" footer="0.56000000000000005"/>
  <pageSetup paperSize="9" scale="67" fitToHeight="20" orientation="portrait" horizontalDpi="300" verticalDpi="300" r:id="rId1"/>
  <headerFooter>
    <oddHeader>&amp;C&amp;"-,Negrito"&amp;14FLUXO FINANCEIRO DA OPERAÇÃO DE CONSÓRCIO&amp;R&amp;P / &amp;N</oddHeader>
    <oddFooter>&amp;L&amp;8&amp;Z&amp;F&amp;R&amp;D / &amp;T</oddFooter>
  </headerFooter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7" id="{A3636662-E7AD-4F44-A5DC-EC647E2B7AAF}">
            <xm:f>IF(AND($C6&lt;&gt;"",$C6=PAINEL!$P$7),TRUE,FALSE)</xm:f>
            <x14:dxf>
              <fill>
                <patternFill>
                  <bgColor theme="4" tint="0.59996337778862885"/>
                </patternFill>
              </fill>
            </x14:dxf>
          </x14:cfRule>
          <xm:sqref>C6:C332 R6:R332 T6:AC332 E6:K332</xm:sqref>
        </x14:conditionalFormatting>
        <x14:conditionalFormatting xmlns:xm="http://schemas.microsoft.com/office/excel/2006/main">
          <x14:cfRule type="expression" priority="81" id="{588DFD85-7BD2-4E89-9592-B45424831473}">
            <xm:f>IF(AND($C6&lt;&gt;"",$C6=PAINEL!$P$7),TRUE,FALSE)</xm:f>
            <x14:dxf>
              <fill>
                <patternFill>
                  <bgColor theme="4" tint="0.59996337778862885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M6:P332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41</vt:i4>
      </vt:variant>
    </vt:vector>
  </HeadingPairs>
  <TitlesOfParts>
    <vt:vector size="44" baseType="lpstr">
      <vt:lpstr>Tutorial</vt:lpstr>
      <vt:lpstr>PAINEL</vt:lpstr>
      <vt:lpstr>CÁLCULO</vt:lpstr>
      <vt:lpstr>AposContemplacao</vt:lpstr>
      <vt:lpstr>CÁLCULO!Area_de_impressao</vt:lpstr>
      <vt:lpstr>PAINEL!Area_de_impressao</vt:lpstr>
      <vt:lpstr>Tutorial!Area_de_impressao</vt:lpstr>
      <vt:lpstr>AvisoErro</vt:lpstr>
      <vt:lpstr>Cred_Liquido</vt:lpstr>
      <vt:lpstr>PAINEL!DadosCenarios</vt:lpstr>
      <vt:lpstr>Encargos</vt:lpstr>
      <vt:lpstr>LinhaMinima</vt:lpstr>
      <vt:lpstr>MomentoAjContemplação</vt:lpstr>
      <vt:lpstr>MomentoContemplação</vt:lpstr>
      <vt:lpstr>MomentoReajuste</vt:lpstr>
      <vt:lpstr>NroParcAntecipadas</vt:lpstr>
      <vt:lpstr>NroParcAntecipadasCalc</vt:lpstr>
      <vt:lpstr>NroParcela</vt:lpstr>
      <vt:lpstr>Perc_Reajuste</vt:lpstr>
      <vt:lpstr>PercLance</vt:lpstr>
      <vt:lpstr>PercLanceEmbutido</vt:lpstr>
      <vt:lpstr>PercReajuste</vt:lpstr>
      <vt:lpstr>PercSeguroVida</vt:lpstr>
      <vt:lpstr>PercSldDev</vt:lpstr>
      <vt:lpstr>PercTxAdm</vt:lpstr>
      <vt:lpstr>PercTxAdmAntecipada</vt:lpstr>
      <vt:lpstr>PercTxFRes</vt:lpstr>
      <vt:lpstr>PV_AreaCalculo</vt:lpstr>
      <vt:lpstr>PV_Perc_Reajuste</vt:lpstr>
      <vt:lpstr>QTDEParc</vt:lpstr>
      <vt:lpstr>Reaj_VlrBase</vt:lpstr>
      <vt:lpstr>rng_VlrMinimoLance</vt:lpstr>
      <vt:lpstr>RotuloPercLance</vt:lpstr>
      <vt:lpstr>RotuloValorLance</vt:lpstr>
      <vt:lpstr>SldDevedor</vt:lpstr>
      <vt:lpstr>TaxaVPL</vt:lpstr>
      <vt:lpstr>TMA</vt:lpstr>
      <vt:lpstr>TMAFinal</vt:lpstr>
      <vt:lpstr>Ultimalinha</vt:lpstr>
      <vt:lpstr>ValorBase</vt:lpstr>
      <vt:lpstr>ValorCredito</vt:lpstr>
      <vt:lpstr>ValorLance</vt:lpstr>
      <vt:lpstr>ValorParcelamento</vt:lpstr>
      <vt:lpstr>VlrLanceSldoDev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</dc:creator>
  <cp:lastModifiedBy>Regis Marinho</cp:lastModifiedBy>
  <cp:lastPrinted>2018-10-15T16:50:31Z</cp:lastPrinted>
  <dcterms:created xsi:type="dcterms:W3CDTF">2015-06-11T14:12:08Z</dcterms:created>
  <dcterms:modified xsi:type="dcterms:W3CDTF">2018-11-09T11:39:23Z</dcterms:modified>
</cp:coreProperties>
</file>