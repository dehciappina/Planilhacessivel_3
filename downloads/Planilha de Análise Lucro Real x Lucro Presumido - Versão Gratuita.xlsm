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regispc\Documents\SITE FINANCEIRO\PLANILHAS PUBLICADAS NO SITE\REVISADAS\Grátis\"/>
    </mc:Choice>
  </mc:AlternateContent>
  <xr:revisionPtr revIDLastSave="0" documentId="13_ncr:1_{7D7A43E5-0EEF-4426-B194-E9419C0651FF}" xr6:coauthVersionLast="38" xr6:coauthVersionMax="38" xr10:uidLastSave="{00000000-0000-0000-0000-000000000000}"/>
  <bookViews>
    <workbookView xWindow="0" yWindow="0" windowWidth="20490" windowHeight="7530" activeTab="2" xr2:uid="{00000000-000D-0000-FFFF-FFFF00000000}"/>
  </bookViews>
  <sheets>
    <sheet name="Tutorial" sheetId="9" r:id="rId1"/>
    <sheet name="Atividades" sheetId="7" r:id="rId2"/>
    <sheet name="CÁLCULO" sheetId="6" r:id="rId3"/>
  </sheets>
  <definedNames>
    <definedName name="_xlnm._FilterDatabase" localSheetId="1" hidden="1">Atividades!$B$3:$D$10</definedName>
    <definedName name="_xlnm.Print_Area" localSheetId="2">CÁLCULO!$E$2:$X$24</definedName>
    <definedName name="_xlnm.Print_Area" localSheetId="0">Tutorial!$B$2:$C$16</definedName>
    <definedName name="AreaValoresQuadro">CÁLCULO!$G$7:$H$18</definedName>
    <definedName name="ContarLinhasCustos">CÁLCULO!$C$5</definedName>
    <definedName name="ContarLinhasFat">CÁLCULO!$B$5</definedName>
    <definedName name="PV_Atividades">OFFSET(Atividades!$B$3,1,0,COUNTA(Atividades!$B$4:$B$150),3)</definedName>
    <definedName name="TotalCustos">CÁLCULO!$H$19</definedName>
    <definedName name="TotalFat">CÁLCULO!$G$19</definedName>
    <definedName name="V_Atividades">OFFSET(Atividades!$B$3,1,0,COUNTA(Atividades!$B$4:$B$150),1)</definedName>
    <definedName name="VlrCustosMensal">CÁLCULO!$AE$9</definedName>
    <definedName name="VlrCustosQuadro">CÁLCULO!$H$7</definedName>
    <definedName name="VlrDif">CÁLCULO!$Z$19</definedName>
    <definedName name="VlrDifPE">CÁLCULO!$I$19</definedName>
    <definedName name="VlrFatMensal">CÁLCULO!$AE$7</definedName>
    <definedName name="VlrFatQuadro">CÁLCULO!$G$7</definedName>
    <definedName name="VlrInformado">CÁLCULO!$AF$3</definedName>
    <definedName name="VlrLP">CÁLCULO!$Q$19</definedName>
    <definedName name="VlrLR">CÁLCULO!$X$19</definedName>
    <definedName name="VlrsSalvos">CÁLCULO!$B$7:$C$18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8" i="6" l="1"/>
  <c r="G9" i="6"/>
  <c r="G10" i="6"/>
  <c r="G11" i="6"/>
  <c r="G12" i="6"/>
  <c r="G13" i="6"/>
  <c r="G14" i="6"/>
  <c r="G15" i="6"/>
  <c r="G16" i="6"/>
  <c r="G17" i="6"/>
  <c r="G18" i="6"/>
  <c r="H7" i="6"/>
  <c r="H8" i="6" s="1"/>
  <c r="G7" i="6"/>
  <c r="H13" i="6" l="1"/>
  <c r="H15" i="6"/>
  <c r="H9" i="6"/>
  <c r="H14" i="6"/>
  <c r="H12" i="6"/>
  <c r="H11" i="6"/>
  <c r="H18" i="6"/>
  <c r="H10" i="6"/>
  <c r="H17" i="6"/>
  <c r="H16" i="6"/>
  <c r="AH7" i="6"/>
  <c r="I24" i="6" l="1"/>
  <c r="B5" i="6" l="1"/>
  <c r="C5" i="6"/>
  <c r="D8" i="6"/>
  <c r="D15" i="6"/>
  <c r="D14" i="6"/>
  <c r="D11" i="6"/>
  <c r="D18" i="6"/>
  <c r="D10" i="6"/>
  <c r="D17" i="6"/>
  <c r="D9" i="6"/>
  <c r="D13" i="6"/>
  <c r="D12" i="6"/>
  <c r="D16" i="6"/>
  <c r="AF7" i="6"/>
  <c r="AE11" i="6"/>
  <c r="AF11" i="6" l="1"/>
  <c r="AH11" i="6" s="1"/>
  <c r="AF9" i="6"/>
  <c r="AH9" i="6" s="1"/>
  <c r="T7" i="6" l="1"/>
  <c r="E23" i="6"/>
  <c r="J24" i="6"/>
  <c r="E7" i="6"/>
  <c r="E8" i="6" s="1"/>
  <c r="E9" i="6" s="1"/>
  <c r="E10" i="6" s="1"/>
  <c r="E11" i="6" s="1"/>
  <c r="E12" i="6" s="1"/>
  <c r="E13" i="6" s="1"/>
  <c r="E14" i="6" s="1"/>
  <c r="E15" i="6" s="1"/>
  <c r="E16" i="6" s="1"/>
  <c r="E17" i="6" s="1"/>
  <c r="E18" i="6" s="1"/>
  <c r="S7" i="6" l="1"/>
  <c r="I7" i="6"/>
  <c r="V7" i="6" s="1"/>
  <c r="T8" i="6" l="1"/>
  <c r="S8" i="6"/>
  <c r="J7" i="6"/>
  <c r="M8" i="6"/>
  <c r="L8" i="6"/>
  <c r="M7" i="6"/>
  <c r="L7" i="6"/>
  <c r="N9" i="6" l="1"/>
  <c r="P9" i="6"/>
  <c r="O9" i="6"/>
  <c r="M9" i="6"/>
  <c r="T9" i="6"/>
  <c r="S9" i="6"/>
  <c r="L9" i="6"/>
  <c r="Q8" i="6"/>
  <c r="U7" i="6"/>
  <c r="Q7" i="6"/>
  <c r="W7" i="6"/>
  <c r="Q9" i="6" l="1"/>
  <c r="T10" i="6"/>
  <c r="S10" i="6"/>
  <c r="M10" i="6"/>
  <c r="L10" i="6"/>
  <c r="X7" i="6"/>
  <c r="Z7" i="6" l="1"/>
  <c r="S11" i="6"/>
  <c r="T11" i="6"/>
  <c r="M11" i="6"/>
  <c r="L11" i="6"/>
  <c r="Q10" i="6"/>
  <c r="H19" i="6"/>
  <c r="I10" i="6"/>
  <c r="V10" i="6" s="1"/>
  <c r="I11" i="6"/>
  <c r="V11" i="6" s="1"/>
  <c r="I9" i="6"/>
  <c r="V9" i="6" s="1"/>
  <c r="I8" i="6"/>
  <c r="V8" i="6" s="1"/>
  <c r="Q11" i="6" l="1"/>
  <c r="P12" i="6"/>
  <c r="O12" i="6"/>
  <c r="N12" i="6"/>
  <c r="S12" i="6"/>
  <c r="T12" i="6"/>
  <c r="M12" i="6"/>
  <c r="L12" i="6"/>
  <c r="I12" i="6"/>
  <c r="V12" i="6" s="1"/>
  <c r="J8" i="6"/>
  <c r="S13" i="6" l="1"/>
  <c r="T13" i="6"/>
  <c r="M13" i="6"/>
  <c r="L13" i="6"/>
  <c r="I13" i="6"/>
  <c r="Q12" i="6"/>
  <c r="U8" i="6"/>
  <c r="W8" i="6"/>
  <c r="J9" i="6"/>
  <c r="V13" i="6" l="1"/>
  <c r="Q13" i="6"/>
  <c r="P15" i="6"/>
  <c r="T14" i="6"/>
  <c r="S14" i="6"/>
  <c r="M14" i="6"/>
  <c r="L14" i="6"/>
  <c r="I14" i="6"/>
  <c r="V14" i="6" s="1"/>
  <c r="U9" i="6"/>
  <c r="W9" i="6"/>
  <c r="J10" i="6"/>
  <c r="X8" i="6"/>
  <c r="Z8" i="6" l="1"/>
  <c r="O15" i="6"/>
  <c r="N15" i="6"/>
  <c r="T15" i="6"/>
  <c r="S15" i="6"/>
  <c r="M15" i="6"/>
  <c r="L15" i="6"/>
  <c r="I15" i="6"/>
  <c r="V15" i="6" s="1"/>
  <c r="Q14" i="6"/>
  <c r="X9" i="6"/>
  <c r="Z9" i="6" s="1"/>
  <c r="W10" i="6"/>
  <c r="U10" i="6"/>
  <c r="J11" i="6"/>
  <c r="T16" i="6" l="1"/>
  <c r="S16" i="6"/>
  <c r="M16" i="6"/>
  <c r="L16" i="6"/>
  <c r="I16" i="6"/>
  <c r="V16" i="6" s="1"/>
  <c r="Q15" i="6"/>
  <c r="J12" i="6"/>
  <c r="W11" i="6"/>
  <c r="U11" i="6"/>
  <c r="X10" i="6"/>
  <c r="Z10" i="6" s="1"/>
  <c r="P18" i="6" l="1"/>
  <c r="T17" i="6"/>
  <c r="S17" i="6"/>
  <c r="M17" i="6"/>
  <c r="L17" i="6"/>
  <c r="I17" i="6"/>
  <c r="Q16" i="6"/>
  <c r="X11" i="6"/>
  <c r="Z11" i="6" s="1"/>
  <c r="U12" i="6"/>
  <c r="J13" i="6"/>
  <c r="W12" i="6"/>
  <c r="O18" i="6" l="1"/>
  <c r="O19" i="6" s="1"/>
  <c r="N18" i="6"/>
  <c r="N19" i="6" s="1"/>
  <c r="Q17" i="6"/>
  <c r="T18" i="6"/>
  <c r="S18" i="6"/>
  <c r="M18" i="6"/>
  <c r="M19" i="6" s="1"/>
  <c r="L18" i="6"/>
  <c r="I18" i="6"/>
  <c r="V18" i="6" s="1"/>
  <c r="G19" i="6"/>
  <c r="P19" i="6"/>
  <c r="V17" i="6"/>
  <c r="X12" i="6"/>
  <c r="Z12" i="6" s="1"/>
  <c r="W13" i="6"/>
  <c r="J14" i="6"/>
  <c r="U13" i="6"/>
  <c r="M20" i="6" l="1"/>
  <c r="P20" i="6"/>
  <c r="N20" i="6"/>
  <c r="O20" i="6"/>
  <c r="H20" i="6"/>
  <c r="V19" i="6"/>
  <c r="V20" i="6" s="1"/>
  <c r="Q18" i="6"/>
  <c r="Q19" i="6" s="1"/>
  <c r="I19" i="6"/>
  <c r="L19" i="6"/>
  <c r="L20" i="6" s="1"/>
  <c r="X13" i="6"/>
  <c r="Z13" i="6" s="1"/>
  <c r="U14" i="6"/>
  <c r="J15" i="6"/>
  <c r="W14" i="6"/>
  <c r="AB11" i="6" l="1"/>
  <c r="I20" i="6"/>
  <c r="Q20" i="6"/>
  <c r="U15" i="6"/>
  <c r="W15" i="6"/>
  <c r="J16" i="6"/>
  <c r="X14" i="6"/>
  <c r="Z14" i="6" s="1"/>
  <c r="J17" i="6" l="1"/>
  <c r="W16" i="6"/>
  <c r="U16" i="6"/>
  <c r="X15" i="6"/>
  <c r="Z15" i="6" s="1"/>
  <c r="W17" i="6" l="1"/>
  <c r="U17" i="6"/>
  <c r="J18" i="6"/>
  <c r="X16" i="6"/>
  <c r="Z16" i="6" s="1"/>
  <c r="T19" i="6" l="1"/>
  <c r="S19" i="6"/>
  <c r="W18" i="6"/>
  <c r="W19" i="6" s="1"/>
  <c r="U18" i="6"/>
  <c r="X17" i="6"/>
  <c r="Z17" i="6" s="1"/>
  <c r="U19" i="6" l="1"/>
  <c r="U20" i="6" s="1"/>
  <c r="W20" i="6"/>
  <c r="S20" i="6"/>
  <c r="T20" i="6"/>
  <c r="X18" i="6"/>
  <c r="Z18" i="6" l="1"/>
  <c r="Z19" i="6" s="1"/>
  <c r="X19" i="6"/>
  <c r="X20" i="6" s="1"/>
  <c r="AB15" i="6" s="1"/>
  <c r="Z20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C3" authorId="0" shapeId="0" xr:uid="{00000000-0006-0000-0100-000001000000}">
      <text>
        <r>
          <rPr>
            <sz val="9"/>
            <color indexed="81"/>
            <rFont val="Segoe UI"/>
            <family val="2"/>
          </rPr>
          <t>IMPOSTO DE RENDA</t>
        </r>
      </text>
    </comment>
    <comment ref="D3" authorId="0" shapeId="0" xr:uid="{00000000-0006-0000-0100-000002000000}">
      <text>
        <r>
          <rPr>
            <sz val="9"/>
            <color indexed="81"/>
            <rFont val="Segoe UI"/>
            <family val="2"/>
          </rPr>
          <t>CONTRIBUIÇÃO SOCIAL SOBRE LUCRO LÍQUIDO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L2" authorId="0" shapeId="0" xr:uid="{D31A32E3-5919-4C4E-987B-E38F23C39A08}">
      <text>
        <r>
          <rPr>
            <sz val="9"/>
            <color indexed="81"/>
            <rFont val="Segoe UI"/>
            <family val="2"/>
          </rPr>
          <t>Clicando no botão azul você terá acesso às fórmulas e aos valores dos impostos e também poderá alterar as alíquotas dos mesmos.</t>
        </r>
      </text>
    </comment>
    <comment ref="S2" authorId="0" shapeId="0" xr:uid="{E7AE5357-903E-4E50-A13F-7E9318366751}">
      <text>
        <r>
          <rPr>
            <sz val="9"/>
            <color indexed="81"/>
            <rFont val="Segoe UI"/>
            <family val="2"/>
          </rPr>
          <t>Clicando no botão azul você terá acesso às fórmulas e aos valores dos impostos e também poderá alterar as alíquotas dos mesmos.</t>
        </r>
      </text>
    </comment>
    <comment ref="E3" authorId="0" shapeId="0" xr:uid="{00000000-0006-0000-0200-000001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I3" authorId="0" shapeId="0" xr:uid="{00000000-0006-0000-0200-000002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J3" authorId="0" shapeId="0" xr:uid="{8502A4D5-B0B2-46BD-BE60-D52F63F8635B}">
      <text>
        <r>
          <rPr>
            <sz val="9"/>
            <color indexed="81"/>
            <rFont val="Segoe UI"/>
            <family val="2"/>
          </rPr>
          <t>Preenchimento obrigatório!
Informar o % dos custos/despesas que deverá ser considerado como crédito de PIS/COFINS, para compensar os débitos respectivos.</t>
        </r>
      </text>
    </comment>
    <comment ref="AF3" authorId="0" shapeId="0" xr:uid="{2757A09A-D775-4E9C-810D-6697B78ABBE1}">
      <text>
        <r>
          <rPr>
            <sz val="9"/>
            <color indexed="81"/>
            <rFont val="Segoe UI"/>
            <family val="2"/>
          </rPr>
          <t>Campo 'Valor', para preenchimento do faturamento mensal ou dos custos/despesas mensais.</t>
        </r>
      </text>
    </comment>
    <comment ref="H5" authorId="0" shapeId="0" xr:uid="{24D908F5-8834-45E4-91EF-0C9C15F1167D}">
      <text>
        <r>
          <rPr>
            <sz val="9"/>
            <color indexed="81"/>
            <rFont val="Segoe UI"/>
            <family val="2"/>
          </rPr>
          <t>Custos/Despesas, desprezando-se os impostos federais.</t>
        </r>
      </text>
    </comment>
    <comment ref="L6" authorId="0" shapeId="0" xr:uid="{00000000-0006-0000-0200-000004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M6" authorId="0" shapeId="0" xr:uid="{00000000-0006-0000-0200-000005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N6" authorId="0" shapeId="0" xr:uid="{00000000-0006-0000-0200-000006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O6" authorId="0" shapeId="0" xr:uid="{00000000-0006-0000-0200-000007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P6" authorId="0" shapeId="0" xr:uid="{00000000-0006-0000-0200-000008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S6" authorId="0" shapeId="0" xr:uid="{00000000-0006-0000-0200-000009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T6" authorId="0" shapeId="0" xr:uid="{00000000-0006-0000-0200-00000A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U6" authorId="0" shapeId="0" xr:uid="{00000000-0006-0000-0200-00000B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V6" authorId="0" shapeId="0" xr:uid="{00000000-0006-0000-0200-00000C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W6" authorId="0" shapeId="0" xr:uid="{00000000-0006-0000-0200-00000D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</commentList>
</comments>
</file>

<file path=xl/sharedStrings.xml><?xml version="1.0" encoding="utf-8"?>
<sst xmlns="http://schemas.openxmlformats.org/spreadsheetml/2006/main" count="83" uniqueCount="61">
  <si>
    <t>ATIVIDADE</t>
  </si>
  <si>
    <t>MÊS</t>
  </si>
  <si>
    <t>ACUMULADO</t>
  </si>
  <si>
    <t>LUCRO PRESUMIDO</t>
  </si>
  <si>
    <t>IRPJ</t>
  </si>
  <si>
    <t>CSLL</t>
  </si>
  <si>
    <t>PIS</t>
  </si>
  <si>
    <t>COFINS</t>
  </si>
  <si>
    <t>ADIC. IRPJ</t>
  </si>
  <si>
    <t>RESULTADO</t>
  </si>
  <si>
    <t>TOTAL</t>
  </si>
  <si>
    <t>IMPOSTOS</t>
  </si>
  <si>
    <t>% PIS/COFINS (1)</t>
  </si>
  <si>
    <t>IR</t>
  </si>
  <si>
    <t>PRESUNÇÃO DE LUCRO PARA O LUCRO PRESUMIDO</t>
  </si>
  <si>
    <t>PRESUNÇÃO DE LUCRO PARA A ATIVIDADE ESCOLHIDA</t>
  </si>
  <si>
    <r>
      <t xml:space="preserve">↓ ATIVIDADE </t>
    </r>
    <r>
      <rPr>
        <sz val="11"/>
        <color theme="1"/>
        <rFont val="Calibri"/>
        <family val="2"/>
      </rPr>
      <t>↓</t>
    </r>
  </si>
  <si>
    <t>↓ ANO ↓</t>
  </si>
  <si>
    <t>REVENDA DE COMBUSTÍVEIS</t>
  </si>
  <si>
    <t>SERVIÇOS DE TRANSPORTE (EXCETO O DE CARGA)</t>
  </si>
  <si>
    <t>SERVIÇOS DE TRANSPORTE DE CARGAS</t>
  </si>
  <si>
    <t>INTERMEDIAÇÃO DE NEGÓCIOS</t>
  </si>
  <si>
    <t>SERVIÇOS EM GERAL</t>
  </si>
  <si>
    <t>SERVIÇOS HOSPITALARES</t>
  </si>
  <si>
    <t>ATIVIDADE IMOBILIÁRIA</t>
  </si>
  <si>
    <t>T U T O R I A L</t>
  </si>
  <si>
    <t>.</t>
  </si>
  <si>
    <t>No caso do lucro presumido, o tipo de atividade exercida pela empresa determina o % de presunção do lucro a ser aplicado no cálculo do Imposto de Renda e da Contribuição Social sobre o Lucro Líquido (CSLL);</t>
  </si>
  <si>
    <t>PONTO DE EQUÍLIBRIO ENTRE LUCRO REAL E PRESUMIDO</t>
  </si>
  <si>
    <t>Mensal</t>
  </si>
  <si>
    <t>Anual</t>
  </si>
  <si>
    <t>%</t>
  </si>
  <si>
    <t>Descrição</t>
  </si>
  <si>
    <t>DIFERENÇA</t>
  </si>
  <si>
    <t>LP - LR</t>
  </si>
  <si>
    <t>LUCRO
REAL</t>
  </si>
  <si>
    <t>Faturamento</t>
  </si>
  <si>
    <t>C O N C L U S Ã O</t>
  </si>
  <si>
    <t>Aba 'Atividades'</t>
  </si>
  <si>
    <t>Aba 'CÁLCULO'</t>
  </si>
  <si>
    <t>Geral</t>
  </si>
  <si>
    <t>Os campos de preenchimento estão destacados pela cor azul degradê;</t>
  </si>
  <si>
    <t>É na aba 'Atividades' que deve estar cadastrada a atividade da empresa e seus respectivos percentuais de presunção de lucro para o IR e a CSLL. Caso sua atividade não esteja lá prevista, basta inclui-la;</t>
  </si>
  <si>
    <t>Nas células mescladas entre E3 e H3, da guia 'CÁLCULO', fica a lista das atividades cadastradas na aba 'Atividades'. Clicando nessa área, você visualizará a lista de atividades e poderá escolher aquela que esteja adequada à sua simulação de cálculo comparativo entre lucro real e lucro presumido;</t>
  </si>
  <si>
    <t>Nas células I24 e J24 você visualizará os percentuais de presunção de lucro correspondentes à atividade escolhida;</t>
  </si>
  <si>
    <t>Nos rótulos 'LUCRO PRESUMIDO' e 'LUCRO REAL', clicando no botão azul localizado do lado direito de ambos, você terá acesso às fórmulas e aos valores dos impostos e também poderá alterar suas alíquotas, caso necessário;</t>
  </si>
  <si>
    <t>O peso, em percentual, dos impostos sobre o faturamento aparece na célula Q20, para o Lucro Presumido, e na célula X20 para o Lucro Real. O percentual mais alto, que representa o maior custo, ficará destacado na cor vermelha e, por outro lado, o percentual menor ficará na cor verde. Caso os percentuais sejam idênticos, ambos ficarão na cor vermelha;</t>
  </si>
  <si>
    <t>(2) PESO DOS IMPOSTOS FEDERAIS SOBRE O FATURAMENTO BRUTO.</t>
  </si>
  <si>
    <t>Custos/despesas</t>
  </si>
  <si>
    <t>Através do quadro 'PONTO DE EQUILÍBRIO ENTRE LUCRO REAL E LUCRO PRESUMIDO' você consegue encontrar o valor de referência dos custos/despesas, ou do faturamento, que faz com que o peso dos impostos se igualem, tanto para o regime tributário do Lucro Real quanto para o do Lucro Presumido.</t>
  </si>
  <si>
    <t>FATURAMENTO MENSAL</t>
  </si>
  <si>
    <t>CUSTOS/DESP. MENSAIS</t>
  </si>
  <si>
    <t>Para a determinação do valor médio, considera-se a divisão do total do faturamento, ou dos custos/despesas, pela quantidade de linhas ocupadas no campo de Faturamento Mensal. Entenda por linhas ocupadas, as linhas preenchidas, mesmo que com valor zero;</t>
  </si>
  <si>
    <t>% IR</t>
  </si>
  <si>
    <t>% CSLL</t>
  </si>
  <si>
    <t>O botão 'RESTAURAR VALORES ANTERIORES' é bastante útil quando você precisar resgatar os valores anteriormente digitados nos campos de preenchimento de faturamento mensal e dos custos/despesas mensais (quadro à esquerda);</t>
  </si>
  <si>
    <t>Este recurso facilita a percepção dos valores extremos de faturamento e/ou custos/despesas, em relação a um determinado cenário proposto; ou seja, se você informar um faturamento mensal de R$ 100.000,00 e clicar no botão de executar (verde) saberá o valor médio dos custos/despesas que farão com que os impostos tenham o mesmo peso, independentemente do regime tributário (Lucro Real ou Lucro Presumido);</t>
  </si>
  <si>
    <t>Ainda neste quadro, o botão azul, localizado à esquerda do campo de preenchimento do valor, faz com que esse mesmo campo (Valor) seja preenchido com o valor médio dos faturamentos informados no quadro de preenchimento de faturamentos mensais. Isso, caso você tenha selecionado a opção 'Base: Faturamento Mensal", pois do contrário trará o valor médio dos custos/despesas mensais e botão estará na cor vermelha;</t>
  </si>
  <si>
    <t>Para limpar todos os campos de preenchimento ao mesmo tempo, esvazie o campo 'Valor' e clique no botão de executar (verde).</t>
  </si>
  <si>
    <t>O quadro 'CONCLUSÃO' apresenta uma resposta para cada cenário desenhado pela comparação do peso dos impostos de cada um dos dois regimes tributários analisados;</t>
  </si>
  <si>
    <t>(1) % DE APROVEITAMENTO DOS CRÉDITOS DE PIS/COFINS SOBRE OS CUSTOS/DESPESAS NO LUCRO REAL.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</si>
</sst>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* #,##0.00_);_(* \(#,##0.00\);_(* &quot;-&quot;??_);_(@_)"/>
    <numFmt numFmtId="165" formatCode="[$-416]mmm\-yy;@"/>
    <numFmt numFmtId="166" formatCode="0.000%"/>
    <numFmt numFmtId="167" formatCode="0.000%&quot; (2)&quot;"/>
    <numFmt numFmtId="168" formatCode="_-[$R$-416]\ * #,##0.00_-;\-[$R$-416]\ * #,##0.00_-;_-[$R$-416]\ * &quot;-&quot;??_-;_-@_-"/>
    <numFmt numFmtId="169" formatCode="0.0000%"/>
    <numFmt numFmtId="170" formatCode="#,##0.00_ ;[Red]\-#,##0.00\ 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b/>
      <i/>
      <u val="doubleAccounting"/>
      <sz val="16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gradientFill degree="90">
        <stop position="0">
          <color theme="0"/>
        </stop>
        <stop position="1">
          <color theme="0" tint="-0.49803155613879818"/>
        </stop>
      </gradientFill>
    </fill>
    <fill>
      <patternFill patternType="solid">
        <fgColor theme="0" tint="-0.24994659260841701"/>
        <bgColor indexed="64"/>
      </patternFill>
    </fill>
    <fill>
      <gradientFill degree="90">
        <stop position="0">
          <color theme="0"/>
        </stop>
        <stop position="1">
          <color theme="3" tint="0.59999389629810485"/>
        </stop>
      </gradientFill>
    </fill>
    <fill>
      <patternFill patternType="solid">
        <fgColor theme="0" tint="-0.499984740745262"/>
        <bgColor indexed="64"/>
      </patternFill>
    </fill>
    <fill>
      <gradientFill degree="90">
        <stop position="0">
          <color theme="0"/>
        </stop>
        <stop position="1">
          <color theme="0" tint="-0.1490218817712943"/>
        </stop>
      </gradientFill>
    </fill>
    <fill>
      <gradientFill degree="90">
        <stop position="0">
          <color theme="0"/>
        </stop>
        <stop position="1">
          <color theme="5" tint="0.4000061037018952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gradientFill type="path" left="0.5" right="0.5" top="0.5" bottom="0.5">
        <stop position="0">
          <color theme="0"/>
        </stop>
        <stop position="1">
          <color theme="3" tint="0.80001220740379042"/>
        </stop>
      </gradientFill>
    </fill>
    <fill>
      <gradientFill degree="90">
        <stop position="0">
          <color theme="0"/>
        </stop>
        <stop position="0.5">
          <color theme="0" tint="-0.1490218817712943"/>
        </stop>
        <stop position="1">
          <color theme="0"/>
        </stop>
      </gradientFill>
    </fill>
    <fill>
      <gradientFill degree="90">
        <stop position="0">
          <color theme="0"/>
        </stop>
        <stop position="0.5">
          <color theme="4" tint="-0.49800103762932219"/>
        </stop>
        <stop position="1">
          <color theme="0"/>
        </stop>
      </gradient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ck">
        <color theme="4" tint="-0.499984740745262"/>
      </left>
      <right/>
      <top style="thick">
        <color theme="4" tint="-0.499984740745262"/>
      </top>
      <bottom/>
      <diagonal/>
    </border>
    <border>
      <left/>
      <right/>
      <top style="thick">
        <color theme="4" tint="-0.499984740745262"/>
      </top>
      <bottom/>
      <diagonal/>
    </border>
    <border>
      <left/>
      <right style="thick">
        <color theme="4" tint="-0.499984740745262"/>
      </right>
      <top style="thick">
        <color theme="4" tint="-0.499984740745262"/>
      </top>
      <bottom/>
      <diagonal/>
    </border>
    <border>
      <left style="thick">
        <color theme="4" tint="-0.499984740745262"/>
      </left>
      <right/>
      <top/>
      <bottom/>
      <diagonal/>
    </border>
    <border>
      <left/>
      <right style="thick">
        <color theme="4" tint="-0.499984740745262"/>
      </right>
      <top/>
      <bottom/>
      <diagonal/>
    </border>
    <border>
      <left style="thick">
        <color theme="4" tint="-0.499984740745262"/>
      </left>
      <right/>
      <top/>
      <bottom style="thick">
        <color theme="4" tint="-0.499984740745262"/>
      </bottom>
      <diagonal/>
    </border>
    <border>
      <left/>
      <right/>
      <top/>
      <bottom style="thick">
        <color theme="4" tint="-0.499984740745262"/>
      </bottom>
      <diagonal/>
    </border>
    <border>
      <left/>
      <right style="thick">
        <color theme="4" tint="-0.499984740745262"/>
      </right>
      <top/>
      <bottom style="thick">
        <color theme="4" tint="-0.499984740745262"/>
      </bottom>
      <diagonal/>
    </border>
    <border>
      <left style="thick">
        <color theme="4" tint="-0.499984740745262"/>
      </left>
      <right/>
      <top style="thick">
        <color theme="4" tint="-0.499984740745262"/>
      </top>
      <bottom style="thick">
        <color theme="4" tint="-0.499984740745262"/>
      </bottom>
      <diagonal/>
    </border>
    <border>
      <left/>
      <right/>
      <top style="thick">
        <color theme="4" tint="-0.499984740745262"/>
      </top>
      <bottom style="thick">
        <color theme="4" tint="-0.499984740745262"/>
      </bottom>
      <diagonal/>
    </border>
    <border>
      <left/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1">
    <xf numFmtId="0" fontId="0" fillId="0" borderId="0" xfId="0"/>
    <xf numFmtId="164" fontId="0" fillId="0" borderId="0" xfId="1" applyFont="1" applyAlignment="1" applyProtection="1">
      <alignment vertical="center"/>
    </xf>
    <xf numFmtId="164" fontId="0" fillId="0" borderId="0" xfId="1" applyFont="1" applyFill="1" applyBorder="1" applyAlignment="1" applyProtection="1">
      <alignment vertical="center"/>
    </xf>
    <xf numFmtId="0" fontId="0" fillId="0" borderId="0" xfId="1" applyNumberFormat="1" applyFont="1" applyAlignment="1" applyProtection="1">
      <alignment horizontal="center" vertical="center"/>
    </xf>
    <xf numFmtId="164" fontId="3" fillId="2" borderId="13" xfId="1" applyFont="1" applyFill="1" applyBorder="1" applyAlignment="1" applyProtection="1">
      <alignment horizontal="center" vertical="center"/>
    </xf>
    <xf numFmtId="164" fontId="3" fillId="2" borderId="10" xfId="1" applyFont="1" applyFill="1" applyBorder="1" applyAlignment="1" applyProtection="1">
      <alignment horizontal="center" vertical="center"/>
    </xf>
    <xf numFmtId="164" fontId="3" fillId="0" borderId="11" xfId="1" applyFont="1" applyFill="1" applyBorder="1" applyAlignment="1" applyProtection="1">
      <alignment horizontal="center" vertical="center"/>
    </xf>
    <xf numFmtId="164" fontId="3" fillId="2" borderId="12" xfId="1" applyFont="1" applyFill="1" applyBorder="1" applyAlignment="1" applyProtection="1">
      <alignment horizontal="center" vertical="center"/>
    </xf>
    <xf numFmtId="165" fontId="0" fillId="0" borderId="11" xfId="1" applyNumberFormat="1" applyFont="1" applyFill="1" applyBorder="1" applyAlignment="1" applyProtection="1">
      <alignment horizontal="center" vertical="center"/>
    </xf>
    <xf numFmtId="164" fontId="3" fillId="2" borderId="1" xfId="1" applyFont="1" applyFill="1" applyBorder="1" applyAlignment="1" applyProtection="1">
      <alignment vertical="center"/>
    </xf>
    <xf numFmtId="164" fontId="4" fillId="2" borderId="1" xfId="1" applyFont="1" applyFill="1" applyBorder="1" applyAlignment="1" applyProtection="1">
      <alignment vertical="center"/>
    </xf>
    <xf numFmtId="164" fontId="0" fillId="2" borderId="1" xfId="1" applyFont="1" applyFill="1" applyBorder="1" applyAlignment="1" applyProtection="1">
      <alignment vertical="center"/>
    </xf>
    <xf numFmtId="164" fontId="3" fillId="0" borderId="11" xfId="1" applyFont="1" applyFill="1" applyBorder="1" applyAlignment="1" applyProtection="1">
      <alignment vertical="center"/>
    </xf>
    <xf numFmtId="164" fontId="0" fillId="0" borderId="1" xfId="1" applyFont="1" applyBorder="1" applyAlignment="1" applyProtection="1">
      <alignment vertical="center"/>
    </xf>
    <xf numFmtId="164" fontId="6" fillId="0" borderId="0" xfId="1" applyFont="1" applyAlignment="1" applyProtection="1">
      <alignment vertical="center"/>
    </xf>
    <xf numFmtId="166" fontId="6" fillId="0" borderId="1" xfId="2" applyNumberFormat="1" applyFont="1" applyBorder="1" applyAlignment="1" applyProtection="1">
      <alignment horizontal="center" vertical="center"/>
    </xf>
    <xf numFmtId="10" fontId="1" fillId="0" borderId="1" xfId="2" applyNumberFormat="1" applyFont="1" applyBorder="1" applyAlignment="1" applyProtection="1">
      <alignment horizontal="center" vertical="center"/>
    </xf>
    <xf numFmtId="0" fontId="0" fillId="0" borderId="0" xfId="1" applyNumberFormat="1" applyFont="1" applyAlignment="1" applyProtection="1">
      <alignment vertical="top" wrapText="1"/>
    </xf>
    <xf numFmtId="10" fontId="0" fillId="0" borderId="0" xfId="2" applyNumberFormat="1" applyFont="1" applyAlignment="1">
      <alignment horizontal="center"/>
    </xf>
    <xf numFmtId="164" fontId="0" fillId="6" borderId="20" xfId="1" applyFont="1" applyFill="1" applyBorder="1" applyAlignment="1" applyProtection="1">
      <alignment vertical="center"/>
      <protection locked="0"/>
    </xf>
    <xf numFmtId="164" fontId="2" fillId="6" borderId="20" xfId="1" applyFont="1" applyFill="1" applyBorder="1" applyAlignment="1" applyProtection="1">
      <alignment vertical="center"/>
      <protection locked="0"/>
    </xf>
    <xf numFmtId="10" fontId="3" fillId="6" borderId="12" xfId="1" applyNumberFormat="1" applyFont="1" applyFill="1" applyBorder="1" applyAlignment="1" applyProtection="1">
      <alignment horizontal="center" vertical="center"/>
    </xf>
    <xf numFmtId="9" fontId="3" fillId="6" borderId="12" xfId="1" applyNumberFormat="1" applyFont="1" applyFill="1" applyBorder="1" applyAlignment="1" applyProtection="1">
      <alignment horizontal="center" vertical="center"/>
    </xf>
    <xf numFmtId="164" fontId="0" fillId="3" borderId="26" xfId="1" applyFont="1" applyFill="1" applyBorder="1" applyAlignment="1" applyProtection="1">
      <alignment horizontal="center" vertical="center"/>
    </xf>
    <xf numFmtId="164" fontId="0" fillId="3" borderId="27" xfId="1" applyFont="1" applyFill="1" applyBorder="1" applyAlignment="1" applyProtection="1">
      <alignment horizontal="center" vertical="center"/>
    </xf>
    <xf numFmtId="0" fontId="3" fillId="6" borderId="26" xfId="1" applyNumberFormat="1" applyFont="1" applyFill="1" applyBorder="1" applyAlignment="1" applyProtection="1">
      <alignment horizontal="center" vertical="center"/>
      <protection locked="0"/>
    </xf>
    <xf numFmtId="10" fontId="3" fillId="6" borderId="27" xfId="2" applyNumberFormat="1" applyFont="1" applyFill="1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right" vertical="top"/>
    </xf>
    <xf numFmtId="0" fontId="0" fillId="0" borderId="29" xfId="0" applyBorder="1" applyAlignment="1" applyProtection="1">
      <alignment horizontal="right" vertical="top"/>
    </xf>
    <xf numFmtId="164" fontId="0" fillId="0" borderId="0" xfId="1" applyFont="1" applyBorder="1" applyAlignment="1" applyProtection="1">
      <alignment vertical="center"/>
    </xf>
    <xf numFmtId="164" fontId="0" fillId="0" borderId="0" xfId="1" applyFont="1" applyAlignment="1" applyProtection="1">
      <alignment vertical="center"/>
      <protection locked="0"/>
    </xf>
    <xf numFmtId="164" fontId="3" fillId="8" borderId="1" xfId="1" applyFont="1" applyFill="1" applyBorder="1" applyAlignment="1" applyProtection="1">
      <alignment horizontal="center" vertical="center"/>
    </xf>
    <xf numFmtId="164" fontId="1" fillId="0" borderId="1" xfId="1" applyFont="1" applyBorder="1" applyAlignment="1" applyProtection="1">
      <alignment horizontal="center" vertical="center"/>
    </xf>
    <xf numFmtId="43" fontId="0" fillId="0" borderId="0" xfId="1" applyNumberFormat="1" applyFont="1" applyAlignment="1" applyProtection="1">
      <alignment vertical="top" wrapText="1"/>
    </xf>
    <xf numFmtId="164" fontId="1" fillId="0" borderId="4" xfId="1" applyFont="1" applyFill="1" applyBorder="1" applyAlignment="1" applyProtection="1">
      <alignment horizontal="right" vertical="center"/>
    </xf>
    <xf numFmtId="166" fontId="1" fillId="0" borderId="1" xfId="2" applyNumberFormat="1" applyFont="1" applyBorder="1" applyAlignment="1" applyProtection="1">
      <alignment horizontal="right" vertical="center"/>
    </xf>
    <xf numFmtId="164" fontId="0" fillId="0" borderId="0" xfId="1" applyFont="1" applyAlignment="1" applyProtection="1">
      <alignment horizontal="right" vertical="center"/>
    </xf>
    <xf numFmtId="169" fontId="8" fillId="11" borderId="1" xfId="2" applyNumberFormat="1" applyFont="1" applyFill="1" applyBorder="1" applyAlignment="1" applyProtection="1">
      <alignment horizontal="right" vertical="center"/>
    </xf>
    <xf numFmtId="167" fontId="8" fillId="0" borderId="1" xfId="2" applyNumberFormat="1" applyFont="1" applyFill="1" applyBorder="1" applyAlignment="1" applyProtection="1">
      <alignment horizontal="righ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vertical="center" wrapText="1"/>
    </xf>
    <xf numFmtId="0" fontId="0" fillId="0" borderId="28" xfId="0" applyBorder="1" applyAlignment="1" applyProtection="1">
      <alignment horizontal="right" vertical="center"/>
    </xf>
    <xf numFmtId="0" fontId="0" fillId="0" borderId="28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horizontal="right" vertical="center"/>
    </xf>
    <xf numFmtId="0" fontId="0" fillId="0" borderId="29" xfId="0" applyBorder="1" applyAlignment="1" applyProtection="1">
      <alignment vertical="center" wrapText="1"/>
    </xf>
    <xf numFmtId="170" fontId="0" fillId="0" borderId="17" xfId="1" applyNumberFormat="1" applyFont="1" applyBorder="1" applyAlignment="1" applyProtection="1">
      <alignment vertical="center"/>
    </xf>
    <xf numFmtId="170" fontId="0" fillId="0" borderId="20" xfId="1" applyNumberFormat="1" applyFont="1" applyBorder="1" applyAlignment="1" applyProtection="1">
      <alignment vertical="center"/>
    </xf>
    <xf numFmtId="170" fontId="0" fillId="0" borderId="21" xfId="1" applyNumberFormat="1" applyFont="1" applyBorder="1" applyAlignment="1" applyProtection="1">
      <alignment vertical="center"/>
    </xf>
    <xf numFmtId="170" fontId="0" fillId="0" borderId="22" xfId="1" applyNumberFormat="1" applyFont="1" applyBorder="1" applyAlignment="1" applyProtection="1">
      <alignment vertical="center"/>
    </xf>
    <xf numFmtId="170" fontId="1" fillId="0" borderId="22" xfId="1" applyNumberFormat="1" applyFont="1" applyBorder="1" applyAlignment="1" applyProtection="1">
      <alignment vertical="center"/>
    </xf>
    <xf numFmtId="170" fontId="0" fillId="0" borderId="23" xfId="1" applyNumberFormat="1" applyFont="1" applyBorder="1" applyAlignment="1" applyProtection="1">
      <alignment vertical="center"/>
    </xf>
    <xf numFmtId="170" fontId="1" fillId="0" borderId="23" xfId="1" applyNumberFormat="1" applyFont="1" applyBorder="1" applyAlignment="1" applyProtection="1">
      <alignment vertical="center"/>
    </xf>
    <xf numFmtId="170" fontId="0" fillId="0" borderId="24" xfId="1" applyNumberFormat="1" applyFont="1" applyBorder="1" applyAlignment="1" applyProtection="1">
      <alignment vertical="center"/>
    </xf>
    <xf numFmtId="170" fontId="1" fillId="0" borderId="24" xfId="1" applyNumberFormat="1" applyFont="1" applyBorder="1" applyAlignment="1" applyProtection="1">
      <alignment vertical="center"/>
    </xf>
    <xf numFmtId="170" fontId="3" fillId="2" borderId="1" xfId="1" applyNumberFormat="1" applyFont="1" applyFill="1" applyBorder="1" applyAlignment="1" applyProtection="1">
      <alignment vertical="center"/>
    </xf>
    <xf numFmtId="170" fontId="3" fillId="0" borderId="1" xfId="1" applyNumberFormat="1" applyFont="1" applyFill="1" applyBorder="1" applyAlignment="1" applyProtection="1">
      <alignment vertical="center"/>
    </xf>
    <xf numFmtId="170" fontId="3" fillId="11" borderId="1" xfId="1" applyNumberFormat="1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right" vertical="top"/>
    </xf>
    <xf numFmtId="0" fontId="0" fillId="0" borderId="0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vertical="center"/>
    </xf>
    <xf numFmtId="0" fontId="3" fillId="5" borderId="1" xfId="0" applyFont="1" applyFill="1" applyBorder="1" applyAlignment="1">
      <alignment horizontal="center" vertical="top"/>
    </xf>
    <xf numFmtId="10" fontId="3" fillId="5" borderId="1" xfId="2" applyNumberFormat="1" applyFont="1" applyFill="1" applyBorder="1" applyAlignment="1">
      <alignment horizontal="center" vertical="top"/>
    </xf>
    <xf numFmtId="0" fontId="0" fillId="0" borderId="0" xfId="0" applyAlignment="1">
      <alignment vertical="top"/>
    </xf>
    <xf numFmtId="164" fontId="1" fillId="6" borderId="17" xfId="1" applyFont="1" applyFill="1" applyBorder="1" applyAlignment="1" applyProtection="1">
      <alignment vertical="center"/>
      <protection locked="0"/>
    </xf>
    <xf numFmtId="164" fontId="2" fillId="6" borderId="17" xfId="1" applyFont="1" applyFill="1" applyBorder="1" applyAlignment="1" applyProtection="1">
      <alignment vertical="center"/>
      <protection locked="0"/>
    </xf>
    <xf numFmtId="0" fontId="10" fillId="0" borderId="0" xfId="1" applyNumberFormat="1" applyFont="1" applyAlignment="1" applyProtection="1">
      <alignment horizontal="left" vertical="center"/>
    </xf>
    <xf numFmtId="0" fontId="11" fillId="0" borderId="0" xfId="1" applyNumberFormat="1" applyFont="1" applyBorder="1" applyAlignment="1" applyProtection="1">
      <alignment horizontal="left" vertical="center"/>
    </xf>
    <xf numFmtId="0" fontId="5" fillId="7" borderId="8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164" fontId="0" fillId="0" borderId="8" xfId="1" applyFont="1" applyBorder="1" applyAlignment="1" applyProtection="1">
      <alignment horizontal="center" vertical="center"/>
    </xf>
    <xf numFmtId="164" fontId="0" fillId="0" borderId="9" xfId="1" applyFont="1" applyBorder="1" applyAlignment="1" applyProtection="1">
      <alignment horizontal="center" vertical="center"/>
    </xf>
    <xf numFmtId="165" fontId="0" fillId="0" borderId="18" xfId="1" applyNumberFormat="1" applyFont="1" applyBorder="1" applyAlignment="1" applyProtection="1">
      <alignment horizontal="center" vertical="center"/>
    </xf>
    <xf numFmtId="165" fontId="0" fillId="0" borderId="19" xfId="1" applyNumberFormat="1" applyFont="1" applyBorder="1" applyAlignment="1" applyProtection="1">
      <alignment horizontal="center" vertical="center"/>
    </xf>
    <xf numFmtId="164" fontId="0" fillId="3" borderId="25" xfId="1" applyFont="1" applyFill="1" applyBorder="1" applyAlignment="1" applyProtection="1">
      <alignment horizontal="center" vertical="center"/>
    </xf>
    <xf numFmtId="164" fontId="0" fillId="3" borderId="26" xfId="1" applyFont="1" applyFill="1" applyBorder="1" applyAlignment="1" applyProtection="1">
      <alignment horizontal="center" vertical="center"/>
    </xf>
    <xf numFmtId="164" fontId="3" fillId="6" borderId="25" xfId="1" applyFont="1" applyFill="1" applyBorder="1" applyAlignment="1" applyProtection="1">
      <alignment horizontal="center" vertical="center" shrinkToFit="1"/>
      <protection locked="0"/>
    </xf>
    <xf numFmtId="164" fontId="3" fillId="6" borderId="26" xfId="1" applyFont="1" applyFill="1" applyBorder="1" applyAlignment="1" applyProtection="1">
      <alignment horizontal="center" vertical="center" shrinkToFit="1"/>
      <protection locked="0"/>
    </xf>
    <xf numFmtId="164" fontId="3" fillId="4" borderId="0" xfId="1" applyFont="1" applyFill="1" applyBorder="1" applyAlignment="1" applyProtection="1">
      <alignment horizontal="center" vertical="center" wrapText="1"/>
    </xf>
    <xf numFmtId="164" fontId="3" fillId="4" borderId="6" xfId="1" applyFont="1" applyFill="1" applyBorder="1" applyAlignment="1" applyProtection="1">
      <alignment horizontal="center" vertical="center" wrapText="1"/>
    </xf>
    <xf numFmtId="164" fontId="3" fillId="2" borderId="8" xfId="1" applyFont="1" applyFill="1" applyBorder="1" applyAlignment="1" applyProtection="1">
      <alignment horizontal="center" vertical="center"/>
    </xf>
    <xf numFmtId="164" fontId="3" fillId="2" borderId="9" xfId="1" applyFont="1" applyFill="1" applyBorder="1" applyAlignment="1" applyProtection="1">
      <alignment horizontal="center" vertical="center"/>
    </xf>
    <xf numFmtId="164" fontId="3" fillId="2" borderId="10" xfId="1" applyFont="1" applyFill="1" applyBorder="1" applyAlignment="1" applyProtection="1">
      <alignment horizontal="center" vertical="center" wrapText="1"/>
    </xf>
    <xf numFmtId="164" fontId="3" fillId="2" borderId="12" xfId="1" applyFont="1" applyFill="1" applyBorder="1" applyAlignment="1" applyProtection="1">
      <alignment horizontal="center" vertical="center" wrapText="1"/>
    </xf>
    <xf numFmtId="164" fontId="3" fillId="2" borderId="10" xfId="1" applyFont="1" applyFill="1" applyBorder="1" applyAlignment="1" applyProtection="1">
      <alignment horizontal="center" vertical="center"/>
    </xf>
    <xf numFmtId="164" fontId="3" fillId="2" borderId="12" xfId="1" applyFont="1" applyFill="1" applyBorder="1" applyAlignment="1" applyProtection="1">
      <alignment horizontal="center" vertical="center"/>
    </xf>
    <xf numFmtId="165" fontId="0" fillId="0" borderId="15" xfId="1" applyNumberFormat="1" applyFont="1" applyBorder="1" applyAlignment="1" applyProtection="1">
      <alignment horizontal="center" vertical="center"/>
    </xf>
    <xf numFmtId="165" fontId="0" fillId="0" borderId="16" xfId="1" applyNumberFormat="1" applyFont="1" applyBorder="1" applyAlignment="1" applyProtection="1">
      <alignment horizontal="center" vertical="center"/>
    </xf>
    <xf numFmtId="164" fontId="3" fillId="2" borderId="2" xfId="1" applyFont="1" applyFill="1" applyBorder="1" applyAlignment="1" applyProtection="1">
      <alignment horizontal="center" vertical="center"/>
    </xf>
    <xf numFmtId="164" fontId="3" fillId="2" borderId="3" xfId="1" applyFont="1" applyFill="1" applyBorder="1" applyAlignment="1" applyProtection="1">
      <alignment horizontal="center" vertical="center"/>
    </xf>
    <xf numFmtId="164" fontId="3" fillId="2" borderId="5" xfId="1" applyFont="1" applyFill="1" applyBorder="1" applyAlignment="1" applyProtection="1">
      <alignment horizontal="center" vertical="center"/>
    </xf>
    <xf numFmtId="164" fontId="3" fillId="2" borderId="7" xfId="1" applyFont="1" applyFill="1" applyBorder="1" applyAlignment="1" applyProtection="1">
      <alignment horizontal="center" vertical="center"/>
    </xf>
    <xf numFmtId="164" fontId="1" fillId="0" borderId="1" xfId="1" applyFont="1" applyBorder="1" applyAlignment="1" applyProtection="1">
      <alignment horizontal="center" vertical="center" wrapText="1" shrinkToFit="1"/>
    </xf>
    <xf numFmtId="164" fontId="1" fillId="8" borderId="1" xfId="1" applyFont="1" applyFill="1" applyBorder="1" applyAlignment="1" applyProtection="1">
      <alignment horizontal="center" vertical="center"/>
    </xf>
    <xf numFmtId="164" fontId="0" fillId="0" borderId="30" xfId="1" applyFont="1" applyBorder="1" applyAlignment="1" applyProtection="1">
      <alignment horizontal="center" vertical="center"/>
    </xf>
    <xf numFmtId="164" fontId="0" fillId="0" borderId="0" xfId="1" applyFont="1" applyBorder="1" applyAlignment="1" applyProtection="1">
      <alignment horizontal="center" vertical="center"/>
    </xf>
    <xf numFmtId="164" fontId="0" fillId="0" borderId="5" xfId="1" applyFont="1" applyBorder="1" applyAlignment="1" applyProtection="1">
      <alignment horizontal="center" vertical="center"/>
    </xf>
    <xf numFmtId="164" fontId="0" fillId="0" borderId="6" xfId="1" applyFont="1" applyBorder="1" applyAlignment="1" applyProtection="1">
      <alignment horizontal="center" vertical="center"/>
    </xf>
    <xf numFmtId="164" fontId="0" fillId="0" borderId="4" xfId="1" applyFont="1" applyBorder="1" applyAlignment="1" applyProtection="1">
      <alignment horizontal="center" vertical="center"/>
    </xf>
    <xf numFmtId="164" fontId="0" fillId="0" borderId="7" xfId="1" applyFont="1" applyBorder="1" applyAlignment="1" applyProtection="1">
      <alignment horizontal="center" vertical="center"/>
    </xf>
    <xf numFmtId="10" fontId="0" fillId="0" borderId="1" xfId="2" applyNumberFormat="1" applyFont="1" applyBorder="1" applyAlignment="1" applyProtection="1">
      <alignment horizontal="center" vertical="center"/>
    </xf>
    <xf numFmtId="170" fontId="0" fillId="0" borderId="1" xfId="1" applyNumberFormat="1" applyFont="1" applyBorder="1" applyAlignment="1" applyProtection="1">
      <alignment horizontal="right" vertical="center"/>
    </xf>
    <xf numFmtId="170" fontId="1" fillId="0" borderId="1" xfId="1" applyNumberFormat="1" applyFont="1" applyFill="1" applyBorder="1" applyAlignment="1" applyProtection="1">
      <alignment horizontal="right" vertical="center"/>
    </xf>
    <xf numFmtId="164" fontId="0" fillId="0" borderId="1" xfId="1" applyFont="1" applyBorder="1" applyAlignment="1" applyProtection="1">
      <alignment horizontal="center" vertical="center"/>
    </xf>
    <xf numFmtId="164" fontId="3" fillId="9" borderId="0" xfId="1" applyFont="1" applyFill="1" applyAlignment="1" applyProtection="1">
      <alignment horizontal="center" vertical="center"/>
    </xf>
    <xf numFmtId="164" fontId="3" fillId="9" borderId="6" xfId="1" applyFont="1" applyFill="1" applyBorder="1" applyAlignment="1" applyProtection="1">
      <alignment horizontal="center" vertical="center"/>
    </xf>
    <xf numFmtId="0" fontId="13" fillId="13" borderId="31" xfId="1" applyNumberFormat="1" applyFont="1" applyFill="1" applyBorder="1" applyAlignment="1" applyProtection="1">
      <alignment horizontal="center" vertical="center" wrapText="1"/>
    </xf>
    <xf numFmtId="0" fontId="13" fillId="13" borderId="32" xfId="1" applyNumberFormat="1" applyFont="1" applyFill="1" applyBorder="1" applyAlignment="1" applyProtection="1">
      <alignment horizontal="center" vertical="center" wrapText="1"/>
    </xf>
    <xf numFmtId="0" fontId="13" fillId="13" borderId="33" xfId="1" applyNumberFormat="1" applyFont="1" applyFill="1" applyBorder="1" applyAlignment="1" applyProtection="1">
      <alignment horizontal="center" vertical="center" wrapText="1"/>
    </xf>
    <xf numFmtId="0" fontId="13" fillId="13" borderId="34" xfId="1" applyNumberFormat="1" applyFont="1" applyFill="1" applyBorder="1" applyAlignment="1" applyProtection="1">
      <alignment horizontal="center" vertical="center" wrapText="1"/>
    </xf>
    <xf numFmtId="0" fontId="13" fillId="13" borderId="0" xfId="1" applyNumberFormat="1" applyFont="1" applyFill="1" applyBorder="1" applyAlignment="1" applyProtection="1">
      <alignment horizontal="center" vertical="center" wrapText="1"/>
    </xf>
    <xf numFmtId="0" fontId="13" fillId="13" borderId="35" xfId="1" applyNumberFormat="1" applyFont="1" applyFill="1" applyBorder="1" applyAlignment="1" applyProtection="1">
      <alignment horizontal="center" vertical="center" wrapText="1"/>
    </xf>
    <xf numFmtId="0" fontId="13" fillId="13" borderId="36" xfId="1" applyNumberFormat="1" applyFont="1" applyFill="1" applyBorder="1" applyAlignment="1" applyProtection="1">
      <alignment horizontal="center" vertical="center" wrapText="1"/>
    </xf>
    <xf numFmtId="0" fontId="13" fillId="13" borderId="37" xfId="1" applyNumberFormat="1" applyFont="1" applyFill="1" applyBorder="1" applyAlignment="1" applyProtection="1">
      <alignment horizontal="center" vertical="center" wrapText="1"/>
    </xf>
    <xf numFmtId="0" fontId="13" fillId="13" borderId="38" xfId="1" applyNumberFormat="1" applyFont="1" applyFill="1" applyBorder="1" applyAlignment="1" applyProtection="1">
      <alignment horizontal="center" vertical="center" wrapText="1"/>
    </xf>
    <xf numFmtId="164" fontId="12" fillId="0" borderId="0" xfId="1" applyFont="1" applyBorder="1" applyAlignment="1" applyProtection="1">
      <alignment horizontal="left" vertical="center"/>
    </xf>
    <xf numFmtId="10" fontId="3" fillId="2" borderId="1" xfId="2" applyNumberFormat="1" applyFont="1" applyFill="1" applyBorder="1" applyAlignment="1" applyProtection="1">
      <alignment horizontal="center" vertical="center"/>
    </xf>
    <xf numFmtId="170" fontId="3" fillId="2" borderId="1" xfId="1" applyNumberFormat="1" applyFont="1" applyFill="1" applyBorder="1" applyAlignment="1" applyProtection="1">
      <alignment horizontal="right" vertical="center"/>
    </xf>
    <xf numFmtId="164" fontId="3" fillId="2" borderId="1" xfId="1" applyFont="1" applyFill="1" applyBorder="1" applyAlignment="1" applyProtection="1">
      <alignment horizontal="center" vertical="center"/>
    </xf>
    <xf numFmtId="164" fontId="3" fillId="14" borderId="10" xfId="1" applyFont="1" applyFill="1" applyBorder="1" applyAlignment="1" applyProtection="1">
      <alignment horizontal="center" vertical="center"/>
    </xf>
    <xf numFmtId="164" fontId="3" fillId="8" borderId="1" xfId="1" applyFont="1" applyFill="1" applyBorder="1" applyAlignment="1" applyProtection="1">
      <alignment horizontal="center" vertical="center"/>
    </xf>
    <xf numFmtId="164" fontId="3" fillId="10" borderId="10" xfId="1" applyFont="1" applyFill="1" applyBorder="1" applyAlignment="1" applyProtection="1">
      <alignment horizontal="center" vertical="center"/>
    </xf>
    <xf numFmtId="164" fontId="3" fillId="10" borderId="12" xfId="1" applyFont="1" applyFill="1" applyBorder="1" applyAlignment="1" applyProtection="1">
      <alignment horizontal="center" vertical="center"/>
    </xf>
    <xf numFmtId="164" fontId="14" fillId="12" borderId="39" xfId="1" applyFont="1" applyFill="1" applyBorder="1" applyAlignment="1" applyProtection="1">
      <alignment horizontal="center" vertical="center"/>
    </xf>
    <xf numFmtId="164" fontId="14" fillId="12" borderId="40" xfId="1" applyFont="1" applyFill="1" applyBorder="1" applyAlignment="1" applyProtection="1">
      <alignment horizontal="center" vertical="center"/>
    </xf>
    <xf numFmtId="164" fontId="14" fillId="12" borderId="41" xfId="1" applyFont="1" applyFill="1" applyBorder="1" applyAlignment="1" applyProtection="1">
      <alignment horizontal="center" vertical="center"/>
    </xf>
    <xf numFmtId="168" fontId="5" fillId="15" borderId="7" xfId="1" applyNumberFormat="1" applyFont="1" applyFill="1" applyBorder="1" applyAlignment="1" applyProtection="1">
      <alignment horizontal="center" vertical="center"/>
      <protection locked="0"/>
    </xf>
    <xf numFmtId="168" fontId="5" fillId="15" borderId="5" xfId="1" applyNumberFormat="1" applyFont="1" applyFill="1" applyBorder="1" applyAlignment="1" applyProtection="1">
      <alignment horizontal="center" vertical="center"/>
      <protection locked="0"/>
    </xf>
    <xf numFmtId="168" fontId="5" fillId="15" borderId="9" xfId="1" applyNumberFormat="1" applyFont="1" applyFill="1" applyBorder="1" applyAlignment="1" applyProtection="1">
      <alignment horizontal="center" vertical="center"/>
      <protection locked="0"/>
    </xf>
    <xf numFmtId="168" fontId="5" fillId="15" borderId="8" xfId="1" applyNumberFormat="1" applyFont="1" applyFill="1" applyBorder="1" applyAlignment="1" applyProtection="1">
      <alignment horizontal="center" vertical="center"/>
      <protection locked="0"/>
    </xf>
  </cellXfs>
  <cellStyles count="3">
    <cellStyle name="Normal" xfId="0" builtinId="0"/>
    <cellStyle name="Porcentagem" xfId="2" builtinId="5"/>
    <cellStyle name="Vírgula" xfId="1" builtinId="3"/>
  </cellStyles>
  <dxfs count="3">
    <dxf>
      <font>
        <color rgb="FFFF0000"/>
      </font>
    </dxf>
    <dxf>
      <fill>
        <gradientFill degree="90">
          <stop position="0">
            <color theme="0"/>
          </stop>
          <stop position="1">
            <color theme="3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3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66"/>
      <color rgb="FFE79D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</xdr:row>
          <xdr:rowOff>9525</xdr:rowOff>
        </xdr:from>
        <xdr:to>
          <xdr:col>30</xdr:col>
          <xdr:colOff>457200</xdr:colOff>
          <xdr:row>3</xdr:row>
          <xdr:rowOff>19050</xdr:rowOff>
        </xdr:to>
        <xdr:sp macro="" textlink="">
          <xdr:nvSpPr>
            <xdr:cNvPr id="1080" name="OptFatVlrDado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2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76200</xdr:colOff>
          <xdr:row>3</xdr:row>
          <xdr:rowOff>19050</xdr:rowOff>
        </xdr:from>
        <xdr:to>
          <xdr:col>30</xdr:col>
          <xdr:colOff>733425</xdr:colOff>
          <xdr:row>4</xdr:row>
          <xdr:rowOff>171450</xdr:rowOff>
        </xdr:to>
        <xdr:sp macro="" textlink="">
          <xdr:nvSpPr>
            <xdr:cNvPr id="1081" name="OptCustosVlrDado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2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30</xdr:col>
      <xdr:colOff>515467</xdr:colOff>
      <xdr:row>20</xdr:row>
      <xdr:rowOff>92269</xdr:rowOff>
    </xdr:from>
    <xdr:to>
      <xdr:col>33</xdr:col>
      <xdr:colOff>552557</xdr:colOff>
      <xdr:row>22</xdr:row>
      <xdr:rowOff>104064</xdr:rowOff>
    </xdr:to>
    <xdr:sp macro="[0]!RestaurarValores" textlink="">
      <xdr:nvSpPr>
        <xdr:cNvPr id="2" name="BotaoRestaurarValore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0732119" y="3818716"/>
          <a:ext cx="2053166" cy="30255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>
              <a:solidFill>
                <a:schemeClr val="tx2">
                  <a:lumMod val="50000"/>
                </a:schemeClr>
              </a:solidFill>
            </a:rPr>
            <a:t>RESTAURAR VALORES ANTERIORES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885825</xdr:colOff>
          <xdr:row>1</xdr:row>
          <xdr:rowOff>85725</xdr:rowOff>
        </xdr:from>
        <xdr:to>
          <xdr:col>16</xdr:col>
          <xdr:colOff>1009650</xdr:colOff>
          <xdr:row>1</xdr:row>
          <xdr:rowOff>228600</xdr:rowOff>
        </xdr:to>
        <xdr:sp macro="" textlink="">
          <xdr:nvSpPr>
            <xdr:cNvPr id="1092" name="BotaoExibirLP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2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885825</xdr:colOff>
          <xdr:row>1</xdr:row>
          <xdr:rowOff>85725</xdr:rowOff>
        </xdr:from>
        <xdr:to>
          <xdr:col>23</xdr:col>
          <xdr:colOff>1009650</xdr:colOff>
          <xdr:row>1</xdr:row>
          <xdr:rowOff>228600</xdr:rowOff>
        </xdr:to>
        <xdr:sp macro="" textlink="">
          <xdr:nvSpPr>
            <xdr:cNvPr id="1094" name="BotaoExibirLR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2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30</xdr:col>
      <xdr:colOff>751418</xdr:colOff>
      <xdr:row>2</xdr:row>
      <xdr:rowOff>169332</xdr:rowOff>
    </xdr:from>
    <xdr:to>
      <xdr:col>30</xdr:col>
      <xdr:colOff>899584</xdr:colOff>
      <xdr:row>4</xdr:row>
      <xdr:rowOff>63499</xdr:rowOff>
    </xdr:to>
    <xdr:sp macro="[0]!BotaoVlrMedio_Clique" textlink="">
      <xdr:nvSpPr>
        <xdr:cNvPr id="3" name="BotaoVlrMedi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0964335" y="497415"/>
          <a:ext cx="148166" cy="148167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33</xdr:col>
      <xdr:colOff>90241</xdr:colOff>
      <xdr:row>2</xdr:row>
      <xdr:rowOff>60158</xdr:rowOff>
    </xdr:from>
    <xdr:to>
      <xdr:col>33</xdr:col>
      <xdr:colOff>491291</xdr:colOff>
      <xdr:row>4</xdr:row>
      <xdr:rowOff>110289</xdr:rowOff>
    </xdr:to>
    <xdr:grpSp>
      <xdr:nvGrpSpPr>
        <xdr:cNvPr id="7" name="BotaoExecutar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2292267" y="421105"/>
          <a:ext cx="401050" cy="310816"/>
          <a:chOff x="12954002" y="411079"/>
          <a:chExt cx="421103" cy="320842"/>
        </a:xfrm>
      </xdr:grpSpPr>
      <xdr:sp macro="[0]!AtingirMetaVlrDado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12954002" y="411079"/>
            <a:ext cx="421103" cy="320842"/>
          </a:xfrm>
          <a:prstGeom prst="rect">
            <a:avLst/>
          </a:prstGeom>
          <a:solidFill>
            <a:srgbClr val="00B050"/>
          </a:solidFill>
          <a:ln w="9525" cmpd="sng">
            <a:solidFill>
              <a:schemeClr val="tx1">
                <a:lumMod val="50000"/>
                <a:lumOff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6" name="Forma em L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 rot="2421124" flipH="1">
            <a:off x="13108093" y="453008"/>
            <a:ext cx="108764" cy="196377"/>
          </a:xfrm>
          <a:prstGeom prst="corner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mments" Target="../comments2.xml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Tutorial">
    <pageSetUpPr fitToPage="1"/>
  </sheetPr>
  <dimension ref="B1:C22"/>
  <sheetViews>
    <sheetView showGridLines="0" workbookViewId="0">
      <selection activeCell="C22" sqref="C22"/>
    </sheetView>
  </sheetViews>
  <sheetFormatPr defaultColWidth="9.140625" defaultRowHeight="22.5" customHeight="1" x14ac:dyDescent="0.25"/>
  <cols>
    <col min="1" max="1" width="3.85546875" style="39" customWidth="1"/>
    <col min="2" max="2" width="1.85546875" style="40" customWidth="1"/>
    <col min="3" max="3" width="134.140625" style="41" bestFit="1" customWidth="1"/>
    <col min="4" max="16384" width="9.140625" style="39"/>
  </cols>
  <sheetData>
    <row r="1" spans="2:3" ht="9" customHeight="1" x14ac:dyDescent="0.25"/>
    <row r="2" spans="2:3" ht="22.5" customHeight="1" x14ac:dyDescent="0.25">
      <c r="B2" s="66" t="s">
        <v>25</v>
      </c>
      <c r="C2" s="66"/>
    </row>
    <row r="3" spans="2:3" ht="15.75" customHeight="1" x14ac:dyDescent="0.25"/>
    <row r="4" spans="2:3" ht="22.5" customHeight="1" x14ac:dyDescent="0.25">
      <c r="B4" s="67" t="s">
        <v>40</v>
      </c>
      <c r="C4" s="67"/>
    </row>
    <row r="5" spans="2:3" ht="15" x14ac:dyDescent="0.25">
      <c r="B5" s="42" t="s">
        <v>26</v>
      </c>
      <c r="C5" s="43" t="s">
        <v>41</v>
      </c>
    </row>
    <row r="6" spans="2:3" ht="10.5" customHeight="1" x14ac:dyDescent="0.25"/>
    <row r="7" spans="2:3" ht="22.5" customHeight="1" x14ac:dyDescent="0.25">
      <c r="B7" s="67" t="s">
        <v>38</v>
      </c>
      <c r="C7" s="67"/>
    </row>
    <row r="8" spans="2:3" ht="30" x14ac:dyDescent="0.25">
      <c r="B8" s="27" t="s">
        <v>26</v>
      </c>
      <c r="C8" s="43" t="s">
        <v>27</v>
      </c>
    </row>
    <row r="9" spans="2:3" ht="30" x14ac:dyDescent="0.25">
      <c r="B9" s="27" t="s">
        <v>26</v>
      </c>
      <c r="C9" s="43" t="s">
        <v>42</v>
      </c>
    </row>
    <row r="10" spans="2:3" ht="10.5" customHeight="1" x14ac:dyDescent="0.25"/>
    <row r="11" spans="2:3" ht="22.5" customHeight="1" x14ac:dyDescent="0.25">
      <c r="B11" s="67" t="s">
        <v>39</v>
      </c>
      <c r="C11" s="67"/>
    </row>
    <row r="12" spans="2:3" ht="45" x14ac:dyDescent="0.25">
      <c r="B12" s="27" t="s">
        <v>26</v>
      </c>
      <c r="C12" s="43" t="s">
        <v>43</v>
      </c>
    </row>
    <row r="13" spans="2:3" ht="20.25" customHeight="1" x14ac:dyDescent="0.25">
      <c r="B13" s="44" t="s">
        <v>26</v>
      </c>
      <c r="C13" s="45" t="s">
        <v>44</v>
      </c>
    </row>
    <row r="14" spans="2:3" ht="30" x14ac:dyDescent="0.25">
      <c r="B14" s="27" t="s">
        <v>26</v>
      </c>
      <c r="C14" s="43" t="s">
        <v>45</v>
      </c>
    </row>
    <row r="15" spans="2:3" ht="48" customHeight="1" x14ac:dyDescent="0.25">
      <c r="B15" s="28" t="s">
        <v>26</v>
      </c>
      <c r="C15" s="45" t="s">
        <v>46</v>
      </c>
    </row>
    <row r="16" spans="2:3" s="60" customFormat="1" ht="31.5" customHeight="1" x14ac:dyDescent="0.25">
      <c r="B16" s="58" t="s">
        <v>26</v>
      </c>
      <c r="C16" s="59" t="s">
        <v>49</v>
      </c>
    </row>
    <row r="17" spans="2:3" ht="48.75" customHeight="1" x14ac:dyDescent="0.25">
      <c r="C17" s="41" t="s">
        <v>56</v>
      </c>
    </row>
    <row r="18" spans="2:3" ht="48.75" customHeight="1" x14ac:dyDescent="0.25">
      <c r="B18" s="28" t="s">
        <v>26</v>
      </c>
      <c r="C18" s="45" t="s">
        <v>57</v>
      </c>
    </row>
    <row r="19" spans="2:3" ht="30" x14ac:dyDescent="0.25">
      <c r="B19" s="27" t="s">
        <v>26</v>
      </c>
      <c r="C19" s="43" t="s">
        <v>52</v>
      </c>
    </row>
    <row r="20" spans="2:3" ht="20.25" customHeight="1" x14ac:dyDescent="0.25">
      <c r="B20" s="44" t="s">
        <v>26</v>
      </c>
      <c r="C20" s="45" t="s">
        <v>58</v>
      </c>
    </row>
    <row r="21" spans="2:3" ht="30" x14ac:dyDescent="0.25">
      <c r="B21" s="27" t="s">
        <v>26</v>
      </c>
      <c r="C21" s="43" t="s">
        <v>59</v>
      </c>
    </row>
    <row r="22" spans="2:3" ht="30" x14ac:dyDescent="0.25">
      <c r="B22" s="27" t="s">
        <v>26</v>
      </c>
      <c r="C22" s="43" t="s">
        <v>55</v>
      </c>
    </row>
  </sheetData>
  <sheetProtection algorithmName="SHA-512" hashValue="c1PJ4R/FNgMge8woF16C5lgLvKobiR/CTjWPjxpwvC5JSkEI1nY5oukeVNQRsPcohJQo4K9s+t2tUFJD3OCWSQ==" saltValue="TNY5Xw3cnQhVpsaNezAY8w==" spinCount="100000" sheet="1" objects="1" scenarios="1"/>
  <mergeCells count="4">
    <mergeCell ref="B2:C2"/>
    <mergeCell ref="B7:C7"/>
    <mergeCell ref="B11:C11"/>
    <mergeCell ref="B4:C4"/>
  </mergeCells>
  <pageMargins left="0.51181102362204722" right="0.51181102362204722" top="0.78740157480314965" bottom="0.78740157480314965" header="0.31496062992125984" footer="0.31496062992125984"/>
  <pageSetup paperSize="9" scale="99" orientation="landscape" r:id="rId1"/>
  <headerFooter>
    <oddHeader>&amp;C&amp;"-,Negrito"&amp;14LUCRO REAL x LUCRO PRESUMIDO</oddHeader>
    <oddFooter>&amp;L&amp;8&amp;Z&amp;F&amp;R&amp;D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Atividades"/>
  <dimension ref="B1:D10"/>
  <sheetViews>
    <sheetView showGridLines="0" workbookViewId="0">
      <pane ySplit="3" topLeftCell="A4" activePane="bottomLeft" state="frozen"/>
      <selection pane="bottomLeft" activeCell="L10" sqref="L10"/>
    </sheetView>
  </sheetViews>
  <sheetFormatPr defaultRowHeight="15" x14ac:dyDescent="0.25"/>
  <cols>
    <col min="1" max="1" width="2.28515625" customWidth="1"/>
    <col min="2" max="2" width="45.140625" bestFit="1" customWidth="1"/>
    <col min="3" max="4" width="9.140625" style="18"/>
  </cols>
  <sheetData>
    <row r="1" spans="2:4" ht="3.75" customHeight="1" x14ac:dyDescent="0.35"/>
    <row r="2" spans="2:4" ht="25.5" customHeight="1" x14ac:dyDescent="0.25">
      <c r="B2" s="68" t="s">
        <v>14</v>
      </c>
      <c r="C2" s="69"/>
      <c r="D2" s="70"/>
    </row>
    <row r="3" spans="2:4" s="63" customFormat="1" ht="27.75" customHeight="1" x14ac:dyDescent="0.25">
      <c r="B3" s="61" t="s">
        <v>0</v>
      </c>
      <c r="C3" s="62" t="s">
        <v>53</v>
      </c>
      <c r="D3" s="62" t="s">
        <v>54</v>
      </c>
    </row>
    <row r="4" spans="2:4" x14ac:dyDescent="0.25">
      <c r="B4" t="s">
        <v>24</v>
      </c>
      <c r="C4" s="18">
        <v>0.08</v>
      </c>
      <c r="D4" s="18">
        <v>0.12</v>
      </c>
    </row>
    <row r="5" spans="2:4" x14ac:dyDescent="0.25">
      <c r="B5" t="s">
        <v>21</v>
      </c>
      <c r="C5" s="18">
        <v>0.32</v>
      </c>
      <c r="D5" s="18">
        <v>0.32</v>
      </c>
    </row>
    <row r="6" spans="2:4" x14ac:dyDescent="0.25">
      <c r="B6" t="s">
        <v>18</v>
      </c>
      <c r="C6" s="18">
        <v>1.6E-2</v>
      </c>
      <c r="D6" s="18">
        <v>0.12</v>
      </c>
    </row>
    <row r="7" spans="2:4" x14ac:dyDescent="0.25">
      <c r="B7" t="s">
        <v>19</v>
      </c>
      <c r="C7" s="18">
        <v>0.16</v>
      </c>
      <c r="D7" s="18">
        <v>0.16</v>
      </c>
    </row>
    <row r="8" spans="2:4" x14ac:dyDescent="0.25">
      <c r="B8" t="s">
        <v>20</v>
      </c>
      <c r="C8" s="18">
        <v>0.08</v>
      </c>
      <c r="D8" s="18">
        <v>0.12</v>
      </c>
    </row>
    <row r="9" spans="2:4" x14ac:dyDescent="0.25">
      <c r="B9" t="s">
        <v>22</v>
      </c>
      <c r="C9" s="18">
        <v>0.32</v>
      </c>
      <c r="D9" s="18">
        <v>0.32</v>
      </c>
    </row>
    <row r="10" spans="2:4" x14ac:dyDescent="0.25">
      <c r="B10" t="s">
        <v>23</v>
      </c>
      <c r="C10" s="18">
        <v>0.08</v>
      </c>
      <c r="D10" s="18">
        <v>0.12</v>
      </c>
    </row>
  </sheetData>
  <sheetProtection algorithmName="SHA-512" hashValue="NKZMGR69HWJRDhxBqoVReT/NP8A2Bp24UpxOquv6dfsOiTwK7CQxi6cxtVYANQb8LswrImv4jjOiJawoPE+3UA==" saltValue="RNCoV8iIqBCIASWiR68GUw==" spinCount="100000" sheet="1" objects="1" scenarios="1"/>
  <autoFilter ref="B3:D10" xr:uid="{EB14CDB5-5C7C-47D9-A874-927CFA8D2BEA}"/>
  <sortState ref="B4:D11">
    <sortCondition ref="B5"/>
  </sortState>
  <mergeCells count="1">
    <mergeCell ref="B2:D2"/>
  </mergeCells>
  <conditionalFormatting sqref="B4:D28">
    <cfRule type="expression" dxfId="2" priority="1">
      <formula>$B3&lt;&gt;""</formula>
    </cfRule>
  </conditionalFormatting>
  <conditionalFormatting sqref="B5:D5">
    <cfRule type="expression" dxfId="1" priority="4">
      <formula>#REF!&lt;&gt;""</formula>
    </cfRule>
  </conditionalFormatting>
  <dataValidations count="1">
    <dataValidation type="decimal" allowBlank="1" showInputMessage="1" showErrorMessage="1" sqref="C1:D2 C4:D1048576" xr:uid="{00000000-0002-0000-0100-000000000000}">
      <formula1>0</formula1>
      <formula2>1</formula2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alculo">
    <outlinePr summaryBelow="0" summaryRight="0"/>
    <pageSetUpPr fitToPage="1"/>
  </sheetPr>
  <dimension ref="A1:AH27"/>
  <sheetViews>
    <sheetView showGridLines="0" tabSelected="1" zoomScale="95" zoomScaleNormal="95" workbookViewId="0">
      <pane ySplit="6" topLeftCell="A7" activePane="bottomLeft" state="frozen"/>
      <selection pane="bottomLeft" activeCell="G7" sqref="G7"/>
    </sheetView>
  </sheetViews>
  <sheetFormatPr defaultColWidth="9.140625" defaultRowHeight="15" x14ac:dyDescent="0.25"/>
  <cols>
    <col min="1" max="1" width="1.42578125" style="1" customWidth="1"/>
    <col min="2" max="2" width="13.28515625" style="1" hidden="1" customWidth="1"/>
    <col min="3" max="3" width="11.28515625" style="1" hidden="1" customWidth="1"/>
    <col min="4" max="4" width="1.42578125" style="1" hidden="1" customWidth="1"/>
    <col min="5" max="5" width="3.140625" style="1" customWidth="1"/>
    <col min="6" max="6" width="6.42578125" style="1" customWidth="1"/>
    <col min="7" max="10" width="16.140625" style="1" customWidth="1"/>
    <col min="11" max="11" width="2.85546875" style="1" customWidth="1"/>
    <col min="12" max="12" width="10.5703125" style="1" hidden="1" customWidth="1"/>
    <col min="13" max="14" width="11.5703125" style="1" hidden="1" customWidth="1"/>
    <col min="15" max="15" width="11.28515625" style="1" hidden="1" customWidth="1"/>
    <col min="16" max="16" width="11.5703125" style="1" hidden="1" customWidth="1"/>
    <col min="17" max="17" width="15.5703125" style="1" customWidth="1"/>
    <col min="18" max="18" width="1.28515625" style="2" customWidth="1"/>
    <col min="19" max="19" width="10.5703125" style="1" hidden="1" customWidth="1"/>
    <col min="20" max="20" width="11.140625" style="1" hidden="1" customWidth="1"/>
    <col min="21" max="21" width="11.5703125" style="1" hidden="1" customWidth="1"/>
    <col min="22" max="22" width="11.28515625" style="1" hidden="1" customWidth="1"/>
    <col min="23" max="23" width="11.140625" style="1" hidden="1" customWidth="1"/>
    <col min="24" max="24" width="15.5703125" style="1" customWidth="1"/>
    <col min="25" max="25" width="1.28515625" style="1" customWidth="1"/>
    <col min="26" max="26" width="15.5703125" style="1" customWidth="1"/>
    <col min="27" max="27" width="2.85546875" style="1" customWidth="1"/>
    <col min="28" max="30" width="7.42578125" style="1" customWidth="1"/>
    <col min="31" max="31" width="13.85546875" style="1" customWidth="1"/>
    <col min="32" max="33" width="8.140625" style="1" customWidth="1"/>
    <col min="34" max="34" width="8.85546875" style="1" customWidth="1"/>
    <col min="35" max="16384" width="9.140625" style="1"/>
  </cols>
  <sheetData>
    <row r="1" spans="1:34" ht="9.75" customHeight="1" x14ac:dyDescent="0.25"/>
    <row r="2" spans="1:34" ht="18.75" customHeight="1" x14ac:dyDescent="0.25">
      <c r="B2" s="1" t="b">
        <v>0</v>
      </c>
      <c r="E2" s="75" t="s">
        <v>16</v>
      </c>
      <c r="F2" s="76"/>
      <c r="G2" s="76"/>
      <c r="H2" s="76"/>
      <c r="I2" s="23" t="s">
        <v>17</v>
      </c>
      <c r="J2" s="24" t="s">
        <v>12</v>
      </c>
      <c r="L2" s="79" t="s">
        <v>3</v>
      </c>
      <c r="M2" s="79"/>
      <c r="N2" s="79"/>
      <c r="O2" s="79"/>
      <c r="P2" s="79"/>
      <c r="Q2" s="79"/>
      <c r="S2" s="79" t="s">
        <v>35</v>
      </c>
      <c r="T2" s="79"/>
      <c r="U2" s="79"/>
      <c r="V2" s="79"/>
      <c r="W2" s="79"/>
      <c r="X2" s="79"/>
      <c r="Z2" s="105" t="s">
        <v>33</v>
      </c>
      <c r="AB2" s="120" t="s">
        <v>28</v>
      </c>
      <c r="AC2" s="120"/>
      <c r="AD2" s="120"/>
      <c r="AE2" s="120"/>
      <c r="AF2" s="120"/>
      <c r="AG2" s="120"/>
      <c r="AH2" s="120"/>
    </row>
    <row r="3" spans="1:34" ht="15" customHeight="1" x14ac:dyDescent="0.25">
      <c r="E3" s="77" t="s">
        <v>22</v>
      </c>
      <c r="F3" s="78"/>
      <c r="G3" s="78"/>
      <c r="H3" s="78"/>
      <c r="I3" s="25">
        <v>2019</v>
      </c>
      <c r="J3" s="26">
        <v>1</v>
      </c>
      <c r="L3" s="79"/>
      <c r="M3" s="79"/>
      <c r="N3" s="79"/>
      <c r="O3" s="79"/>
      <c r="P3" s="79"/>
      <c r="Q3" s="79"/>
      <c r="S3" s="79"/>
      <c r="T3" s="79"/>
      <c r="U3" s="79"/>
      <c r="V3" s="79"/>
      <c r="W3" s="79"/>
      <c r="X3" s="79"/>
      <c r="Z3" s="105"/>
      <c r="AB3" s="95"/>
      <c r="AC3" s="96"/>
      <c r="AD3" s="96"/>
      <c r="AE3" s="96"/>
      <c r="AF3" s="127"/>
      <c r="AG3" s="128"/>
      <c r="AH3" s="99"/>
    </row>
    <row r="4" spans="1:34" ht="5.25" customHeight="1" x14ac:dyDescent="0.25">
      <c r="L4" s="80"/>
      <c r="M4" s="80"/>
      <c r="N4" s="80"/>
      <c r="O4" s="80"/>
      <c r="P4" s="80"/>
      <c r="Q4" s="80"/>
      <c r="S4" s="80"/>
      <c r="T4" s="80"/>
      <c r="U4" s="80"/>
      <c r="V4" s="80"/>
      <c r="W4" s="80"/>
      <c r="X4" s="80"/>
      <c r="Z4" s="106"/>
      <c r="AB4" s="95"/>
      <c r="AC4" s="96"/>
      <c r="AD4" s="96"/>
      <c r="AE4" s="96"/>
      <c r="AF4" s="129"/>
      <c r="AG4" s="130"/>
      <c r="AH4" s="99"/>
    </row>
    <row r="5" spans="1:34" x14ac:dyDescent="0.25">
      <c r="A5" s="3"/>
      <c r="B5" s="3">
        <f>COUNT(G7:G18)</f>
        <v>12</v>
      </c>
      <c r="C5" s="3">
        <f>COUNT(H7:H18)</f>
        <v>12</v>
      </c>
      <c r="D5" s="3"/>
      <c r="E5" s="89" t="s">
        <v>1</v>
      </c>
      <c r="F5" s="90"/>
      <c r="G5" s="83" t="s">
        <v>50</v>
      </c>
      <c r="H5" s="83" t="s">
        <v>51</v>
      </c>
      <c r="I5" s="85" t="s">
        <v>9</v>
      </c>
      <c r="J5" s="85" t="s">
        <v>2</v>
      </c>
      <c r="L5" s="4" t="s">
        <v>6</v>
      </c>
      <c r="M5" s="4" t="s">
        <v>7</v>
      </c>
      <c r="N5" s="4" t="s">
        <v>4</v>
      </c>
      <c r="O5" s="4" t="s">
        <v>8</v>
      </c>
      <c r="P5" s="4" t="s">
        <v>5</v>
      </c>
      <c r="Q5" s="5" t="s">
        <v>10</v>
      </c>
      <c r="R5" s="6"/>
      <c r="S5" s="4" t="s">
        <v>6</v>
      </c>
      <c r="T5" s="4" t="s">
        <v>7</v>
      </c>
      <c r="U5" s="4" t="s">
        <v>4</v>
      </c>
      <c r="V5" s="4" t="s">
        <v>8</v>
      </c>
      <c r="W5" s="4" t="s">
        <v>5</v>
      </c>
      <c r="X5" s="5" t="s">
        <v>10</v>
      </c>
      <c r="Z5" s="122" t="s">
        <v>34</v>
      </c>
      <c r="AB5" s="97"/>
      <c r="AC5" s="98"/>
      <c r="AD5" s="98"/>
      <c r="AE5" s="98"/>
      <c r="AF5" s="129"/>
      <c r="AG5" s="130"/>
      <c r="AH5" s="100"/>
    </row>
    <row r="6" spans="1:34" ht="18.75" customHeight="1" x14ac:dyDescent="0.25">
      <c r="E6" s="91"/>
      <c r="F6" s="92"/>
      <c r="G6" s="84"/>
      <c r="H6" s="84"/>
      <c r="I6" s="86"/>
      <c r="J6" s="86"/>
      <c r="L6" s="21">
        <v>6.4999999999999997E-3</v>
      </c>
      <c r="M6" s="21">
        <v>0.03</v>
      </c>
      <c r="N6" s="22">
        <v>0.15</v>
      </c>
      <c r="O6" s="22">
        <v>0.1</v>
      </c>
      <c r="P6" s="22">
        <v>0.09</v>
      </c>
      <c r="Q6" s="7" t="s">
        <v>11</v>
      </c>
      <c r="R6" s="6"/>
      <c r="S6" s="21">
        <v>1.6500000000000001E-2</v>
      </c>
      <c r="T6" s="21">
        <v>7.5999999999999998E-2</v>
      </c>
      <c r="U6" s="22">
        <v>0.15</v>
      </c>
      <c r="V6" s="22">
        <v>0.1</v>
      </c>
      <c r="W6" s="22">
        <v>0.09</v>
      </c>
      <c r="X6" s="7" t="s">
        <v>11</v>
      </c>
      <c r="Z6" s="123"/>
      <c r="AB6" s="121" t="s">
        <v>32</v>
      </c>
      <c r="AC6" s="121"/>
      <c r="AD6" s="121"/>
      <c r="AE6" s="31" t="s">
        <v>29</v>
      </c>
      <c r="AF6" s="121" t="s">
        <v>30</v>
      </c>
      <c r="AG6" s="121"/>
      <c r="AH6" s="31" t="s">
        <v>31</v>
      </c>
    </row>
    <row r="7" spans="1:34" x14ac:dyDescent="0.25">
      <c r="B7" s="30">
        <v>1000000</v>
      </c>
      <c r="C7" s="30">
        <v>750000</v>
      </c>
      <c r="E7" s="87">
        <f>DATE(I3,1,1)</f>
        <v>43466</v>
      </c>
      <c r="F7" s="88"/>
      <c r="G7" s="64">
        <f>VlrFatMensal</f>
        <v>0</v>
      </c>
      <c r="H7" s="65">
        <f>VlrCustosMensal</f>
        <v>0</v>
      </c>
      <c r="I7" s="46">
        <f>G7-H7</f>
        <v>0</v>
      </c>
      <c r="J7" s="46">
        <f>I7</f>
        <v>0</v>
      </c>
      <c r="L7" s="49">
        <f>IF($G7&gt;0,$G7*L$6,0)</f>
        <v>0</v>
      </c>
      <c r="M7" s="49">
        <f>IF($G7&gt;0,$G7*M$6,0)</f>
        <v>0</v>
      </c>
      <c r="N7" s="49"/>
      <c r="O7" s="49"/>
      <c r="P7" s="49"/>
      <c r="Q7" s="50">
        <f t="shared" ref="Q7:Q18" si="0">SUM(L7:P7)</f>
        <v>0</v>
      </c>
      <c r="R7" s="8"/>
      <c r="S7" s="49">
        <f t="shared" ref="S7:S18" si="1">IF(H7*$J$3&gt;G7,0,(G7-H7*$J$3)*S$6)</f>
        <v>0</v>
      </c>
      <c r="T7" s="49">
        <f t="shared" ref="T7:T18" si="2">IF(H7*$J$3&gt;G7,0,(G7-H7*$J$3)*T$6)</f>
        <v>0</v>
      </c>
      <c r="U7" s="49">
        <f>IF($J7&gt;0,$J7*U$6,0)</f>
        <v>0</v>
      </c>
      <c r="V7" s="49">
        <f t="shared" ref="V7:V18" si="3">IF(I7="",0,IF(I7&lt;20000,0,(I7-20000)*$V$6))</f>
        <v>0</v>
      </c>
      <c r="W7" s="49">
        <f>IF($J7&gt;0,$J7*W$6,0)</f>
        <v>0</v>
      </c>
      <c r="X7" s="50">
        <f t="shared" ref="X7:X18" si="4">SUM(S7:W7)</f>
        <v>0</v>
      </c>
      <c r="Z7" s="50">
        <f>IF(Q7="","",Q7-X7)</f>
        <v>0</v>
      </c>
      <c r="AB7" s="104" t="s">
        <v>36</v>
      </c>
      <c r="AC7" s="104"/>
      <c r="AD7" s="104"/>
      <c r="AE7" s="103">
        <v>0</v>
      </c>
      <c r="AF7" s="102">
        <f>AE7*12</f>
        <v>0</v>
      </c>
      <c r="AG7" s="102"/>
      <c r="AH7" s="101">
        <f>IF(VlrFatMensal=0,0,100%)</f>
        <v>0</v>
      </c>
    </row>
    <row r="8" spans="1:34" x14ac:dyDescent="0.25">
      <c r="B8" s="30">
        <v>950000</v>
      </c>
      <c r="C8" s="30">
        <v>750000</v>
      </c>
      <c r="D8" s="1">
        <f t="shared" ref="D8:D18" si="5">$G$7</f>
        <v>0</v>
      </c>
      <c r="E8" s="73">
        <f>EDATE(E7,1)</f>
        <v>43497</v>
      </c>
      <c r="F8" s="74"/>
      <c r="G8" s="19">
        <f t="shared" ref="G8:G18" si="6">$G$7</f>
        <v>0</v>
      </c>
      <c r="H8" s="20">
        <f t="shared" ref="H8:H18" si="7">$H$7</f>
        <v>0</v>
      </c>
      <c r="I8" s="47">
        <f t="shared" ref="I8:I18" si="8">G8-H8</f>
        <v>0</v>
      </c>
      <c r="J8" s="47">
        <f>J7+I8</f>
        <v>0</v>
      </c>
      <c r="L8" s="51">
        <f t="shared" ref="L8:M18" si="9">IF($G8&gt;0,$G8*L$6,0)</f>
        <v>0</v>
      </c>
      <c r="M8" s="51">
        <f t="shared" si="9"/>
        <v>0</v>
      </c>
      <c r="N8" s="51"/>
      <c r="O8" s="51"/>
      <c r="P8" s="51"/>
      <c r="Q8" s="52">
        <f t="shared" si="0"/>
        <v>0</v>
      </c>
      <c r="R8" s="8"/>
      <c r="S8" s="51">
        <f t="shared" si="1"/>
        <v>0</v>
      </c>
      <c r="T8" s="51">
        <f t="shared" si="2"/>
        <v>0</v>
      </c>
      <c r="U8" s="51">
        <f>IF($J8&gt;0,$J8*U$6-SUM(U$7:U7),0)</f>
        <v>0</v>
      </c>
      <c r="V8" s="51">
        <f t="shared" si="3"/>
        <v>0</v>
      </c>
      <c r="W8" s="51">
        <f>IF($J8&gt;0,$J8*W$6-SUM(W$7:W7),0)</f>
        <v>0</v>
      </c>
      <c r="X8" s="52">
        <f t="shared" si="4"/>
        <v>0</v>
      </c>
      <c r="Z8" s="52">
        <f t="shared" ref="Z8:Z18" si="10">IF(Q8="","",Q8-X8)</f>
        <v>0</v>
      </c>
      <c r="AB8" s="104"/>
      <c r="AC8" s="104"/>
      <c r="AD8" s="104"/>
      <c r="AE8" s="103"/>
      <c r="AF8" s="102"/>
      <c r="AG8" s="102"/>
      <c r="AH8" s="101"/>
    </row>
    <row r="9" spans="1:34" ht="15" customHeight="1" x14ac:dyDescent="0.25">
      <c r="B9" s="30">
        <v>900000</v>
      </c>
      <c r="C9" s="30">
        <v>750000</v>
      </c>
      <c r="D9" s="1">
        <f t="shared" si="5"/>
        <v>0</v>
      </c>
      <c r="E9" s="73">
        <f t="shared" ref="E9:E18" si="11">EDATE(E8,1)</f>
        <v>43525</v>
      </c>
      <c r="F9" s="74"/>
      <c r="G9" s="19">
        <f t="shared" si="6"/>
        <v>0</v>
      </c>
      <c r="H9" s="20">
        <f t="shared" si="7"/>
        <v>0</v>
      </c>
      <c r="I9" s="47">
        <f t="shared" si="8"/>
        <v>0</v>
      </c>
      <c r="J9" s="47">
        <f t="shared" ref="J9:J18" si="12">J8+I9</f>
        <v>0</v>
      </c>
      <c r="L9" s="51">
        <f t="shared" si="9"/>
        <v>0</v>
      </c>
      <c r="M9" s="51">
        <f t="shared" si="9"/>
        <v>0</v>
      </c>
      <c r="N9" s="51">
        <f ca="1">SUM(G7:G9)*$I$24*$N$6</f>
        <v>0</v>
      </c>
      <c r="O9" s="51">
        <f ca="1">IF(SUM(G7:G9)*$I$24&lt;60000,0,((SUM(G7:G9)*$I$24)-60000)*$O$6)</f>
        <v>0</v>
      </c>
      <c r="P9" s="51">
        <f ca="1">SUM(G7:G9)*$J$24*$P$6</f>
        <v>0</v>
      </c>
      <c r="Q9" s="52">
        <f t="shared" ca="1" si="0"/>
        <v>0</v>
      </c>
      <c r="R9" s="8"/>
      <c r="S9" s="51">
        <f t="shared" si="1"/>
        <v>0</v>
      </c>
      <c r="T9" s="51">
        <f t="shared" si="2"/>
        <v>0</v>
      </c>
      <c r="U9" s="51">
        <f>IF($J9&gt;0,$J9*U$6-SUM(U$7:U8),0)</f>
        <v>0</v>
      </c>
      <c r="V9" s="51">
        <f t="shared" si="3"/>
        <v>0</v>
      </c>
      <c r="W9" s="51">
        <f>IF($J9&gt;0,$J9*W$6-SUM(W$7:W8),0)</f>
        <v>0</v>
      </c>
      <c r="X9" s="52">
        <f t="shared" si="4"/>
        <v>0</v>
      </c>
      <c r="Z9" s="52">
        <f t="shared" ca="1" si="10"/>
        <v>0</v>
      </c>
      <c r="AB9" s="104" t="s">
        <v>48</v>
      </c>
      <c r="AC9" s="104"/>
      <c r="AD9" s="104"/>
      <c r="AE9" s="103">
        <v>0</v>
      </c>
      <c r="AF9" s="102">
        <f>AE9*12</f>
        <v>0</v>
      </c>
      <c r="AG9" s="102"/>
      <c r="AH9" s="101">
        <f>IFERROR(AF9/AF7,0)</f>
        <v>0</v>
      </c>
    </row>
    <row r="10" spans="1:34" x14ac:dyDescent="0.25">
      <c r="B10" s="30">
        <v>900000</v>
      </c>
      <c r="C10" s="30">
        <v>750000</v>
      </c>
      <c r="D10" s="1">
        <f t="shared" si="5"/>
        <v>0</v>
      </c>
      <c r="E10" s="73">
        <f t="shared" si="11"/>
        <v>43556</v>
      </c>
      <c r="F10" s="74"/>
      <c r="G10" s="19">
        <f t="shared" si="6"/>
        <v>0</v>
      </c>
      <c r="H10" s="20">
        <f t="shared" si="7"/>
        <v>0</v>
      </c>
      <c r="I10" s="47">
        <f t="shared" si="8"/>
        <v>0</v>
      </c>
      <c r="J10" s="47">
        <f t="shared" si="12"/>
        <v>0</v>
      </c>
      <c r="L10" s="51">
        <f t="shared" si="9"/>
        <v>0</v>
      </c>
      <c r="M10" s="51">
        <f t="shared" si="9"/>
        <v>0</v>
      </c>
      <c r="N10" s="51"/>
      <c r="O10" s="51"/>
      <c r="P10" s="51"/>
      <c r="Q10" s="52">
        <f t="shared" si="0"/>
        <v>0</v>
      </c>
      <c r="R10" s="8"/>
      <c r="S10" s="51">
        <f t="shared" si="1"/>
        <v>0</v>
      </c>
      <c r="T10" s="51">
        <f t="shared" si="2"/>
        <v>0</v>
      </c>
      <c r="U10" s="51">
        <f>IF($J10&gt;0,$J10*U$6-SUM(U$7:U9),0)</f>
        <v>0</v>
      </c>
      <c r="V10" s="51">
        <f t="shared" si="3"/>
        <v>0</v>
      </c>
      <c r="W10" s="51">
        <f>IF($J10&gt;0,$J10*W$6-SUM(W$7:W9),0)</f>
        <v>0</v>
      </c>
      <c r="X10" s="52">
        <f t="shared" si="4"/>
        <v>0</v>
      </c>
      <c r="Z10" s="52">
        <f t="shared" si="10"/>
        <v>0</v>
      </c>
      <c r="AB10" s="104"/>
      <c r="AC10" s="104"/>
      <c r="AD10" s="104"/>
      <c r="AE10" s="103"/>
      <c r="AF10" s="102"/>
      <c r="AG10" s="102"/>
      <c r="AH10" s="101"/>
    </row>
    <row r="11" spans="1:34" x14ac:dyDescent="0.25">
      <c r="B11" s="30">
        <v>950000</v>
      </c>
      <c r="C11" s="30">
        <v>750000</v>
      </c>
      <c r="D11" s="1">
        <f t="shared" si="5"/>
        <v>0</v>
      </c>
      <c r="E11" s="73">
        <f t="shared" si="11"/>
        <v>43586</v>
      </c>
      <c r="F11" s="74"/>
      <c r="G11" s="19">
        <f t="shared" si="6"/>
        <v>0</v>
      </c>
      <c r="H11" s="20">
        <f t="shared" si="7"/>
        <v>0</v>
      </c>
      <c r="I11" s="47">
        <f t="shared" si="8"/>
        <v>0</v>
      </c>
      <c r="J11" s="47">
        <f t="shared" si="12"/>
        <v>0</v>
      </c>
      <c r="L11" s="51">
        <f t="shared" si="9"/>
        <v>0</v>
      </c>
      <c r="M11" s="51">
        <f t="shared" si="9"/>
        <v>0</v>
      </c>
      <c r="N11" s="51"/>
      <c r="O11" s="51"/>
      <c r="P11" s="51"/>
      <c r="Q11" s="52">
        <f t="shared" si="0"/>
        <v>0</v>
      </c>
      <c r="R11" s="8"/>
      <c r="S11" s="51">
        <f t="shared" si="1"/>
        <v>0</v>
      </c>
      <c r="T11" s="51">
        <f t="shared" si="2"/>
        <v>0</v>
      </c>
      <c r="U11" s="51">
        <f>IF($J11&gt;0,$J11*U$6-SUM(U$7:U10),0)</f>
        <v>0</v>
      </c>
      <c r="V11" s="51">
        <f t="shared" si="3"/>
        <v>0</v>
      </c>
      <c r="W11" s="51">
        <f>IF($J11&gt;0,$J11*W$6-SUM(W$7:W10),0)</f>
        <v>0</v>
      </c>
      <c r="X11" s="52">
        <f t="shared" si="4"/>
        <v>0</v>
      </c>
      <c r="Z11" s="52">
        <f t="shared" si="10"/>
        <v>0</v>
      </c>
      <c r="AB11" s="119" t="str">
        <f>IF(TotalFat=0,"Resultado",IF(VlrDifPE&gt;0,"Resultado Positivo","PREJUÍZO"))</f>
        <v>Resultado</v>
      </c>
      <c r="AC11" s="119"/>
      <c r="AD11" s="119"/>
      <c r="AE11" s="118">
        <f>AE7-AE9</f>
        <v>0</v>
      </c>
      <c r="AF11" s="118">
        <f>AE11*12</f>
        <v>0</v>
      </c>
      <c r="AG11" s="118"/>
      <c r="AH11" s="117">
        <f>IFERROR(AF11/AF7,0)</f>
        <v>0</v>
      </c>
    </row>
    <row r="12" spans="1:34" x14ac:dyDescent="0.25">
      <c r="B12" s="30">
        <v>980000</v>
      </c>
      <c r="C12" s="30">
        <v>750000</v>
      </c>
      <c r="D12" s="1">
        <f t="shared" si="5"/>
        <v>0</v>
      </c>
      <c r="E12" s="73">
        <f t="shared" si="11"/>
        <v>43617</v>
      </c>
      <c r="F12" s="74"/>
      <c r="G12" s="19">
        <f t="shared" si="6"/>
        <v>0</v>
      </c>
      <c r="H12" s="20">
        <f t="shared" si="7"/>
        <v>0</v>
      </c>
      <c r="I12" s="47">
        <f t="shared" si="8"/>
        <v>0</v>
      </c>
      <c r="J12" s="47">
        <f t="shared" si="12"/>
        <v>0</v>
      </c>
      <c r="L12" s="51">
        <f t="shared" si="9"/>
        <v>0</v>
      </c>
      <c r="M12" s="51">
        <f t="shared" si="9"/>
        <v>0</v>
      </c>
      <c r="N12" s="51">
        <f ca="1">SUM(G10:G12)*$I$24*$N$6</f>
        <v>0</v>
      </c>
      <c r="O12" s="51">
        <f ca="1">IF(SUM(G10:G12)*$I$24&lt;60000,0,((SUM(G10:G12)*$I$24)-60000)*$O$6)</f>
        <v>0</v>
      </c>
      <c r="P12" s="51">
        <f ca="1">SUM(G10:G12)*$J$24*$P$6</f>
        <v>0</v>
      </c>
      <c r="Q12" s="52">
        <f t="shared" ca="1" si="0"/>
        <v>0</v>
      </c>
      <c r="R12" s="8"/>
      <c r="S12" s="51">
        <f t="shared" si="1"/>
        <v>0</v>
      </c>
      <c r="T12" s="51">
        <f t="shared" si="2"/>
        <v>0</v>
      </c>
      <c r="U12" s="51">
        <f>IF($J12&gt;0,$J12*U$6-SUM(U$7:U11),0)</f>
        <v>0</v>
      </c>
      <c r="V12" s="51">
        <f t="shared" si="3"/>
        <v>0</v>
      </c>
      <c r="W12" s="51">
        <f>IF($J12&gt;0,$J12*W$6-SUM(W$7:W11),0)</f>
        <v>0</v>
      </c>
      <c r="X12" s="52">
        <f t="shared" si="4"/>
        <v>0</v>
      </c>
      <c r="Z12" s="52">
        <f t="shared" ca="1" si="10"/>
        <v>0</v>
      </c>
      <c r="AB12" s="119"/>
      <c r="AC12" s="119"/>
      <c r="AD12" s="119"/>
      <c r="AE12" s="118"/>
      <c r="AF12" s="118"/>
      <c r="AG12" s="118"/>
      <c r="AH12" s="117"/>
    </row>
    <row r="13" spans="1:34" ht="15.75" thickBot="1" x14ac:dyDescent="0.3">
      <c r="B13" s="30">
        <v>1000000</v>
      </c>
      <c r="C13" s="30">
        <v>750000</v>
      </c>
      <c r="D13" s="1">
        <f t="shared" si="5"/>
        <v>0</v>
      </c>
      <c r="E13" s="73">
        <f t="shared" si="11"/>
        <v>43647</v>
      </c>
      <c r="F13" s="74"/>
      <c r="G13" s="19">
        <f t="shared" si="6"/>
        <v>0</v>
      </c>
      <c r="H13" s="20">
        <f t="shared" si="7"/>
        <v>0</v>
      </c>
      <c r="I13" s="47">
        <f t="shared" si="8"/>
        <v>0</v>
      </c>
      <c r="J13" s="47">
        <f t="shared" si="12"/>
        <v>0</v>
      </c>
      <c r="L13" s="51">
        <f t="shared" si="9"/>
        <v>0</v>
      </c>
      <c r="M13" s="51">
        <f t="shared" si="9"/>
        <v>0</v>
      </c>
      <c r="N13" s="51"/>
      <c r="O13" s="51"/>
      <c r="P13" s="51"/>
      <c r="Q13" s="52">
        <f t="shared" si="0"/>
        <v>0</v>
      </c>
      <c r="R13" s="8"/>
      <c r="S13" s="51">
        <f t="shared" si="1"/>
        <v>0</v>
      </c>
      <c r="T13" s="51">
        <f t="shared" si="2"/>
        <v>0</v>
      </c>
      <c r="U13" s="51">
        <f>IF($J13&gt;0,$J13*U$6-SUM(U$7:U12),0)</f>
        <v>0</v>
      </c>
      <c r="V13" s="51">
        <f t="shared" si="3"/>
        <v>0</v>
      </c>
      <c r="W13" s="51">
        <f>IF($J13&gt;0,$J13*W$6-SUM(W$7:W12),0)</f>
        <v>0</v>
      </c>
      <c r="X13" s="52">
        <f t="shared" si="4"/>
        <v>0</v>
      </c>
      <c r="Z13" s="52">
        <f t="shared" si="10"/>
        <v>0</v>
      </c>
    </row>
    <row r="14" spans="1:34" ht="15" customHeight="1" thickTop="1" thickBot="1" x14ac:dyDescent="0.3">
      <c r="B14" s="30">
        <v>990000</v>
      </c>
      <c r="C14" s="30">
        <v>750000</v>
      </c>
      <c r="D14" s="1">
        <f t="shared" si="5"/>
        <v>0</v>
      </c>
      <c r="E14" s="73">
        <f t="shared" si="11"/>
        <v>43678</v>
      </c>
      <c r="F14" s="74"/>
      <c r="G14" s="19">
        <f t="shared" si="6"/>
        <v>0</v>
      </c>
      <c r="H14" s="20">
        <f t="shared" si="7"/>
        <v>0</v>
      </c>
      <c r="I14" s="47">
        <f t="shared" si="8"/>
        <v>0</v>
      </c>
      <c r="J14" s="47">
        <f t="shared" si="12"/>
        <v>0</v>
      </c>
      <c r="L14" s="51">
        <f t="shared" si="9"/>
        <v>0</v>
      </c>
      <c r="M14" s="51">
        <f t="shared" si="9"/>
        <v>0</v>
      </c>
      <c r="N14" s="51"/>
      <c r="O14" s="51"/>
      <c r="P14" s="51"/>
      <c r="Q14" s="52">
        <f t="shared" si="0"/>
        <v>0</v>
      </c>
      <c r="R14" s="8"/>
      <c r="S14" s="51">
        <f t="shared" si="1"/>
        <v>0</v>
      </c>
      <c r="T14" s="51">
        <f t="shared" si="2"/>
        <v>0</v>
      </c>
      <c r="U14" s="51">
        <f>IF($J14&gt;0,$J14*U$6-SUM(U$7:U13),0)</f>
        <v>0</v>
      </c>
      <c r="V14" s="51">
        <f t="shared" si="3"/>
        <v>0</v>
      </c>
      <c r="W14" s="51">
        <f>IF($J14&gt;0,$J14*W$6-SUM(W$7:W13),0)</f>
        <v>0</v>
      </c>
      <c r="X14" s="52">
        <f t="shared" si="4"/>
        <v>0</v>
      </c>
      <c r="Z14" s="52">
        <f t="shared" si="10"/>
        <v>0</v>
      </c>
      <c r="AB14" s="124" t="s">
        <v>37</v>
      </c>
      <c r="AC14" s="125"/>
      <c r="AD14" s="125"/>
      <c r="AE14" s="125"/>
      <c r="AF14" s="125"/>
      <c r="AG14" s="125"/>
      <c r="AH14" s="126"/>
    </row>
    <row r="15" spans="1:34" ht="15" customHeight="1" thickTop="1" x14ac:dyDescent="0.25">
      <c r="B15" s="30">
        <v>1000000</v>
      </c>
      <c r="C15" s="30">
        <v>750000</v>
      </c>
      <c r="D15" s="1">
        <f t="shared" si="5"/>
        <v>0</v>
      </c>
      <c r="E15" s="73">
        <f t="shared" si="11"/>
        <v>43709</v>
      </c>
      <c r="F15" s="74"/>
      <c r="G15" s="19">
        <f t="shared" si="6"/>
        <v>0</v>
      </c>
      <c r="H15" s="20">
        <f t="shared" si="7"/>
        <v>0</v>
      </c>
      <c r="I15" s="47">
        <f t="shared" si="8"/>
        <v>0</v>
      </c>
      <c r="J15" s="47">
        <f t="shared" si="12"/>
        <v>0</v>
      </c>
      <c r="L15" s="51">
        <f t="shared" si="9"/>
        <v>0</v>
      </c>
      <c r="M15" s="51">
        <f t="shared" si="9"/>
        <v>0</v>
      </c>
      <c r="N15" s="51">
        <f ca="1">SUM(G13:G15)*$I$24*$N$6</f>
        <v>0</v>
      </c>
      <c r="O15" s="51">
        <f ca="1">IF(SUM(G13:G15)*$I$24&lt;60000,0,((SUM(G13:G15)*$I$24)-60000)*$O$6)</f>
        <v>0</v>
      </c>
      <c r="P15" s="51">
        <f ca="1">SUM(G13:G15)*$J$24*$P$6</f>
        <v>0</v>
      </c>
      <c r="Q15" s="52">
        <f t="shared" ca="1" si="0"/>
        <v>0</v>
      </c>
      <c r="R15" s="8"/>
      <c r="S15" s="51">
        <f t="shared" si="1"/>
        <v>0</v>
      </c>
      <c r="T15" s="51">
        <f t="shared" si="2"/>
        <v>0</v>
      </c>
      <c r="U15" s="51">
        <f>IF($J15&gt;0,$J15*U$6-SUM(U$7:U14),0)</f>
        <v>0</v>
      </c>
      <c r="V15" s="51">
        <f t="shared" si="3"/>
        <v>0</v>
      </c>
      <c r="W15" s="51">
        <f>IF($J15&gt;0,$J15*W$6-SUM(W$7:W14),0)</f>
        <v>0</v>
      </c>
      <c r="X15" s="52">
        <f t="shared" si="4"/>
        <v>0</v>
      </c>
      <c r="Z15" s="52">
        <f t="shared" ca="1" si="10"/>
        <v>0</v>
      </c>
      <c r="AB15" s="107" t="str">
        <f>IF(TotalFat=0,"",IF(VlrDifPE&lt;0,"Como regra geral, quando for negativo o resultado acumulado anual a melhor opção será a do LUCRO REAL.",IF(Q20=X20,"Para o cenário definido no quadro mensal, à esquerda,
caso o peso dos custos/despesas seja maior que "&amp;FIXED(H20*100)&amp;"%,
então a melhor opção é a do LUCRO REAL.
Caso contrário, será a do LUCRO PRESUMIDO.",IF(Q20&lt;X20,"Para o cenário definido no quadro mensal, à esquerda,
o LUCRO PRESUMIDO é a melhor opção!","Para o cenário definido no quadro mensal, à esquerda,
o LUCRO REAL é a melhor opção!"))))</f>
        <v/>
      </c>
      <c r="AC15" s="108"/>
      <c r="AD15" s="108"/>
      <c r="AE15" s="108"/>
      <c r="AF15" s="108"/>
      <c r="AG15" s="108"/>
      <c r="AH15" s="109"/>
    </row>
    <row r="16" spans="1:34" ht="15" customHeight="1" x14ac:dyDescent="0.25">
      <c r="B16" s="30">
        <v>1000000</v>
      </c>
      <c r="C16" s="30">
        <v>750000</v>
      </c>
      <c r="D16" s="1">
        <f t="shared" si="5"/>
        <v>0</v>
      </c>
      <c r="E16" s="73">
        <f t="shared" si="11"/>
        <v>43739</v>
      </c>
      <c r="F16" s="74"/>
      <c r="G16" s="19">
        <f t="shared" si="6"/>
        <v>0</v>
      </c>
      <c r="H16" s="20">
        <f t="shared" si="7"/>
        <v>0</v>
      </c>
      <c r="I16" s="47">
        <f t="shared" si="8"/>
        <v>0</v>
      </c>
      <c r="J16" s="47">
        <f t="shared" si="12"/>
        <v>0</v>
      </c>
      <c r="L16" s="51">
        <f t="shared" si="9"/>
        <v>0</v>
      </c>
      <c r="M16" s="51">
        <f t="shared" si="9"/>
        <v>0</v>
      </c>
      <c r="N16" s="51"/>
      <c r="O16" s="51"/>
      <c r="P16" s="51"/>
      <c r="Q16" s="52">
        <f t="shared" si="0"/>
        <v>0</v>
      </c>
      <c r="R16" s="8"/>
      <c r="S16" s="51">
        <f t="shared" si="1"/>
        <v>0</v>
      </c>
      <c r="T16" s="51">
        <f t="shared" si="2"/>
        <v>0</v>
      </c>
      <c r="U16" s="51">
        <f>IF($J16&gt;0,$J16*U$6-SUM(U$7:U15),0)</f>
        <v>0</v>
      </c>
      <c r="V16" s="51">
        <f t="shared" si="3"/>
        <v>0</v>
      </c>
      <c r="W16" s="51">
        <f>IF($J16&gt;0,$J16*W$6-SUM(W$7:W15),0)</f>
        <v>0</v>
      </c>
      <c r="X16" s="52">
        <f t="shared" si="4"/>
        <v>0</v>
      </c>
      <c r="Z16" s="52">
        <f t="shared" si="10"/>
        <v>0</v>
      </c>
      <c r="AB16" s="110"/>
      <c r="AC16" s="111"/>
      <c r="AD16" s="111"/>
      <c r="AE16" s="111"/>
      <c r="AF16" s="111"/>
      <c r="AG16" s="111"/>
      <c r="AH16" s="112"/>
    </row>
    <row r="17" spans="2:34" ht="15" customHeight="1" x14ac:dyDescent="0.25">
      <c r="B17" s="30">
        <v>1000000</v>
      </c>
      <c r="C17" s="30">
        <v>750000</v>
      </c>
      <c r="D17" s="1">
        <f t="shared" si="5"/>
        <v>0</v>
      </c>
      <c r="E17" s="73">
        <f t="shared" si="11"/>
        <v>43770</v>
      </c>
      <c r="F17" s="74"/>
      <c r="G17" s="19">
        <f t="shared" si="6"/>
        <v>0</v>
      </c>
      <c r="H17" s="20">
        <f t="shared" si="7"/>
        <v>0</v>
      </c>
      <c r="I17" s="47">
        <f t="shared" si="8"/>
        <v>0</v>
      </c>
      <c r="J17" s="47">
        <f t="shared" si="12"/>
        <v>0</v>
      </c>
      <c r="L17" s="51">
        <f t="shared" si="9"/>
        <v>0</v>
      </c>
      <c r="M17" s="51">
        <f t="shared" si="9"/>
        <v>0</v>
      </c>
      <c r="N17" s="51"/>
      <c r="O17" s="51"/>
      <c r="P17" s="51"/>
      <c r="Q17" s="52">
        <f t="shared" si="0"/>
        <v>0</v>
      </c>
      <c r="R17" s="8"/>
      <c r="S17" s="51">
        <f t="shared" si="1"/>
        <v>0</v>
      </c>
      <c r="T17" s="51">
        <f t="shared" si="2"/>
        <v>0</v>
      </c>
      <c r="U17" s="51">
        <f>IF($J17&gt;0,$J17*U$6-SUM(U$7:U16),0)</f>
        <v>0</v>
      </c>
      <c r="V17" s="51">
        <f t="shared" si="3"/>
        <v>0</v>
      </c>
      <c r="W17" s="51">
        <f>IF($J17&gt;0,$J17*W$6-SUM(W$7:W16),0)</f>
        <v>0</v>
      </c>
      <c r="X17" s="52">
        <f t="shared" si="4"/>
        <v>0</v>
      </c>
      <c r="Z17" s="52">
        <f t="shared" si="10"/>
        <v>0</v>
      </c>
      <c r="AB17" s="110"/>
      <c r="AC17" s="111"/>
      <c r="AD17" s="111"/>
      <c r="AE17" s="111"/>
      <c r="AF17" s="111"/>
      <c r="AG17" s="111"/>
      <c r="AH17" s="112"/>
    </row>
    <row r="18" spans="2:34" ht="15" customHeight="1" x14ac:dyDescent="0.25">
      <c r="B18" s="30">
        <v>1000000</v>
      </c>
      <c r="C18" s="30">
        <v>750000</v>
      </c>
      <c r="D18" s="1">
        <f t="shared" si="5"/>
        <v>0</v>
      </c>
      <c r="E18" s="73">
        <f t="shared" si="11"/>
        <v>43800</v>
      </c>
      <c r="F18" s="74"/>
      <c r="G18" s="19">
        <f t="shared" si="6"/>
        <v>0</v>
      </c>
      <c r="H18" s="20">
        <f t="shared" si="7"/>
        <v>0</v>
      </c>
      <c r="I18" s="48">
        <f t="shared" si="8"/>
        <v>0</v>
      </c>
      <c r="J18" s="48">
        <f t="shared" si="12"/>
        <v>0</v>
      </c>
      <c r="L18" s="53">
        <f t="shared" si="9"/>
        <v>0</v>
      </c>
      <c r="M18" s="53">
        <f t="shared" si="9"/>
        <v>0</v>
      </c>
      <c r="N18" s="53">
        <f ca="1">SUM(G16:G18)*$I$24*$N$6</f>
        <v>0</v>
      </c>
      <c r="O18" s="53">
        <f ca="1">IF(SUM(G16:G18)*$I$24&lt;60000,0,((SUM(G16:G18)*$I$24)-60000)*$O$6)</f>
        <v>0</v>
      </c>
      <c r="P18" s="53">
        <f ca="1">SUM(G16:G18)*$J$24*$P$6</f>
        <v>0</v>
      </c>
      <c r="Q18" s="54">
        <f t="shared" ca="1" si="0"/>
        <v>0</v>
      </c>
      <c r="R18" s="8"/>
      <c r="S18" s="53">
        <f t="shared" si="1"/>
        <v>0</v>
      </c>
      <c r="T18" s="53">
        <f t="shared" si="2"/>
        <v>0</v>
      </c>
      <c r="U18" s="53">
        <f>IF($J18&gt;0,$J18*U$6-SUM(U$7:U17),0)</f>
        <v>0</v>
      </c>
      <c r="V18" s="53">
        <f t="shared" si="3"/>
        <v>0</v>
      </c>
      <c r="W18" s="53">
        <f>IF($J18&gt;0,$J18*W$6-SUM(W$7:W17),0)</f>
        <v>0</v>
      </c>
      <c r="X18" s="54">
        <f t="shared" si="4"/>
        <v>0</v>
      </c>
      <c r="Z18" s="54">
        <f t="shared" ca="1" si="10"/>
        <v>0</v>
      </c>
      <c r="AB18" s="110"/>
      <c r="AC18" s="111"/>
      <c r="AD18" s="111"/>
      <c r="AE18" s="111"/>
      <c r="AF18" s="111"/>
      <c r="AG18" s="111"/>
      <c r="AH18" s="112"/>
    </row>
    <row r="19" spans="2:34" ht="15" customHeight="1" x14ac:dyDescent="0.25">
      <c r="E19" s="81" t="s">
        <v>10</v>
      </c>
      <c r="F19" s="82"/>
      <c r="G19" s="9">
        <f>SUM(G7:G18)</f>
        <v>0</v>
      </c>
      <c r="H19" s="10">
        <f>SUM(H7:H18)</f>
        <v>0</v>
      </c>
      <c r="I19" s="9">
        <f>SUM(I7:I18)</f>
        <v>0</v>
      </c>
      <c r="J19" s="11"/>
      <c r="L19" s="55">
        <f>SUM(L7:L18)</f>
        <v>0</v>
      </c>
      <c r="M19" s="55">
        <f t="shared" ref="M19:P19" si="13">SUM(M7:M18)</f>
        <v>0</v>
      </c>
      <c r="N19" s="55">
        <f t="shared" ca="1" si="13"/>
        <v>0</v>
      </c>
      <c r="O19" s="55">
        <f t="shared" ca="1" si="13"/>
        <v>0</v>
      </c>
      <c r="P19" s="55">
        <f t="shared" ca="1" si="13"/>
        <v>0</v>
      </c>
      <c r="Q19" s="56">
        <f ca="1">ROUND(SUM(Q7:Q18),2)</f>
        <v>0</v>
      </c>
      <c r="R19" s="12"/>
      <c r="S19" s="55">
        <f>SUM(S7:S18)</f>
        <v>0</v>
      </c>
      <c r="T19" s="55">
        <f t="shared" ref="T19:W19" si="14">SUM(T7:T18)</f>
        <v>0</v>
      </c>
      <c r="U19" s="55">
        <f t="shared" si="14"/>
        <v>0</v>
      </c>
      <c r="V19" s="55">
        <f t="shared" si="14"/>
        <v>0</v>
      </c>
      <c r="W19" s="55">
        <f t="shared" si="14"/>
        <v>0</v>
      </c>
      <c r="X19" s="56">
        <f>ROUND(SUM(X7:X18),2)</f>
        <v>0</v>
      </c>
      <c r="Z19" s="57">
        <f t="shared" ref="Z19" ca="1" si="15">SUM(Z7:Z18)</f>
        <v>0</v>
      </c>
      <c r="AB19" s="110"/>
      <c r="AC19" s="111"/>
      <c r="AD19" s="111"/>
      <c r="AE19" s="111"/>
      <c r="AF19" s="111"/>
      <c r="AG19" s="111"/>
      <c r="AH19" s="112"/>
    </row>
    <row r="20" spans="2:34" ht="15" customHeight="1" thickBot="1" x14ac:dyDescent="0.3">
      <c r="E20" s="71"/>
      <c r="F20" s="72"/>
      <c r="G20" s="13"/>
      <c r="H20" s="16">
        <f>IFERROR(H19/G19,0)</f>
        <v>0</v>
      </c>
      <c r="I20" s="16">
        <f>IFERROR(I19/G19,0)</f>
        <v>0</v>
      </c>
      <c r="J20" s="13"/>
      <c r="K20" s="14"/>
      <c r="L20" s="15">
        <f t="shared" ref="L20:P20" si="16">IFERROR(L19/$G$19,0)</f>
        <v>0</v>
      </c>
      <c r="M20" s="15">
        <f t="shared" si="16"/>
        <v>0</v>
      </c>
      <c r="N20" s="15">
        <f t="shared" ca="1" si="16"/>
        <v>0</v>
      </c>
      <c r="O20" s="15">
        <f t="shared" ca="1" si="16"/>
        <v>0</v>
      </c>
      <c r="P20" s="15">
        <f t="shared" ca="1" si="16"/>
        <v>0</v>
      </c>
      <c r="Q20" s="38">
        <f ca="1">IFERROR(ROUND(Q19/$G$19,8),0)</f>
        <v>0</v>
      </c>
      <c r="R20" s="34"/>
      <c r="S20" s="35">
        <f t="shared" ref="S20:W20" si="17">IFERROR(S19/$G$19,0)</f>
        <v>0</v>
      </c>
      <c r="T20" s="35">
        <f t="shared" si="17"/>
        <v>0</v>
      </c>
      <c r="U20" s="35">
        <f t="shared" si="17"/>
        <v>0</v>
      </c>
      <c r="V20" s="35">
        <f t="shared" si="17"/>
        <v>0</v>
      </c>
      <c r="W20" s="35">
        <f t="shared" si="17"/>
        <v>0</v>
      </c>
      <c r="X20" s="38">
        <f>IFERROR(ROUND(X19/$G$19,8),0)</f>
        <v>0</v>
      </c>
      <c r="Y20" s="36"/>
      <c r="Z20" s="37">
        <f ca="1">IF(Q20="","",Q20-X20)</f>
        <v>0</v>
      </c>
      <c r="AB20" s="113"/>
      <c r="AC20" s="114"/>
      <c r="AD20" s="114"/>
      <c r="AE20" s="114"/>
      <c r="AF20" s="114"/>
      <c r="AG20" s="114"/>
      <c r="AH20" s="115"/>
    </row>
    <row r="21" spans="2:34" ht="8.25" customHeight="1" thickTop="1" x14ac:dyDescent="0.25">
      <c r="K21" s="14"/>
    </row>
    <row r="22" spans="2:34" x14ac:dyDescent="0.25">
      <c r="E22" s="94" t="s">
        <v>15</v>
      </c>
      <c r="F22" s="94"/>
      <c r="G22" s="94"/>
      <c r="H22" s="94"/>
      <c r="I22" s="94"/>
      <c r="J22" s="94"/>
      <c r="K22" s="14"/>
      <c r="O22" s="116" t="s">
        <v>60</v>
      </c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</row>
    <row r="23" spans="2:34" ht="15" customHeight="1" x14ac:dyDescent="0.25">
      <c r="E23" s="93" t="str">
        <f>E3</f>
        <v>SERVIÇOS EM GERAL</v>
      </c>
      <c r="F23" s="93"/>
      <c r="G23" s="93"/>
      <c r="H23" s="93"/>
      <c r="I23" s="32" t="s">
        <v>13</v>
      </c>
      <c r="J23" s="32" t="s">
        <v>5</v>
      </c>
      <c r="K23" s="14"/>
      <c r="O23" s="116" t="s">
        <v>47</v>
      </c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</row>
    <row r="24" spans="2:34" x14ac:dyDescent="0.25">
      <c r="E24" s="93"/>
      <c r="F24" s="93"/>
      <c r="G24" s="93"/>
      <c r="H24" s="93"/>
      <c r="I24" s="16">
        <f ca="1">VLOOKUP($E$3,PV_Atividades,2,FALSE)</f>
        <v>0.32</v>
      </c>
      <c r="J24" s="16">
        <f ca="1">VLOOKUP($E$3,PV_Atividades,3,FALSE)</f>
        <v>0.32</v>
      </c>
      <c r="K24" s="14"/>
      <c r="Q24" s="29"/>
      <c r="S24" s="29"/>
      <c r="T24" s="29"/>
      <c r="U24" s="29"/>
      <c r="V24" s="29"/>
      <c r="W24" s="29"/>
      <c r="X24" s="29"/>
      <c r="Y24" s="29"/>
      <c r="Z24" s="29"/>
    </row>
    <row r="25" spans="2:34" x14ac:dyDescent="0.25">
      <c r="L25" s="17"/>
      <c r="M25" s="17"/>
      <c r="N25" s="17"/>
      <c r="O25" s="17"/>
      <c r="P25" s="17"/>
      <c r="R25" s="1"/>
    </row>
    <row r="26" spans="2:34" ht="15" customHeight="1" x14ac:dyDescent="0.25">
      <c r="K26" s="17"/>
      <c r="L26" s="17"/>
      <c r="M26" s="17"/>
      <c r="N26" s="17"/>
      <c r="O26" s="17"/>
      <c r="P26" s="17"/>
      <c r="R26" s="1"/>
      <c r="S26" s="17"/>
      <c r="T26" s="17"/>
      <c r="U26" s="17"/>
      <c r="V26" s="17"/>
      <c r="W26" s="17"/>
      <c r="X26" s="33"/>
      <c r="Z26" s="17"/>
    </row>
    <row r="27" spans="2:34" x14ac:dyDescent="0.25">
      <c r="K27" s="17"/>
      <c r="R27" s="17"/>
      <c r="S27" s="17"/>
      <c r="T27" s="17"/>
      <c r="U27" s="17"/>
      <c r="V27" s="17"/>
      <c r="W27" s="17"/>
      <c r="X27" s="17"/>
      <c r="Z27" s="17"/>
    </row>
  </sheetData>
  <sheetProtection algorithmName="SHA-512" hashValue="2enb60jSGA9nDJi5em9U+4YFwpAiM1rrXCSkA7H+oFpFT0YlgeJOokLNYz1TvnN88PN+gcKzdPNlh9dLSl38cA==" saltValue="rBpupq3ZgiGhLlb1yACXJw==" spinCount="100000" sheet="1" objects="1" scenarios="1"/>
  <mergeCells count="49">
    <mergeCell ref="AB2:AH2"/>
    <mergeCell ref="AB6:AD6"/>
    <mergeCell ref="AF6:AG6"/>
    <mergeCell ref="Z5:Z6"/>
    <mergeCell ref="AB14:AH14"/>
    <mergeCell ref="AB15:AH20"/>
    <mergeCell ref="O23:AH23"/>
    <mergeCell ref="O22:AH22"/>
    <mergeCell ref="AH11:AH12"/>
    <mergeCell ref="AF11:AG12"/>
    <mergeCell ref="AE11:AE12"/>
    <mergeCell ref="AB11:AD12"/>
    <mergeCell ref="E23:H24"/>
    <mergeCell ref="E22:J22"/>
    <mergeCell ref="AF3:AG5"/>
    <mergeCell ref="AB3:AE5"/>
    <mergeCell ref="AH3:AH5"/>
    <mergeCell ref="AH7:AH8"/>
    <mergeCell ref="AF7:AG8"/>
    <mergeCell ref="AE7:AE8"/>
    <mergeCell ref="AB7:AD8"/>
    <mergeCell ref="AH9:AH10"/>
    <mergeCell ref="AF9:AG10"/>
    <mergeCell ref="AE9:AE10"/>
    <mergeCell ref="AB9:AD10"/>
    <mergeCell ref="E16:F16"/>
    <mergeCell ref="Z2:Z4"/>
    <mergeCell ref="E17:F17"/>
    <mergeCell ref="S2:X4"/>
    <mergeCell ref="L2:Q4"/>
    <mergeCell ref="E19:F19"/>
    <mergeCell ref="H5:H6"/>
    <mergeCell ref="I5:I6"/>
    <mergeCell ref="J5:J6"/>
    <mergeCell ref="E7:F7"/>
    <mergeCell ref="E8:F8"/>
    <mergeCell ref="E18:F18"/>
    <mergeCell ref="E12:F12"/>
    <mergeCell ref="E5:F6"/>
    <mergeCell ref="G5:G6"/>
    <mergeCell ref="E9:F9"/>
    <mergeCell ref="E10:F10"/>
    <mergeCell ref="E11:F11"/>
    <mergeCell ref="E20:F20"/>
    <mergeCell ref="E13:F13"/>
    <mergeCell ref="E14:F14"/>
    <mergeCell ref="E15:F15"/>
    <mergeCell ref="E2:H2"/>
    <mergeCell ref="E3:H3"/>
  </mergeCells>
  <conditionalFormatting sqref="Q20 X2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9 X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1:AH12">
    <cfRule type="expression" dxfId="0" priority="1">
      <formula>$AB$11="PREJUÍZO"</formula>
    </cfRule>
  </conditionalFormatting>
  <dataValidations count="4">
    <dataValidation type="list" allowBlank="1" showInputMessage="1" showErrorMessage="1" sqref="E3" xr:uid="{00000000-0002-0000-0200-000000000000}">
      <formula1>V_Atividades</formula1>
    </dataValidation>
    <dataValidation type="decimal" allowBlank="1" showInputMessage="1" showErrorMessage="1" errorTitle="ERRO!" error="Campo somente aceita percentual entre 0% e 100%." sqref="J3" xr:uid="{00000000-0002-0000-0200-000001000000}">
      <formula1>0</formula1>
      <formula2>1</formula2>
    </dataValidation>
    <dataValidation type="whole" allowBlank="1" showInputMessage="1" showErrorMessage="1" errorTitle="ERRO DE VALIDAÇÃO!" error="Ano fora da validação de dados!_x000a_Ajuste a validação para que inclua o ano desejado..." sqref="I3" xr:uid="{00000000-0002-0000-0200-000002000000}">
      <formula1>2018</formula1>
      <formula2>2030</formula2>
    </dataValidation>
    <dataValidation type="decimal" allowBlank="1" showInputMessage="1" showErrorMessage="1" errorTitle="ERRO!" error="Campo somente aceita valores positivos." sqref="AE7:AE10 G7:H18" xr:uid="{365FD1A1-DA9D-4937-A077-1EA574D43345}">
      <formula1>0</formula1>
      <formula2>999999999</formula2>
    </dataValidation>
  </dataValidations>
  <printOptions horizontalCentered="1" verticalCentered="1"/>
  <pageMargins left="0.15748031496062992" right="0.15748031496062992" top="0.7" bottom="0.51181102362204722" header="0.78" footer="0.15748031496062992"/>
  <pageSetup paperSize="9" orientation="landscape" verticalDpi="300" r:id="rId1"/>
  <headerFooter>
    <oddHeader>&amp;C&amp;"-,Negrito"&amp;14LUCRO PRESUMIDO x LUCRO REAL</oddHeader>
    <oddFooter>&amp;R&amp;D / &amp;T</oddFooter>
  </headerFooter>
  <drawing r:id="rId2"/>
  <legacyDrawing r:id="rId3"/>
  <controls>
    <mc:AlternateContent xmlns:mc="http://schemas.openxmlformats.org/markup-compatibility/2006">
      <mc:Choice Requires="x14">
        <control shapeId="1081" r:id="rId4" name="OptCustosVlrDado">
          <controlPr defaultSize="0" autoLine="0" r:id="rId5">
            <anchor moveWithCells="1">
              <from>
                <xdr:col>27</xdr:col>
                <xdr:colOff>76200</xdr:colOff>
                <xdr:row>3</xdr:row>
                <xdr:rowOff>19050</xdr:rowOff>
              </from>
              <to>
                <xdr:col>30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1081" r:id="rId4" name="OptCustosVlrDado"/>
      </mc:Fallback>
    </mc:AlternateContent>
    <mc:AlternateContent xmlns:mc="http://schemas.openxmlformats.org/markup-compatibility/2006">
      <mc:Choice Requires="x14">
        <control shapeId="1080" r:id="rId6" name="OptFatVlrDado">
          <controlPr defaultSize="0" autoLine="0" autoPict="0" r:id="rId7">
            <anchor moveWithCells="1">
              <from>
                <xdr:col>27</xdr:col>
                <xdr:colOff>85725</xdr:colOff>
                <xdr:row>2</xdr:row>
                <xdr:rowOff>9525</xdr:rowOff>
              </from>
              <to>
                <xdr:col>30</xdr:col>
                <xdr:colOff>457200</xdr:colOff>
                <xdr:row>3</xdr:row>
                <xdr:rowOff>19050</xdr:rowOff>
              </to>
            </anchor>
          </controlPr>
        </control>
      </mc:Choice>
      <mc:Fallback>
        <control shapeId="1080" r:id="rId6" name="OptFatVlrDado"/>
      </mc:Fallback>
    </mc:AlternateContent>
    <mc:AlternateContent xmlns:mc="http://schemas.openxmlformats.org/markup-compatibility/2006">
      <mc:Choice Requires="x14">
        <control shapeId="1092" r:id="rId8" name="BotaoExibirLP">
          <controlPr defaultSize="0" print="0" autoLine="0" r:id="rId9">
            <anchor moveWithCells="1">
              <from>
                <xdr:col>16</xdr:col>
                <xdr:colOff>885825</xdr:colOff>
                <xdr:row>1</xdr:row>
                <xdr:rowOff>85725</xdr:rowOff>
              </from>
              <to>
                <xdr:col>16</xdr:col>
                <xdr:colOff>1009650</xdr:colOff>
                <xdr:row>1</xdr:row>
                <xdr:rowOff>228600</xdr:rowOff>
              </to>
            </anchor>
          </controlPr>
        </control>
      </mc:Choice>
      <mc:Fallback>
        <control shapeId="1092" r:id="rId8" name="BotaoExibirLP"/>
      </mc:Fallback>
    </mc:AlternateContent>
    <mc:AlternateContent xmlns:mc="http://schemas.openxmlformats.org/markup-compatibility/2006">
      <mc:Choice Requires="x14">
        <control shapeId="1094" r:id="rId10" name="BotaoExibirLR">
          <controlPr defaultSize="0" print="0" autoLine="0" r:id="rId9">
            <anchor moveWithCells="1">
              <from>
                <xdr:col>23</xdr:col>
                <xdr:colOff>885825</xdr:colOff>
                <xdr:row>1</xdr:row>
                <xdr:rowOff>85725</xdr:rowOff>
              </from>
              <to>
                <xdr:col>23</xdr:col>
                <xdr:colOff>1009650</xdr:colOff>
                <xdr:row>1</xdr:row>
                <xdr:rowOff>228600</xdr:rowOff>
              </to>
            </anchor>
          </controlPr>
        </control>
      </mc:Choice>
      <mc:Fallback>
        <control shapeId="1094" r:id="rId10" name="BotaoExibirL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17</vt:i4>
      </vt:variant>
    </vt:vector>
  </HeadingPairs>
  <TitlesOfParts>
    <vt:vector size="20" baseType="lpstr">
      <vt:lpstr>Tutorial</vt:lpstr>
      <vt:lpstr>Atividades</vt:lpstr>
      <vt:lpstr>CÁLCULO</vt:lpstr>
      <vt:lpstr>CÁLCULO!Area_de_impressao</vt:lpstr>
      <vt:lpstr>Tutorial!Area_de_impressao</vt:lpstr>
      <vt:lpstr>AreaValoresQuadro</vt:lpstr>
      <vt:lpstr>ContarLinhasCustos</vt:lpstr>
      <vt:lpstr>ContarLinhasFat</vt:lpstr>
      <vt:lpstr>TotalCustos</vt:lpstr>
      <vt:lpstr>TotalFat</vt:lpstr>
      <vt:lpstr>VlrCustosMensal</vt:lpstr>
      <vt:lpstr>VlrCustosQuadro</vt:lpstr>
      <vt:lpstr>VlrDif</vt:lpstr>
      <vt:lpstr>VlrDifPE</vt:lpstr>
      <vt:lpstr>VlrFatMensal</vt:lpstr>
      <vt:lpstr>VlrFatQuadro</vt:lpstr>
      <vt:lpstr>VlrInformado</vt:lpstr>
      <vt:lpstr>VlrLP</vt:lpstr>
      <vt:lpstr>VlrLR</vt:lpstr>
      <vt:lpstr>VlrsSalvos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Cerismar Carvalho da Mota</dc:creator>
  <cp:lastModifiedBy>Regis Marinho</cp:lastModifiedBy>
  <cp:lastPrinted>2018-03-16T10:22:53Z</cp:lastPrinted>
  <dcterms:created xsi:type="dcterms:W3CDTF">2016-10-20T12:19:06Z</dcterms:created>
  <dcterms:modified xsi:type="dcterms:W3CDTF">2018-11-16T19:30:27Z</dcterms:modified>
</cp:coreProperties>
</file>