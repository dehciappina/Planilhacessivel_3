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ciapp\OneDrive\Backup Pastas Principais\PASTAS PRINCIPAIS\Planejamentos\Trabalhos\Planilhacessível\MAIS UM PLANILHACESSIVEL\downloads\"/>
    </mc:Choice>
  </mc:AlternateContent>
  <xr:revisionPtr revIDLastSave="5" documentId="13_ncr:1_{C81599E6-B30C-4597-A940-B2C2ED27448E}" xr6:coauthVersionLast="38" xr6:coauthVersionMax="38" xr10:uidLastSave="{2BC8BAD4-F2EF-43C4-8C43-6064E6308442}"/>
  <bookViews>
    <workbookView xWindow="0" yWindow="0" windowWidth="20490" windowHeight="7530" tabRatio="726" activeTab="2" xr2:uid="{9649B52D-0367-4D7B-A581-500B7A3A5572}"/>
  </bookViews>
  <sheets>
    <sheet name="Menu" sheetId="6" r:id="rId1"/>
    <sheet name="Tutorial" sheetId="7" state="hidden" r:id="rId2"/>
    <sheet name="Cad. Emitentes ou Pagantes" sheetId="1" r:id="rId3"/>
    <sheet name="Cad. Cidades" sheetId="8" state="hidden" r:id="rId4"/>
    <sheet name="Cad. Assinaturas" sheetId="12" state="hidden" r:id="rId5"/>
    <sheet name="Formulário" sheetId="4" state="hidden" r:id="rId6"/>
    <sheet name="Recibos" sheetId="5" state="hidden" r:id="rId7"/>
    <sheet name="Apoio" sheetId="13" state="hidden" r:id="rId8"/>
    <sheet name="Relatório por Período" sheetId="9" state="hidden" r:id="rId9"/>
    <sheet name="Relatório por Emitente" sheetId="10" state="hidden" r:id="rId10"/>
    <sheet name="Relatório por Pagante" sheetId="11" state="hidden" r:id="rId11"/>
  </sheets>
  <functionGroups builtInGroupCount="19"/>
  <definedNames>
    <definedName name="_xlnm._FilterDatabase" localSheetId="4" hidden="1">'Cad. Assinaturas'!$D$4:$D$4</definedName>
    <definedName name="_xlnm._FilterDatabase" localSheetId="3" hidden="1">'Cad. Cidades'!$C$1:$C$2</definedName>
    <definedName name="_xlnm._FilterDatabase" localSheetId="2" hidden="1">'Cad. Emitentes ou Pagantes'!$D$4:$J$4</definedName>
    <definedName name="_xlnm._FilterDatabase" localSheetId="6" hidden="1">Recibos!$B$3:$AA$3</definedName>
    <definedName name="_xlnm.Print_Area" localSheetId="2">'Cad. Emitentes ou Pagantes'!$D$4:$J$4</definedName>
    <definedName name="_xlnm.Print_Area" localSheetId="5">Formulário!$B$3:$B$33</definedName>
    <definedName name="_xlnm.Print_Area" localSheetId="8">'Relatório por Período'!$B$3:$G$42</definedName>
    <definedName name="_xlnm.Print_Area" localSheetId="1">Tutorial!$B$2:$C$38</definedName>
    <definedName name="CadAssinaturaEmpresa">'Cad. Assinaturas'!$D$2</definedName>
    <definedName name="CadAssinaturaNome">'Cad. Assinaturas'!$E$2</definedName>
    <definedName name="Cidades">OFFSET('Cad. Cidades'!$C$1,1,0,COUNTA('Cad. Cidades'!$C$2:$C$100),1)</definedName>
    <definedName name="ContadorRegistros">Apoio!$C$3</definedName>
    <definedName name="End_Logo">'Cad. Emitentes ou Pagantes'!$R$2</definedName>
    <definedName name="Form_Assinante">Formulário!$B$28</definedName>
    <definedName name="Form_CPF_CNPJ">Formulário!$B$29</definedName>
    <definedName name="Form_Data">Formulário!$B$22</definedName>
    <definedName name="Form_DescrRecibo">Formulário!$B$19</definedName>
    <definedName name="Form_NroRecibo">Formulário!$B$12</definedName>
    <definedName name="Form_Rodape1">Formulário!$B$31</definedName>
    <definedName name="Form_Rodape2">Formulário!$B$32</definedName>
    <definedName name="Form_Rodape3">Formulário!$B$33</definedName>
    <definedName name="Form_Valor">Formulário!$B$16</definedName>
    <definedName name="Form_VlrExtenso">Formulário!$B$17</definedName>
    <definedName name="LancRestantes">Apoio!$C$4</definedName>
    <definedName name="PF_PJ_Nome">OFFSET('Cad. Emitentes ou Pagantes'!$D$4,1,0,COUNTA('Cad. Emitentes ou Pagantes'!$D$5:$D$9855),1)</definedName>
    <definedName name="PF_PJ_Nro">OFFSET('Cad. Emitentes ou Pagantes'!$C$4,1,0,COUNTA('Cad. Emitentes ou Pagantes'!$C$5:$C$9855),1)</definedName>
    <definedName name="PF_PJ_Tudo">OFFSET('Cad. Emitentes ou Pagantes'!$D$4,1,0,COUNTA('Cad. Emitentes ou Pagantes'!$D$5:$D$9855),9)</definedName>
    <definedName name="PFPJ_CPFCNPJ">'Cad. Emitentes ou Pagantes'!$F$2</definedName>
    <definedName name="PFPJ_Email">'Cad. Emitentes ou Pagantes'!$I$2</definedName>
    <definedName name="PFPJ_Endereco">'Cad. Emitentes ou Pagantes'!$G$2</definedName>
    <definedName name="PFPJ_Logo">'Cad. Emitentes ou Pagantes'!$J$2</definedName>
    <definedName name="PFPJ_Nome">'Cad. Emitentes ou Pagantes'!$D$2</definedName>
    <definedName name="PFPJ_Telefone">'Cad. Emitentes ou Pagantes'!$H$2</definedName>
    <definedName name="PFPJ_Tipo">'Cad. Emitentes ou Pagantes'!$E$2</definedName>
    <definedName name="Recibos_Emitidos_Area">OFFSET(Recibos!$C$3,1,0,COUNTA(Recibos!$C$4:$C$9904),25)</definedName>
    <definedName name="Recibos_Emitidos_Area_TD">OFFSET(Recibos!$C$3,0,0,COUNTA(Recibos!$C$4:$C$9904)+1,14)</definedName>
    <definedName name="RecibosEmitidos_Nro">OFFSET(Recibos!$C$3,1,0,COUNTA(Recibos!$C$4:$C$9904),1)</definedName>
  </definedNames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2" l="1"/>
  <c r="C2" i="1"/>
  <c r="C4" i="13" l="1"/>
  <c r="B9" i="4" l="1"/>
  <c r="F1" i="1"/>
  <c r="B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N15" authorId="0" shapeId="0" xr:uid="{5BD9C103-B960-46E4-B331-B1A1D4BD3E23}">
      <text>
        <r>
          <rPr>
            <sz val="9"/>
            <color indexed="81"/>
            <rFont val="Segoe UI"/>
            <family val="2"/>
          </rPr>
          <t>Ocultar todos os relatórios.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H1" authorId="0" shapeId="0" xr:uid="{1B0D8E37-99B3-4ACE-BB28-D21D9F029FE1}">
      <text>
        <r>
          <rPr>
            <sz val="9"/>
            <color indexed="81"/>
            <rFont val="Segoe UI"/>
            <family val="2"/>
          </rPr>
          <t>É preciso que o nome da cidade seja digitado por inteiro.</t>
        </r>
      </text>
    </comment>
    <comment ref="J1" authorId="0" shapeId="0" xr:uid="{B0F587F3-85D9-4AC8-9336-834E59E5FD50}">
      <text>
        <r>
          <rPr>
            <sz val="9"/>
            <color indexed="81"/>
            <rFont val="Segoe UI"/>
            <family val="2"/>
          </rPr>
          <t>Digitar o nome do arquivo da logo marca da empresa, para que seja exibido nos recibos emitidos.</t>
        </r>
      </text>
    </comment>
    <comment ref="E2" authorId="0" shapeId="0" xr:uid="{6262D5A1-F532-4A88-9455-250D2ACB5E6E}">
      <text>
        <r>
          <rPr>
            <sz val="9"/>
            <color indexed="81"/>
            <rFont val="Segoe UI"/>
            <family val="2"/>
          </rPr>
          <t>PF = Pessoa Física
PJ = Pessoa Jurídica</t>
        </r>
      </text>
    </comment>
    <comment ref="H4" authorId="0" shapeId="0" xr:uid="{6353FCE8-D2D6-43E1-80C9-6E38DC14B226}">
      <text>
        <r>
          <rPr>
            <sz val="9"/>
            <color indexed="81"/>
            <rFont val="Segoe UI"/>
            <family val="2"/>
          </rPr>
          <t>É preciso que o nome da cidade seja digitado por inteiro.</t>
        </r>
      </text>
    </comment>
    <comment ref="J4" authorId="0" shapeId="0" xr:uid="{8F86891C-267D-49A8-BCAF-342A718287FB}">
      <text>
        <r>
          <rPr>
            <sz val="9"/>
            <color indexed="81"/>
            <rFont val="Segoe UI"/>
            <family val="2"/>
          </rPr>
          <t>Digitar o nome do arquivo da logo marca da empresa, para que seja exibido nos recibos emitidos.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C1" authorId="0" shapeId="0" xr:uid="{962627CC-DF42-42E1-B1CD-7361BDA1892C}">
      <text>
        <r>
          <rPr>
            <sz val="9"/>
            <color indexed="81"/>
            <rFont val="Segoe UI"/>
            <family val="2"/>
          </rPr>
          <t>Cadastrar as cidades que devem constar no campo de data do recibo.</t>
        </r>
      </text>
    </comment>
  </commentList>
</comments>
</file>

<file path=xl/sharedStrings.xml><?xml version="1.0" encoding="utf-8"?>
<sst xmlns="http://schemas.openxmlformats.org/spreadsheetml/2006/main" count="176" uniqueCount="85">
  <si>
    <t>NOME</t>
  </si>
  <si>
    <t>CPF/CNPJ</t>
  </si>
  <si>
    <t>CIDADE</t>
  </si>
  <si>
    <t>PF/PJ</t>
  </si>
  <si>
    <t>Nº</t>
  </si>
  <si>
    <t>HISTÓRICO</t>
  </si>
  <si>
    <t>VALOR</t>
  </si>
  <si>
    <t>DATA</t>
  </si>
  <si>
    <t>EMITENTE</t>
  </si>
  <si>
    <t>PK_E</t>
  </si>
  <si>
    <t>PK_P</t>
  </si>
  <si>
    <t>T U T O R I A L</t>
  </si>
  <si>
    <t>GERAL</t>
  </si>
  <si>
    <t>.</t>
  </si>
  <si>
    <t>O objetivo deste programa é facilitar a vida de quem precisa constantemente emitir recibos, possibilitando armazená-los, editá-los e usar um já emitido como modelo para a emissão de um novo, sempre que precisar;</t>
  </si>
  <si>
    <t>EMISSÃO DOS RECIBOS</t>
  </si>
  <si>
    <t>CADASTRO DE PESSOAS FÍSICAS E JURÍDICAS (PFs E PJs), EMITENTES OU PAGANTES DE RECIBOS</t>
  </si>
  <si>
    <t>Ao começar a usar o aplicativo, você poderá definir o número pelo qual será iniciada a sequência da numeração dos recibos. Se quiser que a numeração dos recibos comece pelo número 545, por exemplo, basta digitar esse número no campo "Nº" do 'Emissor de Recibos'. Se nenhum número for informado, a sequência começará pelo número 1;</t>
  </si>
  <si>
    <t>Há um botão exclusivamente para exclusão de emitentes ou pagantes registrados. O procedimento é semelhante ao da edição, bastando clicar na linha do registro e confirmar a exclusão;</t>
  </si>
  <si>
    <t>PAGANTE</t>
  </si>
  <si>
    <t>NOME LOGO</t>
  </si>
  <si>
    <t>ENDEREÇO DA LOGOMARCA NA REDE</t>
  </si>
  <si>
    <t>TELEFONE</t>
  </si>
  <si>
    <t>E-MAIL</t>
  </si>
  <si>
    <t>ENDEREÇO (Rua - Bairro - Cidade - Estado - CEP)</t>
  </si>
  <si>
    <t>Deixe o campo "LOGOMARCA" em branco caso a empresa emitente do recibo não tenha logomarca ou você não tenha interessa em utilizá-la;</t>
  </si>
  <si>
    <t>Os arquivos das logomarcas devem ter altura máxima de 4,55 cm e largura de até 15,00 cm;</t>
  </si>
  <si>
    <t>CADASTRO DAS CIDADES</t>
  </si>
  <si>
    <t>O cadastro de cidades é necessário para a indicação do município em que ocorreu a comercialização ou serviço objeto do recibo emitido;</t>
  </si>
  <si>
    <t>ENDEREÇO DE LOGOMARCAS (DISPONÍVEL APENAS NA VERSÃO COMPLETA)</t>
  </si>
  <si>
    <t>RELATÓRIOS DE RECIBOS EMITIDOS (DISPONÍVEIS APENAS NA VERSÃO COMPLETA)</t>
  </si>
  <si>
    <t>Total Geral</t>
  </si>
  <si>
    <t>Total</t>
  </si>
  <si>
    <t xml:space="preserve">Nº </t>
  </si>
  <si>
    <t>Relatório 1</t>
  </si>
  <si>
    <t>Relatório 2</t>
  </si>
  <si>
    <t>Relatório 3</t>
  </si>
  <si>
    <t>(Tudo)</t>
  </si>
  <si>
    <t>MÊS</t>
  </si>
  <si>
    <t>ANO</t>
  </si>
  <si>
    <t>DADOS CONCATENADOS</t>
  </si>
  <si>
    <t>STATUS</t>
  </si>
  <si>
    <t>NOME DO RESPONSÁVEL</t>
  </si>
  <si>
    <t>ASSINATURA</t>
  </si>
  <si>
    <t>EMITENTE ou PAGANTE</t>
  </si>
  <si>
    <t>NOME LOGOMARCA</t>
  </si>
  <si>
    <t>PF/PJ E</t>
  </si>
  <si>
    <t>PF/PJ P</t>
  </si>
  <si>
    <t>HISTÓRICO ADICIONAL</t>
  </si>
  <si>
    <t/>
  </si>
  <si>
    <t>ENDEREÇO</t>
  </si>
  <si>
    <t>MOSTRAR Nº</t>
  </si>
  <si>
    <t>ASSINATURA EMITENTE</t>
  </si>
  <si>
    <t>Nº Máximo Registros</t>
  </si>
  <si>
    <t>Registros Realizados</t>
  </si>
  <si>
    <t>Resgistros Restantes</t>
  </si>
  <si>
    <t>Uma vez realizada a digitação de um emitente ou pagante, clique no botão "REGISTRAR" para que os dados sejam transferidos para a área dos cadastrados na mesma aba (C5:J1000);</t>
  </si>
  <si>
    <t>O início do histórico do recibo é preenchido automaticamente, cabendo-lhe completar sua descrição a partir de "referente a";</t>
  </si>
  <si>
    <t>Para poder emitir recibos, primeiramente é preciso cadastrar os Emitentes e/ou Pagantes que constarão no documento, utilizando os campos das células D2:J2 da aba "Cad. Emitentes ou Pagantes";</t>
  </si>
  <si>
    <t>Para editar um registro, clique com o mouse na linha do registro que pretende alterar e aperte o botão "EDITAR". Os dados respectivos são automaticamente transferidos para a área de lançamento (D2:J2), onde devem sofrer os ajustes. Não esquecer de clicar no botão "REGISTRAR" para transferir os dados ajustados para a área dos cadastrados;</t>
  </si>
  <si>
    <t>Depois de preenchidos os campos obrigatórios do formulário, você clica no botão REGISTRAR e, automaticamente, os dados são transferidos para a aba local (Recibos Emitidos);</t>
  </si>
  <si>
    <t>E, caso você queira aproveitar parte dos dados de um determinado recibo para gerar um novo, basta ativar a opção "NOVO", próxima do Nº do Recibo, no formulário;</t>
  </si>
  <si>
    <t>IMPRESSÃO DOS RECIBOS</t>
  </si>
  <si>
    <t>Uma vez que os recibos emitidos ficam armazenados, eles podem ser editados ou utilizados para a emissão de um novo;</t>
  </si>
  <si>
    <t>Dando um duplo clique na linha do registro escolhido você abre o formulário contendo os dados do respectivo recibo para edição e/ou impressão;</t>
  </si>
  <si>
    <t>Outra forma de abrir um recibo para edição e/ou impressão é clicando no botão "CHAMAR" e informando o número do recibo;</t>
  </si>
  <si>
    <t>Nº 1</t>
  </si>
  <si>
    <t>Para imprimir um recibo é preciso apenas chamá-lo (com um duplo clique ou com o botão CHAMAR)  e selecionar a opção 'Visualizar Formulário de Impressão' e, em seguida, clicar no botão REGISTRAR. Ele salva primeiro as eventuais alterações e na, sequência, exibe-o no formato para impressão;</t>
  </si>
  <si>
    <t>Você decide se o número de controle de emissão dos recibos será ou não exibido na sua impressão. Se não quiser que esse número seja impresso, basta desmarcar a opção 'Mostar Nº do Recibo' no formulário de cadastramento;</t>
  </si>
  <si>
    <t>Deixando desabilitado o botão 'MOSTRAR Nº', na aba 'Recibos Emitidos',  você consegue impor que nenhum recibo seja impresso com a informação de seu número de controle, mesmo que ele tenha sido gerado com a opção de impressão habilitada;</t>
  </si>
  <si>
    <t>As células de digitação estão destacadas em azul degradê;</t>
  </si>
  <si>
    <t>Utilize as setas azuis para facilitar a navegação por este aplicativo;</t>
  </si>
  <si>
    <t>Você pode personalizar seus recibos, com a inserção de logomarcas de empresas cadastradas em "Cad. Emitentes ou Pagantes". Para tanto, basta informar, no formulário aberto a partir do botão "ENDEREÇO DE LOGOMARCAS", o endereço completo da pasta onde você armazena os arquivos das logomarcas, que obrigatoriamente devem ter a extensão "jpg";</t>
  </si>
  <si>
    <t>Há três relatórios prontos para serem consultados: 1) Relatório por Período; 2) Relatório por Emitente e 3) Relatório por Pagante.</t>
  </si>
  <si>
    <t>Régis Marinho</t>
  </si>
  <si>
    <t>Quota Empreendimentos</t>
  </si>
  <si>
    <t>Av. Angélica, 2248</t>
  </si>
  <si>
    <t>Jorj Petru Kalman</t>
  </si>
  <si>
    <t>19/11/2018</t>
  </si>
  <si>
    <t xml:space="preserve">Recebi de Quota Empreendimentos, CNPJ nº 52.708.112/0001-03, a importância acima discriminada, referente a </t>
  </si>
  <si>
    <t>São Paulo, 19 de novembro de 2018</t>
  </si>
  <si>
    <t xml:space="preserve">Recebemos de Régis Marinho, CPF nº 041.276.458-06, a importância acima discriminada, referente a </t>
  </si>
  <si>
    <t>QUOTA EMPREENDIMENTOS     CNPJ nº CNPJ: 52.708.112/0001-03</t>
  </si>
  <si>
    <t>Telefone: 11 2244-4400    -    e-mail: quota@quota.com.br</t>
  </si>
  <si>
    <t>dassadop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</si>
</sst>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R$&quot;* #,##0.00_-;\-&quot;R$&quot;* #,##0.00_-;_-&quot;R$&quot;* &quot;-&quot;??_-;_-@_-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_);\(&quot;R$ &quot;#,##0.00\)"/>
    <numFmt numFmtId="169" formatCode="&quot;São Paulo, &quot;dd\ &quot;de&quot;\ mmmm\ &quot;de &quot;yyyy"/>
    <numFmt numFmtId="170" formatCode="[$-F800]dddd\,\ 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Lucida Sans Unicode"/>
      <family val="2"/>
    </font>
    <font>
      <b/>
      <sz val="16"/>
      <color theme="1"/>
      <name val="Lucida Sans Unicode"/>
      <family val="2"/>
    </font>
    <font>
      <u/>
      <sz val="11"/>
      <color theme="1"/>
      <name val="Lucida Sans Unicode"/>
      <family val="2"/>
    </font>
    <font>
      <b/>
      <sz val="11"/>
      <color theme="1"/>
      <name val="Lucida Sans Unicode"/>
      <family val="2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i/>
      <sz val="1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Lucida Sans Unicode"/>
      <family val="2"/>
    </font>
    <font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4659260841701"/>
        <bgColor indexed="64"/>
      </patternFill>
    </fill>
    <fill>
      <patternFill patternType="solid">
        <fgColor theme="5" tint="-0.249977111117893"/>
        <bgColor indexed="64"/>
      </patternFill>
    </fill>
    <fill>
      <gradientFill degree="90">
        <stop position="0">
          <color theme="0"/>
        </stop>
        <stop position="1">
          <color theme="4" tint="0.40000610370189521"/>
        </stop>
      </gradientFill>
    </fill>
    <fill>
      <gradientFill type="path" left="0.5" right="0.5" top="0.5" bottom="0.5">
        <stop position="0">
          <color theme="0"/>
        </stop>
        <stop position="1">
          <color theme="4" tint="0.39997558519241921"/>
        </stop>
      </gradientFill>
    </fill>
    <fill>
      <gradientFill degree="270">
        <stop position="0">
          <color theme="0"/>
        </stop>
        <stop position="1">
          <color theme="5" tint="-0.49803155613879818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auto="1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</fills>
  <borders count="11">
    <border>
      <left/>
      <right/>
      <top/>
      <bottom/>
      <diagonal/>
    </border>
    <border>
      <left/>
      <right/>
      <top/>
      <bottom style="double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hair">
        <color auto="1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0" xfId="0" applyFont="1"/>
    <xf numFmtId="168" fontId="6" fillId="0" borderId="0" xfId="1" applyNumberFormat="1" applyFont="1" applyAlignment="1">
      <alignment horizontal="left" wrapText="1"/>
    </xf>
    <xf numFmtId="0" fontId="3" fillId="0" borderId="0" xfId="0" applyFont="1" applyAlignment="1">
      <alignment horizontal="justify" vertical="top" wrapText="1"/>
    </xf>
    <xf numFmtId="0" fontId="3" fillId="0" borderId="0" xfId="0" applyFont="1" applyAlignment="1">
      <alignment vertical="top" wrapText="1"/>
    </xf>
    <xf numFmtId="169" fontId="3" fillId="0" borderId="0" xfId="0" applyNumberFormat="1" applyFont="1" applyAlignment="1">
      <alignment horizontal="center"/>
    </xf>
    <xf numFmtId="0" fontId="3" fillId="0" borderId="0" xfId="0" applyFont="1" applyBorder="1"/>
    <xf numFmtId="0" fontId="6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165" fontId="0" fillId="0" borderId="2" xfId="0" applyNumberFormat="1" applyBorder="1"/>
    <xf numFmtId="0" fontId="0" fillId="0" borderId="4" xfId="0" applyBorder="1"/>
    <xf numFmtId="0" fontId="0" fillId="0" borderId="5" xfId="0" applyBorder="1"/>
    <xf numFmtId="0" fontId="0" fillId="0" borderId="0" xfId="0" applyAlignment="1" applyProtection="1">
      <alignment vertical="top"/>
    </xf>
    <xf numFmtId="0" fontId="0" fillId="0" borderId="9" xfId="0" applyBorder="1" applyAlignment="1" applyProtection="1">
      <alignment horizontal="right" vertical="top"/>
    </xf>
    <xf numFmtId="0" fontId="0" fillId="0" borderId="9" xfId="0" applyBorder="1" applyAlignment="1" applyProtection="1">
      <alignment horizontal="left" vertical="top" wrapText="1"/>
    </xf>
    <xf numFmtId="0" fontId="0" fillId="0" borderId="9" xfId="0" applyBorder="1" applyAlignment="1" applyProtection="1">
      <alignment horizontal="right" vertical="center"/>
    </xf>
    <xf numFmtId="0" fontId="0" fillId="0" borderId="9" xfId="0" applyBorder="1" applyAlignment="1" applyProtection="1">
      <alignment horizontal="left" vertical="center" wrapText="1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right" vertical="top"/>
    </xf>
    <xf numFmtId="0" fontId="0" fillId="0" borderId="0" xfId="0" applyAlignment="1" applyProtection="1">
      <alignment vertical="top" wrapText="1"/>
    </xf>
    <xf numFmtId="0" fontId="0" fillId="0" borderId="0" xfId="0" applyBorder="1" applyAlignment="1" applyProtection="1">
      <alignment horizontal="right" vertical="center"/>
    </xf>
    <xf numFmtId="0" fontId="0" fillId="0" borderId="0" xfId="0" applyBorder="1" applyAlignment="1" applyProtection="1">
      <alignment horizontal="left" vertical="center" wrapText="1"/>
    </xf>
    <xf numFmtId="0" fontId="2" fillId="0" borderId="2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7" fillId="3" borderId="3" xfId="0" applyFont="1" applyFill="1" applyBorder="1" applyAlignment="1">
      <alignment horizontal="center" vertical="top" wrapText="1"/>
    </xf>
    <xf numFmtId="14" fontId="7" fillId="3" borderId="3" xfId="0" applyNumberFormat="1" applyFont="1" applyFill="1" applyBorder="1" applyAlignment="1">
      <alignment horizontal="center" vertical="top" wrapText="1"/>
    </xf>
    <xf numFmtId="165" fontId="7" fillId="3" borderId="3" xfId="0" applyNumberFormat="1" applyFont="1" applyFill="1" applyBorder="1" applyAlignment="1">
      <alignment horizontal="center" vertical="top" wrapText="1"/>
    </xf>
    <xf numFmtId="0" fontId="7" fillId="3" borderId="6" xfId="0" applyFont="1" applyFill="1" applyBorder="1" applyAlignment="1">
      <alignment horizontal="center" vertical="top" wrapText="1"/>
    </xf>
    <xf numFmtId="0" fontId="0" fillId="0" borderId="2" xfId="0" applyBorder="1" applyProtection="1"/>
    <xf numFmtId="0" fontId="0" fillId="0" borderId="0" xfId="0" applyProtection="1"/>
    <xf numFmtId="0" fontId="0" fillId="0" borderId="7" xfId="0" applyBorder="1" applyAlignment="1" applyProtection="1">
      <alignment horizontal="center" vertical="center"/>
    </xf>
    <xf numFmtId="0" fontId="0" fillId="0" borderId="2" xfId="0" applyBorder="1" applyAlignment="1" applyProtection="1">
      <alignment vertical="center"/>
    </xf>
    <xf numFmtId="0" fontId="0" fillId="0" borderId="8" xfId="0" applyBorder="1" applyAlignment="1" applyProtection="1">
      <alignment vertical="top"/>
    </xf>
    <xf numFmtId="0" fontId="0" fillId="0" borderId="2" xfId="0" applyBorder="1" applyAlignment="1" applyProtection="1">
      <alignment vertical="top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left"/>
    </xf>
    <xf numFmtId="0" fontId="7" fillId="2" borderId="4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7" fillId="2" borderId="5" xfId="0" applyFont="1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0" fontId="7" fillId="2" borderId="5" xfId="0" applyFont="1" applyFill="1" applyBorder="1" applyAlignment="1" applyProtection="1">
      <alignment horizontal="center" vertical="top"/>
    </xf>
    <xf numFmtId="0" fontId="0" fillId="0" borderId="3" xfId="0" applyBorder="1" applyProtection="1"/>
    <xf numFmtId="0" fontId="0" fillId="0" borderId="3" xfId="0" applyBorder="1" applyAlignment="1" applyProtection="1">
      <alignment horizontal="center"/>
    </xf>
    <xf numFmtId="0" fontId="0" fillId="0" borderId="6" xfId="0" applyBorder="1" applyProtection="1"/>
    <xf numFmtId="0" fontId="0" fillId="0" borderId="10" xfId="0" applyBorder="1" applyAlignment="1" applyProtection="1">
      <alignment horizontal="center"/>
    </xf>
    <xf numFmtId="0" fontId="7" fillId="2" borderId="2" xfId="0" applyFont="1" applyFill="1" applyBorder="1" applyAlignment="1" applyProtection="1">
      <alignment horizontal="center" vertical="top"/>
    </xf>
    <xf numFmtId="164" fontId="0" fillId="0" borderId="0" xfId="0" applyNumberFormat="1"/>
    <xf numFmtId="0" fontId="0" fillId="0" borderId="0" xfId="0" pivotButton="1"/>
    <xf numFmtId="14" fontId="0" fillId="0" borderId="0" xfId="0" applyNumberFormat="1"/>
    <xf numFmtId="0" fontId="0" fillId="0" borderId="5" xfId="0" applyBorder="1" applyAlignment="1">
      <alignment horizontal="center"/>
    </xf>
    <xf numFmtId="166" fontId="7" fillId="2" borderId="4" xfId="2" applyFont="1" applyFill="1" applyBorder="1" applyAlignment="1" applyProtection="1">
      <alignment horizontal="center" vertical="center"/>
    </xf>
    <xf numFmtId="166" fontId="0" fillId="0" borderId="0" xfId="2" applyFont="1" applyProtection="1">
      <protection locked="0"/>
    </xf>
    <xf numFmtId="166" fontId="0" fillId="0" borderId="2" xfId="2" applyFont="1" applyFill="1" applyBorder="1" applyProtection="1">
      <protection locked="0"/>
    </xf>
    <xf numFmtId="166" fontId="0" fillId="0" borderId="0" xfId="2" applyFont="1" applyFill="1" applyBorder="1" applyAlignment="1" applyProtection="1">
      <alignment horizontal="left" vertical="center"/>
      <protection locked="0"/>
    </xf>
    <xf numFmtId="166" fontId="0" fillId="0" borderId="0" xfId="2" applyFont="1" applyFill="1" applyProtection="1">
      <protection locked="0"/>
    </xf>
    <xf numFmtId="166" fontId="0" fillId="0" borderId="0" xfId="2" applyFont="1" applyFill="1" applyBorder="1" applyProtection="1">
      <protection locked="0"/>
    </xf>
    <xf numFmtId="0" fontId="0" fillId="0" borderId="0" xfId="0" applyFill="1" applyBorder="1"/>
    <xf numFmtId="0" fontId="0" fillId="9" borderId="2" xfId="0" applyFill="1" applyBorder="1" applyAlignment="1" applyProtection="1">
      <alignment horizontal="left" vertical="center"/>
      <protection locked="0"/>
    </xf>
    <xf numFmtId="0" fontId="0" fillId="9" borderId="2" xfId="0" applyFill="1" applyBorder="1" applyAlignment="1" applyProtection="1">
      <alignment horizontal="center" vertical="center"/>
      <protection locked="0"/>
    </xf>
    <xf numFmtId="3" fontId="0" fillId="9" borderId="2" xfId="0" applyNumberFormat="1" applyFill="1" applyBorder="1" applyAlignment="1" applyProtection="1">
      <alignment horizontal="center" vertical="center"/>
      <protection locked="0"/>
    </xf>
    <xf numFmtId="0" fontId="0" fillId="9" borderId="2" xfId="0" applyFill="1" applyBorder="1" applyAlignment="1" applyProtection="1">
      <alignment vertical="center"/>
      <protection locked="0"/>
    </xf>
    <xf numFmtId="0" fontId="0" fillId="9" borderId="5" xfId="0" applyFill="1" applyBorder="1" applyAlignment="1" applyProtection="1">
      <alignment horizontal="left" vertical="center"/>
      <protection locked="0"/>
    </xf>
    <xf numFmtId="170" fontId="3" fillId="0" borderId="0" xfId="0" applyNumberFormat="1" applyFont="1" applyAlignment="1">
      <alignment horizontal="center"/>
    </xf>
    <xf numFmtId="0" fontId="12" fillId="9" borderId="2" xfId="4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top"/>
    </xf>
    <xf numFmtId="1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/>
    </xf>
    <xf numFmtId="0" fontId="0" fillId="0" borderId="0" xfId="0" pivotButton="1" applyAlignment="1">
      <alignment vertical="top" wrapText="1"/>
    </xf>
    <xf numFmtId="164" fontId="0" fillId="0" borderId="0" xfId="0" applyNumberFormat="1" applyAlignment="1">
      <alignment vertical="top" wrapText="1"/>
    </xf>
    <xf numFmtId="0" fontId="2" fillId="7" borderId="2" xfId="0" applyFont="1" applyFill="1" applyBorder="1" applyAlignment="1" applyProtection="1">
      <alignment horizontal="center" vertical="center"/>
    </xf>
    <xf numFmtId="0" fontId="2" fillId="8" borderId="2" xfId="0" applyFont="1" applyFill="1" applyBorder="1" applyAlignment="1" applyProtection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" fillId="0" borderId="2" xfId="0" applyFont="1" applyBorder="1" applyAlignment="1" applyProtection="1">
      <alignment horizontal="center" vertical="top" wrapText="1"/>
      <protection locked="0"/>
    </xf>
    <xf numFmtId="0" fontId="0" fillId="0" borderId="2" xfId="0" applyBorder="1" applyAlignment="1" applyProtection="1">
      <alignment horizontal="left"/>
    </xf>
    <xf numFmtId="0" fontId="7" fillId="3" borderId="6" xfId="0" applyFont="1" applyFill="1" applyBorder="1" applyAlignment="1" applyProtection="1">
      <alignment horizontal="center" vertical="top" wrapText="1"/>
    </xf>
    <xf numFmtId="0" fontId="0" fillId="0" borderId="0" xfId="0" applyFill="1" applyBorder="1" applyAlignment="1" applyProtection="1">
      <alignment horizontal="left"/>
    </xf>
    <xf numFmtId="0" fontId="0" fillId="0" borderId="0" xfId="0" applyAlignment="1">
      <alignment horizontal="center" shrinkToFit="1"/>
    </xf>
    <xf numFmtId="0" fontId="8" fillId="0" borderId="0" xfId="0" applyFont="1" applyAlignment="1">
      <alignment horizontal="center" shrinkToFit="1"/>
    </xf>
    <xf numFmtId="0" fontId="13" fillId="0" borderId="0" xfId="0" applyFont="1" applyAlignment="1">
      <alignment horizontal="right" vertical="center"/>
    </xf>
    <xf numFmtId="0" fontId="3" fillId="0" borderId="0" xfId="0" applyFont="1" applyAlignment="1">
      <alignment horizontal="center"/>
    </xf>
    <xf numFmtId="0" fontId="0" fillId="0" borderId="2" xfId="0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Alignment="1" applyProtection="1">
      <alignment horizontal="left" vertical="center"/>
      <protection locked="0"/>
    </xf>
    <xf numFmtId="0" fontId="0" fillId="9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0" borderId="2" xfId="0" applyFont="1" applyBorder="1" applyProtection="1">
      <protection locked="0"/>
    </xf>
    <xf numFmtId="166" fontId="0" fillId="9" borderId="2" xfId="2" applyFont="1" applyFill="1" applyBorder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9" fillId="0" borderId="0" xfId="3" applyNumberFormat="1" applyFont="1" applyBorder="1" applyAlignment="1" applyProtection="1">
      <alignment horizontal="left" vertical="top"/>
    </xf>
    <xf numFmtId="0" fontId="11" fillId="6" borderId="0" xfId="3" applyNumberFormat="1" applyFont="1" applyFill="1" applyBorder="1" applyAlignment="1" applyProtection="1">
      <alignment horizontal="left" vertical="top"/>
    </xf>
  </cellXfs>
  <cellStyles count="5">
    <cellStyle name="Hiperlink" xfId="4" builtinId="8"/>
    <cellStyle name="Moeda 2" xfId="1" xr:uid="{FC21343D-9690-442F-8A08-7E4A63D5C6AA}"/>
    <cellStyle name="Normal" xfId="0" builtinId="0"/>
    <cellStyle name="Vírgula" xfId="2" builtinId="3"/>
    <cellStyle name="Vírgula 2" xfId="3" xr:uid="{71D22C5D-7692-4D45-9FE9-8C21C450A245}"/>
  </cellStyles>
  <dxfs count="32">
    <dxf>
      <alignment wrapText="1"/>
    </dxf>
    <dxf>
      <alignment vertical="top"/>
    </dxf>
    <dxf>
      <alignment wrapText="1"/>
    </dxf>
    <dxf>
      <alignment vertical="top"/>
    </dxf>
    <dxf>
      <alignment wrapText="1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alignment vertical="top"/>
    </dxf>
    <dxf>
      <font>
        <strike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gradientFill degree="90">
          <stop position="0">
            <color theme="0"/>
          </stop>
          <stop position="1">
            <color theme="4" tint="0.39997558519241921"/>
          </stop>
        </gradientFill>
      </fill>
    </dxf>
    <dxf>
      <fill>
        <patternFill patternType="lightUp"/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-0.24994659260841701"/>
        </patternFill>
      </fill>
    </dxf>
    <dxf>
      <fill>
        <patternFill>
          <bgColor theme="4" tint="-0.2499465926084170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571500</xdr:colOff>
      <xdr:row>1</xdr:row>
      <xdr:rowOff>9525</xdr:rowOff>
    </xdr:from>
    <xdr:to>
      <xdr:col>16</xdr:col>
      <xdr:colOff>19050</xdr:colOff>
      <xdr:row>3</xdr:row>
      <xdr:rowOff>9525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009900" y="323850"/>
          <a:ext cx="6153150" cy="381000"/>
        </a:xfrm>
        <a:prstGeom prst="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97000">
              <a:schemeClr val="accent2">
                <a:lumMod val="0"/>
                <a:lumOff val="100000"/>
              </a:schemeClr>
            </a:gs>
            <a:gs pos="0">
              <a:schemeClr val="accent2">
                <a:lumMod val="100000"/>
              </a:schemeClr>
            </a:gs>
          </a:gsLst>
          <a:path path="circle">
            <a:fillToRect l="50000" t="50000" r="50000" b="50000"/>
          </a:path>
          <a:tileRect/>
        </a:gradFill>
        <a:ln w="9525" cmpd="sng">
          <a:noFill/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PROGRAMA EMISSOR DE RECIBO</a:t>
          </a:r>
        </a:p>
      </xdr:txBody>
    </xdr:sp>
    <xdr:clientData/>
  </xdr:twoCellAnchor>
  <xdr:oneCellAnchor>
    <xdr:from>
      <xdr:col>8</xdr:col>
      <xdr:colOff>0</xdr:colOff>
      <xdr:row>4</xdr:row>
      <xdr:rowOff>0</xdr:rowOff>
    </xdr:from>
    <xdr:ext cx="3657600" cy="276226"/>
    <xdr:sp macro="[0]!Ir_CadPFPJ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267200" y="1066800"/>
          <a:ext cx="3657600" cy="276226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CADASTRO DOS EMITENTES E/OU PAGANTES</a:t>
          </a:r>
        </a:p>
      </xdr:txBody>
    </xdr:sp>
    <xdr:clientData/>
  </xdr:oneCellAnchor>
  <xdr:oneCellAnchor>
    <xdr:from>
      <xdr:col>8</xdr:col>
      <xdr:colOff>0</xdr:colOff>
      <xdr:row>12</xdr:row>
      <xdr:rowOff>0</xdr:rowOff>
    </xdr:from>
    <xdr:ext cx="3657600" cy="276225"/>
    <xdr:sp macro="[0]!Ir_RecibosEmitidosDireto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267200" y="2933700"/>
          <a:ext cx="3657600" cy="276225"/>
        </a:xfrm>
        <a:prstGeom prst="rect">
          <a:avLst/>
        </a:prstGeom>
        <a:solidFill>
          <a:schemeClr val="accent2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RECIBOS EMITIDOS</a:t>
          </a:r>
          <a:endParaRPr lang="pt-BR" sz="1100" b="1">
            <a:solidFill>
              <a:schemeClr val="bg1"/>
            </a:solidFill>
          </a:endParaRPr>
        </a:p>
      </xdr:txBody>
    </xdr:sp>
    <xdr:clientData/>
  </xdr:oneCellAnchor>
  <xdr:oneCellAnchor>
    <xdr:from>
      <xdr:col>8</xdr:col>
      <xdr:colOff>371475</xdr:colOff>
      <xdr:row>16</xdr:row>
      <xdr:rowOff>38100</xdr:rowOff>
    </xdr:from>
    <xdr:ext cx="1143000" cy="276225"/>
    <xdr:sp macro="[0]!Ir_Tutorial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638675" y="3905250"/>
          <a:ext cx="1143000" cy="2762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TUTORIAL</a:t>
          </a:r>
        </a:p>
      </xdr:txBody>
    </xdr:sp>
    <xdr:clientData/>
  </xdr:oneCellAnchor>
  <xdr:oneCellAnchor>
    <xdr:from>
      <xdr:col>8</xdr:col>
      <xdr:colOff>0</xdr:colOff>
      <xdr:row>6</xdr:row>
      <xdr:rowOff>11665</xdr:rowOff>
    </xdr:from>
    <xdr:ext cx="3657600" cy="264560"/>
    <xdr:sp macro="[0]!AbrirFormLocalLogo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267200" y="1545190"/>
          <a:ext cx="3657600" cy="26456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ENDEREÇO</a:t>
          </a:r>
          <a:r>
            <a:rPr lang="pt-BR" sz="1100" b="1" baseline="0">
              <a:solidFill>
                <a:schemeClr val="accent2">
                  <a:lumMod val="50000"/>
                </a:schemeClr>
              </a:solidFill>
            </a:rPr>
            <a:t> DAS LOGOMARCAS</a:t>
          </a:r>
          <a:endParaRPr lang="pt-BR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oneCellAnchor>
  <xdr:oneCellAnchor>
    <xdr:from>
      <xdr:col>8</xdr:col>
      <xdr:colOff>0</xdr:colOff>
      <xdr:row>10</xdr:row>
      <xdr:rowOff>0</xdr:rowOff>
    </xdr:from>
    <xdr:ext cx="3657600" cy="276225"/>
    <xdr:sp macro="[0]!Ir_CadCidades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267200" y="2466975"/>
          <a:ext cx="3657600" cy="276225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CADASTRO DAS</a:t>
          </a:r>
          <a:r>
            <a:rPr lang="pt-BR" sz="1100" b="1" baseline="0">
              <a:solidFill>
                <a:schemeClr val="accent2">
                  <a:lumMod val="50000"/>
                </a:schemeClr>
              </a:solidFill>
            </a:rPr>
            <a:t> CIDADES</a:t>
          </a:r>
          <a:endParaRPr lang="pt-BR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oneCellAnchor>
  <xdr:oneCellAnchor>
    <xdr:from>
      <xdr:col>8</xdr:col>
      <xdr:colOff>0</xdr:colOff>
      <xdr:row>14</xdr:row>
      <xdr:rowOff>0</xdr:rowOff>
    </xdr:from>
    <xdr:ext cx="3324225" cy="276225"/>
    <xdr:sp macro="[0]!Ir_Relatorios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4267200" y="3867150"/>
          <a:ext cx="3324225" cy="2762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RELATÓRIOS</a:t>
          </a:r>
          <a:r>
            <a:rPr lang="pt-BR" sz="1100" b="1" baseline="0">
              <a:solidFill>
                <a:schemeClr val="accent2">
                  <a:lumMod val="50000"/>
                </a:schemeClr>
              </a:solidFill>
            </a:rPr>
            <a:t> DE RECIBOS EMITIDOS</a:t>
          </a:r>
          <a:endParaRPr lang="pt-BR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oneCellAnchor>
  <xdr:oneCellAnchor>
    <xdr:from>
      <xdr:col>13</xdr:col>
      <xdr:colOff>323850</xdr:colOff>
      <xdr:row>14</xdr:row>
      <xdr:rowOff>0</xdr:rowOff>
    </xdr:from>
    <xdr:ext cx="285750" cy="276225"/>
    <xdr:sp macro="[0]!Fechar_Relatorios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7639050" y="3400425"/>
          <a:ext cx="285750" cy="2762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F</a:t>
          </a:r>
        </a:p>
      </xdr:txBody>
    </xdr:sp>
    <xdr:clientData/>
  </xdr:oneCellAnchor>
  <xdr:oneCellAnchor>
    <xdr:from>
      <xdr:col>8</xdr:col>
      <xdr:colOff>0</xdr:colOff>
      <xdr:row>7</xdr:row>
      <xdr:rowOff>190499</xdr:rowOff>
    </xdr:from>
    <xdr:ext cx="3657600" cy="276226"/>
    <xdr:sp macro="[0]!Ir_CadAssinatura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4267200" y="2000249"/>
          <a:ext cx="3657600" cy="276226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CADASTRO DAS</a:t>
          </a:r>
          <a:r>
            <a:rPr lang="pt-BR" sz="1100" b="1" baseline="0">
              <a:solidFill>
                <a:schemeClr val="accent2">
                  <a:lumMod val="50000"/>
                </a:schemeClr>
              </a:solidFill>
            </a:rPr>
            <a:t> ASSINATURAS</a:t>
          </a:r>
          <a:endParaRPr lang="pt-BR" sz="1100" b="1">
            <a:solidFill>
              <a:schemeClr val="accent2">
                <a:lumMod val="50000"/>
              </a:schemeClr>
            </a:solidFill>
          </a:endParaRPr>
        </a:p>
      </xdr:txBody>
    </xdr:sp>
    <xdr:clientData/>
  </xdr:oneCellAnchor>
  <xdr:oneCellAnchor>
    <xdr:from>
      <xdr:col>11</xdr:col>
      <xdr:colOff>333375</xdr:colOff>
      <xdr:row>16</xdr:row>
      <xdr:rowOff>38100</xdr:rowOff>
    </xdr:from>
    <xdr:ext cx="1143000" cy="276225"/>
    <xdr:sp macro="[0]!OcultarPlans" textlink="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6429375" y="3905250"/>
          <a:ext cx="1143000" cy="27622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 b="1">
              <a:solidFill>
                <a:schemeClr val="accent2">
                  <a:lumMod val="50000"/>
                </a:schemeClr>
              </a:solidFill>
            </a:rPr>
            <a:t>OCULTAR ABAS</a:t>
          </a:r>
        </a:p>
      </xdr:txBody>
    </xdr:sp>
    <xdr:clientData/>
  </xdr:oneCellAnchor>
  <xdr:twoCellAnchor>
    <xdr:from>
      <xdr:col>17</xdr:col>
      <xdr:colOff>571500</xdr:colOff>
      <xdr:row>8</xdr:row>
      <xdr:rowOff>114301</xdr:rowOff>
    </xdr:from>
    <xdr:to>
      <xdr:col>19</xdr:col>
      <xdr:colOff>142875</xdr:colOff>
      <xdr:row>9</xdr:row>
      <xdr:rowOff>66676</xdr:rowOff>
    </xdr:to>
    <xdr:sp macro="[0]!LinkPlanilhacessivel" textlink="">
      <xdr:nvSpPr>
        <xdr:cNvPr id="4" name="BotaoSaibaMais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372725" y="2057401"/>
          <a:ext cx="790575" cy="228600"/>
        </a:xfrm>
        <a:prstGeom prst="rect">
          <a:avLst/>
        </a:prstGeom>
        <a:solidFill>
          <a:schemeClr val="accent5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chemeClr val="bg1"/>
              </a:solidFill>
            </a:rPr>
            <a:t>Saiba</a:t>
          </a:r>
          <a:r>
            <a:rPr lang="pt-BR" sz="1100" baseline="0">
              <a:solidFill>
                <a:schemeClr val="bg1"/>
              </a:solidFill>
            </a:rPr>
            <a:t> mais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57150</xdr:rowOff>
    </xdr:from>
    <xdr:to>
      <xdr:col>0</xdr:col>
      <xdr:colOff>361950</xdr:colOff>
      <xdr:row>1</xdr:row>
      <xdr:rowOff>152400</xdr:rowOff>
    </xdr:to>
    <xdr:sp macro="[0]!Ir_Menu" textlink="">
      <xdr:nvSpPr>
        <xdr:cNvPr id="2" name="Seta: para a Direita Listrad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0800000">
          <a:off x="57150" y="57150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2105024</xdr:colOff>
      <xdr:row>2</xdr:row>
      <xdr:rowOff>66674</xdr:rowOff>
    </xdr:from>
    <xdr:to>
      <xdr:col>3</xdr:col>
      <xdr:colOff>2514599</xdr:colOff>
      <xdr:row>2</xdr:row>
      <xdr:rowOff>476249</xdr:rowOff>
    </xdr:to>
    <xdr:pic macro="[0]!Excluir_PFPJ">
      <xdr:nvPicPr>
        <xdr:cNvPr id="6" name="Imagem 5" descr="Resultado de imagem para IMAGEM DE EXCLUÃDO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 noCrop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2699" y="600074"/>
          <a:ext cx="40957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0</xdr:rowOff>
    </xdr:from>
    <xdr:to>
      <xdr:col>5</xdr:col>
      <xdr:colOff>304800</xdr:colOff>
      <xdr:row>5</xdr:row>
      <xdr:rowOff>114300</xdr:rowOff>
    </xdr:to>
    <xdr:sp macro="" textlink="">
      <xdr:nvSpPr>
        <xdr:cNvPr id="4102" name="AutoShape 6" descr="Resultado de imagem para imagem de editar">
          <a:extLst>
            <a:ext uri="{FF2B5EF4-FFF2-40B4-BE49-F238E27FC236}">
              <a16:creationId xmlns:a16="http://schemas.microsoft.com/office/drawing/2014/main" id="{00000000-0008-0000-0200-000006100000}"/>
            </a:ext>
          </a:extLst>
        </xdr:cNvPr>
        <xdr:cNvSpPr>
          <a:spLocks noChangeAspect="1" noChangeArrowheads="1"/>
        </xdr:cNvSpPr>
      </xdr:nvSpPr>
      <xdr:spPr bwMode="auto">
        <a:xfrm>
          <a:off x="3952875" y="232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381000</xdr:colOff>
      <xdr:row>2</xdr:row>
      <xdr:rowOff>95250</xdr:rowOff>
    </xdr:from>
    <xdr:to>
      <xdr:col>8</xdr:col>
      <xdr:colOff>1628775</xdr:colOff>
      <xdr:row>2</xdr:row>
      <xdr:rowOff>438150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9705975" y="628650"/>
          <a:ext cx="1244600" cy="342900"/>
          <a:chOff x="9086848" y="581025"/>
          <a:chExt cx="1190626" cy="342900"/>
        </a:xfrm>
      </xdr:grpSpPr>
      <xdr:sp macro="[0]!CadastrarPFPJ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 txBox="1"/>
        </xdr:nvSpPr>
        <xdr:spPr>
          <a:xfrm>
            <a:off x="9086848" y="581025"/>
            <a:ext cx="1190626" cy="342900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3d extrusionH="57150">
              <a:bevelT w="38100" h="38100"/>
            </a:sp3d>
          </a:bodyPr>
          <a:lstStyle/>
          <a:p>
            <a:pPr algn="r"/>
            <a:r>
              <a:rPr lang="pt-BR" sz="1100" b="1">
                <a:ln>
                  <a:gradFill flip="none" rotWithShape="1">
                    <a:gsLst>
                      <a:gs pos="0">
                        <a:schemeClr val="accent5">
                          <a:lumMod val="67000"/>
                        </a:schemeClr>
                      </a:gs>
                      <a:gs pos="48000">
                        <a:schemeClr val="accent5">
                          <a:lumMod val="97000"/>
                          <a:lumOff val="3000"/>
                        </a:schemeClr>
                      </a:gs>
                      <a:gs pos="100000">
                        <a:schemeClr val="accent5">
                          <a:lumMod val="60000"/>
                          <a:lumOff val="40000"/>
                        </a:schemeClr>
                      </a:gs>
                    </a:gsLst>
                    <a:lin ang="16200000" scaled="1"/>
                    <a:tileRect/>
                  </a:gradFill>
                </a:ln>
                <a:solidFill>
                  <a:schemeClr val="accent6">
                    <a:lumMod val="75000"/>
                  </a:schemeClr>
                </a:solidFill>
              </a:rPr>
              <a:t>REGISTRAR</a:t>
            </a:r>
          </a:p>
        </xdr:txBody>
      </xdr:sp>
      <xdr:sp macro="[0]!CadastrarPFPJ" textlink="">
        <xdr:nvSpPr>
          <xdr:cNvPr id="10" name="Seta: para Baixo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 rot="2877544">
            <a:off x="9172575" y="628650"/>
            <a:ext cx="276225" cy="247649"/>
          </a:xfrm>
          <a:prstGeom prst="downArrow">
            <a:avLst/>
          </a:prstGeom>
          <a:gradFill flip="none" rotWithShape="1">
            <a:gsLst>
              <a:gs pos="0">
                <a:schemeClr val="accent6">
                  <a:lumMod val="0"/>
                  <a:lumOff val="100000"/>
                </a:schemeClr>
              </a:gs>
              <a:gs pos="35000">
                <a:schemeClr val="accent6">
                  <a:lumMod val="0"/>
                  <a:lumOff val="100000"/>
                </a:schemeClr>
              </a:gs>
              <a:gs pos="100000">
                <a:schemeClr val="accent6">
                  <a:lumMod val="100000"/>
                </a:schemeClr>
              </a:gs>
            </a:gsLst>
            <a:path path="circle">
              <a:fillToRect l="50000" t="-80000" r="50000" b="180000"/>
            </a:path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ln>
                <a:solidFill>
                  <a:schemeClr val="accent6">
                    <a:lumMod val="75000"/>
                  </a:schemeClr>
                </a:solidFill>
              </a:ln>
            </a:endParaRPr>
          </a:p>
        </xdr:txBody>
      </xdr:sp>
    </xdr:grpSp>
    <xdr:clientData/>
  </xdr:twoCellAnchor>
  <xdr:twoCellAnchor>
    <xdr:from>
      <xdr:col>3</xdr:col>
      <xdr:colOff>609599</xdr:colOff>
      <xdr:row>2</xdr:row>
      <xdr:rowOff>95250</xdr:rowOff>
    </xdr:from>
    <xdr:to>
      <xdr:col>3</xdr:col>
      <xdr:colOff>1543050</xdr:colOff>
      <xdr:row>2</xdr:row>
      <xdr:rowOff>438150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1066799" y="628650"/>
          <a:ext cx="933451" cy="342900"/>
          <a:chOff x="6905624" y="581025"/>
          <a:chExt cx="933451" cy="342900"/>
        </a:xfrm>
      </xdr:grpSpPr>
      <xdr:sp macro="[0]!Editar_PFPJ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/>
        </xdr:nvSpPr>
        <xdr:spPr>
          <a:xfrm>
            <a:off x="6905624" y="581025"/>
            <a:ext cx="933451" cy="3429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3d extrusionH="57150">
              <a:bevelT w="38100" h="38100"/>
            </a:sp3d>
          </a:bodyPr>
          <a:lstStyle/>
          <a:p>
            <a:pPr algn="r"/>
            <a:r>
              <a:rPr lang="pt-BR" sz="1100" b="1">
                <a:ln>
                  <a:gradFill flip="none" rotWithShape="1">
                    <a:gsLst>
                      <a:gs pos="0">
                        <a:schemeClr val="accent5">
                          <a:lumMod val="67000"/>
                        </a:schemeClr>
                      </a:gs>
                      <a:gs pos="48000">
                        <a:schemeClr val="accent5">
                          <a:lumMod val="97000"/>
                          <a:lumOff val="3000"/>
                        </a:schemeClr>
                      </a:gs>
                      <a:gs pos="100000">
                        <a:schemeClr val="accent5">
                          <a:lumMod val="60000"/>
                          <a:lumOff val="40000"/>
                        </a:schemeClr>
                      </a:gs>
                    </a:gsLst>
                    <a:lin ang="16200000" scaled="1"/>
                    <a:tileRect/>
                  </a:gradFill>
                </a:ln>
                <a:gradFill>
                  <a:gsLst>
                    <a:gs pos="0">
                      <a:schemeClr val="accent5">
                        <a:lumMod val="67000"/>
                      </a:schemeClr>
                    </a:gs>
                    <a:gs pos="48000">
                      <a:schemeClr val="accent5">
                        <a:lumMod val="97000"/>
                        <a:lumOff val="3000"/>
                      </a:schemeClr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16200000" scaled="1"/>
                </a:gradFill>
              </a:rPr>
              <a:t>EDITAR</a:t>
            </a:r>
          </a:p>
        </xdr:txBody>
      </xdr:sp>
      <xdr:sp macro="[0]!Editar_PFPJ" textlink="">
        <xdr:nvSpPr>
          <xdr:cNvPr id="15" name="Seta: para Baixo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 rot="10800000">
            <a:off x="6991350" y="619125"/>
            <a:ext cx="276225" cy="247649"/>
          </a:xfrm>
          <a:prstGeom prst="downArrow">
            <a:avLst/>
          </a:prstGeom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46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9</xdr:col>
      <xdr:colOff>1000125</xdr:colOff>
      <xdr:row>2</xdr:row>
      <xdr:rowOff>152400</xdr:rowOff>
    </xdr:from>
    <xdr:to>
      <xdr:col>9</xdr:col>
      <xdr:colOff>1304925</xdr:colOff>
      <xdr:row>2</xdr:row>
      <xdr:rowOff>371475</xdr:rowOff>
    </xdr:to>
    <xdr:sp macro="[0]!Ir_CadAssinatura" textlink="">
      <xdr:nvSpPr>
        <xdr:cNvPr id="11" name="Seta: para a Direita Listrada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1772900" y="685800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9525</xdr:colOff>
      <xdr:row>2</xdr:row>
      <xdr:rowOff>152400</xdr:rowOff>
    </xdr:from>
    <xdr:to>
      <xdr:col>2</xdr:col>
      <xdr:colOff>314325</xdr:colOff>
      <xdr:row>2</xdr:row>
      <xdr:rowOff>371475</xdr:rowOff>
    </xdr:to>
    <xdr:sp macro="[0]!Ir_Menu" textlink="">
      <xdr:nvSpPr>
        <xdr:cNvPr id="13" name="Seta: para a Direita Listrad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 rot="10800000">
          <a:off x="133350" y="685800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66675</xdr:rowOff>
    </xdr:from>
    <xdr:to>
      <xdr:col>1</xdr:col>
      <xdr:colOff>352425</xdr:colOff>
      <xdr:row>0</xdr:row>
      <xdr:rowOff>285750</xdr:rowOff>
    </xdr:to>
    <xdr:sp macro="[0]!Ir_Menu" textlink="">
      <xdr:nvSpPr>
        <xdr:cNvPr id="2" name="Seta: para a Direita Listrada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10800000">
          <a:off x="47625" y="66675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57150</xdr:colOff>
      <xdr:row>0</xdr:row>
      <xdr:rowOff>76200</xdr:rowOff>
    </xdr:from>
    <xdr:to>
      <xdr:col>3</xdr:col>
      <xdr:colOff>361950</xdr:colOff>
      <xdr:row>0</xdr:row>
      <xdr:rowOff>295275</xdr:rowOff>
    </xdr:to>
    <xdr:sp macro="[0]!Ir_CadAssinatura" textlink="">
      <xdr:nvSpPr>
        <xdr:cNvPr id="3" name="Seta: para a Direita Listrada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838450" y="76200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1219199</xdr:colOff>
      <xdr:row>2</xdr:row>
      <xdr:rowOff>66674</xdr:rowOff>
    </xdr:from>
    <xdr:to>
      <xdr:col>3</xdr:col>
      <xdr:colOff>1628774</xdr:colOff>
      <xdr:row>2</xdr:row>
      <xdr:rowOff>476249</xdr:rowOff>
    </xdr:to>
    <xdr:pic macro="[0]!Excluir_Assinatura">
      <xdr:nvPicPr>
        <xdr:cNvPr id="2" name="Imagem 1" descr="Resultado de imagem para IMAGEM DE EXCLUÃ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 noCrop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6874" y="600074"/>
          <a:ext cx="40957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4</xdr:row>
      <xdr:rowOff>0</xdr:rowOff>
    </xdr:from>
    <xdr:to>
      <xdr:col>3</xdr:col>
      <xdr:colOff>304800</xdr:colOff>
      <xdr:row>5</xdr:row>
      <xdr:rowOff>114300</xdr:rowOff>
    </xdr:to>
    <xdr:sp macro="" textlink="">
      <xdr:nvSpPr>
        <xdr:cNvPr id="3" name="AutoShape 6" descr="Resultado de imagem para imagem de editar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3467100" y="141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4</xdr:col>
      <xdr:colOff>1562100</xdr:colOff>
      <xdr:row>2</xdr:row>
      <xdr:rowOff>85725</xdr:rowOff>
    </xdr:from>
    <xdr:to>
      <xdr:col>4</xdr:col>
      <xdr:colOff>2809875</xdr:colOff>
      <xdr:row>2</xdr:row>
      <xdr:rowOff>428625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6067425" y="619125"/>
          <a:ext cx="1247775" cy="342900"/>
          <a:chOff x="9086848" y="581025"/>
          <a:chExt cx="1190626" cy="342900"/>
        </a:xfrm>
      </xdr:grpSpPr>
      <xdr:sp macro="[0]!CadastrarAssinatura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 txBox="1"/>
        </xdr:nvSpPr>
        <xdr:spPr>
          <a:xfrm>
            <a:off x="9086848" y="581025"/>
            <a:ext cx="1190626" cy="342900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3d extrusionH="57150">
              <a:bevelT w="38100" h="38100"/>
            </a:sp3d>
          </a:bodyPr>
          <a:lstStyle/>
          <a:p>
            <a:pPr algn="r"/>
            <a:r>
              <a:rPr lang="pt-BR" sz="1100" b="1">
                <a:ln>
                  <a:gradFill flip="none" rotWithShape="1">
                    <a:gsLst>
                      <a:gs pos="0">
                        <a:schemeClr val="accent5">
                          <a:lumMod val="67000"/>
                        </a:schemeClr>
                      </a:gs>
                      <a:gs pos="48000">
                        <a:schemeClr val="accent5">
                          <a:lumMod val="97000"/>
                          <a:lumOff val="3000"/>
                        </a:schemeClr>
                      </a:gs>
                      <a:gs pos="100000">
                        <a:schemeClr val="accent5">
                          <a:lumMod val="60000"/>
                          <a:lumOff val="40000"/>
                        </a:schemeClr>
                      </a:gs>
                    </a:gsLst>
                    <a:lin ang="16200000" scaled="1"/>
                    <a:tileRect/>
                  </a:gradFill>
                </a:ln>
                <a:solidFill>
                  <a:schemeClr val="accent6">
                    <a:lumMod val="75000"/>
                  </a:schemeClr>
                </a:solidFill>
              </a:rPr>
              <a:t>REGISTRAR</a:t>
            </a:r>
          </a:p>
        </xdr:txBody>
      </xdr:sp>
      <xdr:sp macro="[0]!CadastrarAssinatura" textlink="">
        <xdr:nvSpPr>
          <xdr:cNvPr id="6" name="Seta: para Baix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 rot="2877544">
            <a:off x="9172575" y="628650"/>
            <a:ext cx="276225" cy="247649"/>
          </a:xfrm>
          <a:prstGeom prst="downArrow">
            <a:avLst/>
          </a:prstGeom>
          <a:gradFill flip="none" rotWithShape="1">
            <a:gsLst>
              <a:gs pos="0">
                <a:schemeClr val="accent6">
                  <a:lumMod val="0"/>
                  <a:lumOff val="100000"/>
                </a:schemeClr>
              </a:gs>
              <a:gs pos="35000">
                <a:schemeClr val="accent6">
                  <a:lumMod val="0"/>
                  <a:lumOff val="100000"/>
                </a:schemeClr>
              </a:gs>
              <a:gs pos="100000">
                <a:schemeClr val="accent6">
                  <a:lumMod val="100000"/>
                </a:schemeClr>
              </a:gs>
            </a:gsLst>
            <a:path path="circle">
              <a:fillToRect l="50000" t="-80000" r="50000" b="180000"/>
            </a:path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>
              <a:ln>
                <a:solidFill>
                  <a:schemeClr val="accent6">
                    <a:lumMod val="75000"/>
                  </a:schemeClr>
                </a:solidFill>
              </a:ln>
            </a:endParaRPr>
          </a:p>
        </xdr:txBody>
      </xdr:sp>
    </xdr:grpSp>
    <xdr:clientData/>
  </xdr:twoCellAnchor>
  <xdr:twoCellAnchor>
    <xdr:from>
      <xdr:col>3</xdr:col>
      <xdr:colOff>95249</xdr:colOff>
      <xdr:row>2</xdr:row>
      <xdr:rowOff>95250</xdr:rowOff>
    </xdr:from>
    <xdr:to>
      <xdr:col>3</xdr:col>
      <xdr:colOff>1028700</xdr:colOff>
      <xdr:row>2</xdr:row>
      <xdr:rowOff>438150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542924" y="628650"/>
          <a:ext cx="933451" cy="342900"/>
          <a:chOff x="6905624" y="581025"/>
          <a:chExt cx="933451" cy="342900"/>
        </a:xfrm>
      </xdr:grpSpPr>
      <xdr:sp macro="[0]!Editar_Assinatura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6905624" y="581025"/>
            <a:ext cx="933451" cy="3429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>
            <a:sp3d extrusionH="57150">
              <a:bevelT w="38100" h="38100"/>
            </a:sp3d>
          </a:bodyPr>
          <a:lstStyle/>
          <a:p>
            <a:pPr algn="r"/>
            <a:r>
              <a:rPr lang="pt-BR" sz="1100" b="1">
                <a:ln>
                  <a:gradFill flip="none" rotWithShape="1">
                    <a:gsLst>
                      <a:gs pos="0">
                        <a:schemeClr val="accent5">
                          <a:lumMod val="67000"/>
                        </a:schemeClr>
                      </a:gs>
                      <a:gs pos="48000">
                        <a:schemeClr val="accent5">
                          <a:lumMod val="97000"/>
                          <a:lumOff val="3000"/>
                        </a:schemeClr>
                      </a:gs>
                      <a:gs pos="100000">
                        <a:schemeClr val="accent5">
                          <a:lumMod val="60000"/>
                          <a:lumOff val="40000"/>
                        </a:schemeClr>
                      </a:gs>
                    </a:gsLst>
                    <a:lin ang="16200000" scaled="1"/>
                    <a:tileRect/>
                  </a:gradFill>
                </a:ln>
                <a:gradFill>
                  <a:gsLst>
                    <a:gs pos="0">
                      <a:schemeClr val="accent5">
                        <a:lumMod val="67000"/>
                      </a:schemeClr>
                    </a:gs>
                    <a:gs pos="48000">
                      <a:schemeClr val="accent5">
                        <a:lumMod val="97000"/>
                        <a:lumOff val="3000"/>
                      </a:schemeClr>
                    </a:gs>
                    <a:gs pos="100000">
                      <a:schemeClr val="accent5">
                        <a:lumMod val="60000"/>
                        <a:lumOff val="40000"/>
                      </a:schemeClr>
                    </a:gs>
                  </a:gsLst>
                  <a:lin ang="16200000" scaled="1"/>
                </a:gradFill>
              </a:rPr>
              <a:t>EDITAR</a:t>
            </a:r>
          </a:p>
        </xdr:txBody>
      </xdr:sp>
      <xdr:sp macro="[0]!Editar_PFPJ" textlink="">
        <xdr:nvSpPr>
          <xdr:cNvPr id="9" name="Seta: para Baixo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/>
        </xdr:nvSpPr>
        <xdr:spPr>
          <a:xfrm rot="10800000">
            <a:off x="6991350" y="619125"/>
            <a:ext cx="276225" cy="247649"/>
          </a:xfrm>
          <a:prstGeom prst="downArrow">
            <a:avLst/>
          </a:prstGeom>
          <a:gradFill flip="none" rotWithShape="1">
            <a:gsLst>
              <a:gs pos="0">
                <a:schemeClr val="accent5">
                  <a:lumMod val="40000"/>
                  <a:lumOff val="60000"/>
                </a:schemeClr>
              </a:gs>
              <a:gs pos="46000">
                <a:schemeClr val="accent5">
                  <a:lumMod val="95000"/>
                  <a:lumOff val="5000"/>
                </a:schemeClr>
              </a:gs>
              <a:gs pos="100000">
                <a:schemeClr val="accent5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5</xdr:col>
      <xdr:colOff>95250</xdr:colOff>
      <xdr:row>2</xdr:row>
      <xdr:rowOff>142875</xdr:rowOff>
    </xdr:from>
    <xdr:to>
      <xdr:col>5</xdr:col>
      <xdr:colOff>400050</xdr:colOff>
      <xdr:row>2</xdr:row>
      <xdr:rowOff>361950</xdr:rowOff>
    </xdr:to>
    <xdr:sp macro="[0]!Ir_RecibosEmitidos" textlink="">
      <xdr:nvSpPr>
        <xdr:cNvPr id="10" name="Seta: para a Direita Listrada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7534275" y="676275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114300</xdr:colOff>
      <xdr:row>2</xdr:row>
      <xdr:rowOff>152400</xdr:rowOff>
    </xdr:from>
    <xdr:to>
      <xdr:col>2</xdr:col>
      <xdr:colOff>295275</xdr:colOff>
      <xdr:row>2</xdr:row>
      <xdr:rowOff>371475</xdr:rowOff>
    </xdr:to>
    <xdr:sp macro="[0]!Ir_Menu" textlink="">
      <xdr:nvSpPr>
        <xdr:cNvPr id="11" name="Seta: para a Direita Listrada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 rot="10800000">
          <a:off x="114300" y="685800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50800</xdr:colOff>
          <xdr:row>0</xdr:row>
          <xdr:rowOff>31750</xdr:rowOff>
        </xdr:from>
        <xdr:to>
          <xdr:col>5</xdr:col>
          <xdr:colOff>1155700</xdr:colOff>
          <xdr:row>2</xdr:row>
          <xdr:rowOff>0</xdr:rowOff>
        </xdr:to>
        <xdr:sp macro="" textlink="">
          <xdr:nvSpPr>
            <xdr:cNvPr id="12289" name="ChBoxNroRecibo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85725</xdr:colOff>
      <xdr:row>0</xdr:row>
      <xdr:rowOff>57149</xdr:rowOff>
    </xdr:from>
    <xdr:to>
      <xdr:col>2</xdr:col>
      <xdr:colOff>390525</xdr:colOff>
      <xdr:row>0</xdr:row>
      <xdr:rowOff>276224</xdr:rowOff>
    </xdr:to>
    <xdr:sp macro="[0]!Ir_Emissor" textlink="">
      <xdr:nvSpPr>
        <xdr:cNvPr id="3" name="Seta: para a Direita Listrad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 rot="10800000">
          <a:off x="142875" y="57149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66674</xdr:colOff>
      <xdr:row>0</xdr:row>
      <xdr:rowOff>47626</xdr:rowOff>
    </xdr:from>
    <xdr:to>
      <xdr:col>3</xdr:col>
      <xdr:colOff>657225</xdr:colOff>
      <xdr:row>0</xdr:row>
      <xdr:rowOff>314326</xdr:rowOff>
    </xdr:to>
    <xdr:sp macro="[0]!ChamarFormReciboNovo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647699" y="47626"/>
          <a:ext cx="590551" cy="266700"/>
        </a:xfrm>
        <a:prstGeom prst="rect">
          <a:avLst/>
        </a:prstGeom>
        <a:solidFill>
          <a:srgbClr val="C00000"/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NOVO</a:t>
          </a:r>
        </a:p>
      </xdr:txBody>
    </xdr:sp>
    <xdr:clientData fPrintsWithSheet="0"/>
  </xdr:twoCellAnchor>
  <xdr:twoCellAnchor editAs="absolute">
    <xdr:from>
      <xdr:col>4</xdr:col>
      <xdr:colOff>180975</xdr:colOff>
      <xdr:row>0</xdr:row>
      <xdr:rowOff>47623</xdr:rowOff>
    </xdr:from>
    <xdr:to>
      <xdr:col>4</xdr:col>
      <xdr:colOff>923925</xdr:colOff>
      <xdr:row>0</xdr:row>
      <xdr:rowOff>314324</xdr:rowOff>
    </xdr:to>
    <xdr:sp macro="[0]!ChamarFormEditarRecibo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476375" y="47623"/>
          <a:ext cx="742950" cy="266701"/>
        </a:xfrm>
        <a:prstGeom prst="rect">
          <a:avLst/>
        </a:prstGeom>
        <a:solidFill>
          <a:schemeClr val="accent4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CHAMAR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85725</xdr:rowOff>
    </xdr:from>
    <xdr:to>
      <xdr:col>1</xdr:col>
      <xdr:colOff>209550</xdr:colOff>
      <xdr:row>1</xdr:row>
      <xdr:rowOff>114300</xdr:rowOff>
    </xdr:to>
    <xdr:sp macro="[0]!Ir_RecibosEmitidos" textlink="">
      <xdr:nvSpPr>
        <xdr:cNvPr id="2" name="Seta: para a Direita Listrad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 rot="10800000">
          <a:off x="57150" y="85725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95250</xdr:rowOff>
    </xdr:from>
    <xdr:to>
      <xdr:col>1</xdr:col>
      <xdr:colOff>228600</xdr:colOff>
      <xdr:row>1</xdr:row>
      <xdr:rowOff>123825</xdr:rowOff>
    </xdr:to>
    <xdr:sp macro="[0]!Ir_RecibosEmitidos" textlink="">
      <xdr:nvSpPr>
        <xdr:cNvPr id="2" name="Seta: para a Direita Listrad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 rot="10800000">
          <a:off x="76200" y="95250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95250</xdr:rowOff>
    </xdr:from>
    <xdr:to>
      <xdr:col>1</xdr:col>
      <xdr:colOff>200025</xdr:colOff>
      <xdr:row>1</xdr:row>
      <xdr:rowOff>123825</xdr:rowOff>
    </xdr:to>
    <xdr:sp macro="[0]!Ir_RecibosEmitidos" textlink="">
      <xdr:nvSpPr>
        <xdr:cNvPr id="2" name="Seta: para a Direita Listrad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 rot="10800000">
          <a:off x="47625" y="95250"/>
          <a:ext cx="304800" cy="219075"/>
        </a:xfrm>
        <a:prstGeom prst="stripedRightArrow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gis Marinho" refreshedDate="43423.356596874997" missingItemsLimit="0" createdVersion="6" refreshedVersion="6" minRefreshableVersion="3" recordCount="3" xr:uid="{475A025B-DAE9-4464-AF81-BD5AD9731FE7}">
  <cacheSource type="worksheet">
    <worksheetSource name="Recibos_Emitidos_Area_TD"/>
  </cacheSource>
  <cacheFields count="14">
    <cacheField name="Nº" numFmtId="0">
      <sharedItems containsSemiMixedTypes="0" containsString="0" containsNumber="1" containsInteger="1" minValue="1" maxValue="3" count="3">
        <n v="1"/>
        <n v="2"/>
        <n v="3"/>
      </sharedItems>
    </cacheField>
    <cacheField name="DATA" numFmtId="14">
      <sharedItems count="1">
        <s v="19/11/2018"/>
      </sharedItems>
    </cacheField>
    <cacheField name="VALOR" numFmtId="165">
      <sharedItems containsSemiMixedTypes="0" containsString="0" containsNumber="1" minValue="1000.01" maxValue="3000"/>
    </cacheField>
    <cacheField name="EMITENTE" numFmtId="0">
      <sharedItems count="1">
        <s v="Régis Marinho"/>
      </sharedItems>
    </cacheField>
    <cacheField name="CPF/CNPJ" numFmtId="0">
      <sharedItems/>
    </cacheField>
    <cacheField name="ASSINATURA" numFmtId="0">
      <sharedItems/>
    </cacheField>
    <cacheField name="PAGANTE" numFmtId="0">
      <sharedItems count="1">
        <s v="Quota Empreendimentos"/>
      </sharedItems>
    </cacheField>
    <cacheField name="CPF/CNPJ2" numFmtId="0">
      <sharedItems/>
    </cacheField>
    <cacheField name="HISTÓRICO" numFmtId="0">
      <sharedItems count="1">
        <s v="Recebi de Quota Empreendimentos, CNPJ nº 52.708.112/0001-03, a importância acima discriminada, referente a "/>
      </sharedItems>
    </cacheField>
    <cacheField name="CIDADE" numFmtId="0">
      <sharedItems/>
    </cacheField>
    <cacheField name="NOME LOGO" numFmtId="0">
      <sharedItems/>
    </cacheField>
    <cacheField name="STATUS" numFmtId="0">
      <sharedItems/>
    </cacheField>
    <cacheField name="MÊS" numFmtId="0">
      <sharedItems containsSemiMixedTypes="0" containsString="0" containsNumber="1" containsInteger="1" minValue="11" maxValue="11" count="1">
        <n v="11"/>
      </sharedItems>
    </cacheField>
    <cacheField name="ANO" numFmtId="0">
      <sharedItems containsSemiMixedTypes="0" containsString="0" containsNumber="1" containsInteger="1" minValue="2018" maxValue="2018" count="1">
        <n v="201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x v="0"/>
    <n v="1000.01"/>
    <x v="0"/>
    <s v="CPF: 041.276.458-06"/>
    <s v="Régis Marinho"/>
    <x v="0"/>
    <s v="CNPJ nº 52.708.112/0001-03"/>
    <x v="0"/>
    <s v="São Paulo"/>
    <s v=""/>
    <s v="Ativo"/>
    <x v="0"/>
    <x v="0"/>
  </r>
  <r>
    <x v="1"/>
    <x v="0"/>
    <n v="2000"/>
    <x v="0"/>
    <s v="CPF: 041.276.458-06"/>
    <s v="Régis Marinho"/>
    <x v="0"/>
    <s v="CNPJ nº 52.708.112/0001-03"/>
    <x v="0"/>
    <s v="São Paulo"/>
    <s v=""/>
    <s v="Ativo"/>
    <x v="0"/>
    <x v="0"/>
  </r>
  <r>
    <x v="2"/>
    <x v="0"/>
    <n v="3000"/>
    <x v="0"/>
    <s v="CPF: 041.276.458-06"/>
    <s v="Régis Marinho"/>
    <x v="0"/>
    <s v="CNPJ nº 52.708.112/0001-03"/>
    <x v="0"/>
    <s v="São Paulo"/>
    <s v=""/>
    <s v="Ativo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62125B-DA88-45A1-9345-E47EBA560168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 rowHeaderCaption="Nº ">
  <location ref="B6:G11" firstHeaderRow="2" firstDataRow="2" firstDataCol="5" rowPageCount="2" colPageCount="1"/>
  <pivotFields count="14">
    <pivotField axis="axisRow" compact="0" outline="0" showAll="0" defaultSubtotal="0">
      <items count="3">
        <item x="0"/>
        <item x="1"/>
        <item x="2"/>
      </items>
    </pivotField>
    <pivotField axis="axisRow" compact="0" numFmtId="14" outline="0" showAll="0" defaultSubtotal="0">
      <items count="1">
        <item x="0"/>
      </items>
    </pivotField>
    <pivotField dataField="1" compact="0" numFmtId="165" outline="0" showAll="0" defaultSubtotal="0"/>
    <pivotField axis="axisRow" compact="0" outline="0" subtotalTop="0" showAll="0" defaultSubtotal="0">
      <items count="1">
        <item x="0"/>
      </items>
    </pivotField>
    <pivotField compact="0" outline="0" subtotalTop="0" showAll="0" defaultSubtotal="0"/>
    <pivotField compact="0" outline="0" subtotalTop="0" showAll="0" defaultSubtotal="0"/>
    <pivotField axis="axisRow" outline="0" showAll="0" defaultSubtotal="0">
      <items count="1">
        <item x="0"/>
      </items>
    </pivotField>
    <pivotField compact="0" outline="0" subtotalTop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axis="axisPage" compact="0" outline="0" subtotalTop="0" showAll="0" defaultSubtotal="0">
      <items count="1">
        <item x="0"/>
      </items>
    </pivotField>
    <pivotField axis="axisPage" compact="0" outline="0" subtotalTop="0" showAll="0" defaultSubtotal="0">
      <items count="1">
        <item x="0"/>
      </items>
    </pivotField>
  </pivotFields>
  <rowFields count="5">
    <field x="0"/>
    <field x="1"/>
    <field x="3"/>
    <field x="6"/>
    <field x="8"/>
  </rowFields>
  <rowItems count="4">
    <i>
      <x/>
      <x/>
      <x/>
      <x/>
      <x/>
    </i>
    <i>
      <x v="1"/>
      <x/>
      <x/>
      <x/>
      <x/>
    </i>
    <i>
      <x v="2"/>
      <x/>
      <x/>
      <x/>
      <x/>
    </i>
    <i t="grand">
      <x/>
    </i>
  </rowItems>
  <colItems count="1">
    <i/>
  </colItems>
  <pageFields count="2">
    <pageField fld="13" hier="-1"/>
    <pageField fld="12" hier="-1"/>
  </pageFields>
  <dataFields count="1">
    <dataField name="Relatório 1" fld="2" baseField="0" baseItem="0" numFmtId="164"/>
  </dataFields>
  <formats count="6">
    <format dxfId="23">
      <pivotArea outline="0" collapsedLevelsAreSubtotals="1" fieldPosition="0">
        <references count="5">
          <reference field="0" count="0" selected="0"/>
          <reference field="1" count="0" selected="0"/>
          <reference field="3" count="0" selected="0"/>
          <reference field="6" count="0" selected="0"/>
          <reference field="8" count="0" selected="0"/>
        </references>
      </pivotArea>
    </format>
    <format dxfId="22">
      <pivotArea dataOnly="0" labelOnly="1" outline="0" fieldPosition="0">
        <references count="1">
          <reference field="0" count="0"/>
        </references>
      </pivotArea>
    </format>
    <format dxfId="21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20">
      <pivotArea dataOnly="0" labelOnly="1" outline="0" fieldPosition="0">
        <references count="3">
          <reference field="0" count="0" selected="0"/>
          <reference field="1" count="0" selected="0"/>
          <reference field="3" count="0"/>
        </references>
      </pivotArea>
    </format>
    <format dxfId="19">
      <pivotArea dataOnly="0" labelOnly="1" fieldPosition="0">
        <references count="4">
          <reference field="0" count="0" selected="0"/>
          <reference field="1" count="0" selected="0"/>
          <reference field="3" count="0" selected="0"/>
          <reference field="6" count="0"/>
        </references>
      </pivotArea>
    </format>
    <format dxfId="18">
      <pivotArea dataOnly="0" labelOnly="1" outline="0" fieldPosition="0">
        <references count="5">
          <reference field="0" count="0" selected="0"/>
          <reference field="1" count="0" selected="0"/>
          <reference field="3" count="0" selected="0"/>
          <reference field="6" count="0" selected="0"/>
          <reference field="8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4415B0-12F4-4EA9-A2B7-1AD3FA906D97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 rowHeaderCaption="Nº ">
  <location ref="B7:F12" firstHeaderRow="2" firstDataRow="2" firstDataCol="4" rowPageCount="3" colPageCount="1"/>
  <pivotFields count="14">
    <pivotField axis="axisRow" compact="0" outline="0" showAll="0" defaultSubtotal="0">
      <items count="3">
        <item x="0"/>
        <item x="1"/>
        <item x="2"/>
      </items>
    </pivotField>
    <pivotField axis="axisRow" compact="0" numFmtId="14" outline="0" showAll="0" defaultSubtotal="0">
      <items count="1">
        <item x="0"/>
      </items>
    </pivotField>
    <pivotField dataField="1" compact="0" numFmtId="165" outline="0" showAll="0" defaultSubtotal="0"/>
    <pivotField axis="axisPage" compact="0" outline="0" subtotalTop="0" showAll="0" defaultSubtotal="0">
      <items count="1">
        <item x="0"/>
      </items>
    </pivotField>
    <pivotField compact="0" outline="0" subtotalTop="0" showAll="0" defaultSubtotal="0"/>
    <pivotField compact="0" outline="0" subtotalTop="0" showAll="0" defaultSubtotal="0"/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/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ubtotalTop="0" showAll="0" defaultSubtotal="0"/>
    <pivotField axis="axisPage" compact="0" outline="0" subtotalTop="0" showAll="0" defaultSubtotal="0">
      <items count="1">
        <item x="0"/>
      </items>
    </pivotField>
    <pivotField axis="axisPage" compact="0" outline="0" subtotalTop="0" showAll="0" defaultSubtotal="0">
      <items count="1">
        <item x="0"/>
      </items>
    </pivotField>
  </pivotFields>
  <rowFields count="4">
    <field x="1"/>
    <field x="6"/>
    <field x="8"/>
    <field x="0"/>
  </rowFields>
  <rowItems count="4">
    <i>
      <x/>
      <x/>
      <x/>
      <x/>
    </i>
    <i r="3">
      <x v="1"/>
    </i>
    <i r="3">
      <x v="2"/>
    </i>
    <i t="grand">
      <x/>
    </i>
  </rowItems>
  <colItems count="1">
    <i/>
  </colItems>
  <pageFields count="3">
    <pageField fld="3" hier="-1"/>
    <pageField fld="13" hier="-1"/>
    <pageField fld="12" hier="-1"/>
  </pageFields>
  <dataFields count="1">
    <dataField name="Relatório 2" fld="2" baseField="0" baseItem="0" numFmtId="164"/>
  </dataFields>
  <formats count="12">
    <format dxfId="17">
      <pivotArea outline="0" collapsedLevelsAreSubtotals="1" fieldPosition="0"/>
    </format>
    <format dxfId="16">
      <pivotArea outline="0" collapsedLevelsAreSubtotals="1" fieldPosition="0"/>
    </format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outline="0" collapsedLevelsAreSubtotals="1" fieldPosition="0"/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dataOnly="0" labelOnly="1" outline="0" fieldPosition="0">
        <references count="1">
          <reference field="1" count="0"/>
        </references>
      </pivotArea>
    </format>
    <format dxfId="9">
      <pivotArea dataOnly="0" labelOnly="1" grandRow="1" outline="0" fieldPosition="0"/>
    </format>
    <format dxfId="8">
      <pivotArea dataOnly="0" labelOnly="1" fieldPosition="0">
        <references count="2">
          <reference field="1" count="0" selected="0"/>
          <reference field="6" count="0"/>
        </references>
      </pivotArea>
    </format>
    <format dxfId="7">
      <pivotArea dataOnly="0" labelOnly="1" outline="0" fieldPosition="0">
        <references count="3">
          <reference field="1" count="0" selected="0"/>
          <reference field="6" count="0" selected="0"/>
          <reference field="8" count="0"/>
        </references>
      </pivotArea>
    </format>
    <format dxfId="6">
      <pivotArea dataOnly="0" labelOnly="1" outline="0" fieldPosition="0">
        <references count="4">
          <reference field="0" count="0"/>
          <reference field="1" count="0" selected="0"/>
          <reference field="6" count="0" selected="0"/>
          <reference field="8" count="0" selected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EEF64-CDC2-444D-87B7-C4E40A60B81C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 rowHeaderCaption="Nº ">
  <location ref="B7:F12" firstHeaderRow="2" firstDataRow="2" firstDataCol="4" rowPageCount="3" colPageCount="1"/>
  <pivotFields count="14">
    <pivotField axis="axisRow" compact="0" outline="0" showAll="0" defaultSubtotal="0">
      <items count="3">
        <item x="0"/>
        <item x="1"/>
        <item x="2"/>
      </items>
    </pivotField>
    <pivotField axis="axisRow" compact="0" numFmtId="14" outline="0" showAll="0" defaultSubtotal="0">
      <items count="1">
        <item x="0"/>
      </items>
    </pivotField>
    <pivotField dataField="1" compact="0" numFmtId="165" outline="0" showAll="0" defaultSubtotal="0"/>
    <pivotField axis="axisRow" compact="0" outline="0" subtotalTop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/>
    <pivotField compact="0" outline="0" subtotalTop="0" showAll="0" defaultSubtotal="0"/>
    <pivotField axis="axisPage" outline="0" showAll="0" defaultSubtotal="0">
      <items count="1">
        <item x="0"/>
      </items>
    </pivotField>
    <pivotField compact="0" outline="0" subtotalTop="0" showAll="0" defaultSubtotal="0"/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compact="0" outline="0" showAll="0" defaultSubtotal="0"/>
    <pivotField compact="0" outline="0" subtotalTop="0" showAll="0" defaultSubtotal="0"/>
    <pivotField axis="axisPage" compact="0" outline="0" subtotalTop="0" showAll="0" defaultSubtotal="0">
      <items count="1">
        <item x="0"/>
      </items>
    </pivotField>
    <pivotField axis="axisPage" compact="0" outline="0" subtotalTop="0" showAll="0" defaultSubtotal="0">
      <items count="1">
        <item x="0"/>
      </items>
    </pivotField>
  </pivotFields>
  <rowFields count="4">
    <field x="1"/>
    <field x="3"/>
    <field x="8"/>
    <field x="0"/>
  </rowFields>
  <rowItems count="4">
    <i>
      <x/>
      <x/>
      <x/>
      <x/>
    </i>
    <i r="3">
      <x v="1"/>
    </i>
    <i r="3">
      <x v="2"/>
    </i>
    <i t="grand">
      <x/>
    </i>
  </rowItems>
  <colItems count="1">
    <i/>
  </colItems>
  <pageFields count="3">
    <pageField fld="6" hier="-1"/>
    <pageField fld="13" hier="-1"/>
    <pageField fld="12" hier="-1"/>
  </pageFields>
  <dataFields count="1">
    <dataField name="Relatório 3" fld="2" baseField="0" baseItem="0" numFmtId="164"/>
  </dataFields>
  <formats count="6"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collapsedLevelsAreSubtotals="1" fieldPosition="0"/>
    </format>
    <format dxfId="1">
      <pivotArea outline="0" collapsedLevelsAreSubtotals="1" fieldPosition="0"/>
    </format>
    <format dxfId="0">
      <pivotArea outline="0" collapsedLevelsAreSubtotals="1" fieldPosition="0"/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28E0D-F1E5-4348-BC8F-320D8E9D0401}">
  <sheetPr codeName="Sht_Menu">
    <pageSetUpPr fitToPage="1"/>
  </sheetPr>
  <dimension ref="A1:U18"/>
  <sheetViews>
    <sheetView showGridLines="0" showRowColHeaders="0" workbookViewId="0"/>
  </sheetViews>
  <sheetFormatPr defaultColWidth="9.1796875" defaultRowHeight="14.5" x14ac:dyDescent="0.35"/>
  <cols>
    <col min="1" max="1" width="0.7265625" style="15" customWidth="1"/>
    <col min="2" max="5" width="9.1796875" style="50"/>
    <col min="6" max="6" width="9.1796875" style="51"/>
    <col min="7" max="7" width="9.1796875" style="50"/>
    <col min="8" max="9" width="9.1796875" style="15" customWidth="1"/>
    <col min="10" max="16384" width="9.1796875" style="15"/>
  </cols>
  <sheetData>
    <row r="1" spans="1:21" ht="20.25" customHeight="1" x14ac:dyDescent="0.35">
      <c r="A1" s="99"/>
    </row>
    <row r="4" spans="1:21" ht="29.25" customHeight="1" x14ac:dyDescent="0.35">
      <c r="I4" s="51"/>
      <c r="J4" s="16"/>
      <c r="K4" s="51"/>
      <c r="L4" s="51"/>
      <c r="M4" s="51"/>
      <c r="N4" s="51"/>
    </row>
    <row r="5" spans="1:21" ht="22" customHeight="1" x14ac:dyDescent="0.35">
      <c r="I5" s="51"/>
      <c r="J5" s="51"/>
      <c r="K5" s="51"/>
      <c r="L5" s="51"/>
      <c r="M5" s="51"/>
      <c r="N5" s="51"/>
      <c r="Q5" s="104"/>
      <c r="R5" s="104"/>
      <c r="S5" s="104"/>
      <c r="T5" s="104"/>
      <c r="U5" s="104"/>
    </row>
    <row r="6" spans="1:21" ht="15" customHeight="1" x14ac:dyDescent="0.35">
      <c r="J6" s="16"/>
      <c r="Q6" s="104"/>
      <c r="R6" s="104"/>
      <c r="S6" s="104"/>
      <c r="T6" s="104"/>
      <c r="U6" s="104"/>
    </row>
    <row r="7" spans="1:21" ht="22" customHeight="1" x14ac:dyDescent="0.35">
      <c r="Q7" s="104"/>
      <c r="R7" s="104"/>
      <c r="S7" s="104"/>
      <c r="T7" s="104"/>
      <c r="U7" s="104"/>
    </row>
    <row r="8" spans="1:21" s="51" customFormat="1" ht="15" customHeight="1" x14ac:dyDescent="0.35">
      <c r="Q8" s="104"/>
      <c r="R8" s="104"/>
      <c r="S8" s="104"/>
      <c r="T8" s="104"/>
      <c r="U8" s="104"/>
    </row>
    <row r="9" spans="1:21" s="51" customFormat="1" ht="22" customHeight="1" x14ac:dyDescent="0.35">
      <c r="I9" s="15"/>
      <c r="J9" s="15"/>
      <c r="K9" s="15"/>
      <c r="L9" s="15"/>
      <c r="M9" s="15"/>
      <c r="N9" s="15"/>
    </row>
    <row r="10" spans="1:21" ht="15" customHeight="1" x14ac:dyDescent="0.35"/>
    <row r="11" spans="1:21" ht="22" customHeight="1" x14ac:dyDescent="0.35">
      <c r="H11" s="51"/>
      <c r="O11" s="51"/>
    </row>
    <row r="12" spans="1:21" ht="15" customHeight="1" x14ac:dyDescent="0.35"/>
    <row r="13" spans="1:21" ht="22" customHeight="1" x14ac:dyDescent="0.35"/>
    <row r="14" spans="1:21" ht="15" customHeight="1" x14ac:dyDescent="0.35">
      <c r="I14" s="51"/>
      <c r="J14" s="51"/>
      <c r="K14" s="51"/>
      <c r="L14" s="51"/>
      <c r="M14" s="51"/>
      <c r="N14" s="51"/>
    </row>
    <row r="15" spans="1:21" ht="22" customHeight="1" x14ac:dyDescent="0.35">
      <c r="I15" s="51"/>
      <c r="J15" s="51"/>
      <c r="K15" s="51"/>
      <c r="L15" s="51"/>
      <c r="M15" s="51"/>
      <c r="N15" s="51"/>
    </row>
    <row r="16" spans="1:21" s="51" customFormat="1" ht="15" customHeight="1" x14ac:dyDescent="0.35">
      <c r="H16" s="15"/>
      <c r="I16" s="15"/>
      <c r="J16" s="15"/>
      <c r="K16" s="15"/>
      <c r="L16" s="15"/>
      <c r="M16" s="15"/>
      <c r="N16" s="15"/>
      <c r="O16" s="15"/>
    </row>
    <row r="17" spans="8:15" s="51" customFormat="1" ht="22" customHeight="1" x14ac:dyDescent="0.35">
      <c r="H17" s="15"/>
      <c r="I17" s="15"/>
      <c r="J17" s="15"/>
      <c r="K17" s="15"/>
      <c r="L17" s="15"/>
      <c r="M17" s="15"/>
      <c r="N17" s="15"/>
      <c r="O17" s="15"/>
    </row>
    <row r="18" spans="8:15" x14ac:dyDescent="0.35">
      <c r="H18" s="51"/>
      <c r="I18" s="51"/>
      <c r="J18" s="51"/>
      <c r="K18" s="51"/>
      <c r="L18" s="51"/>
      <c r="M18" s="51"/>
      <c r="N18" s="51"/>
      <c r="O18" s="51"/>
    </row>
  </sheetData>
  <sheetProtection sheet="1" objects="1" scenarios="1" selectLockedCells="1"/>
  <mergeCells count="2">
    <mergeCell ref="Q7:U8"/>
    <mergeCell ref="Q5:U6"/>
  </mergeCells>
  <conditionalFormatting sqref="Q5:U8">
    <cfRule type="expression" dxfId="31" priority="3">
      <formula>$Q$5&lt;&gt;""</formula>
    </cfRule>
  </conditionalFormatting>
  <conditionalFormatting sqref="Q5:U6">
    <cfRule type="expression" dxfId="30" priority="2">
      <formula>$Q$5&lt;&gt;""</formula>
    </cfRule>
  </conditionalFormatting>
  <conditionalFormatting sqref="Q7:U8">
    <cfRule type="expression" dxfId="29" priority="1">
      <formula>$Q$5&lt;&gt;""</formula>
    </cfRule>
  </conditionalFormatting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97297-C446-48B7-B8A4-19C76A000A09}">
  <sheetPr codeName="Sht_Tutorial">
    <pageSetUpPr fitToPage="1"/>
  </sheetPr>
  <dimension ref="B1:C39"/>
  <sheetViews>
    <sheetView showGridLines="0" workbookViewId="0">
      <selection activeCell="E10" sqref="E10"/>
    </sheetView>
  </sheetViews>
  <sheetFormatPr defaultColWidth="9.1796875" defaultRowHeight="22.5" customHeight="1" x14ac:dyDescent="0.35"/>
  <cols>
    <col min="1" max="1" width="6.81640625" style="23" customWidth="1"/>
    <col min="2" max="2" width="1.81640625" style="29" customWidth="1"/>
    <col min="3" max="3" width="134.1796875" style="30" bestFit="1" customWidth="1"/>
    <col min="4" max="16384" width="9.1796875" style="23"/>
  </cols>
  <sheetData>
    <row r="1" spans="2:3" ht="9.75" customHeight="1" x14ac:dyDescent="0.35"/>
    <row r="2" spans="2:3" ht="30" customHeight="1" x14ac:dyDescent="0.35">
      <c r="B2" s="106" t="s">
        <v>11</v>
      </c>
      <c r="C2" s="106"/>
    </row>
    <row r="3" spans="2:3" ht="15" customHeight="1" x14ac:dyDescent="0.35"/>
    <row r="4" spans="2:3" ht="22.5" customHeight="1" x14ac:dyDescent="0.35">
      <c r="B4" s="105" t="s">
        <v>12</v>
      </c>
      <c r="C4" s="105"/>
    </row>
    <row r="5" spans="2:3" ht="29" x14ac:dyDescent="0.35">
      <c r="B5" s="24" t="s">
        <v>13</v>
      </c>
      <c r="C5" s="25" t="s">
        <v>14</v>
      </c>
    </row>
    <row r="6" spans="2:3" s="28" customFormat="1" ht="22.5" customHeight="1" x14ac:dyDescent="0.35">
      <c r="B6" s="26" t="s">
        <v>13</v>
      </c>
      <c r="C6" s="27" t="s">
        <v>70</v>
      </c>
    </row>
    <row r="7" spans="2:3" s="28" customFormat="1" ht="22.5" customHeight="1" x14ac:dyDescent="0.35">
      <c r="B7" s="26" t="s">
        <v>13</v>
      </c>
      <c r="C7" s="27" t="s">
        <v>71</v>
      </c>
    </row>
    <row r="8" spans="2:3" ht="15" customHeight="1" x14ac:dyDescent="0.35">
      <c r="B8" s="105"/>
      <c r="C8" s="105"/>
    </row>
    <row r="9" spans="2:3" ht="22.5" customHeight="1" x14ac:dyDescent="0.35">
      <c r="B9" s="105" t="s">
        <v>29</v>
      </c>
      <c r="C9" s="105"/>
    </row>
    <row r="10" spans="2:3" s="28" customFormat="1" ht="43.5" x14ac:dyDescent="0.35">
      <c r="B10" s="24" t="s">
        <v>13</v>
      </c>
      <c r="C10" s="27" t="s">
        <v>72</v>
      </c>
    </row>
    <row r="11" spans="2:3" s="28" customFormat="1" ht="22.5" customHeight="1" x14ac:dyDescent="0.35">
      <c r="B11" s="26" t="s">
        <v>13</v>
      </c>
      <c r="C11" s="27" t="s">
        <v>26</v>
      </c>
    </row>
    <row r="12" spans="2:3" s="28" customFormat="1" ht="22.5" customHeight="1" x14ac:dyDescent="0.35">
      <c r="B12" s="26" t="s">
        <v>13</v>
      </c>
      <c r="C12" s="27" t="s">
        <v>25</v>
      </c>
    </row>
    <row r="13" spans="2:3" ht="15" customHeight="1" x14ac:dyDescent="0.35">
      <c r="B13" s="105"/>
      <c r="C13" s="105"/>
    </row>
    <row r="14" spans="2:3" ht="22.5" customHeight="1" x14ac:dyDescent="0.35">
      <c r="B14" s="105" t="s">
        <v>27</v>
      </c>
      <c r="C14" s="105"/>
    </row>
    <row r="15" spans="2:3" s="28" customFormat="1" ht="22.5" customHeight="1" x14ac:dyDescent="0.35">
      <c r="B15" s="26" t="s">
        <v>13</v>
      </c>
      <c r="C15" s="27" t="s">
        <v>28</v>
      </c>
    </row>
    <row r="16" spans="2:3" ht="15" customHeight="1" x14ac:dyDescent="0.35">
      <c r="B16" s="105"/>
      <c r="C16" s="105"/>
    </row>
    <row r="17" spans="2:3" ht="22.5" customHeight="1" x14ac:dyDescent="0.35">
      <c r="B17" s="105" t="s">
        <v>16</v>
      </c>
      <c r="C17" s="105"/>
    </row>
    <row r="18" spans="2:3" s="28" customFormat="1" ht="29" x14ac:dyDescent="0.35">
      <c r="B18" s="24" t="s">
        <v>13</v>
      </c>
      <c r="C18" s="27" t="s">
        <v>58</v>
      </c>
    </row>
    <row r="19" spans="2:3" s="28" customFormat="1" ht="29" x14ac:dyDescent="0.35">
      <c r="B19" s="24" t="s">
        <v>13</v>
      </c>
      <c r="C19" s="27" t="s">
        <v>56</v>
      </c>
    </row>
    <row r="20" spans="2:3" s="28" customFormat="1" ht="43.5" x14ac:dyDescent="0.35">
      <c r="B20" s="24" t="s">
        <v>13</v>
      </c>
      <c r="C20" s="27" t="s">
        <v>59</v>
      </c>
    </row>
    <row r="21" spans="2:3" s="28" customFormat="1" ht="29" x14ac:dyDescent="0.35">
      <c r="B21" s="24" t="s">
        <v>13</v>
      </c>
      <c r="C21" s="27" t="s">
        <v>18</v>
      </c>
    </row>
    <row r="22" spans="2:3" ht="15" customHeight="1" x14ac:dyDescent="0.35">
      <c r="B22" s="105"/>
      <c r="C22" s="105"/>
    </row>
    <row r="23" spans="2:3" ht="22.5" customHeight="1" x14ac:dyDescent="0.35">
      <c r="B23" s="105" t="s">
        <v>15</v>
      </c>
      <c r="C23" s="105"/>
    </row>
    <row r="24" spans="2:3" s="28" customFormat="1" ht="43.5" x14ac:dyDescent="0.35">
      <c r="B24" s="24" t="s">
        <v>13</v>
      </c>
      <c r="C24" s="27" t="s">
        <v>17</v>
      </c>
    </row>
    <row r="25" spans="2:3" s="28" customFormat="1" ht="22.5" customHeight="1" x14ac:dyDescent="0.35">
      <c r="B25" s="26" t="s">
        <v>13</v>
      </c>
      <c r="C25" s="27" t="s">
        <v>57</v>
      </c>
    </row>
    <row r="26" spans="2:3" s="28" customFormat="1" ht="29" x14ac:dyDescent="0.35">
      <c r="B26" s="24" t="s">
        <v>13</v>
      </c>
      <c r="C26" s="25" t="s">
        <v>60</v>
      </c>
    </row>
    <row r="27" spans="2:3" s="28" customFormat="1" ht="22.5" customHeight="1" x14ac:dyDescent="0.35">
      <c r="B27" s="26" t="s">
        <v>13</v>
      </c>
      <c r="C27" s="27" t="s">
        <v>63</v>
      </c>
    </row>
    <row r="28" spans="2:3" s="28" customFormat="1" ht="22.5" customHeight="1" x14ac:dyDescent="0.35">
      <c r="B28" s="26" t="s">
        <v>13</v>
      </c>
      <c r="C28" s="27" t="s">
        <v>64</v>
      </c>
    </row>
    <row r="29" spans="2:3" s="28" customFormat="1" ht="22.5" customHeight="1" x14ac:dyDescent="0.35">
      <c r="B29" s="26" t="s">
        <v>13</v>
      </c>
      <c r="C29" s="27" t="s">
        <v>65</v>
      </c>
    </row>
    <row r="30" spans="2:3" s="28" customFormat="1" ht="29" x14ac:dyDescent="0.35">
      <c r="B30" s="24" t="s">
        <v>13</v>
      </c>
      <c r="C30" s="25" t="s">
        <v>61</v>
      </c>
    </row>
    <row r="31" spans="2:3" ht="15" customHeight="1" x14ac:dyDescent="0.35">
      <c r="B31" s="105"/>
      <c r="C31" s="105"/>
    </row>
    <row r="32" spans="2:3" ht="22.5" customHeight="1" x14ac:dyDescent="0.35">
      <c r="B32" s="105" t="s">
        <v>62</v>
      </c>
      <c r="C32" s="105"/>
    </row>
    <row r="33" spans="2:3" s="28" customFormat="1" ht="29" x14ac:dyDescent="0.35">
      <c r="B33" s="24" t="s">
        <v>13</v>
      </c>
      <c r="C33" s="25" t="s">
        <v>67</v>
      </c>
    </row>
    <row r="34" spans="2:3" s="28" customFormat="1" ht="29" x14ac:dyDescent="0.35">
      <c r="B34" s="24" t="s">
        <v>13</v>
      </c>
      <c r="C34" s="25" t="s">
        <v>68</v>
      </c>
    </row>
    <row r="35" spans="2:3" s="28" customFormat="1" ht="29" x14ac:dyDescent="0.35">
      <c r="B35" s="24" t="s">
        <v>13</v>
      </c>
      <c r="C35" s="25" t="s">
        <v>69</v>
      </c>
    </row>
    <row r="36" spans="2:3" ht="15" customHeight="1" x14ac:dyDescent="0.35">
      <c r="B36" s="105"/>
      <c r="C36" s="105"/>
    </row>
    <row r="37" spans="2:3" ht="22.5" customHeight="1" x14ac:dyDescent="0.35">
      <c r="B37" s="105" t="s">
        <v>30</v>
      </c>
      <c r="C37" s="105"/>
    </row>
    <row r="38" spans="2:3" s="28" customFormat="1" ht="14.5" x14ac:dyDescent="0.35">
      <c r="B38" s="24" t="s">
        <v>13</v>
      </c>
      <c r="C38" s="27" t="s">
        <v>73</v>
      </c>
    </row>
    <row r="39" spans="2:3" s="28" customFormat="1" ht="22.5" customHeight="1" x14ac:dyDescent="0.35">
      <c r="B39" s="31"/>
      <c r="C39" s="32"/>
    </row>
  </sheetData>
  <sheetProtection formatCells="0" formatColumns="0" sort="0" autoFilter="0" pivotTables="0"/>
  <mergeCells count="14">
    <mergeCell ref="B37:C37"/>
    <mergeCell ref="B36:C36"/>
    <mergeCell ref="B23:C23"/>
    <mergeCell ref="B2:C2"/>
    <mergeCell ref="B4:C4"/>
    <mergeCell ref="B17:C17"/>
    <mergeCell ref="B16:C16"/>
    <mergeCell ref="B22:C22"/>
    <mergeCell ref="B8:C8"/>
    <mergeCell ref="B9:C9"/>
    <mergeCell ref="B13:C13"/>
    <mergeCell ref="B14:C14"/>
    <mergeCell ref="B31:C31"/>
    <mergeCell ref="B32:C32"/>
  </mergeCells>
  <pageMargins left="0.51181102362204722" right="0.51181102362204722" top="0.78740157480314965" bottom="0.78740157480314965" header="0.31496062992125984" footer="0.31496062992125984"/>
  <pageSetup paperSize="9" scale="67" orientation="portrait" r:id="rId1"/>
  <headerFooter>
    <oddHeader>&amp;C&amp;"-,Negrito"&amp;14CONTROLE DE ARQUIVO GERAL</oddHeader>
    <oddFooter>&amp;L&amp;8&amp;Z&amp;F&amp;R&amp;D /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ECFF5-8766-489C-BC2D-453469342614}">
  <sheetPr codeName="Sht_PFsPJs">
    <pageSetUpPr fitToPage="1"/>
  </sheetPr>
  <dimension ref="B1:R4"/>
  <sheetViews>
    <sheetView showGridLines="0" tabSelected="1" workbookViewId="0">
      <pane ySplit="4" topLeftCell="A5" activePane="bottomLeft" state="frozen"/>
      <selection pane="bottomLeft" activeCell="E2" sqref="E2"/>
    </sheetView>
  </sheetViews>
  <sheetFormatPr defaultColWidth="9.1796875" defaultRowHeight="14.5" x14ac:dyDescent="0.35"/>
  <cols>
    <col min="1" max="1" width="0" style="40" hidden="1" customWidth="1"/>
    <col min="2" max="2" width="1.81640625" style="39" customWidth="1"/>
    <col min="3" max="3" width="4.81640625" style="45" customWidth="1"/>
    <col min="4" max="4" width="42.7265625" style="40" customWidth="1"/>
    <col min="5" max="5" width="5.81640625" style="45" bestFit="1" customWidth="1"/>
    <col min="6" max="6" width="17.81640625" style="40" bestFit="1" customWidth="1"/>
    <col min="7" max="7" width="45.453125" style="46" customWidth="1"/>
    <col min="8" max="8" width="15.1796875" style="40" bestFit="1" customWidth="1"/>
    <col min="9" max="9" width="31.1796875" style="40" customWidth="1"/>
    <col min="10" max="10" width="20.453125" style="40" customWidth="1"/>
    <col min="11" max="17" width="9.1796875" style="39"/>
    <col min="18" max="18" width="65.26953125" style="39" customWidth="1"/>
    <col min="19" max="16384" width="9.1796875" style="40"/>
  </cols>
  <sheetData>
    <row r="1" spans="2:18" s="28" customFormat="1" ht="18.75" customHeight="1" x14ac:dyDescent="0.35">
      <c r="B1" s="42"/>
      <c r="C1" s="59" t="s">
        <v>4</v>
      </c>
      <c r="D1" s="47" t="s">
        <v>0</v>
      </c>
      <c r="E1" s="48" t="s">
        <v>3</v>
      </c>
      <c r="F1" s="48" t="str">
        <f>IF(PFPJ_Tipo="","CPF/CNPJ",IF(PFPJ_Tipo="PF","CPF","CNPJ"))</f>
        <v>CPF/CNPJ</v>
      </c>
      <c r="G1" s="48" t="s">
        <v>24</v>
      </c>
      <c r="H1" s="48" t="s">
        <v>22</v>
      </c>
      <c r="I1" s="48" t="s">
        <v>23</v>
      </c>
      <c r="J1" s="52" t="s">
        <v>45</v>
      </c>
      <c r="K1" s="42"/>
      <c r="L1" s="42"/>
      <c r="M1" s="42"/>
      <c r="N1" s="42"/>
      <c r="O1" s="42"/>
      <c r="P1" s="42"/>
      <c r="Q1" s="42"/>
      <c r="R1" s="52" t="s">
        <v>21</v>
      </c>
    </row>
    <row r="2" spans="2:18" s="28" customFormat="1" ht="23.25" customHeight="1" x14ac:dyDescent="0.35">
      <c r="B2" s="41"/>
      <c r="C2" s="84">
        <f>IFERROR(LARGE($C$5:$C$9998,1)+1,1)</f>
        <v>1</v>
      </c>
      <c r="D2" s="71" t="s">
        <v>84</v>
      </c>
      <c r="E2" s="72"/>
      <c r="F2" s="73"/>
      <c r="G2" s="103"/>
      <c r="H2" s="74"/>
      <c r="I2" s="77"/>
      <c r="J2" s="75"/>
      <c r="K2" s="42"/>
      <c r="L2" s="42"/>
      <c r="M2" s="42"/>
      <c r="N2" s="42"/>
      <c r="O2" s="42"/>
      <c r="P2" s="42"/>
      <c r="Q2" s="42"/>
      <c r="R2" s="53" t="s">
        <v>49</v>
      </c>
    </row>
    <row r="3" spans="2:18" s="39" customFormat="1" ht="41.25" customHeight="1" x14ac:dyDescent="0.35">
      <c r="C3" s="58"/>
      <c r="D3" s="55"/>
      <c r="E3" s="56"/>
      <c r="F3" s="55"/>
      <c r="G3"/>
      <c r="H3" s="55"/>
      <c r="I3" s="55"/>
      <c r="J3" s="57"/>
    </row>
    <row r="4" spans="2:18" s="23" customFormat="1" ht="28.5" customHeight="1" x14ac:dyDescent="0.35">
      <c r="B4" s="43"/>
      <c r="C4" s="59" t="s">
        <v>4</v>
      </c>
      <c r="D4" s="59" t="s">
        <v>0</v>
      </c>
      <c r="E4" s="59" t="s">
        <v>3</v>
      </c>
      <c r="F4" s="59" t="s">
        <v>1</v>
      </c>
      <c r="G4" s="59" t="s">
        <v>24</v>
      </c>
      <c r="H4" s="59" t="s">
        <v>22</v>
      </c>
      <c r="I4" s="59" t="s">
        <v>23</v>
      </c>
      <c r="J4" s="54" t="s">
        <v>45</v>
      </c>
      <c r="K4" s="44"/>
      <c r="L4" s="44"/>
      <c r="M4" s="44"/>
      <c r="N4" s="44"/>
      <c r="O4" s="44"/>
      <c r="P4" s="44"/>
      <c r="Q4" s="44"/>
      <c r="R4" s="44"/>
    </row>
  </sheetData>
  <sheetProtection algorithmName="SHA-512" hashValue="VAlwwf/AKG63b0M+rWiGDK7tOiPOEQVdBDkd9dMX3alPXPYfOltgsMszIsx9TAKBr+4ZnlXNzpYF0W8/Jm3Ivg==" saltValue="y8NDmy93x9UPSZUXyK6eXw==" spinCount="100000" sheet="1" objects="1" scenarios="1" formatCells="0" formatColumns="0" sort="0" autoFilter="0" pivotTables="0"/>
  <autoFilter ref="D4:J4" xr:uid="{0F7FC452-4630-40F5-AE3E-C77E60F58A7C}"/>
  <conditionalFormatting sqref="C5:J439">
    <cfRule type="expression" dxfId="28" priority="2">
      <formula>$C5&lt;&gt;""</formula>
    </cfRule>
  </conditionalFormatting>
  <conditionalFormatting sqref="J2">
    <cfRule type="expression" dxfId="27" priority="1">
      <formula>$E$2="PF"</formula>
    </cfRule>
  </conditionalFormatting>
  <dataValidations count="1">
    <dataValidation type="list" allowBlank="1" showInputMessage="1" showErrorMessage="1" sqref="E2" xr:uid="{540D85A0-6129-4384-99DB-0BC9D51166A9}">
      <formula1>"PF,PJ"</formula1>
    </dataValidation>
  </dataValidations>
  <pageMargins left="0.511811024" right="0.511811024" top="0.78740157499999996" bottom="0.78740157499999996" header="0.31496062000000002" footer="0.31496062000000002"/>
  <pageSetup paperSize="9" scale="82" orientation="landscape" r:id="rId1"/>
  <headerFooter>
    <oddHeader>&amp;C&amp;"-,Negrito"&amp;14CADASTRO DE PESSOAS FÍSICAS E JURÍDICAS</oddHeader>
    <oddFooter>&amp;L&amp;8&amp;Z&amp;F&amp;R&amp;D / &amp;T</oddFooter>
  </headerFooter>
  <drawing r:id="rId2"/>
  <legacyDrawing r:id="rId3"/>
  <legacyDrawingHF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E5CE7-AB77-4C00-AF63-65B3D001F9E1}">
  <sheetPr codeName="Sht_Cidades"/>
  <dimension ref="C1:C5"/>
  <sheetViews>
    <sheetView showGridLines="0" topLeftCell="B1" workbookViewId="0">
      <pane ySplit="1" topLeftCell="A2" activePane="bottomLeft" state="frozen"/>
      <selection activeCell="B1" sqref="B1"/>
      <selection pane="bottomLeft" activeCell="C2" sqref="C2"/>
    </sheetView>
  </sheetViews>
  <sheetFormatPr defaultColWidth="9.1796875" defaultRowHeight="14.5" x14ac:dyDescent="0.35"/>
  <cols>
    <col min="1" max="1" width="0" style="40" hidden="1" customWidth="1"/>
    <col min="2" max="2" width="5.81640625" style="40" customWidth="1"/>
    <col min="3" max="3" width="35.81640625" style="65" customWidth="1"/>
    <col min="4" max="16384" width="9.1796875" style="40"/>
  </cols>
  <sheetData>
    <row r="1" spans="3:3" ht="27.75" customHeight="1" x14ac:dyDescent="0.35">
      <c r="C1" s="64" t="s">
        <v>2</v>
      </c>
    </row>
    <row r="2" spans="3:3" x14ac:dyDescent="0.35">
      <c r="C2" s="66"/>
    </row>
    <row r="3" spans="3:3" x14ac:dyDescent="0.35">
      <c r="C3" s="67"/>
    </row>
    <row r="4" spans="3:3" x14ac:dyDescent="0.35">
      <c r="C4" s="68"/>
    </row>
    <row r="5" spans="3:3" x14ac:dyDescent="0.35">
      <c r="C5" s="69"/>
    </row>
  </sheetData>
  <sheetProtection algorithmName="SHA-512" hashValue="KB6Sv9X/xx38MkoB+wK0aCxhUR8JoXin/w35t6UneDK5Po9EHT+85d7HJhh/HzuXycpL1jgciA/LVPX0p8JtXg==" saltValue="B9sGQ3qDGQsYdnzg7N3DJQ==" spinCount="100000" sheet="1" objects="1" scenarios="1" formatCells="0" formatColumns="0" sort="0" autoFilter="0" pivotTables="0"/>
  <autoFilter ref="C1:C2" xr:uid="{59C455B1-1423-45E4-9B7C-F668F6627EBB}"/>
  <sortState xmlns:xlrd2="http://schemas.microsoft.com/office/spreadsheetml/2017/richdata2" ref="C2:C5">
    <sortCondition ref="C1"/>
  </sortState>
  <conditionalFormatting sqref="C2:C100">
    <cfRule type="expression" dxfId="26" priority="1">
      <formula>$C1&lt;&gt;""</formula>
    </cfRule>
  </conditionalFormatting>
  <pageMargins left="0.511811024" right="0.511811024" top="0.78740157499999996" bottom="0.78740157499999996" header="0.31496062000000002" footer="0.31496062000000002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9C538-E5A0-4D5C-9DA5-4394E5F88847}">
  <sheetPr codeName="Sht_Assinatura">
    <pageSetUpPr fitToPage="1"/>
  </sheetPr>
  <dimension ref="B1:Q4"/>
  <sheetViews>
    <sheetView showGridLines="0" topLeftCell="B1" workbookViewId="0">
      <pane ySplit="4" topLeftCell="A5" activePane="bottomLeft" state="frozen"/>
      <selection pane="bottomLeft" activeCell="D2" sqref="D2"/>
    </sheetView>
  </sheetViews>
  <sheetFormatPr defaultColWidth="9.1796875" defaultRowHeight="14.5" x14ac:dyDescent="0.35"/>
  <cols>
    <col min="1" max="1" width="0" style="40" hidden="1" customWidth="1"/>
    <col min="2" max="2" width="1.81640625" style="39" customWidth="1"/>
    <col min="3" max="3" width="4.81640625" style="45" customWidth="1"/>
    <col min="4" max="4" width="60.81640625" style="46" customWidth="1"/>
    <col min="5" max="5" width="44" style="40" customWidth="1"/>
    <col min="6" max="17" width="9.1796875" style="39"/>
    <col min="18" max="16384" width="9.1796875" style="40"/>
  </cols>
  <sheetData>
    <row r="1" spans="2:17" s="28" customFormat="1" ht="18.75" customHeight="1" x14ac:dyDescent="0.35">
      <c r="B1" s="42"/>
      <c r="C1" s="59" t="s">
        <v>4</v>
      </c>
      <c r="D1" s="48" t="s">
        <v>44</v>
      </c>
      <c r="E1" s="47" t="s">
        <v>42</v>
      </c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2:17" s="28" customFormat="1" ht="23.25" customHeight="1" x14ac:dyDescent="0.35">
      <c r="B2" s="41"/>
      <c r="C2" s="85">
        <f>IFERROR(LARGE($C$5:$C$9999,1)+1,1)</f>
        <v>1</v>
      </c>
      <c r="D2" s="103"/>
      <c r="E2" s="103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</row>
    <row r="3" spans="2:17" s="39" customFormat="1" ht="41.25" customHeight="1" x14ac:dyDescent="0.35">
      <c r="C3" s="58"/>
      <c r="D3"/>
      <c r="E3" s="55"/>
    </row>
    <row r="4" spans="2:17" s="23" customFormat="1" ht="28.5" customHeight="1" x14ac:dyDescent="0.35">
      <c r="B4" s="43"/>
      <c r="C4" s="59" t="s">
        <v>4</v>
      </c>
      <c r="D4" s="48" t="s">
        <v>44</v>
      </c>
      <c r="E4" s="47" t="s">
        <v>42</v>
      </c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</sheetData>
  <sheetProtection algorithmName="SHA-512" hashValue="t72Ky+MzhzXi5t3x/SOJGjwE4J4urPX5ywi782yePicXR+FEIsFNVVP1+YE3ccb02MIhI1A6Q73/108OlLdJ7g==" saltValue="y4U7C3q3nTnkyt7pAgYb4w==" spinCount="100000" sheet="1" objects="1" scenarios="1" formatCells="0" formatColumns="0" sort="0" autoFilter="0" pivotTables="0"/>
  <autoFilter ref="D4" xr:uid="{0F7FC452-4630-40F5-AE3E-C77E60F58A7C}"/>
  <conditionalFormatting sqref="C4:E189">
    <cfRule type="expression" dxfId="25" priority="1">
      <formula>$C4&lt;&gt;""</formula>
    </cfRule>
  </conditionalFormatting>
  <dataValidations count="1">
    <dataValidation type="list" allowBlank="1" showInputMessage="1" showErrorMessage="1" sqref="D2" xr:uid="{16AA1894-87B4-4FB8-8AA8-AC70548AE7CB}">
      <formula1>PF_PJ_Nome</formula1>
    </dataValidation>
  </dataValidations>
  <pageMargins left="0.511811024" right="0.511811024" top="0.78740157499999996" bottom="0.78740157499999996" header="0.31496062000000002" footer="0.31496062000000002"/>
  <pageSetup paperSize="9" scale="58" orientation="landscape" r:id="rId1"/>
  <headerFooter>
    <oddHeader>&amp;C&amp;"-,Negrito"&amp;14CADASTRO DE PESSOAS FÍSICAS E JURÍDICAS</oddHeader>
    <oddFooter>&amp;L&amp;8&amp;Z&amp;F&amp;R&amp;D / &amp;T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306A3-1DC9-4400-B13E-FA79D506EB5D}">
  <sheetPr codeName="sht_Recibo">
    <pageSetUpPr fitToPage="1"/>
  </sheetPr>
  <dimension ref="B3:B33"/>
  <sheetViews>
    <sheetView showGridLines="0" view="pageBreakPreview" topLeftCell="A10" zoomScale="70" zoomScaleNormal="100" zoomScaleSheetLayoutView="70" workbookViewId="0">
      <selection activeCell="B29" sqref="B29"/>
    </sheetView>
  </sheetViews>
  <sheetFormatPr defaultRowHeight="14.5" x14ac:dyDescent="0.35"/>
  <cols>
    <col min="2" max="2" width="81.453125" customWidth="1"/>
  </cols>
  <sheetData>
    <row r="3" spans="2:2" x14ac:dyDescent="0.35">
      <c r="B3" s="2"/>
    </row>
    <row r="4" spans="2:2" x14ac:dyDescent="0.35">
      <c r="B4" s="2"/>
    </row>
    <row r="5" spans="2:2" x14ac:dyDescent="0.35">
      <c r="B5" s="2"/>
    </row>
    <row r="6" spans="2:2" x14ac:dyDescent="0.35">
      <c r="B6" s="2"/>
    </row>
    <row r="7" spans="2:2" x14ac:dyDescent="0.35">
      <c r="B7" s="2"/>
    </row>
    <row r="8" spans="2:2" x14ac:dyDescent="0.35">
      <c r="B8" s="2"/>
    </row>
    <row r="9" spans="2:2" ht="20" x14ac:dyDescent="0.4">
      <c r="B9" s="3" t="str">
        <f>"R  E  C  I  B  O"</f>
        <v>R  E  C  I  B  O</v>
      </c>
    </row>
    <row r="10" spans="2:2" ht="6" customHeight="1" x14ac:dyDescent="0.35"/>
    <row r="11" spans="2:2" ht="9.75" customHeight="1" thickBot="1" x14ac:dyDescent="0.45">
      <c r="B11" s="4"/>
    </row>
    <row r="12" spans="2:2" ht="23.25" customHeight="1" thickTop="1" x14ac:dyDescent="0.35">
      <c r="B12" s="95" t="s">
        <v>66</v>
      </c>
    </row>
    <row r="13" spans="2:2" x14ac:dyDescent="0.35">
      <c r="B13" s="2"/>
    </row>
    <row r="14" spans="2:2" x14ac:dyDescent="0.35">
      <c r="B14" s="2"/>
    </row>
    <row r="15" spans="2:2" x14ac:dyDescent="0.35">
      <c r="B15" s="5"/>
    </row>
    <row r="16" spans="2:2" x14ac:dyDescent="0.35">
      <c r="B16" s="6">
        <v>1000</v>
      </c>
    </row>
    <row r="17" spans="2:2" ht="30" customHeight="1" x14ac:dyDescent="0.35">
      <c r="B17" s="7" t="str">
        <f>"(" &amp; (fExtenso(B16,1,"real","reais")) &amp; ")"</f>
        <v>(um mil reais)</v>
      </c>
    </row>
    <row r="18" spans="2:2" ht="30" customHeight="1" x14ac:dyDescent="0.35">
      <c r="B18" s="7"/>
    </row>
    <row r="19" spans="2:2" ht="80.150000000000006" customHeight="1" x14ac:dyDescent="0.35">
      <c r="B19" s="7" t="s">
        <v>81</v>
      </c>
    </row>
    <row r="20" spans="2:2" x14ac:dyDescent="0.35">
      <c r="B20" s="8"/>
    </row>
    <row r="21" spans="2:2" x14ac:dyDescent="0.35">
      <c r="B21" s="2"/>
    </row>
    <row r="22" spans="2:2" x14ac:dyDescent="0.35">
      <c r="B22" s="76" t="s">
        <v>80</v>
      </c>
    </row>
    <row r="23" spans="2:2" x14ac:dyDescent="0.35">
      <c r="B23" s="9"/>
    </row>
    <row r="24" spans="2:2" x14ac:dyDescent="0.35">
      <c r="B24" s="9"/>
    </row>
    <row r="25" spans="2:2" x14ac:dyDescent="0.35">
      <c r="B25" s="9"/>
    </row>
    <row r="26" spans="2:2" x14ac:dyDescent="0.35">
      <c r="B26" s="2"/>
    </row>
    <row r="27" spans="2:2" x14ac:dyDescent="0.35">
      <c r="B27" s="10"/>
    </row>
    <row r="28" spans="2:2" x14ac:dyDescent="0.35">
      <c r="B28" s="11" t="s">
        <v>77</v>
      </c>
    </row>
    <row r="29" spans="2:2" x14ac:dyDescent="0.35">
      <c r="B29" s="96"/>
    </row>
    <row r="30" spans="2:2" ht="164.25" customHeight="1" x14ac:dyDescent="0.35"/>
    <row r="31" spans="2:2" ht="18.5" x14ac:dyDescent="0.45">
      <c r="B31" s="94" t="s">
        <v>82</v>
      </c>
    </row>
    <row r="32" spans="2:2" x14ac:dyDescent="0.35">
      <c r="B32" s="93" t="s">
        <v>76</v>
      </c>
    </row>
    <row r="33" spans="2:2" x14ac:dyDescent="0.35">
      <c r="B33" s="93" t="s">
        <v>83</v>
      </c>
    </row>
  </sheetData>
  <sheetProtection formatCells="0" formatColumns="0" sort="0" autoFilter="0" pivotTables="0"/>
  <dataValidations disablePrompts="1" count="1">
    <dataValidation type="textLength" allowBlank="1" showInputMessage="1" showErrorMessage="1" sqref="B19" xr:uid="{465361A5-7A6C-4556-B482-AF21C3BDCB26}">
      <formula1>0</formula1>
      <formula2>500</formula2>
    </dataValidation>
  </dataValidations>
  <printOptions horizontalCentered="1"/>
  <pageMargins left="1.1023622047244095" right="0.55118110236220474" top="1.6141732283464567" bottom="0.59055118110236227" header="0.62992125984251968" footer="0.47244094488188981"/>
  <pageSetup paperSize="9" scale="97" orientation="portrait" verticalDpi="300" r:id="rId1"/>
  <headerFooter>
    <oddHeader>&amp;R&amp;G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75EDD-0306-4678-A9A8-5F5A0F33F777}">
  <sheetPr codeName="Sht_RecibosEmitidos">
    <tabColor theme="5" tint="-0.499984740745262"/>
  </sheetPr>
  <dimension ref="A1:AH3"/>
  <sheetViews>
    <sheetView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C3" sqref="C3"/>
    </sheetView>
  </sheetViews>
  <sheetFormatPr defaultRowHeight="14.5" x14ac:dyDescent="0.35"/>
  <cols>
    <col min="1" max="1" width="0.7265625" style="87" customWidth="1"/>
    <col min="2" max="2" width="3.26953125" hidden="1" customWidth="1"/>
    <col min="3" max="3" width="8" style="1" bestFit="1" customWidth="1"/>
    <col min="4" max="4" width="10.7265625" style="12" bestFit="1" customWidth="1"/>
    <col min="5" max="5" width="16.7265625" style="13" customWidth="1"/>
    <col min="6" max="6" width="26.7265625" customWidth="1"/>
    <col min="7" max="7" width="23.54296875" bestFit="1" customWidth="1"/>
    <col min="8" max="8" width="17" bestFit="1" customWidth="1"/>
    <col min="9" max="9" width="31.7265625" customWidth="1"/>
    <col min="10" max="10" width="23.54296875" bestFit="1" customWidth="1"/>
    <col min="11" max="11" width="49.453125" customWidth="1"/>
    <col min="12" max="13" width="19.7265625" customWidth="1"/>
    <col min="14" max="14" width="11.81640625" style="1" customWidth="1"/>
    <col min="15" max="16" width="5.453125" style="1" customWidth="1"/>
    <col min="17" max="18" width="5.453125" customWidth="1"/>
    <col min="19" max="19" width="100.1796875" style="70" customWidth="1"/>
    <col min="20" max="20" width="7" style="86" customWidth="1"/>
    <col min="21" max="21" width="7.54296875" style="86" customWidth="1"/>
    <col min="22" max="22" width="27.54296875" style="92" customWidth="1"/>
    <col min="23" max="23" width="11" style="98" customWidth="1"/>
    <col min="24" max="24" width="11.81640625" style="92" customWidth="1"/>
    <col min="25" max="26" width="10.81640625" style="92" customWidth="1"/>
    <col min="27" max="27" width="22.1796875" style="92" customWidth="1"/>
    <col min="28" max="34" width="9.1796875" style="17"/>
  </cols>
  <sheetData>
    <row r="1" spans="1:34" ht="26.25" customHeight="1" x14ac:dyDescent="0.35">
      <c r="A1" s="102"/>
      <c r="B1" s="21"/>
      <c r="C1" s="18"/>
      <c r="D1" s="19"/>
      <c r="E1" s="20"/>
      <c r="F1" s="17"/>
      <c r="G1" s="17"/>
      <c r="H1" s="17"/>
      <c r="I1" s="17"/>
      <c r="J1" s="17"/>
      <c r="K1" s="17"/>
      <c r="L1" s="17"/>
      <c r="M1" s="17"/>
      <c r="N1" s="63"/>
      <c r="O1" s="63"/>
      <c r="P1" s="63"/>
      <c r="Q1" s="22"/>
      <c r="R1" s="22"/>
      <c r="S1" s="17"/>
      <c r="T1" s="18"/>
      <c r="U1" s="18"/>
      <c r="V1" s="90"/>
      <c r="W1" s="97"/>
      <c r="X1" s="90"/>
      <c r="Y1" s="90"/>
      <c r="Z1" s="90"/>
      <c r="AA1" s="90"/>
    </row>
    <row r="2" spans="1:34" s="1" customFormat="1" ht="4.5" hidden="1" customHeight="1" x14ac:dyDescent="0.35">
      <c r="A2" s="88" t="b">
        <v>1</v>
      </c>
      <c r="D2" s="12"/>
      <c r="E2" s="14"/>
      <c r="I2" s="49"/>
      <c r="K2" s="49"/>
      <c r="L2" s="49"/>
      <c r="M2" s="49"/>
      <c r="S2" s="18"/>
      <c r="T2" s="18"/>
      <c r="U2" s="18"/>
      <c r="V2" s="90"/>
      <c r="W2" s="97"/>
      <c r="X2" s="90"/>
      <c r="Y2" s="90"/>
      <c r="Z2" s="90"/>
      <c r="AA2" s="90"/>
      <c r="AB2" s="18"/>
      <c r="AC2" s="18"/>
      <c r="AD2" s="18"/>
      <c r="AE2" s="18"/>
      <c r="AF2" s="18"/>
      <c r="AG2" s="18"/>
      <c r="AH2" s="18"/>
    </row>
    <row r="3" spans="1:34" s="34" customFormat="1" ht="27" customHeight="1" x14ac:dyDescent="0.35">
      <c r="A3" s="89"/>
      <c r="C3" s="35" t="s">
        <v>4</v>
      </c>
      <c r="D3" s="36" t="s">
        <v>7</v>
      </c>
      <c r="E3" s="37" t="s">
        <v>6</v>
      </c>
      <c r="F3" s="35" t="s">
        <v>8</v>
      </c>
      <c r="G3" s="35" t="s">
        <v>1</v>
      </c>
      <c r="H3" s="35" t="s">
        <v>43</v>
      </c>
      <c r="I3" s="35" t="s">
        <v>19</v>
      </c>
      <c r="J3" s="35" t="s">
        <v>1</v>
      </c>
      <c r="K3" s="35" t="s">
        <v>5</v>
      </c>
      <c r="L3" s="35" t="s">
        <v>2</v>
      </c>
      <c r="M3" s="35" t="s">
        <v>20</v>
      </c>
      <c r="N3" s="38" t="s">
        <v>41</v>
      </c>
      <c r="O3" s="38" t="s">
        <v>38</v>
      </c>
      <c r="P3" s="38" t="s">
        <v>39</v>
      </c>
      <c r="Q3" s="38" t="s">
        <v>9</v>
      </c>
      <c r="R3" s="38" t="s">
        <v>10</v>
      </c>
      <c r="S3" s="38" t="s">
        <v>40</v>
      </c>
      <c r="T3" s="38" t="s">
        <v>46</v>
      </c>
      <c r="U3" s="38" t="s">
        <v>47</v>
      </c>
      <c r="V3" s="91" t="s">
        <v>48</v>
      </c>
      <c r="W3" s="91" t="s">
        <v>51</v>
      </c>
      <c r="X3" s="91" t="s">
        <v>50</v>
      </c>
      <c r="Y3" s="91" t="s">
        <v>22</v>
      </c>
      <c r="Z3" s="91" t="s">
        <v>23</v>
      </c>
      <c r="AA3" s="91" t="s">
        <v>52</v>
      </c>
      <c r="AB3" s="33"/>
      <c r="AC3" s="33"/>
      <c r="AD3" s="33"/>
      <c r="AE3" s="33"/>
      <c r="AF3" s="33"/>
      <c r="AG3" s="33"/>
      <c r="AH3" s="33"/>
    </row>
  </sheetData>
  <sheetProtection algorithmName="SHA-512" hashValue="8petLW0ATcr9oh/VyC3SzD0+QqHhczlc7usRhCK20h27zKSyxXeuCUSY0o4k9/yMfu4lKgosalGZbycTuQF8Sw==" saltValue="J/rz8JWPdzVY9AK/nbxblg==" spinCount="100000" sheet="1" objects="1" scenarios="1" formatCells="0" formatColumns="0" sort="0" autoFilter="0" pivotTables="0"/>
  <autoFilter ref="B3:AA3" xr:uid="{685865FB-AD77-49A9-ABE1-3B652F4E22EA}"/>
  <conditionalFormatting sqref="C3:W14967">
    <cfRule type="expression" dxfId="24" priority="1">
      <formula>$N3="Cancelado"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2289" r:id="rId3" name="ChBoxNroRecibo">
          <controlPr defaultSize="0" autoLine="0" linkedCell="A2" r:id="rId4">
            <anchor>
              <from>
                <xdr:col>5</xdr:col>
                <xdr:colOff>50800</xdr:colOff>
                <xdr:row>0</xdr:row>
                <xdr:rowOff>31750</xdr:rowOff>
              </from>
              <to>
                <xdr:col>5</xdr:col>
                <xdr:colOff>1155700</xdr:colOff>
                <xdr:row>2</xdr:row>
                <xdr:rowOff>0</xdr:rowOff>
              </to>
            </anchor>
          </controlPr>
        </control>
      </mc:Choice>
      <mc:Fallback>
        <control shapeId="12289" r:id="rId3" name="ChBoxNroRecibo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F1102-D5D6-4490-AACF-2EF605E99131}">
  <sheetPr codeName="Sht_Apoio"/>
  <dimension ref="B2:C4"/>
  <sheetViews>
    <sheetView workbookViewId="0">
      <selection activeCell="C4" sqref="C4"/>
    </sheetView>
  </sheetViews>
  <sheetFormatPr defaultRowHeight="14.5" x14ac:dyDescent="0.35"/>
  <cols>
    <col min="1" max="1" width="4.54296875" customWidth="1"/>
    <col min="2" max="2" width="20.81640625" customWidth="1"/>
    <col min="3" max="3" width="9.1796875" style="1"/>
  </cols>
  <sheetData>
    <row r="2" spans="2:3" x14ac:dyDescent="0.35">
      <c r="B2" t="s">
        <v>53</v>
      </c>
      <c r="C2" s="100">
        <v>10</v>
      </c>
    </row>
    <row r="3" spans="2:3" x14ac:dyDescent="0.35">
      <c r="B3" t="s">
        <v>54</v>
      </c>
      <c r="C3" s="101">
        <v>0</v>
      </c>
    </row>
    <row r="4" spans="2:3" x14ac:dyDescent="0.35">
      <c r="B4" t="s">
        <v>55</v>
      </c>
      <c r="C4" s="101">
        <f>C2-C3</f>
        <v>10</v>
      </c>
    </row>
  </sheetData>
  <sheetProtection sheet="1" objects="1" scenarios="1" formatCells="0" formatColumns="0" sort="0" autoFilter="0" pivotTables="0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3FF26-B2BF-41BE-BAC8-2BFFC6ACA2C8}">
  <sheetPr codeName="Sht_Rel_Periodo">
    <tabColor theme="7" tint="0.39997558519241921"/>
    <pageSetUpPr fitToPage="1"/>
  </sheetPr>
  <dimension ref="B3:G11"/>
  <sheetViews>
    <sheetView showGridLines="0" workbookViewId="0">
      <selection activeCell="E8" sqref="E8"/>
    </sheetView>
  </sheetViews>
  <sheetFormatPr defaultRowHeight="14.5" x14ac:dyDescent="0.35"/>
  <cols>
    <col min="1" max="1" width="2.26953125" customWidth="1"/>
    <col min="2" max="2" width="10.7265625" bestFit="1" customWidth="1"/>
    <col min="3" max="3" width="12.54296875" bestFit="1" customWidth="1"/>
    <col min="4" max="5" width="35.7265625" style="80" customWidth="1"/>
    <col min="6" max="6" width="70.7265625" style="80" customWidth="1"/>
    <col min="7" max="7" width="11.7265625" bestFit="1" customWidth="1"/>
    <col min="8" max="8" width="12.7265625" bestFit="1" customWidth="1"/>
  </cols>
  <sheetData>
    <row r="3" spans="2:7" x14ac:dyDescent="0.35">
      <c r="B3" s="61" t="s">
        <v>39</v>
      </c>
      <c r="C3" t="s">
        <v>37</v>
      </c>
    </row>
    <row r="4" spans="2:7" x14ac:dyDescent="0.35">
      <c r="B4" s="61" t="s">
        <v>38</v>
      </c>
      <c r="C4" t="s">
        <v>37</v>
      </c>
    </row>
    <row r="6" spans="2:7" x14ac:dyDescent="0.35">
      <c r="B6" s="61" t="s">
        <v>34</v>
      </c>
    </row>
    <row r="7" spans="2:7" x14ac:dyDescent="0.35">
      <c r="B7" s="61" t="s">
        <v>33</v>
      </c>
      <c r="C7" s="61" t="s">
        <v>7</v>
      </c>
      <c r="D7" s="82" t="s">
        <v>8</v>
      </c>
      <c r="E7" s="82" t="s">
        <v>19</v>
      </c>
      <c r="F7" s="82" t="s">
        <v>5</v>
      </c>
      <c r="G7" t="s">
        <v>32</v>
      </c>
    </row>
    <row r="8" spans="2:7" s="78" customFormat="1" ht="29" x14ac:dyDescent="0.35">
      <c r="B8" s="78">
        <v>1</v>
      </c>
      <c r="C8" s="79" t="s">
        <v>78</v>
      </c>
      <c r="D8" s="80" t="s">
        <v>74</v>
      </c>
      <c r="E8" s="80" t="s">
        <v>75</v>
      </c>
      <c r="F8" s="80" t="s">
        <v>79</v>
      </c>
      <c r="G8" s="81">
        <v>1000.01</v>
      </c>
    </row>
    <row r="9" spans="2:7" ht="29" x14ac:dyDescent="0.35">
      <c r="B9" s="78">
        <v>2</v>
      </c>
      <c r="C9" s="79" t="s">
        <v>78</v>
      </c>
      <c r="D9" s="80" t="s">
        <v>74</v>
      </c>
      <c r="E9" s="80" t="s">
        <v>75</v>
      </c>
      <c r="F9" s="80" t="s">
        <v>79</v>
      </c>
      <c r="G9" s="81">
        <v>2000</v>
      </c>
    </row>
    <row r="10" spans="2:7" ht="29" x14ac:dyDescent="0.35">
      <c r="B10" s="78">
        <v>3</v>
      </c>
      <c r="C10" s="79" t="s">
        <v>78</v>
      </c>
      <c r="D10" s="80" t="s">
        <v>74</v>
      </c>
      <c r="E10" s="80" t="s">
        <v>75</v>
      </c>
      <c r="F10" s="80" t="s">
        <v>79</v>
      </c>
      <c r="G10" s="81">
        <v>3000</v>
      </c>
    </row>
    <row r="11" spans="2:7" x14ac:dyDescent="0.35">
      <c r="B11" t="s">
        <v>31</v>
      </c>
      <c r="G11" s="60">
        <v>6000.01</v>
      </c>
    </row>
  </sheetData>
  <sheetProtection formatCells="0" formatColumns="0" sort="0" autoFilter="0" pivotTables="0"/>
  <printOptions horizontalCentered="1"/>
  <pageMargins left="0.35" right="0.511811024" top="0.78740157499999996" bottom="0.78740157499999996" header="0.31496062000000002" footer="0.31496062000000002"/>
  <pageSetup paperSize="9" scale="84" orientation="landscape" horizontalDpi="300" verticalDpi="300" r:id="rId2"/>
  <headerFooter>
    <oddHeader>&amp;C&amp;"-,Negrito"&amp;14RECIBOS EMITIDOS
RELATÓRIO POR PERÍODO</oddHeader>
    <oddFooter>&amp;L&amp;8&amp;Z&amp;F&amp;R&amp;D / &amp;T</oddFooter>
  </headerFooter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AF5E4-9E47-4E80-9801-CD69F888992D}">
  <sheetPr codeName="Sht_Rel_Emitente">
    <tabColor theme="7" tint="0.39997558519241921"/>
    <pageSetUpPr fitToPage="1"/>
  </sheetPr>
  <dimension ref="B1:F12"/>
  <sheetViews>
    <sheetView showGridLines="0" workbookViewId="0">
      <selection activeCell="C18" sqref="C18"/>
    </sheetView>
  </sheetViews>
  <sheetFormatPr defaultColWidth="9.1796875" defaultRowHeight="14.5" x14ac:dyDescent="0.35"/>
  <cols>
    <col min="1" max="1" width="2.26953125" style="78" customWidth="1"/>
    <col min="2" max="2" width="12.54296875" style="78" bestFit="1" customWidth="1"/>
    <col min="3" max="3" width="25.54296875" style="80" bestFit="1" customWidth="1"/>
    <col min="4" max="4" width="104.1796875" style="80" bestFit="1" customWidth="1"/>
    <col min="5" max="5" width="5.54296875" style="80" bestFit="1" customWidth="1"/>
    <col min="6" max="6" width="11.1796875" style="80" bestFit="1" customWidth="1"/>
    <col min="7" max="8" width="12.7265625" style="78" bestFit="1" customWidth="1"/>
    <col min="9" max="16384" width="9.1796875" style="78"/>
  </cols>
  <sheetData>
    <row r="1" spans="2:6" customFormat="1" x14ac:dyDescent="0.35">
      <c r="C1" s="80"/>
      <c r="D1" s="80"/>
      <c r="E1" s="80"/>
      <c r="F1" s="80"/>
    </row>
    <row r="2" spans="2:6" customFormat="1" x14ac:dyDescent="0.35">
      <c r="C2" s="80"/>
      <c r="D2" s="80"/>
      <c r="E2" s="80"/>
      <c r="F2" s="80"/>
    </row>
    <row r="3" spans="2:6" customFormat="1" x14ac:dyDescent="0.35">
      <c r="B3" s="61" t="s">
        <v>8</v>
      </c>
      <c r="C3" t="s">
        <v>37</v>
      </c>
      <c r="D3" s="80"/>
      <c r="E3" s="80"/>
      <c r="F3" s="80"/>
    </row>
    <row r="4" spans="2:6" customFormat="1" x14ac:dyDescent="0.35">
      <c r="B4" s="61" t="s">
        <v>39</v>
      </c>
      <c r="C4" t="s">
        <v>37</v>
      </c>
      <c r="D4" s="80"/>
      <c r="E4" s="80"/>
      <c r="F4" s="80"/>
    </row>
    <row r="5" spans="2:6" customFormat="1" x14ac:dyDescent="0.35">
      <c r="B5" s="61" t="s">
        <v>38</v>
      </c>
      <c r="C5" t="s">
        <v>37</v>
      </c>
      <c r="D5" s="80"/>
      <c r="E5" s="80"/>
      <c r="F5" s="80"/>
    </row>
    <row r="6" spans="2:6" customFormat="1" x14ac:dyDescent="0.35">
      <c r="C6" s="80"/>
      <c r="D6" s="80"/>
      <c r="E6" s="80"/>
      <c r="F6" s="80"/>
    </row>
    <row r="7" spans="2:6" customFormat="1" x14ac:dyDescent="0.35">
      <c r="B7" s="61" t="s">
        <v>35</v>
      </c>
    </row>
    <row r="8" spans="2:6" customFormat="1" x14ac:dyDescent="0.35">
      <c r="B8" s="61" t="s">
        <v>33</v>
      </c>
      <c r="C8" s="61" t="s">
        <v>19</v>
      </c>
      <c r="D8" s="61" t="s">
        <v>5</v>
      </c>
      <c r="E8" s="61" t="s">
        <v>4</v>
      </c>
      <c r="F8" t="s">
        <v>32</v>
      </c>
    </row>
    <row r="9" spans="2:6" x14ac:dyDescent="0.35">
      <c r="B9" s="79" t="s">
        <v>78</v>
      </c>
      <c r="C9" s="78" t="s">
        <v>75</v>
      </c>
      <c r="D9" s="78" t="s">
        <v>79</v>
      </c>
      <c r="E9" s="78">
        <v>1</v>
      </c>
      <c r="F9" s="83">
        <v>1000.01</v>
      </c>
    </row>
    <row r="10" spans="2:6" x14ac:dyDescent="0.35">
      <c r="C10" s="78" t="s">
        <v>75</v>
      </c>
      <c r="D10" s="78" t="s">
        <v>79</v>
      </c>
      <c r="E10" s="78">
        <v>2</v>
      </c>
      <c r="F10" s="83">
        <v>2000</v>
      </c>
    </row>
    <row r="11" spans="2:6" x14ac:dyDescent="0.35">
      <c r="C11" s="78" t="s">
        <v>75</v>
      </c>
      <c r="D11" s="78" t="s">
        <v>79</v>
      </c>
      <c r="E11" s="78">
        <v>3</v>
      </c>
      <c r="F11" s="83">
        <v>3000</v>
      </c>
    </row>
    <row r="12" spans="2:6" x14ac:dyDescent="0.35">
      <c r="B12" s="79" t="s">
        <v>31</v>
      </c>
      <c r="C12" s="78"/>
      <c r="D12" s="78"/>
      <c r="E12" s="78"/>
      <c r="F12" s="83">
        <v>6000.01</v>
      </c>
    </row>
  </sheetData>
  <sheetProtection formatCells="0" formatColumns="0" sort="0" autoFilter="0" pivotTables="0"/>
  <printOptions horizontalCentered="1"/>
  <pageMargins left="0.511811024" right="0.511811024" top="0.93" bottom="0.78740157499999996" header="0.31496062000000002" footer="0.31496062000000002"/>
  <pageSetup paperSize="9" orientation="landscape" horizontalDpi="300" verticalDpi="300" r:id="rId2"/>
  <headerFooter>
    <oddHeader>&amp;C&amp;"-,Negrito"&amp;14RECIBOS EMITIDOS
RELATÓRIO POR EMITENTE</oddHeader>
    <oddFooter>&amp;L&amp;8&amp;Z&amp;F&amp;R&amp;D / &amp;T</oddFooter>
  </headerFooter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315BC-5781-4DA7-96CB-835D8B192E7B}">
  <sheetPr codeName="Sht_Rel_Pagante">
    <tabColor theme="7" tint="0.39997558519241921"/>
    <pageSetUpPr fitToPage="1"/>
  </sheetPr>
  <dimension ref="B3:F12"/>
  <sheetViews>
    <sheetView showGridLines="0" workbookViewId="0">
      <selection activeCell="D18" sqref="D18"/>
    </sheetView>
  </sheetViews>
  <sheetFormatPr defaultRowHeight="14.5" x14ac:dyDescent="0.35"/>
  <cols>
    <col min="1" max="1" width="2.26953125" customWidth="1"/>
    <col min="2" max="2" width="12.54296875" bestFit="1" customWidth="1"/>
    <col min="3" max="3" width="15.54296875" style="80" bestFit="1" customWidth="1"/>
    <col min="4" max="4" width="104.1796875" style="80" bestFit="1" customWidth="1"/>
    <col min="5" max="5" width="5.54296875" style="80" bestFit="1" customWidth="1"/>
    <col min="6" max="6" width="11.1796875" style="80" bestFit="1" customWidth="1"/>
    <col min="7" max="8" width="12.7265625" bestFit="1" customWidth="1"/>
  </cols>
  <sheetData>
    <row r="3" spans="2:6" x14ac:dyDescent="0.35">
      <c r="B3" s="61" t="s">
        <v>19</v>
      </c>
      <c r="C3" t="s">
        <v>37</v>
      </c>
    </row>
    <row r="4" spans="2:6" x14ac:dyDescent="0.35">
      <c r="B4" s="61" t="s">
        <v>39</v>
      </c>
      <c r="C4" t="s">
        <v>37</v>
      </c>
    </row>
    <row r="5" spans="2:6" x14ac:dyDescent="0.35">
      <c r="B5" s="61" t="s">
        <v>38</v>
      </c>
      <c r="C5" t="s">
        <v>37</v>
      </c>
    </row>
    <row r="7" spans="2:6" x14ac:dyDescent="0.35">
      <c r="B7" s="61" t="s">
        <v>36</v>
      </c>
      <c r="C7"/>
      <c r="D7"/>
      <c r="E7"/>
      <c r="F7"/>
    </row>
    <row r="8" spans="2:6" x14ac:dyDescent="0.35">
      <c r="B8" s="61" t="s">
        <v>33</v>
      </c>
      <c r="C8" s="61" t="s">
        <v>8</v>
      </c>
      <c r="D8" s="61" t="s">
        <v>5</v>
      </c>
      <c r="E8" s="61" t="s">
        <v>4</v>
      </c>
      <c r="F8" t="s">
        <v>32</v>
      </c>
    </row>
    <row r="9" spans="2:6" x14ac:dyDescent="0.35">
      <c r="B9" s="62" t="s">
        <v>78</v>
      </c>
      <c r="C9" t="s">
        <v>74</v>
      </c>
      <c r="D9" t="s">
        <v>79</v>
      </c>
      <c r="E9">
        <v>1</v>
      </c>
      <c r="F9" s="83">
        <v>1000.01</v>
      </c>
    </row>
    <row r="10" spans="2:6" x14ac:dyDescent="0.35">
      <c r="C10" t="s">
        <v>74</v>
      </c>
      <c r="D10" t="s">
        <v>79</v>
      </c>
      <c r="E10">
        <v>2</v>
      </c>
      <c r="F10" s="83">
        <v>2000</v>
      </c>
    </row>
    <row r="11" spans="2:6" x14ac:dyDescent="0.35">
      <c r="C11" t="s">
        <v>74</v>
      </c>
      <c r="D11" t="s">
        <v>79</v>
      </c>
      <c r="E11">
        <v>3</v>
      </c>
      <c r="F11" s="83">
        <v>3000</v>
      </c>
    </row>
    <row r="12" spans="2:6" x14ac:dyDescent="0.35">
      <c r="B12" s="62" t="s">
        <v>31</v>
      </c>
      <c r="C12"/>
      <c r="D12"/>
      <c r="E12"/>
      <c r="F12" s="83">
        <v>6000.01</v>
      </c>
    </row>
  </sheetData>
  <sheetProtection formatCells="0" formatColumns="0" sort="0" autoFilter="0" pivotTables="0"/>
  <printOptions horizontalCentered="1"/>
  <pageMargins left="0.41" right="0.511811024" top="0.99" bottom="0.5" header="0.31496062000000002" footer="0.15"/>
  <pageSetup paperSize="9" orientation="landscape" horizontalDpi="300" verticalDpi="300" r:id="rId2"/>
  <headerFooter>
    <oddHeader>&amp;C&amp;"-,Negrito"&amp;14RECIBOS EMITIDOS
RELATÓRIO POR PAGANTE</oddHeader>
    <oddFooter>&amp;L&amp;8&amp;Z&amp;F&amp;R&amp;D / &amp;T</oddFooter>
  </headerFooter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26</vt:i4>
      </vt:variant>
    </vt:vector>
  </HeadingPairs>
  <TitlesOfParts>
    <vt:vector size="37" baseType="lpstr">
      <vt:lpstr>Menu</vt:lpstr>
      <vt:lpstr>Tutorial</vt:lpstr>
      <vt:lpstr>Cad. Emitentes ou Pagantes</vt:lpstr>
      <vt:lpstr>Cad. Cidades</vt:lpstr>
      <vt:lpstr>Cad. Assinaturas</vt:lpstr>
      <vt:lpstr>Formulário</vt:lpstr>
      <vt:lpstr>Recibos</vt:lpstr>
      <vt:lpstr>Apoio</vt:lpstr>
      <vt:lpstr>Relatório por Período</vt:lpstr>
      <vt:lpstr>Relatório por Emitente</vt:lpstr>
      <vt:lpstr>Relatório por Pagante</vt:lpstr>
      <vt:lpstr>'Cad. Emitentes ou Pagantes'!Area_de_impressao</vt:lpstr>
      <vt:lpstr>Formulário!Area_de_impressao</vt:lpstr>
      <vt:lpstr>'Relatório por Período'!Area_de_impressao</vt:lpstr>
      <vt:lpstr>Tutorial!Area_de_impressao</vt:lpstr>
      <vt:lpstr>CadAssinaturaEmpresa</vt:lpstr>
      <vt:lpstr>CadAssinaturaNome</vt:lpstr>
      <vt:lpstr>ContadorRegistros</vt:lpstr>
      <vt:lpstr>End_Logo</vt:lpstr>
      <vt:lpstr>Form_Assinante</vt:lpstr>
      <vt:lpstr>Form_CPF_CNPJ</vt:lpstr>
      <vt:lpstr>Form_Data</vt:lpstr>
      <vt:lpstr>Form_DescrRecibo</vt:lpstr>
      <vt:lpstr>Form_NroRecibo</vt:lpstr>
      <vt:lpstr>Form_Rodape1</vt:lpstr>
      <vt:lpstr>Form_Rodape2</vt:lpstr>
      <vt:lpstr>Form_Rodape3</vt:lpstr>
      <vt:lpstr>Form_Valor</vt:lpstr>
      <vt:lpstr>Form_VlrExtenso</vt:lpstr>
      <vt:lpstr>LancRestantes</vt:lpstr>
      <vt:lpstr>PFPJ_CPFCNPJ</vt:lpstr>
      <vt:lpstr>PFPJ_Email</vt:lpstr>
      <vt:lpstr>PFPJ_Endereco</vt:lpstr>
      <vt:lpstr>PFPJ_Logo</vt:lpstr>
      <vt:lpstr>PFPJ_Nome</vt:lpstr>
      <vt:lpstr>PFPJ_Telefone</vt:lpstr>
      <vt:lpstr>PFPJ_Tipo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 Marinho</dc:creator>
  <cp:lastModifiedBy>André Ciappina</cp:lastModifiedBy>
  <cp:lastPrinted>2018-11-19T10:45:13Z</cp:lastPrinted>
  <dcterms:created xsi:type="dcterms:W3CDTF">2018-03-15T08:30:05Z</dcterms:created>
  <dcterms:modified xsi:type="dcterms:W3CDTF">2018-11-30T15:25:37Z</dcterms:modified>
</cp:coreProperties>
</file>