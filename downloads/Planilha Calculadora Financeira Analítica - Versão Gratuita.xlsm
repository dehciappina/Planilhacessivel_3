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regispc\Documents\SITE FINANCEIRO\PLANILHAS PUBLICADAS NO SITE\REVISADAS\Grátis\"/>
    </mc:Choice>
  </mc:AlternateContent>
  <xr:revisionPtr revIDLastSave="0" documentId="13_ncr:1_{14448BD5-C498-4E8A-A373-D8F9527DA63A}" xr6:coauthVersionLast="38" xr6:coauthVersionMax="38" xr10:uidLastSave="{00000000-0000-0000-0000-000000000000}"/>
  <bookViews>
    <workbookView xWindow="0" yWindow="0" windowWidth="20490" windowHeight="7545" xr2:uid="{00000000-000D-0000-FFFF-FFFF00000000}"/>
  </bookViews>
  <sheets>
    <sheet name="Formulário" sheetId="2" r:id="rId1"/>
    <sheet name="Apoio" sheetId="6" state="hidden" r:id="rId2"/>
  </sheets>
  <definedNames>
    <definedName name="AvisoAcesso">Formulário!$D$2</definedName>
    <definedName name="Calcular">Apoio!$B$3:$B$6</definedName>
    <definedName name="Descr_Formula">Formulário!$D$12</definedName>
    <definedName name="Descr_fv">Formulário!$D$9</definedName>
    <definedName name="Descr_i">Formulário!$D$7</definedName>
    <definedName name="Descr_n">Formulário!$D$8</definedName>
    <definedName name="Descr_pv">Formulário!$D$6</definedName>
    <definedName name="Descr_Resultado">Formulário!$D$10</definedName>
    <definedName name="DisponibilidadeCalculos">Apoio!$K$6</definedName>
    <definedName name="DisponibilidadeUso">Apoio!$J$6</definedName>
    <definedName name="fv">Formulário!$E$9</definedName>
    <definedName name="Hora_Calculo">Formulário!$D$5</definedName>
    <definedName name="i">Formulário!$E$7</definedName>
    <definedName name="n">Formulário!$E$8</definedName>
    <definedName name="pv">Formulário!$E$6</definedName>
    <definedName name="QdeCalcRealizados">Apoio!$K$4</definedName>
    <definedName name="QdeCalculos">Apoio!$K$2</definedName>
    <definedName name="QdeUso">Apoio!$J$2</definedName>
    <definedName name="QdeUsoRealizado">Apoio!$J$4</definedName>
    <definedName name="Resultado">Formulário!$E$10</definedName>
    <definedName name="rng_SomaJuros">Formulário!$J$5</definedName>
    <definedName name="rng_SomaParcelas">Formulário!$I$5</definedName>
    <definedName name="RotuloCalcExcel">Formulário!$D$3</definedName>
    <definedName name="Shp_Aviso">"Imagem 6,Shp_Aviso_Escrito"</definedName>
    <definedName name="TipoCalculo">Apoio!$A$3:$A$4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" i="2" l="1"/>
  <c r="J6" i="6" l="1"/>
  <c r="K6" i="6"/>
  <c r="BA7" i="2" l="1"/>
  <c r="E11" i="2" l="1"/>
  <c r="BA8" i="2" l="1"/>
  <c r="BA9" i="2"/>
  <c r="BA6" i="2"/>
  <c r="BA5" i="2"/>
  <c r="H6" i="2" s="1"/>
  <c r="M6" i="2" s="1"/>
  <c r="G7" i="2"/>
  <c r="H5" i="2" l="1"/>
  <c r="I7" i="2"/>
  <c r="G8" i="2"/>
  <c r="J6" i="2"/>
  <c r="K6" i="2" l="1"/>
  <c r="H7" i="2" s="1"/>
  <c r="J7" i="2" s="1"/>
  <c r="I8" i="2"/>
  <c r="G9" i="2"/>
  <c r="I9" i="2" l="1"/>
  <c r="K7" i="2"/>
  <c r="H8" i="2" s="1"/>
  <c r="J8" i="2" s="1"/>
  <c r="G10" i="2"/>
  <c r="I10" i="2" l="1"/>
  <c r="K8" i="2"/>
  <c r="H9" i="2" s="1"/>
  <c r="J9" i="2" s="1"/>
  <c r="K9" i="2" s="1"/>
  <c r="H10" i="2" s="1"/>
  <c r="G11" i="2"/>
  <c r="G12" i="2" l="1"/>
  <c r="I11" i="2"/>
  <c r="J10" i="2"/>
  <c r="I12" i="2" l="1"/>
  <c r="G13" i="2"/>
  <c r="K10" i="2"/>
  <c r="I13" i="2" l="1"/>
  <c r="G14" i="2"/>
  <c r="H11" i="2"/>
  <c r="I14" i="2" l="1"/>
  <c r="G15" i="2"/>
  <c r="J11" i="2"/>
  <c r="K11" i="2" s="1"/>
  <c r="H12" i="2" s="1"/>
  <c r="I15" i="2" l="1"/>
  <c r="G16" i="2"/>
  <c r="J12" i="2"/>
  <c r="K12" i="2" s="1"/>
  <c r="H13" i="2" s="1"/>
  <c r="J13" i="2" s="1"/>
  <c r="I16" i="2" l="1"/>
  <c r="G17" i="2"/>
  <c r="K13" i="2"/>
  <c r="H14" i="2" s="1"/>
  <c r="I17" i="2" l="1"/>
  <c r="G18" i="2"/>
  <c r="AZ3" i="2"/>
  <c r="I18" i="2" l="1"/>
  <c r="G19" i="2"/>
  <c r="J14" i="2"/>
  <c r="K14" i="2" s="1"/>
  <c r="H15" i="2" s="1"/>
  <c r="I19" i="2" l="1"/>
  <c r="G20" i="2"/>
  <c r="J15" i="2"/>
  <c r="K15" i="2" s="1"/>
  <c r="H16" i="2" s="1"/>
  <c r="I20" i="2" l="1"/>
  <c r="G21" i="2"/>
  <c r="J16" i="2"/>
  <c r="K16" i="2" s="1"/>
  <c r="H17" i="2" s="1"/>
  <c r="J17" i="2" l="1"/>
  <c r="K17" i="2" s="1"/>
  <c r="H18" i="2" s="1"/>
  <c r="I21" i="2"/>
  <c r="G22" i="2"/>
  <c r="J18" i="2" l="1"/>
  <c r="K18" i="2" s="1"/>
  <c r="H19" i="2" s="1"/>
  <c r="I22" i="2"/>
  <c r="G23" i="2"/>
  <c r="J19" i="2" l="1"/>
  <c r="K19" i="2" s="1"/>
  <c r="H20" i="2" s="1"/>
  <c r="I23" i="2"/>
  <c r="G24" i="2"/>
  <c r="J20" i="2" l="1"/>
  <c r="K20" i="2" s="1"/>
  <c r="H21" i="2" s="1"/>
  <c r="I24" i="2"/>
  <c r="G25" i="2"/>
  <c r="J21" i="2" l="1"/>
  <c r="K21" i="2" s="1"/>
  <c r="H22" i="2" s="1"/>
  <c r="I25" i="2"/>
  <c r="G26" i="2"/>
  <c r="J22" i="2" l="1"/>
  <c r="K22" i="2" s="1"/>
  <c r="H23" i="2" s="1"/>
  <c r="I26" i="2"/>
  <c r="G27" i="2"/>
  <c r="J23" i="2" l="1"/>
  <c r="K23" i="2" s="1"/>
  <c r="H24" i="2" s="1"/>
  <c r="I27" i="2"/>
  <c r="G28" i="2"/>
  <c r="J24" i="2" l="1"/>
  <c r="K24" i="2" s="1"/>
  <c r="H25" i="2" s="1"/>
  <c r="I28" i="2"/>
  <c r="G29" i="2"/>
  <c r="J25" i="2" l="1"/>
  <c r="K25" i="2" s="1"/>
  <c r="H26" i="2" s="1"/>
  <c r="I29" i="2"/>
  <c r="G30" i="2"/>
  <c r="J26" i="2" l="1"/>
  <c r="K26" i="2" s="1"/>
  <c r="H27" i="2" s="1"/>
  <c r="I30" i="2"/>
  <c r="G31" i="2"/>
  <c r="J27" i="2" l="1"/>
  <c r="K27" i="2" s="1"/>
  <c r="H28" i="2" s="1"/>
  <c r="I31" i="2"/>
  <c r="G32" i="2"/>
  <c r="J28" i="2" l="1"/>
  <c r="K28" i="2" s="1"/>
  <c r="H29" i="2" s="1"/>
  <c r="I32" i="2"/>
  <c r="G33" i="2"/>
  <c r="J29" i="2" l="1"/>
  <c r="K29" i="2" s="1"/>
  <c r="H30" i="2" s="1"/>
  <c r="I33" i="2"/>
  <c r="G34" i="2"/>
  <c r="J30" i="2" l="1"/>
  <c r="K30" i="2" s="1"/>
  <c r="H31" i="2" s="1"/>
  <c r="I34" i="2"/>
  <c r="G35" i="2"/>
  <c r="J31" i="2" l="1"/>
  <c r="K31" i="2" s="1"/>
  <c r="H32" i="2" s="1"/>
  <c r="I35" i="2"/>
  <c r="G36" i="2"/>
  <c r="J32" i="2" l="1"/>
  <c r="K32" i="2" s="1"/>
  <c r="H33" i="2" s="1"/>
  <c r="I36" i="2"/>
  <c r="G37" i="2"/>
  <c r="J33" i="2" l="1"/>
  <c r="K33" i="2" s="1"/>
  <c r="H34" i="2" s="1"/>
  <c r="I37" i="2"/>
  <c r="G38" i="2"/>
  <c r="J34" i="2" l="1"/>
  <c r="K34" i="2" s="1"/>
  <c r="H35" i="2" s="1"/>
  <c r="I38" i="2"/>
  <c r="G39" i="2"/>
  <c r="J35" i="2" l="1"/>
  <c r="K35" i="2" s="1"/>
  <c r="H36" i="2" s="1"/>
  <c r="I39" i="2"/>
  <c r="G40" i="2"/>
  <c r="J36" i="2" l="1"/>
  <c r="K36" i="2" s="1"/>
  <c r="H37" i="2" s="1"/>
  <c r="I40" i="2"/>
  <c r="G41" i="2"/>
  <c r="J37" i="2" l="1"/>
  <c r="K37" i="2" s="1"/>
  <c r="H38" i="2" s="1"/>
  <c r="I41" i="2"/>
  <c r="G42" i="2"/>
  <c r="J38" i="2" l="1"/>
  <c r="K38" i="2" s="1"/>
  <c r="H39" i="2" s="1"/>
  <c r="I42" i="2"/>
  <c r="G43" i="2"/>
  <c r="J39" i="2" l="1"/>
  <c r="K39" i="2" s="1"/>
  <c r="H40" i="2" s="1"/>
  <c r="I43" i="2"/>
  <c r="G44" i="2"/>
  <c r="J40" i="2" l="1"/>
  <c r="K40" i="2" s="1"/>
  <c r="H41" i="2" s="1"/>
  <c r="I44" i="2"/>
  <c r="G45" i="2"/>
  <c r="J41" i="2" l="1"/>
  <c r="K41" i="2" s="1"/>
  <c r="H42" i="2" s="1"/>
  <c r="I45" i="2"/>
  <c r="G46" i="2"/>
  <c r="J42" i="2" l="1"/>
  <c r="K42" i="2" s="1"/>
  <c r="H43" i="2" s="1"/>
  <c r="I46" i="2"/>
  <c r="G47" i="2"/>
  <c r="J43" i="2" l="1"/>
  <c r="K43" i="2" s="1"/>
  <c r="H44" i="2" s="1"/>
  <c r="I47" i="2"/>
  <c r="G48" i="2"/>
  <c r="J44" i="2" l="1"/>
  <c r="K44" i="2" s="1"/>
  <c r="H45" i="2" s="1"/>
  <c r="I48" i="2"/>
  <c r="G49" i="2"/>
  <c r="J45" i="2" l="1"/>
  <c r="K45" i="2" s="1"/>
  <c r="H46" i="2" s="1"/>
  <c r="I49" i="2"/>
  <c r="G50" i="2"/>
  <c r="J46" i="2" l="1"/>
  <c r="K46" i="2" s="1"/>
  <c r="H47" i="2" s="1"/>
  <c r="I50" i="2"/>
  <c r="G51" i="2"/>
  <c r="J47" i="2" l="1"/>
  <c r="K47" i="2" s="1"/>
  <c r="H48" i="2" s="1"/>
  <c r="I51" i="2"/>
  <c r="G52" i="2"/>
  <c r="J48" i="2" l="1"/>
  <c r="K48" i="2" s="1"/>
  <c r="H49" i="2" s="1"/>
  <c r="I52" i="2"/>
  <c r="G53" i="2"/>
  <c r="J49" i="2" l="1"/>
  <c r="K49" i="2" s="1"/>
  <c r="H50" i="2" s="1"/>
  <c r="I53" i="2"/>
  <c r="G54" i="2"/>
  <c r="J50" i="2" l="1"/>
  <c r="K50" i="2" s="1"/>
  <c r="H51" i="2" s="1"/>
  <c r="I54" i="2"/>
  <c r="G55" i="2"/>
  <c r="J51" i="2" l="1"/>
  <c r="K51" i="2" s="1"/>
  <c r="H52" i="2" s="1"/>
  <c r="I55" i="2"/>
  <c r="G56" i="2"/>
  <c r="J52" i="2" l="1"/>
  <c r="K52" i="2" s="1"/>
  <c r="H53" i="2" s="1"/>
  <c r="I56" i="2"/>
  <c r="G57" i="2"/>
  <c r="J53" i="2" l="1"/>
  <c r="K53" i="2" s="1"/>
  <c r="H54" i="2" s="1"/>
  <c r="I57" i="2"/>
  <c r="G58" i="2"/>
  <c r="J54" i="2" l="1"/>
  <c r="K54" i="2" s="1"/>
  <c r="H55" i="2" s="1"/>
  <c r="I58" i="2"/>
  <c r="G59" i="2"/>
  <c r="J55" i="2" l="1"/>
  <c r="K55" i="2" s="1"/>
  <c r="H56" i="2" s="1"/>
  <c r="I59" i="2"/>
  <c r="G60" i="2"/>
  <c r="J56" i="2" l="1"/>
  <c r="K56" i="2" s="1"/>
  <c r="H57" i="2" s="1"/>
  <c r="I60" i="2"/>
  <c r="G61" i="2"/>
  <c r="J57" i="2" l="1"/>
  <c r="K57" i="2" s="1"/>
  <c r="H58" i="2" s="1"/>
  <c r="I61" i="2"/>
  <c r="G62" i="2"/>
  <c r="J58" i="2" l="1"/>
  <c r="K58" i="2" s="1"/>
  <c r="H59" i="2" s="1"/>
  <c r="I62" i="2"/>
  <c r="G63" i="2"/>
  <c r="J59" i="2" l="1"/>
  <c r="K59" i="2" s="1"/>
  <c r="H60" i="2" s="1"/>
  <c r="I63" i="2"/>
  <c r="G64" i="2"/>
  <c r="J60" i="2" l="1"/>
  <c r="K60" i="2" s="1"/>
  <c r="H61" i="2" s="1"/>
  <c r="I64" i="2"/>
  <c r="G65" i="2"/>
  <c r="J61" i="2" l="1"/>
  <c r="K61" i="2" s="1"/>
  <c r="H62" i="2" s="1"/>
  <c r="I65" i="2"/>
  <c r="G66" i="2"/>
  <c r="J62" i="2" l="1"/>
  <c r="K62" i="2" s="1"/>
  <c r="H63" i="2" s="1"/>
  <c r="I66" i="2"/>
  <c r="G67" i="2"/>
  <c r="J63" i="2" l="1"/>
  <c r="K63" i="2" s="1"/>
  <c r="H64" i="2" s="1"/>
  <c r="I67" i="2"/>
  <c r="G68" i="2"/>
  <c r="J64" i="2" l="1"/>
  <c r="K64" i="2" s="1"/>
  <c r="H65" i="2" s="1"/>
  <c r="I68" i="2"/>
  <c r="G69" i="2"/>
  <c r="J65" i="2" l="1"/>
  <c r="K65" i="2" s="1"/>
  <c r="H66" i="2" s="1"/>
  <c r="I69" i="2"/>
  <c r="G70" i="2"/>
  <c r="J66" i="2" l="1"/>
  <c r="K66" i="2" s="1"/>
  <c r="H67" i="2" s="1"/>
  <c r="I70" i="2"/>
  <c r="G71" i="2"/>
  <c r="J67" i="2" l="1"/>
  <c r="K67" i="2" s="1"/>
  <c r="H68" i="2" s="1"/>
  <c r="I71" i="2"/>
  <c r="G72" i="2"/>
  <c r="J68" i="2" l="1"/>
  <c r="K68" i="2" s="1"/>
  <c r="H69" i="2" s="1"/>
  <c r="I72" i="2"/>
  <c r="G73" i="2"/>
  <c r="J69" i="2" l="1"/>
  <c r="K69" i="2" s="1"/>
  <c r="H70" i="2" s="1"/>
  <c r="I73" i="2"/>
  <c r="G74" i="2"/>
  <c r="J70" i="2" l="1"/>
  <c r="K70" i="2" s="1"/>
  <c r="H71" i="2" s="1"/>
  <c r="I74" i="2"/>
  <c r="G75" i="2"/>
  <c r="J71" i="2" l="1"/>
  <c r="K71" i="2" s="1"/>
  <c r="H72" i="2" s="1"/>
  <c r="I75" i="2"/>
  <c r="G76" i="2"/>
  <c r="J72" i="2" l="1"/>
  <c r="K72" i="2" s="1"/>
  <c r="H73" i="2" s="1"/>
  <c r="I76" i="2"/>
  <c r="G77" i="2"/>
  <c r="J73" i="2" l="1"/>
  <c r="K73" i="2" s="1"/>
  <c r="H74" i="2" s="1"/>
  <c r="I77" i="2"/>
  <c r="G78" i="2"/>
  <c r="J74" i="2" l="1"/>
  <c r="K74" i="2" s="1"/>
  <c r="H75" i="2" s="1"/>
  <c r="I78" i="2"/>
  <c r="G79" i="2"/>
  <c r="J75" i="2" l="1"/>
  <c r="K75" i="2" s="1"/>
  <c r="H76" i="2" s="1"/>
  <c r="I79" i="2"/>
  <c r="G80" i="2"/>
  <c r="J76" i="2" l="1"/>
  <c r="K76" i="2" s="1"/>
  <c r="H77" i="2" s="1"/>
  <c r="I80" i="2"/>
  <c r="G81" i="2"/>
  <c r="J77" i="2" l="1"/>
  <c r="K77" i="2" s="1"/>
  <c r="H78" i="2" s="1"/>
  <c r="I81" i="2"/>
  <c r="G82" i="2"/>
  <c r="J78" i="2" l="1"/>
  <c r="K78" i="2" s="1"/>
  <c r="H79" i="2" s="1"/>
  <c r="I82" i="2"/>
  <c r="G83" i="2"/>
  <c r="J79" i="2" l="1"/>
  <c r="K79" i="2" s="1"/>
  <c r="H80" i="2" s="1"/>
  <c r="I83" i="2"/>
  <c r="G84" i="2"/>
  <c r="J80" i="2" l="1"/>
  <c r="K80" i="2" s="1"/>
  <c r="H81" i="2" s="1"/>
  <c r="I84" i="2"/>
  <c r="G85" i="2"/>
  <c r="J81" i="2" l="1"/>
  <c r="K81" i="2" s="1"/>
  <c r="H82" i="2" s="1"/>
  <c r="I85" i="2"/>
  <c r="G86" i="2"/>
  <c r="J82" i="2" l="1"/>
  <c r="K82" i="2" s="1"/>
  <c r="H83" i="2" s="1"/>
  <c r="I86" i="2"/>
  <c r="G87" i="2"/>
  <c r="J83" i="2" l="1"/>
  <c r="K83" i="2" s="1"/>
  <c r="H84" i="2" s="1"/>
  <c r="I87" i="2"/>
  <c r="G88" i="2"/>
  <c r="J84" i="2" l="1"/>
  <c r="K84" i="2" s="1"/>
  <c r="H85" i="2" s="1"/>
  <c r="I88" i="2"/>
  <c r="G89" i="2"/>
  <c r="J85" i="2" l="1"/>
  <c r="K85" i="2" s="1"/>
  <c r="H86" i="2" s="1"/>
  <c r="I89" i="2"/>
  <c r="G90" i="2"/>
  <c r="J86" i="2" l="1"/>
  <c r="K86" i="2" s="1"/>
  <c r="H87" i="2" s="1"/>
  <c r="I90" i="2"/>
  <c r="G91" i="2"/>
  <c r="J87" i="2" l="1"/>
  <c r="K87" i="2" s="1"/>
  <c r="H88" i="2" s="1"/>
  <c r="I91" i="2"/>
  <c r="G92" i="2"/>
  <c r="J88" i="2" l="1"/>
  <c r="K88" i="2" s="1"/>
  <c r="H89" i="2" s="1"/>
  <c r="I92" i="2"/>
  <c r="G93" i="2"/>
  <c r="J89" i="2" l="1"/>
  <c r="K89" i="2" s="1"/>
  <c r="H90" i="2" s="1"/>
  <c r="I93" i="2"/>
  <c r="G94" i="2"/>
  <c r="J90" i="2" l="1"/>
  <c r="K90" i="2" s="1"/>
  <c r="H91" i="2" s="1"/>
  <c r="I94" i="2"/>
  <c r="G95" i="2"/>
  <c r="J91" i="2" l="1"/>
  <c r="K91" i="2" s="1"/>
  <c r="H92" i="2" s="1"/>
  <c r="I95" i="2"/>
  <c r="G96" i="2"/>
  <c r="J92" i="2" l="1"/>
  <c r="K92" i="2" s="1"/>
  <c r="H93" i="2" s="1"/>
  <c r="I96" i="2"/>
  <c r="G97" i="2"/>
  <c r="J93" i="2" l="1"/>
  <c r="K93" i="2" s="1"/>
  <c r="H94" i="2" s="1"/>
  <c r="I97" i="2"/>
  <c r="G98" i="2"/>
  <c r="J94" i="2" l="1"/>
  <c r="K94" i="2" s="1"/>
  <c r="H95" i="2" s="1"/>
  <c r="I98" i="2"/>
  <c r="G99" i="2"/>
  <c r="J95" i="2" l="1"/>
  <c r="K95" i="2" s="1"/>
  <c r="H96" i="2" s="1"/>
  <c r="I99" i="2"/>
  <c r="G100" i="2"/>
  <c r="J96" i="2" l="1"/>
  <c r="K96" i="2" s="1"/>
  <c r="H97" i="2" s="1"/>
  <c r="I100" i="2"/>
  <c r="G101" i="2"/>
  <c r="J97" i="2" l="1"/>
  <c r="K97" i="2" s="1"/>
  <c r="H98" i="2" s="1"/>
  <c r="I101" i="2"/>
  <c r="G102" i="2"/>
  <c r="J98" i="2" l="1"/>
  <c r="K98" i="2" s="1"/>
  <c r="H99" i="2" s="1"/>
  <c r="I102" i="2"/>
  <c r="G103" i="2"/>
  <c r="J99" i="2" l="1"/>
  <c r="K99" i="2" s="1"/>
  <c r="H100" i="2" s="1"/>
  <c r="I103" i="2"/>
  <c r="G104" i="2"/>
  <c r="J100" i="2" l="1"/>
  <c r="K100" i="2" s="1"/>
  <c r="H101" i="2" s="1"/>
  <c r="I104" i="2"/>
  <c r="G105" i="2"/>
  <c r="J101" i="2" l="1"/>
  <c r="K101" i="2" s="1"/>
  <c r="H102" i="2" s="1"/>
  <c r="I105" i="2"/>
  <c r="G106" i="2"/>
  <c r="J102" i="2" l="1"/>
  <c r="K102" i="2" s="1"/>
  <c r="H103" i="2" s="1"/>
  <c r="I106" i="2"/>
  <c r="G107" i="2"/>
  <c r="J103" i="2" l="1"/>
  <c r="K103" i="2" s="1"/>
  <c r="H104" i="2" s="1"/>
  <c r="I107" i="2"/>
  <c r="G108" i="2"/>
  <c r="J104" i="2" l="1"/>
  <c r="K104" i="2" s="1"/>
  <c r="H105" i="2" s="1"/>
  <c r="I108" i="2"/>
  <c r="G109" i="2"/>
  <c r="J105" i="2" l="1"/>
  <c r="K105" i="2" s="1"/>
  <c r="H106" i="2" s="1"/>
  <c r="I109" i="2"/>
  <c r="G110" i="2"/>
  <c r="J106" i="2" l="1"/>
  <c r="K106" i="2" s="1"/>
  <c r="H107" i="2" s="1"/>
  <c r="I110" i="2"/>
  <c r="G111" i="2"/>
  <c r="J107" i="2" l="1"/>
  <c r="K107" i="2" s="1"/>
  <c r="H108" i="2" s="1"/>
  <c r="I111" i="2"/>
  <c r="G112" i="2"/>
  <c r="J108" i="2" l="1"/>
  <c r="K108" i="2" s="1"/>
  <c r="H109" i="2" s="1"/>
  <c r="I112" i="2"/>
  <c r="G113" i="2"/>
  <c r="J109" i="2" l="1"/>
  <c r="K109" i="2" s="1"/>
  <c r="H110" i="2" s="1"/>
  <c r="I113" i="2"/>
  <c r="G114" i="2"/>
  <c r="J110" i="2" l="1"/>
  <c r="K110" i="2" s="1"/>
  <c r="H111" i="2" s="1"/>
  <c r="I114" i="2"/>
  <c r="G115" i="2"/>
  <c r="J111" i="2" l="1"/>
  <c r="K111" i="2"/>
  <c r="H112" i="2" s="1"/>
  <c r="I115" i="2"/>
  <c r="G116" i="2"/>
  <c r="J112" i="2" l="1"/>
  <c r="K112" i="2" s="1"/>
  <c r="H113" i="2" s="1"/>
  <c r="I116" i="2"/>
  <c r="G117" i="2"/>
  <c r="J113" i="2" l="1"/>
  <c r="K113" i="2" s="1"/>
  <c r="H114" i="2" s="1"/>
  <c r="I117" i="2"/>
  <c r="G118" i="2"/>
  <c r="J114" i="2" l="1"/>
  <c r="K114" i="2" s="1"/>
  <c r="H115" i="2" s="1"/>
  <c r="I118" i="2"/>
  <c r="G119" i="2"/>
  <c r="J115" i="2" l="1"/>
  <c r="K115" i="2" s="1"/>
  <c r="H116" i="2" s="1"/>
  <c r="I119" i="2"/>
  <c r="G120" i="2"/>
  <c r="J116" i="2" l="1"/>
  <c r="K116" i="2" s="1"/>
  <c r="H117" i="2" s="1"/>
  <c r="I120" i="2"/>
  <c r="G121" i="2"/>
  <c r="J117" i="2" l="1"/>
  <c r="K117" i="2" s="1"/>
  <c r="H118" i="2" s="1"/>
  <c r="I121" i="2"/>
  <c r="G122" i="2"/>
  <c r="J118" i="2" l="1"/>
  <c r="K118" i="2" s="1"/>
  <c r="H119" i="2" s="1"/>
  <c r="I122" i="2"/>
  <c r="G123" i="2"/>
  <c r="J119" i="2" l="1"/>
  <c r="K119" i="2" s="1"/>
  <c r="H120" i="2" s="1"/>
  <c r="I123" i="2"/>
  <c r="G124" i="2"/>
  <c r="J120" i="2" l="1"/>
  <c r="K120" i="2" s="1"/>
  <c r="H121" i="2" s="1"/>
  <c r="I124" i="2"/>
  <c r="G125" i="2"/>
  <c r="J121" i="2" l="1"/>
  <c r="K121" i="2" s="1"/>
  <c r="H122" i="2" s="1"/>
  <c r="I125" i="2"/>
  <c r="G126" i="2"/>
  <c r="J122" i="2" l="1"/>
  <c r="K122" i="2" s="1"/>
  <c r="H123" i="2" s="1"/>
  <c r="I126" i="2"/>
  <c r="G127" i="2"/>
  <c r="J123" i="2" l="1"/>
  <c r="K123" i="2" s="1"/>
  <c r="H124" i="2" s="1"/>
  <c r="I127" i="2"/>
  <c r="G128" i="2"/>
  <c r="J124" i="2" l="1"/>
  <c r="K124" i="2" s="1"/>
  <c r="H125" i="2" s="1"/>
  <c r="I128" i="2"/>
  <c r="G129" i="2"/>
  <c r="J125" i="2" l="1"/>
  <c r="K125" i="2" s="1"/>
  <c r="H126" i="2" s="1"/>
  <c r="I129" i="2"/>
  <c r="G130" i="2"/>
  <c r="J126" i="2" l="1"/>
  <c r="K126" i="2" s="1"/>
  <c r="H127" i="2" s="1"/>
  <c r="I130" i="2"/>
  <c r="G131" i="2"/>
  <c r="J127" i="2" l="1"/>
  <c r="K127" i="2" s="1"/>
  <c r="H128" i="2" s="1"/>
  <c r="I131" i="2"/>
  <c r="G132" i="2"/>
  <c r="J128" i="2" l="1"/>
  <c r="K128" i="2" s="1"/>
  <c r="H129" i="2" s="1"/>
  <c r="I132" i="2"/>
  <c r="G133" i="2"/>
  <c r="J129" i="2" l="1"/>
  <c r="K129" i="2" s="1"/>
  <c r="H130" i="2" s="1"/>
  <c r="I133" i="2"/>
  <c r="G134" i="2"/>
  <c r="J130" i="2" l="1"/>
  <c r="K130" i="2" s="1"/>
  <c r="H131" i="2" s="1"/>
  <c r="I134" i="2"/>
  <c r="G135" i="2"/>
  <c r="J131" i="2" l="1"/>
  <c r="K131" i="2" s="1"/>
  <c r="H132" i="2" s="1"/>
  <c r="I135" i="2"/>
  <c r="G136" i="2"/>
  <c r="J132" i="2" l="1"/>
  <c r="K132" i="2" s="1"/>
  <c r="H133" i="2" s="1"/>
  <c r="I136" i="2"/>
  <c r="G137" i="2"/>
  <c r="J133" i="2" l="1"/>
  <c r="K133" i="2" s="1"/>
  <c r="H134" i="2" s="1"/>
  <c r="I137" i="2"/>
  <c r="G138" i="2"/>
  <c r="J134" i="2" l="1"/>
  <c r="K134" i="2" s="1"/>
  <c r="H135" i="2" s="1"/>
  <c r="I138" i="2"/>
  <c r="G139" i="2"/>
  <c r="J135" i="2" l="1"/>
  <c r="K135" i="2" s="1"/>
  <c r="H136" i="2" s="1"/>
  <c r="I139" i="2"/>
  <c r="G140" i="2"/>
  <c r="J136" i="2" l="1"/>
  <c r="K136" i="2" s="1"/>
  <c r="H137" i="2" s="1"/>
  <c r="I140" i="2"/>
  <c r="G141" i="2"/>
  <c r="J137" i="2" l="1"/>
  <c r="K137" i="2" s="1"/>
  <c r="H138" i="2" s="1"/>
  <c r="I141" i="2"/>
  <c r="G142" i="2"/>
  <c r="J138" i="2" l="1"/>
  <c r="K138" i="2" s="1"/>
  <c r="H139" i="2" s="1"/>
  <c r="I142" i="2"/>
  <c r="G143" i="2"/>
  <c r="J139" i="2" l="1"/>
  <c r="K139" i="2" s="1"/>
  <c r="H140" i="2" s="1"/>
  <c r="I143" i="2"/>
  <c r="G144" i="2"/>
  <c r="J140" i="2" l="1"/>
  <c r="K140" i="2" s="1"/>
  <c r="H141" i="2" s="1"/>
  <c r="I144" i="2"/>
  <c r="G145" i="2"/>
  <c r="J141" i="2" l="1"/>
  <c r="K141" i="2" s="1"/>
  <c r="H142" i="2" s="1"/>
  <c r="I145" i="2"/>
  <c r="G146" i="2"/>
  <c r="J142" i="2" l="1"/>
  <c r="K142" i="2" s="1"/>
  <c r="H143" i="2" s="1"/>
  <c r="I146" i="2"/>
  <c r="G147" i="2"/>
  <c r="J143" i="2" l="1"/>
  <c r="K143" i="2" s="1"/>
  <c r="H144" i="2" s="1"/>
  <c r="I147" i="2"/>
  <c r="G148" i="2"/>
  <c r="J144" i="2" l="1"/>
  <c r="K144" i="2" s="1"/>
  <c r="H145" i="2" s="1"/>
  <c r="I148" i="2"/>
  <c r="G149" i="2"/>
  <c r="J145" i="2" l="1"/>
  <c r="K145" i="2" s="1"/>
  <c r="H146" i="2" s="1"/>
  <c r="I149" i="2"/>
  <c r="G150" i="2"/>
  <c r="J146" i="2" l="1"/>
  <c r="K146" i="2" s="1"/>
  <c r="H147" i="2" s="1"/>
  <c r="I150" i="2"/>
  <c r="G151" i="2"/>
  <c r="J147" i="2" l="1"/>
  <c r="K147" i="2" s="1"/>
  <c r="H148" i="2" s="1"/>
  <c r="I151" i="2"/>
  <c r="G152" i="2"/>
  <c r="J148" i="2" l="1"/>
  <c r="K148" i="2" s="1"/>
  <c r="H149" i="2" s="1"/>
  <c r="I152" i="2"/>
  <c r="G153" i="2"/>
  <c r="J149" i="2" l="1"/>
  <c r="K149" i="2" s="1"/>
  <c r="H150" i="2" s="1"/>
  <c r="I153" i="2"/>
  <c r="G154" i="2"/>
  <c r="J150" i="2" l="1"/>
  <c r="K150" i="2" s="1"/>
  <c r="H151" i="2" s="1"/>
  <c r="I154" i="2"/>
  <c r="G155" i="2"/>
  <c r="J151" i="2" l="1"/>
  <c r="K151" i="2" s="1"/>
  <c r="H152" i="2" s="1"/>
  <c r="G156" i="2"/>
  <c r="I155" i="2"/>
  <c r="J152" i="2" l="1"/>
  <c r="K152" i="2" s="1"/>
  <c r="H153" i="2" s="1"/>
  <c r="G157" i="2"/>
  <c r="I156" i="2"/>
  <c r="J153" i="2" l="1"/>
  <c r="K153" i="2" s="1"/>
  <c r="H154" i="2" s="1"/>
  <c r="I157" i="2"/>
  <c r="G158" i="2"/>
  <c r="J154" i="2" l="1"/>
  <c r="K154" i="2" s="1"/>
  <c r="H155" i="2" s="1"/>
  <c r="I158" i="2"/>
  <c r="G159" i="2"/>
  <c r="J155" i="2" l="1"/>
  <c r="K155" i="2" s="1"/>
  <c r="H156" i="2" s="1"/>
  <c r="G160" i="2"/>
  <c r="I159" i="2"/>
  <c r="J156" i="2" l="1"/>
  <c r="K156" i="2" s="1"/>
  <c r="H157" i="2" s="1"/>
  <c r="I160" i="2"/>
  <c r="G161" i="2"/>
  <c r="J157" i="2" l="1"/>
  <c r="K157" i="2" s="1"/>
  <c r="H158" i="2" s="1"/>
  <c r="I161" i="2"/>
  <c r="G162" i="2"/>
  <c r="J158" i="2" l="1"/>
  <c r="K158" i="2" s="1"/>
  <c r="H159" i="2" s="1"/>
  <c r="G163" i="2"/>
  <c r="I162" i="2"/>
  <c r="J159" i="2" l="1"/>
  <c r="K159" i="2" s="1"/>
  <c r="H160" i="2" s="1"/>
  <c r="I163" i="2"/>
  <c r="G164" i="2"/>
  <c r="J160" i="2" l="1"/>
  <c r="K160" i="2" s="1"/>
  <c r="H161" i="2" s="1"/>
  <c r="G165" i="2"/>
  <c r="I164" i="2"/>
  <c r="J161" i="2" l="1"/>
  <c r="K161" i="2" s="1"/>
  <c r="H162" i="2" s="1"/>
  <c r="I165" i="2"/>
  <c r="G166" i="2"/>
  <c r="J162" i="2" l="1"/>
  <c r="K162" i="2" s="1"/>
  <c r="H163" i="2" s="1"/>
  <c r="G167" i="2"/>
  <c r="I166" i="2"/>
  <c r="J163" i="2" l="1"/>
  <c r="K163" i="2" s="1"/>
  <c r="H164" i="2" s="1"/>
  <c r="I167" i="2"/>
  <c r="G168" i="2"/>
  <c r="J164" i="2" l="1"/>
  <c r="K164" i="2" s="1"/>
  <c r="H165" i="2" s="1"/>
  <c r="I168" i="2"/>
  <c r="G169" i="2"/>
  <c r="J165" i="2" l="1"/>
  <c r="K165" i="2" s="1"/>
  <c r="H166" i="2" s="1"/>
  <c r="G170" i="2"/>
  <c r="I169" i="2"/>
  <c r="J166" i="2" l="1"/>
  <c r="K166" i="2" s="1"/>
  <c r="H167" i="2" s="1"/>
  <c r="I170" i="2"/>
  <c r="G171" i="2"/>
  <c r="J167" i="2" l="1"/>
  <c r="K167" i="2" s="1"/>
  <c r="H168" i="2" s="1"/>
  <c r="I171" i="2"/>
  <c r="G172" i="2"/>
  <c r="J168" i="2" l="1"/>
  <c r="K168" i="2" s="1"/>
  <c r="H169" i="2" s="1"/>
  <c r="G173" i="2"/>
  <c r="I172" i="2"/>
  <c r="J169" i="2" l="1"/>
  <c r="K169" i="2" s="1"/>
  <c r="H170" i="2" s="1"/>
  <c r="I173" i="2"/>
  <c r="G174" i="2"/>
  <c r="J170" i="2" l="1"/>
  <c r="K170" i="2" s="1"/>
  <c r="H171" i="2" s="1"/>
  <c r="I174" i="2"/>
  <c r="G175" i="2"/>
  <c r="J171" i="2" l="1"/>
  <c r="K171" i="2" s="1"/>
  <c r="H172" i="2" s="1"/>
  <c r="G176" i="2"/>
  <c r="I175" i="2"/>
  <c r="J172" i="2" l="1"/>
  <c r="K172" i="2" s="1"/>
  <c r="H173" i="2" s="1"/>
  <c r="I176" i="2"/>
  <c r="G177" i="2"/>
  <c r="J173" i="2" l="1"/>
  <c r="K173" i="2" s="1"/>
  <c r="H174" i="2" s="1"/>
  <c r="I177" i="2"/>
  <c r="G178" i="2"/>
  <c r="J174" i="2" l="1"/>
  <c r="K174" i="2" s="1"/>
  <c r="H175" i="2" s="1"/>
  <c r="G179" i="2"/>
  <c r="I178" i="2"/>
  <c r="J175" i="2" l="1"/>
  <c r="K175" i="2" s="1"/>
  <c r="H176" i="2" s="1"/>
  <c r="I179" i="2"/>
  <c r="G180" i="2"/>
  <c r="J176" i="2" l="1"/>
  <c r="K176" i="2" s="1"/>
  <c r="H177" i="2" s="1"/>
  <c r="G181" i="2"/>
  <c r="I180" i="2"/>
  <c r="J177" i="2" l="1"/>
  <c r="K177" i="2" s="1"/>
  <c r="H178" i="2" s="1"/>
  <c r="I181" i="2"/>
  <c r="G182" i="2"/>
  <c r="J178" i="2" l="1"/>
  <c r="K178" i="2" s="1"/>
  <c r="H179" i="2" s="1"/>
  <c r="G183" i="2"/>
  <c r="I182" i="2"/>
  <c r="J179" i="2" l="1"/>
  <c r="K179" i="2" s="1"/>
  <c r="H180" i="2" s="1"/>
  <c r="I183" i="2"/>
  <c r="G184" i="2"/>
  <c r="J180" i="2" l="1"/>
  <c r="K180" i="2" s="1"/>
  <c r="H181" i="2" s="1"/>
  <c r="I184" i="2"/>
  <c r="G185" i="2"/>
  <c r="J181" i="2" l="1"/>
  <c r="K181" i="2" s="1"/>
  <c r="H182" i="2" s="1"/>
  <c r="I185" i="2"/>
  <c r="G186" i="2"/>
  <c r="J182" i="2" l="1"/>
  <c r="K182" i="2" s="1"/>
  <c r="H183" i="2" s="1"/>
  <c r="G187" i="2"/>
  <c r="I186" i="2"/>
  <c r="J183" i="2" l="1"/>
  <c r="K183" i="2" s="1"/>
  <c r="H184" i="2" s="1"/>
  <c r="I187" i="2"/>
  <c r="G188" i="2"/>
  <c r="J184" i="2" l="1"/>
  <c r="K184" i="2" s="1"/>
  <c r="H185" i="2" s="1"/>
  <c r="G189" i="2"/>
  <c r="I188" i="2"/>
  <c r="J185" i="2" l="1"/>
  <c r="K185" i="2" s="1"/>
  <c r="H186" i="2" s="1"/>
  <c r="I189" i="2"/>
  <c r="G190" i="2"/>
  <c r="J186" i="2" l="1"/>
  <c r="K186" i="2" s="1"/>
  <c r="H187" i="2" s="1"/>
  <c r="I190" i="2"/>
  <c r="G191" i="2"/>
  <c r="J187" i="2" l="1"/>
  <c r="K187" i="2" s="1"/>
  <c r="H188" i="2" s="1"/>
  <c r="I191" i="2"/>
  <c r="G192" i="2"/>
  <c r="J188" i="2" l="1"/>
  <c r="K188" i="2" s="1"/>
  <c r="H189" i="2" s="1"/>
  <c r="G193" i="2"/>
  <c r="I192" i="2"/>
  <c r="J189" i="2" l="1"/>
  <c r="K189" i="2" s="1"/>
  <c r="H190" i="2" s="1"/>
  <c r="I193" i="2"/>
  <c r="G194" i="2"/>
  <c r="J190" i="2" l="1"/>
  <c r="K190" i="2" s="1"/>
  <c r="H191" i="2" s="1"/>
  <c r="G195" i="2"/>
  <c r="I194" i="2"/>
  <c r="J191" i="2" l="1"/>
  <c r="K191" i="2" s="1"/>
  <c r="H192" i="2" s="1"/>
  <c r="I195" i="2"/>
  <c r="G196" i="2"/>
  <c r="J192" i="2" l="1"/>
  <c r="K192" i="2" s="1"/>
  <c r="H193" i="2" s="1"/>
  <c r="G197" i="2"/>
  <c r="I196" i="2"/>
  <c r="J193" i="2" l="1"/>
  <c r="K193" i="2" s="1"/>
  <c r="H194" i="2" s="1"/>
  <c r="G198" i="2"/>
  <c r="I197" i="2"/>
  <c r="J194" i="2" l="1"/>
  <c r="K194" i="2" s="1"/>
  <c r="H195" i="2" s="1"/>
  <c r="I198" i="2"/>
  <c r="G199" i="2"/>
  <c r="J195" i="2" l="1"/>
  <c r="K195" i="2" s="1"/>
  <c r="H196" i="2" s="1"/>
  <c r="G200" i="2"/>
  <c r="I199" i="2"/>
  <c r="J196" i="2" l="1"/>
  <c r="K196" i="2" s="1"/>
  <c r="H197" i="2" s="1"/>
  <c r="G201" i="2"/>
  <c r="I200" i="2"/>
  <c r="J197" i="2" l="1"/>
  <c r="K197" i="2" s="1"/>
  <c r="H198" i="2" s="1"/>
  <c r="I201" i="2"/>
  <c r="G202" i="2"/>
  <c r="J198" i="2" l="1"/>
  <c r="K198" i="2" s="1"/>
  <c r="H199" i="2" s="1"/>
  <c r="G203" i="2"/>
  <c r="I202" i="2"/>
  <c r="J199" i="2" l="1"/>
  <c r="K199" i="2" s="1"/>
  <c r="H200" i="2" s="1"/>
  <c r="I203" i="2"/>
  <c r="G204" i="2"/>
  <c r="J200" i="2" l="1"/>
  <c r="K200" i="2" s="1"/>
  <c r="H201" i="2" s="1"/>
  <c r="G205" i="2"/>
  <c r="I204" i="2"/>
  <c r="J201" i="2" l="1"/>
  <c r="K201" i="2" s="1"/>
  <c r="H202" i="2" s="1"/>
  <c r="I205" i="2"/>
  <c r="G206" i="2"/>
  <c r="J202" i="2" l="1"/>
  <c r="K202" i="2" s="1"/>
  <c r="H203" i="2" s="1"/>
  <c r="G207" i="2"/>
  <c r="I206" i="2"/>
  <c r="J203" i="2" l="1"/>
  <c r="K203" i="2" s="1"/>
  <c r="H204" i="2" s="1"/>
  <c r="I207" i="2"/>
  <c r="G208" i="2"/>
  <c r="J204" i="2" l="1"/>
  <c r="K204" i="2" s="1"/>
  <c r="H205" i="2" s="1"/>
  <c r="I208" i="2"/>
  <c r="G209" i="2"/>
  <c r="J205" i="2" l="1"/>
  <c r="K205" i="2" s="1"/>
  <c r="H206" i="2" s="1"/>
  <c r="G210" i="2"/>
  <c r="I209" i="2"/>
  <c r="J206" i="2" l="1"/>
  <c r="K206" i="2" s="1"/>
  <c r="H207" i="2" s="1"/>
  <c r="I210" i="2"/>
  <c r="G211" i="2"/>
  <c r="J207" i="2" l="1"/>
  <c r="K207" i="2" s="1"/>
  <c r="H208" i="2" s="1"/>
  <c r="G212" i="2"/>
  <c r="I211" i="2"/>
  <c r="J208" i="2" l="1"/>
  <c r="K208" i="2" s="1"/>
  <c r="H209" i="2" s="1"/>
  <c r="G213" i="2"/>
  <c r="I212" i="2"/>
  <c r="J209" i="2" l="1"/>
  <c r="K209" i="2" s="1"/>
  <c r="H210" i="2" s="1"/>
  <c r="I213" i="2"/>
  <c r="G214" i="2"/>
  <c r="J210" i="2" l="1"/>
  <c r="K210" i="2" s="1"/>
  <c r="H211" i="2" s="1"/>
  <c r="G215" i="2"/>
  <c r="I214" i="2"/>
  <c r="J211" i="2" l="1"/>
  <c r="K211" i="2" s="1"/>
  <c r="H212" i="2" s="1"/>
  <c r="I215" i="2"/>
  <c r="G216" i="2"/>
  <c r="J212" i="2" l="1"/>
  <c r="K212" i="2" s="1"/>
  <c r="H213" i="2" s="1"/>
  <c r="I216" i="2"/>
  <c r="G217" i="2"/>
  <c r="J213" i="2" l="1"/>
  <c r="K213" i="2" s="1"/>
  <c r="H214" i="2" s="1"/>
  <c r="I217" i="2"/>
  <c r="G218" i="2"/>
  <c r="J214" i="2" l="1"/>
  <c r="K214" i="2" s="1"/>
  <c r="H215" i="2" s="1"/>
  <c r="I218" i="2"/>
  <c r="G219" i="2"/>
  <c r="J215" i="2" l="1"/>
  <c r="K215" i="2" s="1"/>
  <c r="H216" i="2" s="1"/>
  <c r="I219" i="2"/>
  <c r="G220" i="2"/>
  <c r="J216" i="2" l="1"/>
  <c r="K216" i="2" s="1"/>
  <c r="H217" i="2" s="1"/>
  <c r="I220" i="2"/>
  <c r="G221" i="2"/>
  <c r="J217" i="2" l="1"/>
  <c r="K217" i="2" s="1"/>
  <c r="H218" i="2" s="1"/>
  <c r="G222" i="2"/>
  <c r="I221" i="2"/>
  <c r="J218" i="2" l="1"/>
  <c r="K218" i="2" s="1"/>
  <c r="H219" i="2" s="1"/>
  <c r="G223" i="2"/>
  <c r="I222" i="2"/>
  <c r="J219" i="2" l="1"/>
  <c r="K219" i="2" s="1"/>
  <c r="H220" i="2" s="1"/>
  <c r="I223" i="2"/>
  <c r="G224" i="2"/>
  <c r="J220" i="2" l="1"/>
  <c r="K220" i="2" s="1"/>
  <c r="H221" i="2" s="1"/>
  <c r="I224" i="2"/>
  <c r="G225" i="2"/>
  <c r="J221" i="2" l="1"/>
  <c r="K221" i="2" s="1"/>
  <c r="H222" i="2" s="1"/>
  <c r="G226" i="2"/>
  <c r="I225" i="2"/>
  <c r="J222" i="2" l="1"/>
  <c r="K222" i="2" s="1"/>
  <c r="H223" i="2" s="1"/>
  <c r="G227" i="2"/>
  <c r="I226" i="2"/>
  <c r="J223" i="2" l="1"/>
  <c r="K223" i="2" s="1"/>
  <c r="H224" i="2" s="1"/>
  <c r="I227" i="2"/>
  <c r="G228" i="2"/>
  <c r="J224" i="2" l="1"/>
  <c r="K224" i="2" s="1"/>
  <c r="H225" i="2" s="1"/>
  <c r="I228" i="2"/>
  <c r="G229" i="2"/>
  <c r="J225" i="2" l="1"/>
  <c r="K225" i="2" s="1"/>
  <c r="H226" i="2" s="1"/>
  <c r="I229" i="2"/>
  <c r="G230" i="2"/>
  <c r="J226" i="2" l="1"/>
  <c r="K226" i="2" s="1"/>
  <c r="H227" i="2" s="1"/>
  <c r="I230" i="2"/>
  <c r="G231" i="2"/>
  <c r="J227" i="2" l="1"/>
  <c r="K227" i="2" s="1"/>
  <c r="H228" i="2" s="1"/>
  <c r="I231" i="2"/>
  <c r="G232" i="2"/>
  <c r="J228" i="2" l="1"/>
  <c r="K228" i="2" s="1"/>
  <c r="H229" i="2" s="1"/>
  <c r="I232" i="2"/>
  <c r="G233" i="2"/>
  <c r="J229" i="2" l="1"/>
  <c r="K229" i="2" s="1"/>
  <c r="H230" i="2" s="1"/>
  <c r="G234" i="2"/>
  <c r="I233" i="2"/>
  <c r="J230" i="2" l="1"/>
  <c r="K230" i="2" s="1"/>
  <c r="H231" i="2" s="1"/>
  <c r="I234" i="2"/>
  <c r="G235" i="2"/>
  <c r="J231" i="2" l="1"/>
  <c r="K231" i="2" s="1"/>
  <c r="H232" i="2" s="1"/>
  <c r="I235" i="2"/>
  <c r="G236" i="2"/>
  <c r="J232" i="2" l="1"/>
  <c r="K232" i="2" s="1"/>
  <c r="H233" i="2" s="1"/>
  <c r="I236" i="2"/>
  <c r="G237" i="2"/>
  <c r="J233" i="2" l="1"/>
  <c r="K233" i="2" s="1"/>
  <c r="H234" i="2" s="1"/>
  <c r="I237" i="2"/>
  <c r="G238" i="2"/>
  <c r="J234" i="2" l="1"/>
  <c r="K234" i="2" s="1"/>
  <c r="H235" i="2" s="1"/>
  <c r="I238" i="2"/>
  <c r="G239" i="2"/>
  <c r="J235" i="2" l="1"/>
  <c r="K235" i="2" s="1"/>
  <c r="H236" i="2" s="1"/>
  <c r="I239" i="2"/>
  <c r="G240" i="2"/>
  <c r="J236" i="2" l="1"/>
  <c r="K236" i="2" s="1"/>
  <c r="H237" i="2" s="1"/>
  <c r="I240" i="2"/>
  <c r="G241" i="2"/>
  <c r="J237" i="2" l="1"/>
  <c r="K237" i="2" s="1"/>
  <c r="H238" i="2" s="1"/>
  <c r="G242" i="2"/>
  <c r="I241" i="2"/>
  <c r="J238" i="2" l="1"/>
  <c r="K238" i="2" s="1"/>
  <c r="H239" i="2" s="1"/>
  <c r="G243" i="2"/>
  <c r="I242" i="2"/>
  <c r="J239" i="2" l="1"/>
  <c r="K239" i="2" s="1"/>
  <c r="H240" i="2" s="1"/>
  <c r="I243" i="2"/>
  <c r="G244" i="2"/>
  <c r="J240" i="2" l="1"/>
  <c r="K240" i="2" s="1"/>
  <c r="H241" i="2" s="1"/>
  <c r="G245" i="2"/>
  <c r="I244" i="2"/>
  <c r="J241" i="2" l="1"/>
  <c r="K241" i="2" s="1"/>
  <c r="H242" i="2" s="1"/>
  <c r="I245" i="2"/>
  <c r="G246" i="2"/>
  <c r="J242" i="2" l="1"/>
  <c r="K242" i="2" s="1"/>
  <c r="H243" i="2" s="1"/>
  <c r="I246" i="2"/>
  <c r="G247" i="2"/>
  <c r="J243" i="2" l="1"/>
  <c r="K243" i="2" s="1"/>
  <c r="H244" i="2" s="1"/>
  <c r="I247" i="2"/>
  <c r="G248" i="2"/>
  <c r="J244" i="2" l="1"/>
  <c r="K244" i="2" s="1"/>
  <c r="H245" i="2" s="1"/>
  <c r="I248" i="2"/>
  <c r="G249" i="2"/>
  <c r="J245" i="2" l="1"/>
  <c r="K245" i="2" s="1"/>
  <c r="H246" i="2" s="1"/>
  <c r="I249" i="2"/>
  <c r="G250" i="2"/>
  <c r="J246" i="2" l="1"/>
  <c r="K246" i="2" s="1"/>
  <c r="H247" i="2" s="1"/>
  <c r="G251" i="2"/>
  <c r="I250" i="2"/>
  <c r="J247" i="2" l="1"/>
  <c r="K247" i="2" s="1"/>
  <c r="H248" i="2" s="1"/>
  <c r="I251" i="2"/>
  <c r="G252" i="2"/>
  <c r="J248" i="2" l="1"/>
  <c r="K248" i="2" s="1"/>
  <c r="H249" i="2" s="1"/>
  <c r="I252" i="2"/>
  <c r="G253" i="2"/>
  <c r="J249" i="2" l="1"/>
  <c r="K249" i="2" s="1"/>
  <c r="H250" i="2" s="1"/>
  <c r="G254" i="2"/>
  <c r="I253" i="2"/>
  <c r="J250" i="2" l="1"/>
  <c r="K250" i="2" s="1"/>
  <c r="H251" i="2" s="1"/>
  <c r="I254" i="2"/>
  <c r="G255" i="2"/>
  <c r="J251" i="2" l="1"/>
  <c r="K251" i="2" s="1"/>
  <c r="H252" i="2" s="1"/>
  <c r="I255" i="2"/>
  <c r="G256" i="2"/>
  <c r="J252" i="2" l="1"/>
  <c r="K252" i="2" s="1"/>
  <c r="H253" i="2" s="1"/>
  <c r="I256" i="2"/>
  <c r="G257" i="2"/>
  <c r="J253" i="2" l="1"/>
  <c r="K253" i="2" s="1"/>
  <c r="H254" i="2" s="1"/>
  <c r="G258" i="2"/>
  <c r="I257" i="2"/>
  <c r="J254" i="2" l="1"/>
  <c r="K254" i="2" s="1"/>
  <c r="H255" i="2" s="1"/>
  <c r="G259" i="2"/>
  <c r="I258" i="2"/>
  <c r="J255" i="2" l="1"/>
  <c r="K255" i="2" s="1"/>
  <c r="H256" i="2" s="1"/>
  <c r="I259" i="2"/>
  <c r="G260" i="2"/>
  <c r="J256" i="2" l="1"/>
  <c r="K256" i="2" s="1"/>
  <c r="H257" i="2" s="1"/>
  <c r="G261" i="2"/>
  <c r="I260" i="2"/>
  <c r="J257" i="2" l="1"/>
  <c r="K257" i="2" s="1"/>
  <c r="H258" i="2" s="1"/>
  <c r="G262" i="2"/>
  <c r="I261" i="2"/>
  <c r="J258" i="2" l="1"/>
  <c r="K258" i="2" s="1"/>
  <c r="H259" i="2" s="1"/>
  <c r="I262" i="2"/>
  <c r="G263" i="2"/>
  <c r="J259" i="2" l="1"/>
  <c r="K259" i="2" s="1"/>
  <c r="H260" i="2" s="1"/>
  <c r="I263" i="2"/>
  <c r="G264" i="2"/>
  <c r="J260" i="2" l="1"/>
  <c r="K260" i="2" s="1"/>
  <c r="H261" i="2" s="1"/>
  <c r="G265" i="2"/>
  <c r="I264" i="2"/>
  <c r="J261" i="2" l="1"/>
  <c r="K261" i="2" s="1"/>
  <c r="H262" i="2" s="1"/>
  <c r="I265" i="2"/>
  <c r="G266" i="2"/>
  <c r="J262" i="2" l="1"/>
  <c r="K262" i="2" s="1"/>
  <c r="H263" i="2" s="1"/>
  <c r="I266" i="2"/>
  <c r="G267" i="2"/>
  <c r="J263" i="2" l="1"/>
  <c r="K263" i="2" s="1"/>
  <c r="H264" i="2" s="1"/>
  <c r="I267" i="2"/>
  <c r="G268" i="2"/>
  <c r="J264" i="2" l="1"/>
  <c r="K264" i="2" s="1"/>
  <c r="H265" i="2" s="1"/>
  <c r="I268" i="2"/>
  <c r="G269" i="2"/>
  <c r="J265" i="2" l="1"/>
  <c r="K265" i="2" s="1"/>
  <c r="H266" i="2" s="1"/>
  <c r="G270" i="2"/>
  <c r="I269" i="2"/>
  <c r="J266" i="2" l="1"/>
  <c r="K266" i="2" s="1"/>
  <c r="H267" i="2" s="1"/>
  <c r="G271" i="2"/>
  <c r="I270" i="2"/>
  <c r="J267" i="2" l="1"/>
  <c r="K267" i="2" s="1"/>
  <c r="H268" i="2" s="1"/>
  <c r="I271" i="2"/>
  <c r="G272" i="2"/>
  <c r="J268" i="2" l="1"/>
  <c r="K268" i="2" s="1"/>
  <c r="H269" i="2" s="1"/>
  <c r="I272" i="2"/>
  <c r="G273" i="2"/>
  <c r="J269" i="2" l="1"/>
  <c r="K269" i="2" s="1"/>
  <c r="H270" i="2" s="1"/>
  <c r="I273" i="2"/>
  <c r="G274" i="2"/>
  <c r="J270" i="2" l="1"/>
  <c r="K270" i="2" s="1"/>
  <c r="H271" i="2" s="1"/>
  <c r="I274" i="2"/>
  <c r="G275" i="2"/>
  <c r="J271" i="2" l="1"/>
  <c r="K271" i="2" s="1"/>
  <c r="H272" i="2" s="1"/>
  <c r="I275" i="2"/>
  <c r="G276" i="2"/>
  <c r="J272" i="2" l="1"/>
  <c r="K272" i="2" s="1"/>
  <c r="H273" i="2" s="1"/>
  <c r="G277" i="2"/>
  <c r="I276" i="2"/>
  <c r="J273" i="2" l="1"/>
  <c r="K273" i="2" s="1"/>
  <c r="H274" i="2" s="1"/>
  <c r="G278" i="2"/>
  <c r="I277" i="2"/>
  <c r="J274" i="2" l="1"/>
  <c r="K274" i="2" s="1"/>
  <c r="H275" i="2" s="1"/>
  <c r="I278" i="2"/>
  <c r="G279" i="2"/>
  <c r="J275" i="2" l="1"/>
  <c r="K275" i="2" s="1"/>
  <c r="H276" i="2" s="1"/>
  <c r="I279" i="2"/>
  <c r="G280" i="2"/>
  <c r="J276" i="2" l="1"/>
  <c r="K276" i="2" s="1"/>
  <c r="H277" i="2" s="1"/>
  <c r="I280" i="2"/>
  <c r="G281" i="2"/>
  <c r="J277" i="2" l="1"/>
  <c r="K277" i="2" s="1"/>
  <c r="H278" i="2" s="1"/>
  <c r="G282" i="2"/>
  <c r="I281" i="2"/>
  <c r="J278" i="2" l="1"/>
  <c r="K278" i="2" s="1"/>
  <c r="H279" i="2" s="1"/>
  <c r="I282" i="2"/>
  <c r="G283" i="2"/>
  <c r="J279" i="2" l="1"/>
  <c r="K279" i="2" s="1"/>
  <c r="H280" i="2" s="1"/>
  <c r="G284" i="2"/>
  <c r="I283" i="2"/>
  <c r="J280" i="2" l="1"/>
  <c r="K280" i="2" s="1"/>
  <c r="H281" i="2" s="1"/>
  <c r="G285" i="2"/>
  <c r="I284" i="2"/>
  <c r="J281" i="2" l="1"/>
  <c r="K281" i="2" s="1"/>
  <c r="H282" i="2" s="1"/>
  <c r="I285" i="2"/>
  <c r="G286" i="2"/>
  <c r="J282" i="2" l="1"/>
  <c r="K282" i="2" s="1"/>
  <c r="H283" i="2" s="1"/>
  <c r="I286" i="2"/>
  <c r="G287" i="2"/>
  <c r="J283" i="2" l="1"/>
  <c r="K283" i="2" s="1"/>
  <c r="H284" i="2" s="1"/>
  <c r="G288" i="2"/>
  <c r="I287" i="2"/>
  <c r="J284" i="2" l="1"/>
  <c r="K284" i="2" s="1"/>
  <c r="H285" i="2" s="1"/>
  <c r="I288" i="2"/>
  <c r="G289" i="2"/>
  <c r="J285" i="2" l="1"/>
  <c r="K285" i="2" s="1"/>
  <c r="H286" i="2" s="1"/>
  <c r="I289" i="2"/>
  <c r="G290" i="2"/>
  <c r="J286" i="2" l="1"/>
  <c r="K286" i="2" s="1"/>
  <c r="H287" i="2" s="1"/>
  <c r="I290" i="2"/>
  <c r="G291" i="2"/>
  <c r="J287" i="2" l="1"/>
  <c r="K287" i="2" s="1"/>
  <c r="H288" i="2" s="1"/>
  <c r="G292" i="2"/>
  <c r="I291" i="2"/>
  <c r="J288" i="2" l="1"/>
  <c r="K288" i="2" s="1"/>
  <c r="H289" i="2" s="1"/>
  <c r="I292" i="2"/>
  <c r="G293" i="2"/>
  <c r="J289" i="2" l="1"/>
  <c r="K289" i="2" s="1"/>
  <c r="H290" i="2" s="1"/>
  <c r="G294" i="2"/>
  <c r="I293" i="2"/>
  <c r="J290" i="2" l="1"/>
  <c r="K290" i="2" s="1"/>
  <c r="H291" i="2" s="1"/>
  <c r="I294" i="2"/>
  <c r="G295" i="2"/>
  <c r="J291" i="2" l="1"/>
  <c r="K291" i="2" s="1"/>
  <c r="H292" i="2" s="1"/>
  <c r="G296" i="2"/>
  <c r="I295" i="2"/>
  <c r="J292" i="2" l="1"/>
  <c r="K292" i="2" s="1"/>
  <c r="H293" i="2" s="1"/>
  <c r="I296" i="2"/>
  <c r="G297" i="2"/>
  <c r="J293" i="2" l="1"/>
  <c r="K293" i="2" s="1"/>
  <c r="H294" i="2" s="1"/>
  <c r="G298" i="2"/>
  <c r="I297" i="2"/>
  <c r="J294" i="2" l="1"/>
  <c r="K294" i="2" s="1"/>
  <c r="H295" i="2" s="1"/>
  <c r="I298" i="2"/>
  <c r="G299" i="2"/>
  <c r="J295" i="2" l="1"/>
  <c r="K295" i="2" s="1"/>
  <c r="H296" i="2" s="1"/>
  <c r="I299" i="2"/>
  <c r="G300" i="2"/>
  <c r="J296" i="2" l="1"/>
  <c r="K296" i="2" s="1"/>
  <c r="H297" i="2" s="1"/>
  <c r="G301" i="2"/>
  <c r="I300" i="2"/>
  <c r="J297" i="2" l="1"/>
  <c r="K297" i="2" s="1"/>
  <c r="H298" i="2" s="1"/>
  <c r="I301" i="2"/>
  <c r="G302" i="2"/>
  <c r="J298" i="2" l="1"/>
  <c r="K298" i="2" s="1"/>
  <c r="H299" i="2" s="1"/>
  <c r="I302" i="2"/>
  <c r="G303" i="2"/>
  <c r="J299" i="2" l="1"/>
  <c r="K299" i="2" s="1"/>
  <c r="H300" i="2" s="1"/>
  <c r="I303" i="2"/>
  <c r="G304" i="2"/>
  <c r="J300" i="2" l="1"/>
  <c r="K300" i="2" s="1"/>
  <c r="H301" i="2" s="1"/>
  <c r="I304" i="2"/>
  <c r="G305" i="2"/>
  <c r="J301" i="2" l="1"/>
  <c r="K301" i="2" s="1"/>
  <c r="H302" i="2" s="1"/>
  <c r="G306" i="2"/>
  <c r="I305" i="2"/>
  <c r="J302" i="2" l="1"/>
  <c r="K302" i="2" s="1"/>
  <c r="H303" i="2" s="1"/>
  <c r="G307" i="2"/>
  <c r="I306" i="2"/>
  <c r="J303" i="2" l="1"/>
  <c r="K303" i="2" s="1"/>
  <c r="H304" i="2" s="1"/>
  <c r="G308" i="2"/>
  <c r="I307" i="2"/>
  <c r="J304" i="2" l="1"/>
  <c r="K304" i="2" s="1"/>
  <c r="H305" i="2" s="1"/>
  <c r="I308" i="2"/>
  <c r="G309" i="2"/>
  <c r="J305" i="2" l="1"/>
  <c r="K305" i="2" s="1"/>
  <c r="H306" i="2" s="1"/>
  <c r="G310" i="2"/>
  <c r="I309" i="2"/>
  <c r="J306" i="2" l="1"/>
  <c r="K306" i="2" s="1"/>
  <c r="H307" i="2" s="1"/>
  <c r="I310" i="2"/>
  <c r="G311" i="2"/>
  <c r="J307" i="2" l="1"/>
  <c r="K307" i="2" s="1"/>
  <c r="H308" i="2" s="1"/>
  <c r="I311" i="2"/>
  <c r="G312" i="2"/>
  <c r="J308" i="2" l="1"/>
  <c r="K308" i="2" s="1"/>
  <c r="H309" i="2" s="1"/>
  <c r="G313" i="2"/>
  <c r="I312" i="2"/>
  <c r="J309" i="2" l="1"/>
  <c r="K309" i="2" s="1"/>
  <c r="H310" i="2" s="1"/>
  <c r="I313" i="2"/>
  <c r="G314" i="2"/>
  <c r="J310" i="2" l="1"/>
  <c r="K310" i="2" s="1"/>
  <c r="H311" i="2" s="1"/>
  <c r="I314" i="2"/>
  <c r="G315" i="2"/>
  <c r="J311" i="2" l="1"/>
  <c r="K311" i="2" s="1"/>
  <c r="H312" i="2" s="1"/>
  <c r="I315" i="2"/>
  <c r="G316" i="2"/>
  <c r="J312" i="2" l="1"/>
  <c r="K312" i="2" s="1"/>
  <c r="H313" i="2" s="1"/>
  <c r="I316" i="2"/>
  <c r="G317" i="2"/>
  <c r="J313" i="2" l="1"/>
  <c r="K313" i="2" s="1"/>
  <c r="H314" i="2" s="1"/>
  <c r="I317" i="2"/>
  <c r="G318" i="2"/>
  <c r="J314" i="2" l="1"/>
  <c r="K314" i="2" s="1"/>
  <c r="H315" i="2" s="1"/>
  <c r="G319" i="2"/>
  <c r="I318" i="2"/>
  <c r="J315" i="2" l="1"/>
  <c r="K315" i="2" s="1"/>
  <c r="H316" i="2" s="1"/>
  <c r="I319" i="2"/>
  <c r="G320" i="2"/>
  <c r="J316" i="2" l="1"/>
  <c r="K316" i="2" s="1"/>
  <c r="H317" i="2" s="1"/>
  <c r="I320" i="2"/>
  <c r="G321" i="2"/>
  <c r="J317" i="2" l="1"/>
  <c r="K317" i="2" s="1"/>
  <c r="H318" i="2" s="1"/>
  <c r="I321" i="2"/>
  <c r="G322" i="2"/>
  <c r="J318" i="2" l="1"/>
  <c r="K318" i="2" s="1"/>
  <c r="H319" i="2" s="1"/>
  <c r="I322" i="2"/>
  <c r="G323" i="2"/>
  <c r="J319" i="2" l="1"/>
  <c r="K319" i="2" s="1"/>
  <c r="H320" i="2" s="1"/>
  <c r="I323" i="2"/>
  <c r="G324" i="2"/>
  <c r="J320" i="2" l="1"/>
  <c r="K320" i="2" s="1"/>
  <c r="H321" i="2" s="1"/>
  <c r="I324" i="2"/>
  <c r="G325" i="2"/>
  <c r="J321" i="2" l="1"/>
  <c r="K321" i="2" s="1"/>
  <c r="H322" i="2" s="1"/>
  <c r="I325" i="2"/>
  <c r="G326" i="2"/>
  <c r="J322" i="2" l="1"/>
  <c r="K322" i="2" s="1"/>
  <c r="H323" i="2" s="1"/>
  <c r="G327" i="2"/>
  <c r="I326" i="2"/>
  <c r="J323" i="2" l="1"/>
  <c r="K323" i="2" s="1"/>
  <c r="H324" i="2" s="1"/>
  <c r="I327" i="2"/>
  <c r="G328" i="2"/>
  <c r="J324" i="2" l="1"/>
  <c r="K324" i="2" s="1"/>
  <c r="H325" i="2" s="1"/>
  <c r="G329" i="2"/>
  <c r="I328" i="2"/>
  <c r="J325" i="2" l="1"/>
  <c r="K325" i="2" s="1"/>
  <c r="H326" i="2" s="1"/>
  <c r="I329" i="2"/>
  <c r="G330" i="2"/>
  <c r="J326" i="2" l="1"/>
  <c r="K326" i="2" s="1"/>
  <c r="H327" i="2" s="1"/>
  <c r="G331" i="2"/>
  <c r="I330" i="2"/>
  <c r="J327" i="2" l="1"/>
  <c r="K327" i="2" s="1"/>
  <c r="H328" i="2" s="1"/>
  <c r="I331" i="2"/>
  <c r="G332" i="2"/>
  <c r="J328" i="2" l="1"/>
  <c r="K328" i="2" s="1"/>
  <c r="H329" i="2" s="1"/>
  <c r="G333" i="2"/>
  <c r="I332" i="2"/>
  <c r="J329" i="2" l="1"/>
  <c r="K329" i="2" s="1"/>
  <c r="H330" i="2" s="1"/>
  <c r="I333" i="2"/>
  <c r="G334" i="2"/>
  <c r="J330" i="2" l="1"/>
  <c r="K330" i="2" s="1"/>
  <c r="H331" i="2" s="1"/>
  <c r="G335" i="2"/>
  <c r="I334" i="2"/>
  <c r="J331" i="2" l="1"/>
  <c r="K331" i="2" s="1"/>
  <c r="H332" i="2" s="1"/>
  <c r="G336" i="2"/>
  <c r="I335" i="2"/>
  <c r="J332" i="2" l="1"/>
  <c r="K332" i="2" s="1"/>
  <c r="H333" i="2" s="1"/>
  <c r="I336" i="2"/>
  <c r="G337" i="2"/>
  <c r="J333" i="2" l="1"/>
  <c r="K333" i="2" s="1"/>
  <c r="H334" i="2" s="1"/>
  <c r="G338" i="2"/>
  <c r="I337" i="2"/>
  <c r="J334" i="2" l="1"/>
  <c r="K334" i="2" s="1"/>
  <c r="H335" i="2" s="1"/>
  <c r="G339" i="2"/>
  <c r="I338" i="2"/>
  <c r="J335" i="2" l="1"/>
  <c r="K335" i="2" s="1"/>
  <c r="H336" i="2" s="1"/>
  <c r="I339" i="2"/>
  <c r="G340" i="2"/>
  <c r="G341" i="2" s="1"/>
  <c r="G342" i="2" l="1"/>
  <c r="I341" i="2"/>
  <c r="J336" i="2"/>
  <c r="K336" i="2" s="1"/>
  <c r="H337" i="2" s="1"/>
  <c r="I340" i="2"/>
  <c r="I342" i="2" l="1"/>
  <c r="G343" i="2"/>
  <c r="J337" i="2"/>
  <c r="K337" i="2" s="1"/>
  <c r="H338" i="2" s="1"/>
  <c r="G344" i="2" l="1"/>
  <c r="I343" i="2"/>
  <c r="J338" i="2"/>
  <c r="K338" i="2" s="1"/>
  <c r="H339" i="2" s="1"/>
  <c r="G345" i="2" l="1"/>
  <c r="I344" i="2"/>
  <c r="J339" i="2"/>
  <c r="K339" i="2" s="1"/>
  <c r="H340" i="2" s="1"/>
  <c r="I345" i="2" l="1"/>
  <c r="G346" i="2"/>
  <c r="J340" i="2"/>
  <c r="G347" i="2" l="1"/>
  <c r="I346" i="2"/>
  <c r="K340" i="2"/>
  <c r="H341" i="2" s="1"/>
  <c r="G348" i="2" l="1"/>
  <c r="I347" i="2"/>
  <c r="J341" i="2"/>
  <c r="K341" i="2"/>
  <c r="H342" i="2" s="1"/>
  <c r="I348" i="2" l="1"/>
  <c r="G349" i="2"/>
  <c r="J342" i="2"/>
  <c r="K342" i="2"/>
  <c r="H343" i="2" s="1"/>
  <c r="J343" i="2" l="1"/>
  <c r="K343" i="2" s="1"/>
  <c r="H344" i="2" s="1"/>
  <c r="G350" i="2"/>
  <c r="I349" i="2"/>
  <c r="I350" i="2" l="1"/>
  <c r="G351" i="2"/>
  <c r="J344" i="2"/>
  <c r="K344" i="2"/>
  <c r="H345" i="2" s="1"/>
  <c r="J345" i="2" s="1"/>
  <c r="K345" i="2" s="1"/>
  <c r="H346" i="2" s="1"/>
  <c r="J346" i="2" l="1"/>
  <c r="K346" i="2"/>
  <c r="H347" i="2" s="1"/>
  <c r="G352" i="2"/>
  <c r="I351" i="2"/>
  <c r="J347" i="2" l="1"/>
  <c r="K347" i="2"/>
  <c r="H348" i="2" s="1"/>
  <c r="J348" i="2" s="1"/>
  <c r="K348" i="2" s="1"/>
  <c r="H349" i="2" s="1"/>
  <c r="G353" i="2"/>
  <c r="I352" i="2"/>
  <c r="J349" i="2" l="1"/>
  <c r="K349" i="2" s="1"/>
  <c r="H350" i="2" s="1"/>
  <c r="I353" i="2"/>
  <c r="G354" i="2"/>
  <c r="G355" i="2" l="1"/>
  <c r="I354" i="2"/>
  <c r="J350" i="2"/>
  <c r="K350" i="2"/>
  <c r="H351" i="2" s="1"/>
  <c r="J351" i="2" s="1"/>
  <c r="K351" i="2" s="1"/>
  <c r="H352" i="2" s="1"/>
  <c r="J352" i="2" s="1"/>
  <c r="K352" i="2" s="1"/>
  <c r="H353" i="2" s="1"/>
  <c r="J353" i="2" l="1"/>
  <c r="K353" i="2" s="1"/>
  <c r="H354" i="2" s="1"/>
  <c r="I355" i="2"/>
  <c r="G356" i="2"/>
  <c r="I356" i="2" l="1"/>
  <c r="G357" i="2"/>
  <c r="J354" i="2"/>
  <c r="K354" i="2"/>
  <c r="H355" i="2" s="1"/>
  <c r="J355" i="2" l="1"/>
  <c r="K355" i="2"/>
  <c r="H356" i="2" s="1"/>
  <c r="I357" i="2"/>
  <c r="G358" i="2"/>
  <c r="J356" i="2" l="1"/>
  <c r="K356" i="2" s="1"/>
  <c r="H357" i="2" s="1"/>
  <c r="I358" i="2"/>
  <c r="G359" i="2"/>
  <c r="G360" i="2" l="1"/>
  <c r="I359" i="2"/>
  <c r="J357" i="2"/>
  <c r="K357" i="2" s="1"/>
  <c r="H358" i="2" s="1"/>
  <c r="J358" i="2" l="1"/>
  <c r="K358" i="2"/>
  <c r="H359" i="2" s="1"/>
  <c r="I360" i="2"/>
  <c r="G361" i="2"/>
  <c r="I361" i="2" l="1"/>
  <c r="G362" i="2"/>
  <c r="J359" i="2"/>
  <c r="K359" i="2" s="1"/>
  <c r="H360" i="2" s="1"/>
  <c r="J360" i="2" s="1"/>
  <c r="G363" i="2" l="1"/>
  <c r="I362" i="2"/>
  <c r="K360" i="2"/>
  <c r="H361" i="2" s="1"/>
  <c r="J361" i="2" l="1"/>
  <c r="K361" i="2" s="1"/>
  <c r="H362" i="2" s="1"/>
  <c r="I363" i="2"/>
  <c r="G364" i="2"/>
  <c r="G365" i="2" l="1"/>
  <c r="I364" i="2"/>
  <c r="J362" i="2"/>
  <c r="K362" i="2"/>
  <c r="H363" i="2" s="1"/>
  <c r="J363" i="2" s="1"/>
  <c r="K363" i="2" s="1"/>
  <c r="H364" i="2" s="1"/>
  <c r="J364" i="2" s="1"/>
  <c r="G366" i="2" l="1"/>
  <c r="I365" i="2"/>
  <c r="K364" i="2"/>
  <c r="H365" i="2" s="1"/>
  <c r="J365" i="2" s="1"/>
  <c r="K365" i="2" l="1"/>
  <c r="G367" i="2"/>
  <c r="H366" i="2"/>
  <c r="I366" i="2"/>
  <c r="J366" i="2"/>
  <c r="K366" i="2" l="1"/>
  <c r="H367" i="2"/>
  <c r="M367" i="2"/>
  <c r="K367" i="2"/>
  <c r="J367" i="2"/>
  <c r="G368" i="2"/>
  <c r="I367" i="2"/>
  <c r="I368" i="2" l="1"/>
  <c r="K368" i="2"/>
  <c r="M368" i="2"/>
  <c r="G369" i="2"/>
  <c r="H368" i="2"/>
  <c r="J368" i="2"/>
  <c r="G370" i="2" l="1"/>
  <c r="H369" i="2"/>
  <c r="I369" i="2"/>
  <c r="J369" i="2"/>
  <c r="K369" i="2"/>
  <c r="M369" i="2"/>
  <c r="H370" i="2" l="1"/>
  <c r="M370" i="2"/>
  <c r="I370" i="2"/>
  <c r="J370" i="2"/>
  <c r="K370" i="2"/>
  <c r="G371" i="2"/>
  <c r="I371" i="2" l="1"/>
  <c r="M371" i="2"/>
  <c r="K371" i="2"/>
  <c r="G372" i="2"/>
  <c r="H371" i="2"/>
  <c r="J371" i="2"/>
  <c r="M372" i="2" l="1"/>
  <c r="G373" i="2"/>
  <c r="H372" i="2"/>
  <c r="I372" i="2"/>
  <c r="J372" i="2"/>
  <c r="K372" i="2"/>
  <c r="H373" i="2" l="1"/>
  <c r="I373" i="2"/>
  <c r="G374" i="2"/>
  <c r="J373" i="2"/>
  <c r="M373" i="2"/>
  <c r="K373" i="2"/>
  <c r="J374" i="2" l="1"/>
  <c r="G375" i="2"/>
  <c r="K374" i="2"/>
  <c r="M374" i="2"/>
  <c r="H374" i="2"/>
  <c r="I374" i="2"/>
  <c r="G376" i="2" l="1"/>
  <c r="H375" i="2"/>
  <c r="J375" i="2"/>
  <c r="K375" i="2"/>
  <c r="I375" i="2"/>
  <c r="M375" i="2"/>
  <c r="H376" i="2" l="1"/>
  <c r="J376" i="2"/>
  <c r="G377" i="2"/>
  <c r="I376" i="2"/>
  <c r="M376" i="2"/>
  <c r="K376" i="2"/>
  <c r="H377" i="2" l="1"/>
  <c r="K377" i="2"/>
  <c r="I377" i="2"/>
  <c r="J377" i="2"/>
  <c r="G378" i="2"/>
  <c r="M377" i="2"/>
  <c r="J378" i="2" l="1"/>
  <c r="M378" i="2"/>
  <c r="G379" i="2"/>
  <c r="H378" i="2"/>
  <c r="I378" i="2"/>
  <c r="K378" i="2"/>
  <c r="M379" i="2" l="1"/>
  <c r="G380" i="2"/>
  <c r="J379" i="2"/>
  <c r="K379" i="2"/>
  <c r="I379" i="2"/>
  <c r="H379" i="2"/>
  <c r="M380" i="2" l="1"/>
  <c r="H380" i="2"/>
  <c r="I380" i="2"/>
  <c r="I5" i="2" s="1"/>
  <c r="J380" i="2"/>
  <c r="J5" i="2" s="1"/>
  <c r="K380" i="2"/>
  <c r="M341" i="2" l="1"/>
  <c r="M33" i="2"/>
  <c r="M41" i="2"/>
  <c r="M49" i="2"/>
  <c r="M57" i="2"/>
  <c r="M65" i="2"/>
  <c r="M73" i="2"/>
  <c r="M81" i="2"/>
  <c r="M89" i="2"/>
  <c r="M97" i="2"/>
  <c r="M105" i="2"/>
  <c r="M113" i="2"/>
  <c r="M121" i="2"/>
  <c r="M129" i="2"/>
  <c r="M137" i="2"/>
  <c r="M145" i="2"/>
  <c r="M153" i="2"/>
  <c r="M161" i="2"/>
  <c r="M169" i="2"/>
  <c r="M177" i="2"/>
  <c r="M185" i="2"/>
  <c r="M193" i="2"/>
  <c r="M201" i="2"/>
  <c r="M209" i="2"/>
  <c r="M217" i="2"/>
  <c r="M225" i="2"/>
  <c r="M233" i="2"/>
  <c r="M241" i="2"/>
  <c r="M249" i="2"/>
  <c r="M257" i="2"/>
  <c r="M265" i="2"/>
  <c r="M273" i="2"/>
  <c r="M281" i="2"/>
  <c r="M289" i="2"/>
  <c r="M297" i="2"/>
  <c r="M305" i="2"/>
  <c r="M313" i="2"/>
  <c r="M321" i="2"/>
  <c r="M329" i="2"/>
  <c r="M337" i="2"/>
  <c r="M19" i="2"/>
  <c r="M27" i="2"/>
  <c r="M15" i="2"/>
  <c r="M219" i="2"/>
  <c r="M283" i="2"/>
  <c r="M315" i="2"/>
  <c r="M339" i="2"/>
  <c r="M34" i="2"/>
  <c r="M42" i="2"/>
  <c r="M50" i="2"/>
  <c r="M58" i="2"/>
  <c r="M66" i="2"/>
  <c r="M74" i="2"/>
  <c r="M82" i="2"/>
  <c r="M90" i="2"/>
  <c r="M98" i="2"/>
  <c r="M106" i="2"/>
  <c r="M114" i="2"/>
  <c r="M122" i="2"/>
  <c r="M130" i="2"/>
  <c r="M138" i="2"/>
  <c r="M146" i="2"/>
  <c r="M154" i="2"/>
  <c r="M162" i="2"/>
  <c r="M170" i="2"/>
  <c r="M178" i="2"/>
  <c r="M186" i="2"/>
  <c r="M194" i="2"/>
  <c r="M202" i="2"/>
  <c r="M210" i="2"/>
  <c r="M218" i="2"/>
  <c r="M226" i="2"/>
  <c r="M234" i="2"/>
  <c r="M242" i="2"/>
  <c r="M250" i="2"/>
  <c r="M258" i="2"/>
  <c r="M266" i="2"/>
  <c r="M274" i="2"/>
  <c r="M282" i="2"/>
  <c r="M290" i="2"/>
  <c r="M298" i="2"/>
  <c r="M306" i="2"/>
  <c r="M314" i="2"/>
  <c r="M322" i="2"/>
  <c r="M330" i="2"/>
  <c r="M338" i="2"/>
  <c r="M20" i="2"/>
  <c r="M28" i="2"/>
  <c r="M7" i="2"/>
  <c r="M235" i="2"/>
  <c r="M259" i="2"/>
  <c r="M291" i="2"/>
  <c r="M323" i="2"/>
  <c r="M29" i="2"/>
  <c r="M35" i="2"/>
  <c r="M43" i="2"/>
  <c r="M51" i="2"/>
  <c r="M59" i="2"/>
  <c r="M67" i="2"/>
  <c r="M75" i="2"/>
  <c r="M83" i="2"/>
  <c r="M91" i="2"/>
  <c r="M99" i="2"/>
  <c r="M107" i="2"/>
  <c r="M115" i="2"/>
  <c r="M123" i="2"/>
  <c r="M131" i="2"/>
  <c r="M139" i="2"/>
  <c r="M147" i="2"/>
  <c r="M155" i="2"/>
  <c r="M163" i="2"/>
  <c r="M171" i="2"/>
  <c r="M179" i="2"/>
  <c r="M187" i="2"/>
  <c r="M195" i="2"/>
  <c r="M203" i="2"/>
  <c r="M211" i="2"/>
  <c r="M227" i="2"/>
  <c r="M251" i="2"/>
  <c r="M275" i="2"/>
  <c r="M307" i="2"/>
  <c r="M21" i="2"/>
  <c r="M342" i="2"/>
  <c r="M36" i="2"/>
  <c r="M44" i="2"/>
  <c r="M52" i="2"/>
  <c r="M60" i="2"/>
  <c r="M68" i="2"/>
  <c r="M76" i="2"/>
  <c r="M84" i="2"/>
  <c r="M92" i="2"/>
  <c r="M100" i="2"/>
  <c r="M108" i="2"/>
  <c r="M116" i="2"/>
  <c r="M124" i="2"/>
  <c r="M132" i="2"/>
  <c r="M140" i="2"/>
  <c r="M148" i="2"/>
  <c r="M156" i="2"/>
  <c r="M164" i="2"/>
  <c r="M172" i="2"/>
  <c r="M180" i="2"/>
  <c r="M188" i="2"/>
  <c r="M196" i="2"/>
  <c r="M204" i="2"/>
  <c r="M212" i="2"/>
  <c r="M220" i="2"/>
  <c r="M228" i="2"/>
  <c r="M236" i="2"/>
  <c r="M244" i="2"/>
  <c r="M252" i="2"/>
  <c r="M260" i="2"/>
  <c r="M268" i="2"/>
  <c r="M276" i="2"/>
  <c r="M284" i="2"/>
  <c r="M292" i="2"/>
  <c r="M300" i="2"/>
  <c r="M308" i="2"/>
  <c r="M316" i="2"/>
  <c r="M324" i="2"/>
  <c r="M332" i="2"/>
  <c r="M22" i="2"/>
  <c r="M30" i="2"/>
  <c r="M13" i="2"/>
  <c r="M255" i="2"/>
  <c r="M287" i="2"/>
  <c r="M319" i="2"/>
  <c r="M25" i="2"/>
  <c r="M37" i="2"/>
  <c r="M45" i="2"/>
  <c r="M53" i="2"/>
  <c r="M61" i="2"/>
  <c r="M69" i="2"/>
  <c r="M77" i="2"/>
  <c r="M85" i="2"/>
  <c r="M93" i="2"/>
  <c r="M101" i="2"/>
  <c r="M109" i="2"/>
  <c r="M117" i="2"/>
  <c r="M125" i="2"/>
  <c r="M133" i="2"/>
  <c r="M141" i="2"/>
  <c r="M149" i="2"/>
  <c r="M157" i="2"/>
  <c r="M165" i="2"/>
  <c r="M173" i="2"/>
  <c r="M181" i="2"/>
  <c r="M189" i="2"/>
  <c r="M197" i="2"/>
  <c r="M205" i="2"/>
  <c r="M213" i="2"/>
  <c r="M221" i="2"/>
  <c r="M229" i="2"/>
  <c r="M237" i="2"/>
  <c r="M245" i="2"/>
  <c r="M253" i="2"/>
  <c r="M261" i="2"/>
  <c r="M269" i="2"/>
  <c r="M277" i="2"/>
  <c r="M285" i="2"/>
  <c r="M293" i="2"/>
  <c r="M301" i="2"/>
  <c r="M309" i="2"/>
  <c r="M317" i="2"/>
  <c r="M325" i="2"/>
  <c r="M333" i="2"/>
  <c r="M23" i="2"/>
  <c r="M10" i="2"/>
  <c r="M14" i="2"/>
  <c r="M12" i="2"/>
  <c r="M239" i="2"/>
  <c r="M279" i="2"/>
  <c r="M303" i="2"/>
  <c r="M335" i="2"/>
  <c r="M38" i="2"/>
  <c r="M46" i="2"/>
  <c r="M54" i="2"/>
  <c r="M62" i="2"/>
  <c r="M70" i="2"/>
  <c r="M78" i="2"/>
  <c r="M86" i="2"/>
  <c r="M94" i="2"/>
  <c r="M102" i="2"/>
  <c r="M110" i="2"/>
  <c r="M118" i="2"/>
  <c r="M126" i="2"/>
  <c r="M134" i="2"/>
  <c r="M142" i="2"/>
  <c r="M150" i="2"/>
  <c r="M158" i="2"/>
  <c r="M166" i="2"/>
  <c r="M174" i="2"/>
  <c r="M182" i="2"/>
  <c r="M190" i="2"/>
  <c r="M198" i="2"/>
  <c r="M206" i="2"/>
  <c r="M214" i="2"/>
  <c r="M222" i="2"/>
  <c r="M230" i="2"/>
  <c r="M238" i="2"/>
  <c r="M246" i="2"/>
  <c r="M254" i="2"/>
  <c r="M262" i="2"/>
  <c r="M270" i="2"/>
  <c r="M278" i="2"/>
  <c r="M286" i="2"/>
  <c r="M294" i="2"/>
  <c r="M302" i="2"/>
  <c r="M310" i="2"/>
  <c r="M318" i="2"/>
  <c r="M326" i="2"/>
  <c r="M334" i="2"/>
  <c r="M340" i="2"/>
  <c r="M24" i="2"/>
  <c r="M9" i="2"/>
  <c r="M231" i="2"/>
  <c r="M271" i="2"/>
  <c r="M311" i="2"/>
  <c r="M17" i="2"/>
  <c r="M31" i="2"/>
  <c r="M39" i="2"/>
  <c r="M47" i="2"/>
  <c r="M55" i="2"/>
  <c r="M63" i="2"/>
  <c r="M71" i="2"/>
  <c r="M79" i="2"/>
  <c r="M87" i="2"/>
  <c r="M95" i="2"/>
  <c r="M103" i="2"/>
  <c r="M111" i="2"/>
  <c r="M119" i="2"/>
  <c r="M127" i="2"/>
  <c r="M135" i="2"/>
  <c r="M143" i="2"/>
  <c r="M151" i="2"/>
  <c r="M159" i="2"/>
  <c r="M167" i="2"/>
  <c r="M175" i="2"/>
  <c r="M183" i="2"/>
  <c r="M191" i="2"/>
  <c r="M199" i="2"/>
  <c r="M207" i="2"/>
  <c r="M215" i="2"/>
  <c r="M223" i="2"/>
  <c r="M247" i="2"/>
  <c r="M263" i="2"/>
  <c r="M295" i="2"/>
  <c r="M327" i="2"/>
  <c r="M16" i="2"/>
  <c r="M32" i="2"/>
  <c r="M40" i="2"/>
  <c r="M48" i="2"/>
  <c r="M56" i="2"/>
  <c r="M64" i="2"/>
  <c r="M72" i="2"/>
  <c r="M80" i="2"/>
  <c r="M88" i="2"/>
  <c r="M96" i="2"/>
  <c r="M104" i="2"/>
  <c r="M112" i="2"/>
  <c r="M120" i="2"/>
  <c r="M128" i="2"/>
  <c r="M136" i="2"/>
  <c r="M144" i="2"/>
  <c r="M152" i="2"/>
  <c r="M160" i="2"/>
  <c r="M168" i="2"/>
  <c r="M176" i="2"/>
  <c r="M184" i="2"/>
  <c r="M192" i="2"/>
  <c r="M200" i="2"/>
  <c r="M208" i="2"/>
  <c r="M216" i="2"/>
  <c r="M224" i="2"/>
  <c r="M232" i="2"/>
  <c r="M240" i="2"/>
  <c r="M248" i="2"/>
  <c r="M256" i="2"/>
  <c r="M264" i="2"/>
  <c r="M272" i="2"/>
  <c r="M280" i="2"/>
  <c r="M288" i="2"/>
  <c r="M296" i="2"/>
  <c r="M304" i="2"/>
  <c r="M312" i="2"/>
  <c r="M320" i="2"/>
  <c r="M328" i="2"/>
  <c r="M336" i="2"/>
  <c r="M18" i="2"/>
  <c r="M26" i="2"/>
  <c r="M8" i="2"/>
  <c r="M243" i="2"/>
  <c r="M267" i="2"/>
  <c r="M299" i="2"/>
  <c r="M331" i="2"/>
  <c r="M11" i="2"/>
  <c r="M343" i="2"/>
  <c r="M344" i="2"/>
  <c r="M345" i="2"/>
  <c r="K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M3" authorId="0" shapeId="0" xr:uid="{CBE48E7F-F822-4A3B-A82C-6E124E984D42}">
      <text>
        <r>
          <rPr>
            <sz val="9"/>
            <color indexed="81"/>
            <rFont val="Segoe UI"/>
            <family val="2"/>
          </rPr>
          <t>Taxa Interna de Retorno.
Mostrará um resultado quando o fluxo financeiro for regular.</t>
        </r>
      </text>
    </comment>
    <comment ref="M5" authorId="0" shapeId="0" xr:uid="{608FD50E-C37E-4B21-A40B-900D7C8E34B8}">
      <text>
        <r>
          <rPr>
            <sz val="9"/>
            <color indexed="81"/>
            <rFont val="Segoe UI"/>
            <family val="2"/>
          </rPr>
          <t>Percentual mensal da TIR, que deve ser igual ao da taxa de juros do quadro de cálculo usando função Excel.</t>
        </r>
      </text>
    </comment>
  </commentList>
</comments>
</file>

<file path=xl/sharedStrings.xml><?xml version="1.0" encoding="utf-8"?>
<sst xmlns="http://schemas.openxmlformats.org/spreadsheetml/2006/main" count="33" uniqueCount="28">
  <si>
    <t>CALCULAR:</t>
  </si>
  <si>
    <t>TIPO DE CÁLCULO:</t>
  </si>
  <si>
    <t>Juros Simples</t>
  </si>
  <si>
    <t>Juros Compostos</t>
  </si>
  <si>
    <t>Taxa de Juros (i)</t>
  </si>
  <si>
    <t>Valor Futuro (fv)</t>
  </si>
  <si>
    <t>Valor Presente (pv)</t>
  </si>
  <si>
    <t>Valor da Parcela (m)</t>
  </si>
  <si>
    <t>Valor Presente (pv):</t>
  </si>
  <si>
    <t>Valor da Parcela (m):</t>
  </si>
  <si>
    <t>Valor Futuro (fv):</t>
  </si>
  <si>
    <t>PARC.</t>
  </si>
  <si>
    <t>VALOR FINAL</t>
  </si>
  <si>
    <t>Taxa de Juros (i) % am:</t>
  </si>
  <si>
    <t>VALOR INÍCIO</t>
  </si>
  <si>
    <t>TIR</t>
  </si>
  <si>
    <t>Taxa de Juros (i) % aa:</t>
  </si>
  <si>
    <t>VALOR DA PARCELA</t>
  </si>
  <si>
    <t>VALOR DOS JUROS</t>
  </si>
  <si>
    <t>Prazo/Nº Parcelas (n):</t>
  </si>
  <si>
    <t>(Utilizando as funções do Excel)</t>
  </si>
  <si>
    <t>Quantidade de uso da versão gratuita:</t>
  </si>
  <si>
    <t>Quantidade de vezes em que o arquivo foi aberto:</t>
  </si>
  <si>
    <t>Disponibilidade:</t>
  </si>
  <si>
    <t>CÁLCULO DA TAXA DE JUROS</t>
  </si>
  <si>
    <t>CALC.</t>
  </si>
  <si>
    <t>USO PLAN.</t>
  </si>
  <si>
    <t>Clique no botão à esquerda para abrir a Calculadora
ou use o atalho 'Ctrl+a'.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</si>
</sst>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%"/>
    <numFmt numFmtId="166" formatCode="_-* #,##0.0000_-;\-* #,##0.0000_-;_-* &quot;-&quot;??_-;_-@_-"/>
    <numFmt numFmtId="167" formatCode="dd/mm/yyyy\ \-\ hh:mm&quot;h&quot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i/>
      <sz val="20"/>
      <color theme="0" tint="-0.499984740745262"/>
      <name val="Ink Free"/>
      <family val="4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theme="9" tint="0.3999755851924192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4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1" applyFont="1" applyAlignment="1">
      <alignment vertical="center"/>
    </xf>
    <xf numFmtId="164" fontId="0" fillId="0" borderId="1" xfId="1" applyFont="1" applyBorder="1" applyAlignment="1">
      <alignment vertical="center"/>
    </xf>
    <xf numFmtId="166" fontId="0" fillId="0" borderId="1" xfId="1" applyNumberFormat="1" applyFont="1" applyBorder="1" applyAlignment="1">
      <alignment vertical="center"/>
    </xf>
    <xf numFmtId="166" fontId="0" fillId="0" borderId="0" xfId="1" applyNumberFormat="1" applyFont="1" applyAlignment="1">
      <alignment vertical="center"/>
    </xf>
    <xf numFmtId="0" fontId="0" fillId="0" borderId="0" xfId="1" applyNumberFormat="1" applyFont="1" applyAlignment="1">
      <alignment horizontal="center" vertical="center"/>
    </xf>
    <xf numFmtId="164" fontId="0" fillId="0" borderId="2" xfId="1" applyFont="1" applyBorder="1" applyAlignment="1">
      <alignment vertical="center"/>
    </xf>
    <xf numFmtId="166" fontId="0" fillId="0" borderId="2" xfId="1" applyNumberFormat="1" applyFont="1" applyBorder="1" applyAlignment="1">
      <alignment vertical="center"/>
    </xf>
    <xf numFmtId="164" fontId="4" fillId="0" borderId="0" xfId="1" applyFont="1" applyAlignment="1">
      <alignment vertical="center"/>
    </xf>
    <xf numFmtId="164" fontId="0" fillId="0" borderId="0" xfId="1" applyFont="1" applyAlignment="1">
      <alignment horizontal="center" vertical="center"/>
    </xf>
    <xf numFmtId="165" fontId="0" fillId="0" borderId="1" xfId="2" applyNumberFormat="1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64" fontId="0" fillId="0" borderId="0" xfId="1" applyFont="1" applyFill="1" applyAlignment="1">
      <alignment vertical="center"/>
    </xf>
    <xf numFmtId="164" fontId="2" fillId="0" borderId="0" xfId="1" applyFont="1" applyFill="1" applyBorder="1" applyAlignment="1">
      <alignment horizontal="center" vertical="center" wrapText="1"/>
    </xf>
    <xf numFmtId="164" fontId="0" fillId="2" borderId="2" xfId="1" applyFont="1" applyFill="1" applyBorder="1" applyAlignment="1" applyProtection="1">
      <alignment vertical="center"/>
      <protection locked="0"/>
    </xf>
    <xf numFmtId="0" fontId="0" fillId="2" borderId="2" xfId="1" applyNumberFormat="1" applyFont="1" applyFill="1" applyBorder="1" applyAlignment="1" applyProtection="1">
      <alignment horizontal="center" vertical="center"/>
      <protection locked="0"/>
    </xf>
    <xf numFmtId="164" fontId="5" fillId="4" borderId="3" xfId="1" applyFont="1" applyFill="1" applyBorder="1" applyAlignment="1">
      <alignment vertical="center"/>
    </xf>
    <xf numFmtId="165" fontId="5" fillId="4" borderId="4" xfId="2" applyNumberFormat="1" applyFont="1" applyFill="1" applyBorder="1" applyAlignment="1">
      <alignment horizontal="center" vertical="center"/>
    </xf>
    <xf numFmtId="164" fontId="2" fillId="3" borderId="2" xfId="1" applyFont="1" applyFill="1" applyBorder="1" applyAlignment="1">
      <alignment horizontal="center" vertical="center" wrapText="1"/>
    </xf>
    <xf numFmtId="164" fontId="7" fillId="0" borderId="0" xfId="1" applyFont="1" applyFill="1" applyAlignment="1">
      <alignment vertical="center"/>
    </xf>
    <xf numFmtId="165" fontId="0" fillId="0" borderId="0" xfId="2" applyNumberFormat="1" applyFont="1" applyAlignment="1">
      <alignment vertical="center"/>
    </xf>
    <xf numFmtId="164" fontId="1" fillId="0" borderId="3" xfId="1" applyFont="1" applyBorder="1" applyAlignment="1">
      <alignment vertical="center"/>
    </xf>
    <xf numFmtId="10" fontId="1" fillId="0" borderId="3" xfId="2" applyNumberFormat="1" applyFont="1" applyBorder="1" applyAlignment="1">
      <alignment horizontal="center" vertical="center"/>
    </xf>
    <xf numFmtId="164" fontId="0" fillId="2" borderId="2" xfId="1" quotePrefix="1" applyFont="1" applyFill="1" applyBorder="1" applyAlignment="1" applyProtection="1">
      <alignment horizontal="center" vertical="center"/>
      <protection locked="0"/>
    </xf>
    <xf numFmtId="165" fontId="5" fillId="4" borderId="3" xfId="2" quotePrefix="1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64" fontId="2" fillId="3" borderId="3" xfId="1" applyFont="1" applyFill="1" applyBorder="1" applyAlignment="1">
      <alignment horizontal="center" vertical="center"/>
    </xf>
    <xf numFmtId="164" fontId="2" fillId="3" borderId="4" xfId="1" applyFont="1" applyFill="1" applyBorder="1" applyAlignment="1">
      <alignment horizontal="center" vertical="center"/>
    </xf>
    <xf numFmtId="164" fontId="7" fillId="0" borderId="0" xfId="1" applyFont="1" applyFill="1" applyAlignment="1">
      <alignment horizontal="center" vertical="center" wrapText="1"/>
    </xf>
    <xf numFmtId="164" fontId="0" fillId="0" borderId="0" xfId="1" applyFont="1" applyAlignment="1">
      <alignment horizontal="center" vertical="center"/>
    </xf>
    <xf numFmtId="167" fontId="3" fillId="3" borderId="4" xfId="1" applyNumberFormat="1" applyFont="1" applyFill="1" applyBorder="1" applyAlignment="1">
      <alignment horizontal="center" vertical="center"/>
    </xf>
    <xf numFmtId="164" fontId="2" fillId="3" borderId="2" xfId="1" applyFont="1" applyFill="1" applyBorder="1" applyAlignment="1">
      <alignment horizontal="center" vertical="center" wrapText="1"/>
    </xf>
    <xf numFmtId="0" fontId="2" fillId="3" borderId="2" xfId="1" applyNumberFormat="1" applyFont="1" applyFill="1" applyBorder="1" applyAlignment="1">
      <alignment horizontal="center" vertical="center" textRotation="90" wrapText="1"/>
    </xf>
    <xf numFmtId="167" fontId="3" fillId="3" borderId="5" xfId="1" applyNumberFormat="1" applyFont="1" applyFill="1" applyBorder="1" applyAlignment="1">
      <alignment horizontal="center" vertical="center"/>
    </xf>
    <xf numFmtId="164" fontId="0" fillId="0" borderId="10" xfId="1" quotePrefix="1" applyFont="1" applyBorder="1" applyAlignment="1">
      <alignment horizontal="center" vertical="center" wrapText="1"/>
    </xf>
    <xf numFmtId="164" fontId="0" fillId="0" borderId="11" xfId="1" quotePrefix="1" applyFont="1" applyBorder="1" applyAlignment="1">
      <alignment horizontal="center" vertical="center" wrapText="1"/>
    </xf>
    <xf numFmtId="164" fontId="0" fillId="0" borderId="12" xfId="1" quotePrefix="1" applyFont="1" applyBorder="1" applyAlignment="1">
      <alignment horizontal="center" vertical="center" wrapText="1"/>
    </xf>
    <xf numFmtId="164" fontId="0" fillId="0" borderId="13" xfId="1" quotePrefix="1" applyFont="1" applyBorder="1" applyAlignment="1">
      <alignment horizontal="center" vertical="center" wrapText="1"/>
    </xf>
    <xf numFmtId="164" fontId="10" fillId="0" borderId="18" xfId="1" applyFont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0" fillId="0" borderId="16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17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</cellXfs>
  <cellStyles count="3">
    <cellStyle name="Normal" xfId="0" builtinId="0"/>
    <cellStyle name="Porcentagem" xfId="2" builtinId="5"/>
    <cellStyle name="Vírgula" xfId="1" builtinId="3"/>
  </cellStyles>
  <dxfs count="5">
    <dxf>
      <fill>
        <patternFill patternType="lightUp"/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2</xdr:row>
      <xdr:rowOff>9525</xdr:rowOff>
    </xdr:from>
    <xdr:to>
      <xdr:col>0</xdr:col>
      <xdr:colOff>733425</xdr:colOff>
      <xdr:row>12</xdr:row>
      <xdr:rowOff>47625</xdr:rowOff>
    </xdr:to>
    <xdr:sp macro="[0]!Abrir_Formulario" textlink="">
      <xdr:nvSpPr>
        <xdr:cNvPr id="2" name="BotaoCalculadora">
          <a:extLst>
            <a:ext uri="{FF2B5EF4-FFF2-40B4-BE49-F238E27FC236}">
              <a16:creationId xmlns:a16="http://schemas.microsoft.com/office/drawing/2014/main" id="{F87AD12C-359E-48CF-B10D-832F797FA52B}"/>
            </a:ext>
          </a:extLst>
        </xdr:cNvPr>
        <xdr:cNvSpPr txBox="1"/>
      </xdr:nvSpPr>
      <xdr:spPr>
        <a:xfrm>
          <a:off x="295275" y="247650"/>
          <a:ext cx="438150" cy="24003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softEdge rad="12700"/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" wrap="square" rtlCol="0" anchor="ctr"/>
        <a:lstStyle/>
        <a:p>
          <a:pPr algn="ctr"/>
          <a:r>
            <a:rPr lang="pt-BR" sz="1100" b="1">
              <a:solidFill>
                <a:srgbClr val="C00000"/>
              </a:solidFill>
            </a:rPr>
            <a:t>CALCULADORA</a:t>
          </a:r>
        </a:p>
      </xdr:txBody>
    </xdr:sp>
    <xdr:clientData fPrintsWithSheet="0"/>
  </xdr:twoCellAnchor>
  <xdr:twoCellAnchor editAs="oneCell">
    <xdr:from>
      <xdr:col>3</xdr:col>
      <xdr:colOff>2</xdr:colOff>
      <xdr:row>14</xdr:row>
      <xdr:rowOff>0</xdr:rowOff>
    </xdr:from>
    <xdr:to>
      <xdr:col>25</xdr:col>
      <xdr:colOff>9524</xdr:colOff>
      <xdr:row>20</xdr:row>
      <xdr:rowOff>171450</xdr:rowOff>
    </xdr:to>
    <xdr:sp macro="" textlink="">
      <xdr:nvSpPr>
        <xdr:cNvPr id="10" name="Shape_Aviso" hidden="1">
          <a:extLst>
            <a:ext uri="{FF2B5EF4-FFF2-40B4-BE49-F238E27FC236}">
              <a16:creationId xmlns:a16="http://schemas.microsoft.com/office/drawing/2014/main" id="{FAB450E6-B505-408A-8397-B39E28FEAC1D}"/>
            </a:ext>
          </a:extLst>
        </xdr:cNvPr>
        <xdr:cNvSpPr/>
      </xdr:nvSpPr>
      <xdr:spPr>
        <a:xfrm>
          <a:off x="1809752" y="3095625"/>
          <a:ext cx="2562224" cy="1657350"/>
        </a:xfrm>
        <a:prstGeom prst="wav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</a:t>
          </a:r>
          <a:r>
            <a:rPr lang="pt-BR" sz="1100" baseline="0"/>
            <a:t> acesso aos recursos do Excel e às fórmulas utilizadas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nesta ferramenta</a:t>
          </a:r>
          <a:r>
            <a:rPr lang="pt-BR" sz="1100" baseline="0"/>
            <a:t> está disponível em sua versão completa!</a:t>
          </a:r>
        </a:p>
        <a:p>
          <a:pPr algn="r"/>
          <a:r>
            <a:rPr lang="pt-BR" sz="1100" baseline="0"/>
            <a:t>planilhacessivel.com.br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_Calculadora">
    <tabColor rgb="FF0070C0"/>
    <pageSetUpPr fitToPage="1"/>
  </sheetPr>
  <dimension ref="A1:BB403"/>
  <sheetViews>
    <sheetView showGridLines="0" showRowColHeaders="0" tabSelected="1" zoomScaleNormal="100" workbookViewId="0">
      <selection activeCell="W20" sqref="W20"/>
    </sheetView>
  </sheetViews>
  <sheetFormatPr defaultColWidth="15.7109375" defaultRowHeight="15" x14ac:dyDescent="0.25"/>
  <cols>
    <col min="1" max="1" width="15.7109375" style="2"/>
    <col min="2" max="3" width="5.7109375" style="2" customWidth="1"/>
    <col min="4" max="4" width="22.7109375" style="2" hidden="1" customWidth="1"/>
    <col min="5" max="5" width="15.7109375" style="2" hidden="1" customWidth="1"/>
    <col min="6" max="6" width="3.85546875" style="2" hidden="1" customWidth="1"/>
    <col min="7" max="7" width="6.28515625" style="6" hidden="1" customWidth="1"/>
    <col min="8" max="11" width="15.7109375" style="2" hidden="1" customWidth="1"/>
    <col min="12" max="12" width="3.85546875" style="13" hidden="1" customWidth="1"/>
    <col min="13" max="21" width="15.7109375" style="2" hidden="1" customWidth="1"/>
    <col min="22" max="31" width="9.5703125" style="2" customWidth="1"/>
    <col min="32" max="51" width="10" style="2" customWidth="1"/>
    <col min="52" max="52" width="22.7109375" style="2" hidden="1" customWidth="1"/>
    <col min="53" max="53" width="15.7109375" style="2" hidden="1" customWidth="1"/>
    <col min="54" max="16384" width="15.7109375" style="2"/>
  </cols>
  <sheetData>
    <row r="1" spans="1:54" ht="3.75" customHeight="1" x14ac:dyDescent="0.25">
      <c r="B1" s="10"/>
    </row>
    <row r="2" spans="1:54" ht="25.5" customHeight="1" x14ac:dyDescent="0.25">
      <c r="A2" s="30"/>
      <c r="B2" s="10"/>
      <c r="D2" s="39" t="str">
        <f>"###    Acesso "&amp;Apoio!K4&amp;"/"&amp;Apoio!K2&amp;"    ###"</f>
        <v>###    Acesso 0/5    ###</v>
      </c>
      <c r="E2" s="39"/>
      <c r="Q2" s="20"/>
      <c r="R2" s="20"/>
      <c r="S2" s="20"/>
      <c r="T2" s="20"/>
      <c r="U2" s="20"/>
      <c r="V2" s="29" t="s">
        <v>27</v>
      </c>
      <c r="W2" s="29"/>
      <c r="X2" s="29"/>
      <c r="Y2" s="29"/>
      <c r="Z2" s="29"/>
      <c r="AA2" s="29"/>
      <c r="AB2" s="29"/>
      <c r="AC2" s="29"/>
      <c r="AD2" s="29"/>
      <c r="AE2" s="29"/>
    </row>
    <row r="3" spans="1:54" ht="15" customHeight="1" x14ac:dyDescent="0.25">
      <c r="A3" s="30"/>
      <c r="B3" s="10"/>
      <c r="D3" s="27" t="s">
        <v>24</v>
      </c>
      <c r="E3" s="27"/>
      <c r="G3" s="33" t="s">
        <v>11</v>
      </c>
      <c r="H3" s="32" t="s">
        <v>14</v>
      </c>
      <c r="I3" s="32" t="s">
        <v>17</v>
      </c>
      <c r="J3" s="32" t="s">
        <v>18</v>
      </c>
      <c r="K3" s="32" t="s">
        <v>12</v>
      </c>
      <c r="L3" s="14"/>
      <c r="M3" s="27" t="s">
        <v>15</v>
      </c>
      <c r="P3" s="20"/>
      <c r="Q3" s="20"/>
      <c r="R3" s="20"/>
      <c r="S3" s="20"/>
      <c r="T3" s="20"/>
      <c r="U3" s="20"/>
      <c r="V3" s="29"/>
      <c r="W3" s="29"/>
      <c r="X3" s="29"/>
      <c r="Y3" s="29"/>
      <c r="Z3" s="29"/>
      <c r="AA3" s="29"/>
      <c r="AB3" s="29"/>
      <c r="AC3" s="29"/>
      <c r="AD3" s="29"/>
      <c r="AE3" s="29"/>
      <c r="AZ3" s="2">
        <f>H6+NPV(Resultado,I7:I16)</f>
        <v>0</v>
      </c>
    </row>
    <row r="4" spans="1:54" ht="15" customHeight="1" x14ac:dyDescent="0.25">
      <c r="A4" s="30"/>
      <c r="B4" s="10"/>
      <c r="D4" s="34" t="s">
        <v>20</v>
      </c>
      <c r="E4" s="34"/>
      <c r="G4" s="33"/>
      <c r="H4" s="32"/>
      <c r="I4" s="32"/>
      <c r="J4" s="32"/>
      <c r="K4" s="32"/>
      <c r="L4" s="14"/>
      <c r="M4" s="28"/>
      <c r="P4" s="20"/>
      <c r="Q4" s="20"/>
      <c r="R4" s="20"/>
      <c r="S4" s="20"/>
      <c r="T4" s="20"/>
      <c r="U4" s="20"/>
      <c r="V4" s="29"/>
      <c r="W4" s="29"/>
      <c r="X4" s="29"/>
      <c r="Y4" s="29"/>
      <c r="Z4" s="29"/>
      <c r="AA4" s="29"/>
      <c r="AB4" s="29"/>
      <c r="AC4" s="29"/>
      <c r="AD4" s="29"/>
      <c r="AE4" s="29"/>
    </row>
    <row r="5" spans="1:54" ht="20.100000000000001" customHeight="1" x14ac:dyDescent="0.25">
      <c r="A5" s="30"/>
      <c r="B5" s="10"/>
      <c r="D5" s="31"/>
      <c r="E5" s="31"/>
      <c r="G5" s="33"/>
      <c r="H5" s="19">
        <f>H6</f>
        <v>0</v>
      </c>
      <c r="I5" s="19">
        <f>SUM(I6:I380)</f>
        <v>0</v>
      </c>
      <c r="J5" s="19">
        <f>SUM(J6:J380)</f>
        <v>0</v>
      </c>
      <c r="K5" s="19">
        <f>H5+J5+I5</f>
        <v>0</v>
      </c>
      <c r="M5" s="18" t="str">
        <f>IFERROR(IF(OR(ROUND(IRR(M6:M380),4)=ROUND(i,4),ROUND(IRR(M6:M380),4)=ROUND(Resultado,4)),IRR(M6:M380),"INCONSISTENTE"),"")</f>
        <v/>
      </c>
      <c r="N5" s="21"/>
      <c r="P5" s="20"/>
      <c r="Q5" s="20"/>
      <c r="R5" s="20"/>
      <c r="S5" s="20"/>
      <c r="T5" s="20"/>
      <c r="U5" s="20"/>
      <c r="V5" s="29"/>
      <c r="W5" s="29"/>
      <c r="X5" s="29"/>
      <c r="Y5" s="29"/>
      <c r="Z5" s="29"/>
      <c r="AA5" s="29"/>
      <c r="AB5" s="29"/>
      <c r="AC5" s="29"/>
      <c r="AD5" s="29"/>
      <c r="AE5" s="29"/>
      <c r="AZ5" s="3" t="s">
        <v>8</v>
      </c>
      <c r="BA5" s="3">
        <f>VLOOKUP(AZ5,$D$6:$E$10,2,FALSE)</f>
        <v>0</v>
      </c>
    </row>
    <row r="6" spans="1:54" ht="20.100000000000001" customHeight="1" x14ac:dyDescent="0.25">
      <c r="A6" s="30"/>
      <c r="B6" s="10"/>
      <c r="D6" s="7" t="s">
        <v>8</v>
      </c>
      <c r="E6" s="15"/>
      <c r="G6" s="6">
        <v>0</v>
      </c>
      <c r="H6" s="2">
        <f>IF(G6="","",BA5)</f>
        <v>0</v>
      </c>
      <c r="J6" s="2">
        <f t="shared" ref="J6:J69" si="0">IF(G6="","",IF(G6=0,0,(H6*$BA$9)))</f>
        <v>0</v>
      </c>
      <c r="K6" s="2">
        <f t="shared" ref="K6:K7" si="1">IF(G6="","",SUM(H6:J6))</f>
        <v>0</v>
      </c>
      <c r="M6" s="2">
        <f t="shared" ref="M6:M69" si="2">IF(G6="","",IF(ROW(G6)=6,H6,IF(AND($I$5=0,ROW(G6)-6=n),-K6,IF(AND(I6&gt;0,ROW(G6)-6=n),I6-K6,IF(AND(I6&lt;0,ROW(G6)-6=n),I6+K6,I6)))))</f>
        <v>0</v>
      </c>
      <c r="P6" s="20"/>
      <c r="Q6" s="20"/>
      <c r="R6" s="20"/>
      <c r="S6" s="20"/>
      <c r="T6" s="20"/>
      <c r="U6" s="20"/>
      <c r="V6" s="29"/>
      <c r="W6" s="29"/>
      <c r="X6" s="29"/>
      <c r="Y6" s="29"/>
      <c r="Z6" s="29"/>
      <c r="AA6" s="29"/>
      <c r="AB6" s="29"/>
      <c r="AC6" s="29"/>
      <c r="AD6" s="29"/>
      <c r="AE6" s="29"/>
      <c r="AZ6" s="3" t="s">
        <v>9</v>
      </c>
      <c r="BA6" s="3">
        <f>VLOOKUP(AZ6,$D$6:$E$10,2,FALSE)</f>
        <v>0</v>
      </c>
    </row>
    <row r="7" spans="1:54" ht="20.100000000000001" customHeight="1" x14ac:dyDescent="0.25">
      <c r="A7" s="30"/>
      <c r="B7" s="10"/>
      <c r="D7" s="7" t="s">
        <v>9</v>
      </c>
      <c r="E7" s="24"/>
      <c r="G7" s="6" t="str">
        <f t="shared" ref="G7:G70" si="3">IF(G6&gt;=$BA$7,"",G6+1)</f>
        <v/>
      </c>
      <c r="H7" s="2" t="str">
        <f t="shared" ref="H7:H17" si="4">IF(G7="","",K6)</f>
        <v/>
      </c>
      <c r="I7" s="2" t="str">
        <f t="shared" ref="I7:I70" si="5">IF(G7=0,0,IF(G7="","",$BA$6))</f>
        <v/>
      </c>
      <c r="J7" s="2" t="str">
        <f t="shared" si="0"/>
        <v/>
      </c>
      <c r="K7" s="2" t="str">
        <f t="shared" si="1"/>
        <v/>
      </c>
      <c r="M7" s="2" t="str">
        <f t="shared" si="2"/>
        <v/>
      </c>
      <c r="P7" s="20"/>
      <c r="Q7" s="20"/>
      <c r="R7" s="20"/>
      <c r="S7" s="20"/>
      <c r="T7" s="20"/>
      <c r="U7" s="20"/>
      <c r="V7" s="29"/>
      <c r="W7" s="29"/>
      <c r="X7" s="29"/>
      <c r="Y7" s="29"/>
      <c r="Z7" s="29"/>
      <c r="AA7" s="29"/>
      <c r="AB7" s="29"/>
      <c r="AC7" s="29"/>
      <c r="AD7" s="29"/>
      <c r="AE7" s="29"/>
      <c r="AZ7" s="4" t="s">
        <v>19</v>
      </c>
      <c r="BA7" s="12">
        <f>VLOOKUP(AZ7,$D$6:$E$10,2,FALSE)</f>
        <v>0</v>
      </c>
    </row>
    <row r="8" spans="1:54" ht="20.100000000000001" customHeight="1" x14ac:dyDescent="0.25">
      <c r="A8" s="30"/>
      <c r="B8" s="10"/>
      <c r="D8" s="8" t="s">
        <v>19</v>
      </c>
      <c r="E8" s="16"/>
      <c r="G8" s="6" t="str">
        <f t="shared" si="3"/>
        <v/>
      </c>
      <c r="H8" s="2" t="str">
        <f t="shared" si="4"/>
        <v/>
      </c>
      <c r="I8" s="2" t="str">
        <f t="shared" si="5"/>
        <v/>
      </c>
      <c r="J8" s="2" t="str">
        <f t="shared" si="0"/>
        <v/>
      </c>
      <c r="K8" s="2" t="str">
        <f t="shared" ref="K8:K71" si="6">IF(G8="","",SUM(H8:J8))</f>
        <v/>
      </c>
      <c r="M8" s="2" t="str">
        <f t="shared" si="2"/>
        <v/>
      </c>
      <c r="P8" s="20"/>
      <c r="Q8" s="20"/>
      <c r="R8" s="20"/>
      <c r="S8" s="20"/>
      <c r="T8" s="20"/>
      <c r="U8" s="20"/>
      <c r="V8" s="29"/>
      <c r="W8" s="29"/>
      <c r="X8" s="29"/>
      <c r="Y8" s="29"/>
      <c r="Z8" s="29"/>
      <c r="AA8" s="29"/>
      <c r="AB8" s="29"/>
      <c r="AC8" s="29"/>
      <c r="AD8" s="29"/>
      <c r="AE8" s="29"/>
      <c r="AZ8" s="3" t="s">
        <v>10</v>
      </c>
      <c r="BA8" s="3">
        <f>VLOOKUP(AZ8,$D$6:$E$10,2,FALSE)</f>
        <v>0</v>
      </c>
    </row>
    <row r="9" spans="1:54" ht="20.100000000000001" customHeight="1" x14ac:dyDescent="0.25">
      <c r="A9" s="30"/>
      <c r="B9" s="10"/>
      <c r="D9" s="7" t="s">
        <v>10</v>
      </c>
      <c r="E9" s="15"/>
      <c r="G9" s="6" t="str">
        <f t="shared" si="3"/>
        <v/>
      </c>
      <c r="H9" s="2" t="str">
        <f t="shared" si="4"/>
        <v/>
      </c>
      <c r="I9" s="2" t="str">
        <f t="shared" si="5"/>
        <v/>
      </c>
      <c r="J9" s="2" t="str">
        <f t="shared" si="0"/>
        <v/>
      </c>
      <c r="K9" s="2" t="str">
        <f t="shared" si="6"/>
        <v/>
      </c>
      <c r="M9" s="2" t="str">
        <f t="shared" si="2"/>
        <v/>
      </c>
      <c r="P9" s="20"/>
      <c r="Q9" s="20"/>
      <c r="R9" s="20"/>
      <c r="S9" s="20"/>
      <c r="T9" s="20"/>
      <c r="U9" s="20"/>
      <c r="V9" s="29"/>
      <c r="W9" s="29"/>
      <c r="X9" s="29"/>
      <c r="Y9" s="29"/>
      <c r="Z9" s="29"/>
      <c r="AA9" s="29"/>
      <c r="AB9" s="29"/>
      <c r="AC9" s="29"/>
      <c r="AD9" s="29"/>
      <c r="AE9" s="29"/>
      <c r="AZ9" s="3" t="s">
        <v>13</v>
      </c>
      <c r="BA9" s="11">
        <f>VLOOKUP(AZ9,$D$6:$E$10,2,FALSE)</f>
        <v>0</v>
      </c>
    </row>
    <row r="10" spans="1:54" ht="20.100000000000001" customHeight="1" x14ac:dyDescent="0.25">
      <c r="A10" s="30"/>
      <c r="B10" s="10"/>
      <c r="D10" s="17" t="s">
        <v>13</v>
      </c>
      <c r="E10" s="25"/>
      <c r="G10" s="6" t="str">
        <f t="shared" si="3"/>
        <v/>
      </c>
      <c r="H10" s="2" t="str">
        <f t="shared" si="4"/>
        <v/>
      </c>
      <c r="I10" s="2" t="str">
        <f t="shared" si="5"/>
        <v/>
      </c>
      <c r="J10" s="2" t="str">
        <f t="shared" si="0"/>
        <v/>
      </c>
      <c r="K10" s="2" t="str">
        <f t="shared" si="6"/>
        <v/>
      </c>
      <c r="M10" s="2" t="str">
        <f t="shared" si="2"/>
        <v/>
      </c>
      <c r="P10" s="20"/>
      <c r="Q10" s="20"/>
      <c r="R10" s="20"/>
      <c r="S10" s="20"/>
      <c r="T10" s="20"/>
      <c r="U10" s="20"/>
      <c r="V10" s="29"/>
      <c r="W10" s="29"/>
      <c r="X10" s="29"/>
      <c r="Y10" s="29"/>
      <c r="Z10" s="29"/>
      <c r="AA10" s="29"/>
      <c r="AB10" s="29"/>
      <c r="AC10" s="29"/>
      <c r="AD10" s="29"/>
      <c r="AE10" s="29"/>
    </row>
    <row r="11" spans="1:54" ht="20.100000000000001" customHeight="1" x14ac:dyDescent="0.25">
      <c r="A11" s="30"/>
      <c r="B11" s="10"/>
      <c r="D11" s="22" t="s">
        <v>16</v>
      </c>
      <c r="E11" s="23">
        <f>IFERROR((1+VLOOKUP("Taxa de Juros (i) % am:",$D$6:$E$10,2,FALSE))^12-1,0)</f>
        <v>0</v>
      </c>
      <c r="G11" s="6" t="str">
        <f t="shared" si="3"/>
        <v/>
      </c>
      <c r="H11" s="2" t="str">
        <f t="shared" si="4"/>
        <v/>
      </c>
      <c r="I11" s="2" t="str">
        <f t="shared" si="5"/>
        <v/>
      </c>
      <c r="J11" s="2" t="str">
        <f t="shared" si="0"/>
        <v/>
      </c>
      <c r="K11" s="2" t="str">
        <f t="shared" si="6"/>
        <v/>
      </c>
      <c r="M11" s="2" t="str">
        <f t="shared" si="2"/>
        <v/>
      </c>
      <c r="P11" s="20"/>
      <c r="Q11" s="20"/>
      <c r="R11" s="20"/>
      <c r="S11" s="20"/>
      <c r="T11" s="20"/>
      <c r="U11" s="20"/>
      <c r="V11" s="29"/>
      <c r="W11" s="29"/>
      <c r="X11" s="29"/>
      <c r="Y11" s="29"/>
      <c r="Z11" s="29"/>
      <c r="AA11" s="29"/>
      <c r="AB11" s="29"/>
      <c r="AC11" s="29"/>
      <c r="AD11" s="29"/>
      <c r="AE11" s="29"/>
    </row>
    <row r="12" spans="1:54" ht="20.100000000000001" customHeight="1" x14ac:dyDescent="0.25">
      <c r="A12" s="30"/>
      <c r="B12" s="10"/>
      <c r="D12" s="35"/>
      <c r="E12" s="36"/>
      <c r="G12" s="6" t="str">
        <f t="shared" si="3"/>
        <v/>
      </c>
      <c r="H12" s="2" t="str">
        <f t="shared" si="4"/>
        <v/>
      </c>
      <c r="I12" s="2" t="str">
        <f t="shared" si="5"/>
        <v/>
      </c>
      <c r="J12" s="2" t="str">
        <f t="shared" si="0"/>
        <v/>
      </c>
      <c r="K12" s="2" t="str">
        <f t="shared" si="6"/>
        <v/>
      </c>
      <c r="M12" s="2" t="str">
        <f t="shared" si="2"/>
        <v/>
      </c>
      <c r="P12" s="20"/>
      <c r="Q12" s="20"/>
      <c r="R12" s="20"/>
      <c r="S12" s="20"/>
      <c r="T12" s="20"/>
      <c r="U12" s="20"/>
      <c r="V12" s="29"/>
      <c r="W12" s="29"/>
      <c r="X12" s="29"/>
      <c r="Y12" s="29"/>
      <c r="Z12" s="29"/>
      <c r="AA12" s="29"/>
      <c r="AB12" s="29"/>
      <c r="AC12" s="29"/>
      <c r="AD12" s="29"/>
      <c r="AE12" s="29"/>
    </row>
    <row r="13" spans="1:54" ht="20.100000000000001" customHeight="1" x14ac:dyDescent="0.25">
      <c r="A13" s="30"/>
      <c r="B13" s="10"/>
      <c r="D13" s="37"/>
      <c r="E13" s="38"/>
      <c r="G13" s="6" t="str">
        <f t="shared" si="3"/>
        <v/>
      </c>
      <c r="H13" s="2" t="str">
        <f t="shared" si="4"/>
        <v/>
      </c>
      <c r="I13" s="2" t="str">
        <f t="shared" si="5"/>
        <v/>
      </c>
      <c r="J13" s="2" t="str">
        <f t="shared" si="0"/>
        <v/>
      </c>
      <c r="K13" s="2" t="str">
        <f t="shared" si="6"/>
        <v/>
      </c>
      <c r="M13" s="2" t="str">
        <f t="shared" si="2"/>
        <v/>
      </c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</row>
    <row r="14" spans="1:54" ht="20.100000000000001" customHeight="1" x14ac:dyDescent="0.25">
      <c r="B14" s="10"/>
      <c r="G14" s="6" t="str">
        <f t="shared" si="3"/>
        <v/>
      </c>
      <c r="H14" s="2" t="str">
        <f t="shared" si="4"/>
        <v/>
      </c>
      <c r="I14" s="2" t="str">
        <f t="shared" si="5"/>
        <v/>
      </c>
      <c r="J14" s="2" t="str">
        <f t="shared" si="0"/>
        <v/>
      </c>
      <c r="K14" s="2" t="str">
        <f t="shared" si="6"/>
        <v/>
      </c>
      <c r="M14" s="2" t="str">
        <f t="shared" si="2"/>
        <v/>
      </c>
    </row>
    <row r="15" spans="1:54" ht="20.100000000000001" customHeight="1" x14ac:dyDescent="0.25">
      <c r="G15" s="6" t="str">
        <f t="shared" si="3"/>
        <v/>
      </c>
      <c r="H15" s="2" t="str">
        <f t="shared" si="4"/>
        <v/>
      </c>
      <c r="I15" s="2" t="str">
        <f t="shared" si="5"/>
        <v/>
      </c>
      <c r="J15" s="2" t="str">
        <f t="shared" si="0"/>
        <v/>
      </c>
      <c r="K15" s="2" t="str">
        <f t="shared" si="6"/>
        <v/>
      </c>
      <c r="M15" s="2" t="str">
        <f t="shared" si="2"/>
        <v/>
      </c>
      <c r="BB15" s="6"/>
    </row>
    <row r="16" spans="1:54" ht="20.100000000000001" customHeight="1" x14ac:dyDescent="0.25">
      <c r="G16" s="6" t="str">
        <f t="shared" si="3"/>
        <v/>
      </c>
      <c r="H16" s="2" t="str">
        <f t="shared" si="4"/>
        <v/>
      </c>
      <c r="I16" s="2" t="str">
        <f t="shared" si="5"/>
        <v/>
      </c>
      <c r="J16" s="2" t="str">
        <f t="shared" si="0"/>
        <v/>
      </c>
      <c r="K16" s="2" t="str">
        <f t="shared" si="6"/>
        <v/>
      </c>
      <c r="M16" s="2" t="str">
        <f t="shared" si="2"/>
        <v/>
      </c>
    </row>
    <row r="17" spans="3:13" ht="20.100000000000001" customHeight="1" x14ac:dyDescent="0.25">
      <c r="G17" s="6" t="str">
        <f t="shared" si="3"/>
        <v/>
      </c>
      <c r="H17" s="2" t="str">
        <f t="shared" si="4"/>
        <v/>
      </c>
      <c r="I17" s="2" t="str">
        <f t="shared" si="5"/>
        <v/>
      </c>
      <c r="J17" s="2" t="str">
        <f t="shared" si="0"/>
        <v/>
      </c>
      <c r="K17" s="2" t="str">
        <f t="shared" si="6"/>
        <v/>
      </c>
      <c r="M17" s="2" t="str">
        <f t="shared" si="2"/>
        <v/>
      </c>
    </row>
    <row r="18" spans="3:13" ht="20.100000000000001" customHeight="1" x14ac:dyDescent="0.25">
      <c r="F18" s="5"/>
      <c r="G18" s="6" t="str">
        <f t="shared" si="3"/>
        <v/>
      </c>
      <c r="H18" s="2" t="str">
        <f t="shared" ref="H18:H71" si="7">IF(G18="","",K17)</f>
        <v/>
      </c>
      <c r="I18" s="2" t="str">
        <f t="shared" si="5"/>
        <v/>
      </c>
      <c r="J18" s="2" t="str">
        <f t="shared" si="0"/>
        <v/>
      </c>
      <c r="K18" s="2" t="str">
        <f t="shared" si="6"/>
        <v/>
      </c>
      <c r="M18" s="2" t="str">
        <f t="shared" si="2"/>
        <v/>
      </c>
    </row>
    <row r="19" spans="3:13" ht="20.100000000000001" customHeight="1" x14ac:dyDescent="0.25">
      <c r="C19" s="9"/>
      <c r="G19" s="6" t="str">
        <f t="shared" si="3"/>
        <v/>
      </c>
      <c r="H19" s="2" t="str">
        <f t="shared" si="7"/>
        <v/>
      </c>
      <c r="I19" s="2" t="str">
        <f t="shared" si="5"/>
        <v/>
      </c>
      <c r="J19" s="2" t="str">
        <f t="shared" si="0"/>
        <v/>
      </c>
      <c r="K19" s="2" t="str">
        <f t="shared" si="6"/>
        <v/>
      </c>
      <c r="M19" s="2" t="str">
        <f t="shared" si="2"/>
        <v/>
      </c>
    </row>
    <row r="20" spans="3:13" ht="20.100000000000001" customHeight="1" x14ac:dyDescent="0.25">
      <c r="C20" s="9"/>
      <c r="G20" s="6" t="str">
        <f t="shared" si="3"/>
        <v/>
      </c>
      <c r="H20" s="2" t="str">
        <f t="shared" si="7"/>
        <v/>
      </c>
      <c r="I20" s="2" t="str">
        <f t="shared" si="5"/>
        <v/>
      </c>
      <c r="J20" s="2" t="str">
        <f t="shared" si="0"/>
        <v/>
      </c>
      <c r="K20" s="2" t="str">
        <f t="shared" si="6"/>
        <v/>
      </c>
      <c r="M20" s="2" t="str">
        <f t="shared" si="2"/>
        <v/>
      </c>
    </row>
    <row r="21" spans="3:13" ht="20.100000000000001" customHeight="1" x14ac:dyDescent="0.25">
      <c r="F21" s="5"/>
      <c r="G21" s="6" t="str">
        <f t="shared" si="3"/>
        <v/>
      </c>
      <c r="H21" s="2" t="str">
        <f t="shared" si="7"/>
        <v/>
      </c>
      <c r="I21" s="2" t="str">
        <f t="shared" si="5"/>
        <v/>
      </c>
      <c r="J21" s="2" t="str">
        <f t="shared" si="0"/>
        <v/>
      </c>
      <c r="K21" s="2" t="str">
        <f t="shared" si="6"/>
        <v/>
      </c>
      <c r="M21" s="2" t="str">
        <f t="shared" si="2"/>
        <v/>
      </c>
    </row>
    <row r="22" spans="3:13" ht="20.100000000000001" customHeight="1" x14ac:dyDescent="0.25">
      <c r="G22" s="6" t="str">
        <f t="shared" si="3"/>
        <v/>
      </c>
      <c r="H22" s="2" t="str">
        <f t="shared" si="7"/>
        <v/>
      </c>
      <c r="I22" s="2" t="str">
        <f t="shared" si="5"/>
        <v/>
      </c>
      <c r="J22" s="2" t="str">
        <f t="shared" si="0"/>
        <v/>
      </c>
      <c r="K22" s="2" t="str">
        <f t="shared" si="6"/>
        <v/>
      </c>
      <c r="M22" s="2" t="str">
        <f t="shared" si="2"/>
        <v/>
      </c>
    </row>
    <row r="23" spans="3:13" ht="20.100000000000001" customHeight="1" x14ac:dyDescent="0.25">
      <c r="G23" s="6" t="str">
        <f t="shared" si="3"/>
        <v/>
      </c>
      <c r="H23" s="2" t="str">
        <f t="shared" si="7"/>
        <v/>
      </c>
      <c r="I23" s="2" t="str">
        <f t="shared" si="5"/>
        <v/>
      </c>
      <c r="J23" s="2" t="str">
        <f t="shared" si="0"/>
        <v/>
      </c>
      <c r="K23" s="2" t="str">
        <f t="shared" si="6"/>
        <v/>
      </c>
      <c r="M23" s="2" t="str">
        <f t="shared" si="2"/>
        <v/>
      </c>
    </row>
    <row r="24" spans="3:13" ht="20.100000000000001" customHeight="1" x14ac:dyDescent="0.25">
      <c r="G24" s="6" t="str">
        <f t="shared" si="3"/>
        <v/>
      </c>
      <c r="H24" s="2" t="str">
        <f t="shared" si="7"/>
        <v/>
      </c>
      <c r="I24" s="2" t="str">
        <f t="shared" si="5"/>
        <v/>
      </c>
      <c r="J24" s="2" t="str">
        <f t="shared" si="0"/>
        <v/>
      </c>
      <c r="K24" s="2" t="str">
        <f t="shared" si="6"/>
        <v/>
      </c>
      <c r="M24" s="2" t="str">
        <f t="shared" si="2"/>
        <v/>
      </c>
    </row>
    <row r="25" spans="3:13" ht="20.100000000000001" customHeight="1" x14ac:dyDescent="0.25">
      <c r="G25" s="6" t="str">
        <f t="shared" si="3"/>
        <v/>
      </c>
      <c r="H25" s="2" t="str">
        <f t="shared" si="7"/>
        <v/>
      </c>
      <c r="I25" s="2" t="str">
        <f t="shared" si="5"/>
        <v/>
      </c>
      <c r="J25" s="2" t="str">
        <f t="shared" si="0"/>
        <v/>
      </c>
      <c r="K25" s="2" t="str">
        <f t="shared" si="6"/>
        <v/>
      </c>
      <c r="M25" s="2" t="str">
        <f t="shared" si="2"/>
        <v/>
      </c>
    </row>
    <row r="26" spans="3:13" ht="20.100000000000001" customHeight="1" x14ac:dyDescent="0.25">
      <c r="G26" s="6" t="str">
        <f t="shared" si="3"/>
        <v/>
      </c>
      <c r="H26" s="2" t="str">
        <f t="shared" si="7"/>
        <v/>
      </c>
      <c r="I26" s="2" t="str">
        <f t="shared" si="5"/>
        <v/>
      </c>
      <c r="J26" s="2" t="str">
        <f t="shared" si="0"/>
        <v/>
      </c>
      <c r="K26" s="2" t="str">
        <f t="shared" si="6"/>
        <v/>
      </c>
      <c r="M26" s="2" t="str">
        <f t="shared" si="2"/>
        <v/>
      </c>
    </row>
    <row r="27" spans="3:13" ht="20.100000000000001" customHeight="1" x14ac:dyDescent="0.25">
      <c r="G27" s="6" t="str">
        <f t="shared" si="3"/>
        <v/>
      </c>
      <c r="H27" s="2" t="str">
        <f t="shared" si="7"/>
        <v/>
      </c>
      <c r="I27" s="2" t="str">
        <f t="shared" si="5"/>
        <v/>
      </c>
      <c r="J27" s="2" t="str">
        <f t="shared" si="0"/>
        <v/>
      </c>
      <c r="K27" s="2" t="str">
        <f t="shared" si="6"/>
        <v/>
      </c>
      <c r="M27" s="2" t="str">
        <f t="shared" si="2"/>
        <v/>
      </c>
    </row>
    <row r="28" spans="3:13" ht="20.100000000000001" customHeight="1" x14ac:dyDescent="0.25">
      <c r="G28" s="6" t="str">
        <f t="shared" si="3"/>
        <v/>
      </c>
      <c r="H28" s="2" t="str">
        <f t="shared" si="7"/>
        <v/>
      </c>
      <c r="I28" s="2" t="str">
        <f t="shared" si="5"/>
        <v/>
      </c>
      <c r="J28" s="2" t="str">
        <f t="shared" si="0"/>
        <v/>
      </c>
      <c r="K28" s="2" t="str">
        <f t="shared" si="6"/>
        <v/>
      </c>
      <c r="M28" s="2" t="str">
        <f t="shared" si="2"/>
        <v/>
      </c>
    </row>
    <row r="29" spans="3:13" ht="20.100000000000001" customHeight="1" x14ac:dyDescent="0.25">
      <c r="G29" s="6" t="str">
        <f t="shared" si="3"/>
        <v/>
      </c>
      <c r="H29" s="2" t="str">
        <f t="shared" si="7"/>
        <v/>
      </c>
      <c r="I29" s="2" t="str">
        <f t="shared" si="5"/>
        <v/>
      </c>
      <c r="J29" s="2" t="str">
        <f t="shared" si="0"/>
        <v/>
      </c>
      <c r="K29" s="2" t="str">
        <f t="shared" si="6"/>
        <v/>
      </c>
      <c r="M29" s="2" t="str">
        <f t="shared" si="2"/>
        <v/>
      </c>
    </row>
    <row r="30" spans="3:13" ht="20.100000000000001" customHeight="1" x14ac:dyDescent="0.25">
      <c r="G30" s="6" t="str">
        <f t="shared" si="3"/>
        <v/>
      </c>
      <c r="H30" s="2" t="str">
        <f t="shared" si="7"/>
        <v/>
      </c>
      <c r="I30" s="2" t="str">
        <f t="shared" si="5"/>
        <v/>
      </c>
      <c r="J30" s="2" t="str">
        <f t="shared" si="0"/>
        <v/>
      </c>
      <c r="K30" s="2" t="str">
        <f t="shared" si="6"/>
        <v/>
      </c>
      <c r="M30" s="2" t="str">
        <f t="shared" si="2"/>
        <v/>
      </c>
    </row>
    <row r="31" spans="3:13" ht="20.100000000000001" customHeight="1" x14ac:dyDescent="0.25">
      <c r="G31" s="6" t="str">
        <f t="shared" si="3"/>
        <v/>
      </c>
      <c r="H31" s="2" t="str">
        <f t="shared" si="7"/>
        <v/>
      </c>
      <c r="I31" s="2" t="str">
        <f t="shared" si="5"/>
        <v/>
      </c>
      <c r="J31" s="2" t="str">
        <f t="shared" si="0"/>
        <v/>
      </c>
      <c r="K31" s="2" t="str">
        <f t="shared" si="6"/>
        <v/>
      </c>
      <c r="M31" s="2" t="str">
        <f t="shared" si="2"/>
        <v/>
      </c>
    </row>
    <row r="32" spans="3:13" ht="20.100000000000001" customHeight="1" x14ac:dyDescent="0.25">
      <c r="G32" s="6" t="str">
        <f t="shared" si="3"/>
        <v/>
      </c>
      <c r="H32" s="2" t="str">
        <f t="shared" si="7"/>
        <v/>
      </c>
      <c r="I32" s="2" t="str">
        <f t="shared" si="5"/>
        <v/>
      </c>
      <c r="J32" s="2" t="str">
        <f t="shared" si="0"/>
        <v/>
      </c>
      <c r="K32" s="2" t="str">
        <f t="shared" si="6"/>
        <v/>
      </c>
      <c r="M32" s="2" t="str">
        <f t="shared" si="2"/>
        <v/>
      </c>
    </row>
    <row r="33" spans="7:13" ht="20.100000000000001" customHeight="1" x14ac:dyDescent="0.25">
      <c r="G33" s="6" t="str">
        <f t="shared" si="3"/>
        <v/>
      </c>
      <c r="H33" s="2" t="str">
        <f t="shared" si="7"/>
        <v/>
      </c>
      <c r="I33" s="2" t="str">
        <f t="shared" si="5"/>
        <v/>
      </c>
      <c r="J33" s="2" t="str">
        <f t="shared" si="0"/>
        <v/>
      </c>
      <c r="K33" s="2" t="str">
        <f t="shared" si="6"/>
        <v/>
      </c>
      <c r="M33" s="2" t="str">
        <f t="shared" si="2"/>
        <v/>
      </c>
    </row>
    <row r="34" spans="7:13" ht="20.100000000000001" customHeight="1" x14ac:dyDescent="0.25">
      <c r="G34" s="6" t="str">
        <f t="shared" si="3"/>
        <v/>
      </c>
      <c r="H34" s="2" t="str">
        <f t="shared" si="7"/>
        <v/>
      </c>
      <c r="I34" s="2" t="str">
        <f t="shared" si="5"/>
        <v/>
      </c>
      <c r="J34" s="2" t="str">
        <f t="shared" si="0"/>
        <v/>
      </c>
      <c r="K34" s="2" t="str">
        <f t="shared" si="6"/>
        <v/>
      </c>
      <c r="M34" s="2" t="str">
        <f t="shared" si="2"/>
        <v/>
      </c>
    </row>
    <row r="35" spans="7:13" ht="20.100000000000001" customHeight="1" x14ac:dyDescent="0.25">
      <c r="G35" s="6" t="str">
        <f t="shared" si="3"/>
        <v/>
      </c>
      <c r="H35" s="2" t="str">
        <f t="shared" si="7"/>
        <v/>
      </c>
      <c r="I35" s="2" t="str">
        <f t="shared" si="5"/>
        <v/>
      </c>
      <c r="J35" s="2" t="str">
        <f t="shared" si="0"/>
        <v/>
      </c>
      <c r="K35" s="2" t="str">
        <f t="shared" si="6"/>
        <v/>
      </c>
      <c r="M35" s="2" t="str">
        <f t="shared" si="2"/>
        <v/>
      </c>
    </row>
    <row r="36" spans="7:13" ht="20.100000000000001" customHeight="1" x14ac:dyDescent="0.25">
      <c r="G36" s="6" t="str">
        <f t="shared" si="3"/>
        <v/>
      </c>
      <c r="H36" s="2" t="str">
        <f t="shared" si="7"/>
        <v/>
      </c>
      <c r="I36" s="2" t="str">
        <f t="shared" si="5"/>
        <v/>
      </c>
      <c r="J36" s="2" t="str">
        <f t="shared" si="0"/>
        <v/>
      </c>
      <c r="K36" s="2" t="str">
        <f t="shared" si="6"/>
        <v/>
      </c>
      <c r="M36" s="2" t="str">
        <f t="shared" si="2"/>
        <v/>
      </c>
    </row>
    <row r="37" spans="7:13" ht="20.100000000000001" customHeight="1" x14ac:dyDescent="0.25">
      <c r="G37" s="6" t="str">
        <f t="shared" si="3"/>
        <v/>
      </c>
      <c r="H37" s="2" t="str">
        <f t="shared" si="7"/>
        <v/>
      </c>
      <c r="I37" s="2" t="str">
        <f t="shared" si="5"/>
        <v/>
      </c>
      <c r="J37" s="2" t="str">
        <f t="shared" si="0"/>
        <v/>
      </c>
      <c r="K37" s="2" t="str">
        <f t="shared" si="6"/>
        <v/>
      </c>
      <c r="M37" s="2" t="str">
        <f t="shared" si="2"/>
        <v/>
      </c>
    </row>
    <row r="38" spans="7:13" ht="20.100000000000001" customHeight="1" x14ac:dyDescent="0.25">
      <c r="G38" s="6" t="str">
        <f t="shared" si="3"/>
        <v/>
      </c>
      <c r="H38" s="2" t="str">
        <f t="shared" si="7"/>
        <v/>
      </c>
      <c r="I38" s="2" t="str">
        <f t="shared" si="5"/>
        <v/>
      </c>
      <c r="J38" s="2" t="str">
        <f t="shared" si="0"/>
        <v/>
      </c>
      <c r="K38" s="2" t="str">
        <f t="shared" si="6"/>
        <v/>
      </c>
      <c r="M38" s="2" t="str">
        <f t="shared" si="2"/>
        <v/>
      </c>
    </row>
    <row r="39" spans="7:13" ht="20.100000000000001" customHeight="1" x14ac:dyDescent="0.25">
      <c r="G39" s="6" t="str">
        <f t="shared" si="3"/>
        <v/>
      </c>
      <c r="H39" s="2" t="str">
        <f t="shared" si="7"/>
        <v/>
      </c>
      <c r="I39" s="2" t="str">
        <f t="shared" si="5"/>
        <v/>
      </c>
      <c r="J39" s="2" t="str">
        <f t="shared" si="0"/>
        <v/>
      </c>
      <c r="K39" s="2" t="str">
        <f t="shared" si="6"/>
        <v/>
      </c>
      <c r="M39" s="2" t="str">
        <f t="shared" si="2"/>
        <v/>
      </c>
    </row>
    <row r="40" spans="7:13" ht="20.100000000000001" customHeight="1" x14ac:dyDescent="0.25">
      <c r="G40" s="6" t="str">
        <f t="shared" si="3"/>
        <v/>
      </c>
      <c r="H40" s="2" t="str">
        <f t="shared" si="7"/>
        <v/>
      </c>
      <c r="I40" s="2" t="str">
        <f t="shared" si="5"/>
        <v/>
      </c>
      <c r="J40" s="2" t="str">
        <f t="shared" si="0"/>
        <v/>
      </c>
      <c r="K40" s="2" t="str">
        <f t="shared" si="6"/>
        <v/>
      </c>
      <c r="M40" s="2" t="str">
        <f t="shared" si="2"/>
        <v/>
      </c>
    </row>
    <row r="41" spans="7:13" ht="20.100000000000001" customHeight="1" x14ac:dyDescent="0.25">
      <c r="G41" s="6" t="str">
        <f t="shared" si="3"/>
        <v/>
      </c>
      <c r="H41" s="2" t="str">
        <f t="shared" si="7"/>
        <v/>
      </c>
      <c r="I41" s="2" t="str">
        <f t="shared" si="5"/>
        <v/>
      </c>
      <c r="J41" s="2" t="str">
        <f t="shared" si="0"/>
        <v/>
      </c>
      <c r="K41" s="2" t="str">
        <f t="shared" si="6"/>
        <v/>
      </c>
      <c r="M41" s="2" t="str">
        <f t="shared" si="2"/>
        <v/>
      </c>
    </row>
    <row r="42" spans="7:13" ht="20.100000000000001" customHeight="1" x14ac:dyDescent="0.25">
      <c r="G42" s="6" t="str">
        <f t="shared" si="3"/>
        <v/>
      </c>
      <c r="H42" s="2" t="str">
        <f t="shared" si="7"/>
        <v/>
      </c>
      <c r="I42" s="2" t="str">
        <f t="shared" si="5"/>
        <v/>
      </c>
      <c r="J42" s="2" t="str">
        <f t="shared" si="0"/>
        <v/>
      </c>
      <c r="K42" s="2" t="str">
        <f t="shared" si="6"/>
        <v/>
      </c>
      <c r="M42" s="2" t="str">
        <f t="shared" si="2"/>
        <v/>
      </c>
    </row>
    <row r="43" spans="7:13" ht="20.100000000000001" customHeight="1" x14ac:dyDescent="0.25">
      <c r="G43" s="6" t="str">
        <f t="shared" si="3"/>
        <v/>
      </c>
      <c r="H43" s="2" t="str">
        <f t="shared" si="7"/>
        <v/>
      </c>
      <c r="I43" s="2" t="str">
        <f t="shared" si="5"/>
        <v/>
      </c>
      <c r="J43" s="2" t="str">
        <f t="shared" si="0"/>
        <v/>
      </c>
      <c r="K43" s="2" t="str">
        <f t="shared" si="6"/>
        <v/>
      </c>
      <c r="M43" s="2" t="str">
        <f t="shared" si="2"/>
        <v/>
      </c>
    </row>
    <row r="44" spans="7:13" ht="20.100000000000001" customHeight="1" x14ac:dyDescent="0.25">
      <c r="G44" s="6" t="str">
        <f t="shared" si="3"/>
        <v/>
      </c>
      <c r="H44" s="2" t="str">
        <f t="shared" si="7"/>
        <v/>
      </c>
      <c r="I44" s="2" t="str">
        <f t="shared" si="5"/>
        <v/>
      </c>
      <c r="J44" s="2" t="str">
        <f t="shared" si="0"/>
        <v/>
      </c>
      <c r="K44" s="2" t="str">
        <f t="shared" si="6"/>
        <v/>
      </c>
      <c r="M44" s="2" t="str">
        <f t="shared" si="2"/>
        <v/>
      </c>
    </row>
    <row r="45" spans="7:13" ht="20.100000000000001" customHeight="1" x14ac:dyDescent="0.25">
      <c r="G45" s="6" t="str">
        <f t="shared" si="3"/>
        <v/>
      </c>
      <c r="H45" s="2" t="str">
        <f t="shared" si="7"/>
        <v/>
      </c>
      <c r="I45" s="2" t="str">
        <f t="shared" si="5"/>
        <v/>
      </c>
      <c r="J45" s="2" t="str">
        <f t="shared" si="0"/>
        <v/>
      </c>
      <c r="K45" s="2" t="str">
        <f t="shared" si="6"/>
        <v/>
      </c>
      <c r="M45" s="2" t="str">
        <f t="shared" si="2"/>
        <v/>
      </c>
    </row>
    <row r="46" spans="7:13" ht="20.100000000000001" customHeight="1" x14ac:dyDescent="0.25">
      <c r="G46" s="6" t="str">
        <f t="shared" si="3"/>
        <v/>
      </c>
      <c r="H46" s="2" t="str">
        <f t="shared" si="7"/>
        <v/>
      </c>
      <c r="I46" s="2" t="str">
        <f t="shared" si="5"/>
        <v/>
      </c>
      <c r="J46" s="2" t="str">
        <f t="shared" si="0"/>
        <v/>
      </c>
      <c r="K46" s="2" t="str">
        <f t="shared" si="6"/>
        <v/>
      </c>
      <c r="M46" s="2" t="str">
        <f t="shared" si="2"/>
        <v/>
      </c>
    </row>
    <row r="47" spans="7:13" ht="20.100000000000001" customHeight="1" x14ac:dyDescent="0.25">
      <c r="G47" s="6" t="str">
        <f t="shared" si="3"/>
        <v/>
      </c>
      <c r="H47" s="2" t="str">
        <f t="shared" si="7"/>
        <v/>
      </c>
      <c r="I47" s="2" t="str">
        <f t="shared" si="5"/>
        <v/>
      </c>
      <c r="J47" s="2" t="str">
        <f t="shared" si="0"/>
        <v/>
      </c>
      <c r="K47" s="2" t="str">
        <f t="shared" si="6"/>
        <v/>
      </c>
      <c r="M47" s="2" t="str">
        <f t="shared" si="2"/>
        <v/>
      </c>
    </row>
    <row r="48" spans="7:13" ht="20.100000000000001" customHeight="1" x14ac:dyDescent="0.25">
      <c r="G48" s="6" t="str">
        <f t="shared" si="3"/>
        <v/>
      </c>
      <c r="H48" s="2" t="str">
        <f t="shared" si="7"/>
        <v/>
      </c>
      <c r="I48" s="2" t="str">
        <f t="shared" si="5"/>
        <v/>
      </c>
      <c r="J48" s="2" t="str">
        <f t="shared" si="0"/>
        <v/>
      </c>
      <c r="K48" s="2" t="str">
        <f t="shared" si="6"/>
        <v/>
      </c>
      <c r="M48" s="2" t="str">
        <f t="shared" si="2"/>
        <v/>
      </c>
    </row>
    <row r="49" spans="7:13" ht="20.100000000000001" customHeight="1" x14ac:dyDescent="0.25">
      <c r="G49" s="6" t="str">
        <f t="shared" si="3"/>
        <v/>
      </c>
      <c r="H49" s="2" t="str">
        <f t="shared" si="7"/>
        <v/>
      </c>
      <c r="I49" s="2" t="str">
        <f t="shared" si="5"/>
        <v/>
      </c>
      <c r="J49" s="2" t="str">
        <f t="shared" si="0"/>
        <v/>
      </c>
      <c r="K49" s="2" t="str">
        <f t="shared" si="6"/>
        <v/>
      </c>
      <c r="M49" s="2" t="str">
        <f t="shared" si="2"/>
        <v/>
      </c>
    </row>
    <row r="50" spans="7:13" ht="20.100000000000001" customHeight="1" x14ac:dyDescent="0.25">
      <c r="G50" s="6" t="str">
        <f t="shared" si="3"/>
        <v/>
      </c>
      <c r="H50" s="2" t="str">
        <f t="shared" si="7"/>
        <v/>
      </c>
      <c r="I50" s="2" t="str">
        <f t="shared" si="5"/>
        <v/>
      </c>
      <c r="J50" s="2" t="str">
        <f t="shared" si="0"/>
        <v/>
      </c>
      <c r="K50" s="2" t="str">
        <f t="shared" si="6"/>
        <v/>
      </c>
      <c r="M50" s="2" t="str">
        <f t="shared" si="2"/>
        <v/>
      </c>
    </row>
    <row r="51" spans="7:13" ht="20.100000000000001" customHeight="1" x14ac:dyDescent="0.25">
      <c r="G51" s="6" t="str">
        <f t="shared" si="3"/>
        <v/>
      </c>
      <c r="H51" s="2" t="str">
        <f t="shared" si="7"/>
        <v/>
      </c>
      <c r="I51" s="2" t="str">
        <f t="shared" si="5"/>
        <v/>
      </c>
      <c r="J51" s="2" t="str">
        <f t="shared" si="0"/>
        <v/>
      </c>
      <c r="K51" s="2" t="str">
        <f t="shared" si="6"/>
        <v/>
      </c>
      <c r="M51" s="2" t="str">
        <f t="shared" si="2"/>
        <v/>
      </c>
    </row>
    <row r="52" spans="7:13" ht="20.100000000000001" customHeight="1" x14ac:dyDescent="0.25">
      <c r="G52" s="6" t="str">
        <f t="shared" si="3"/>
        <v/>
      </c>
      <c r="H52" s="2" t="str">
        <f t="shared" si="7"/>
        <v/>
      </c>
      <c r="I52" s="2" t="str">
        <f t="shared" si="5"/>
        <v/>
      </c>
      <c r="J52" s="2" t="str">
        <f t="shared" si="0"/>
        <v/>
      </c>
      <c r="K52" s="2" t="str">
        <f t="shared" si="6"/>
        <v/>
      </c>
      <c r="M52" s="2" t="str">
        <f t="shared" si="2"/>
        <v/>
      </c>
    </row>
    <row r="53" spans="7:13" ht="20.100000000000001" customHeight="1" x14ac:dyDescent="0.25">
      <c r="G53" s="6" t="str">
        <f t="shared" si="3"/>
        <v/>
      </c>
      <c r="H53" s="2" t="str">
        <f t="shared" si="7"/>
        <v/>
      </c>
      <c r="I53" s="2" t="str">
        <f t="shared" si="5"/>
        <v/>
      </c>
      <c r="J53" s="2" t="str">
        <f t="shared" si="0"/>
        <v/>
      </c>
      <c r="K53" s="2" t="str">
        <f t="shared" si="6"/>
        <v/>
      </c>
      <c r="M53" s="2" t="str">
        <f t="shared" si="2"/>
        <v/>
      </c>
    </row>
    <row r="54" spans="7:13" ht="20.100000000000001" customHeight="1" x14ac:dyDescent="0.25">
      <c r="G54" s="6" t="str">
        <f t="shared" si="3"/>
        <v/>
      </c>
      <c r="H54" s="2" t="str">
        <f t="shared" si="7"/>
        <v/>
      </c>
      <c r="I54" s="2" t="str">
        <f t="shared" si="5"/>
        <v/>
      </c>
      <c r="J54" s="2" t="str">
        <f t="shared" si="0"/>
        <v/>
      </c>
      <c r="K54" s="2" t="str">
        <f t="shared" si="6"/>
        <v/>
      </c>
      <c r="M54" s="2" t="str">
        <f t="shared" si="2"/>
        <v/>
      </c>
    </row>
    <row r="55" spans="7:13" ht="20.100000000000001" customHeight="1" x14ac:dyDescent="0.25">
      <c r="G55" s="6" t="str">
        <f t="shared" si="3"/>
        <v/>
      </c>
      <c r="H55" s="2" t="str">
        <f t="shared" si="7"/>
        <v/>
      </c>
      <c r="I55" s="2" t="str">
        <f t="shared" si="5"/>
        <v/>
      </c>
      <c r="J55" s="2" t="str">
        <f t="shared" si="0"/>
        <v/>
      </c>
      <c r="K55" s="2" t="str">
        <f t="shared" si="6"/>
        <v/>
      </c>
      <c r="M55" s="2" t="str">
        <f t="shared" si="2"/>
        <v/>
      </c>
    </row>
    <row r="56" spans="7:13" ht="20.100000000000001" customHeight="1" x14ac:dyDescent="0.25">
      <c r="G56" s="6" t="str">
        <f t="shared" si="3"/>
        <v/>
      </c>
      <c r="H56" s="2" t="str">
        <f t="shared" si="7"/>
        <v/>
      </c>
      <c r="I56" s="2" t="str">
        <f t="shared" si="5"/>
        <v/>
      </c>
      <c r="J56" s="2" t="str">
        <f t="shared" si="0"/>
        <v/>
      </c>
      <c r="K56" s="2" t="str">
        <f t="shared" si="6"/>
        <v/>
      </c>
      <c r="M56" s="2" t="str">
        <f t="shared" si="2"/>
        <v/>
      </c>
    </row>
    <row r="57" spans="7:13" ht="20.100000000000001" customHeight="1" x14ac:dyDescent="0.25">
      <c r="G57" s="6" t="str">
        <f t="shared" si="3"/>
        <v/>
      </c>
      <c r="H57" s="2" t="str">
        <f t="shared" si="7"/>
        <v/>
      </c>
      <c r="I57" s="2" t="str">
        <f t="shared" si="5"/>
        <v/>
      </c>
      <c r="J57" s="2" t="str">
        <f t="shared" si="0"/>
        <v/>
      </c>
      <c r="K57" s="2" t="str">
        <f t="shared" si="6"/>
        <v/>
      </c>
      <c r="M57" s="2" t="str">
        <f t="shared" si="2"/>
        <v/>
      </c>
    </row>
    <row r="58" spans="7:13" ht="20.100000000000001" customHeight="1" x14ac:dyDescent="0.25">
      <c r="G58" s="6" t="str">
        <f t="shared" si="3"/>
        <v/>
      </c>
      <c r="H58" s="2" t="str">
        <f t="shared" si="7"/>
        <v/>
      </c>
      <c r="I58" s="2" t="str">
        <f t="shared" si="5"/>
        <v/>
      </c>
      <c r="J58" s="2" t="str">
        <f t="shared" si="0"/>
        <v/>
      </c>
      <c r="K58" s="2" t="str">
        <f t="shared" si="6"/>
        <v/>
      </c>
      <c r="M58" s="2" t="str">
        <f t="shared" si="2"/>
        <v/>
      </c>
    </row>
    <row r="59" spans="7:13" ht="20.100000000000001" customHeight="1" x14ac:dyDescent="0.25">
      <c r="G59" s="6" t="str">
        <f t="shared" si="3"/>
        <v/>
      </c>
      <c r="H59" s="2" t="str">
        <f t="shared" si="7"/>
        <v/>
      </c>
      <c r="I59" s="2" t="str">
        <f t="shared" si="5"/>
        <v/>
      </c>
      <c r="J59" s="2" t="str">
        <f t="shared" si="0"/>
        <v/>
      </c>
      <c r="K59" s="2" t="str">
        <f t="shared" si="6"/>
        <v/>
      </c>
      <c r="M59" s="2" t="str">
        <f t="shared" si="2"/>
        <v/>
      </c>
    </row>
    <row r="60" spans="7:13" ht="20.100000000000001" customHeight="1" x14ac:dyDescent="0.25">
      <c r="G60" s="6" t="str">
        <f t="shared" si="3"/>
        <v/>
      </c>
      <c r="H60" s="2" t="str">
        <f t="shared" si="7"/>
        <v/>
      </c>
      <c r="I60" s="2" t="str">
        <f t="shared" si="5"/>
        <v/>
      </c>
      <c r="J60" s="2" t="str">
        <f t="shared" si="0"/>
        <v/>
      </c>
      <c r="K60" s="2" t="str">
        <f t="shared" si="6"/>
        <v/>
      </c>
      <c r="M60" s="2" t="str">
        <f t="shared" si="2"/>
        <v/>
      </c>
    </row>
    <row r="61" spans="7:13" ht="20.100000000000001" customHeight="1" x14ac:dyDescent="0.25">
      <c r="G61" s="6" t="str">
        <f t="shared" si="3"/>
        <v/>
      </c>
      <c r="H61" s="2" t="str">
        <f t="shared" si="7"/>
        <v/>
      </c>
      <c r="I61" s="2" t="str">
        <f t="shared" si="5"/>
        <v/>
      </c>
      <c r="J61" s="2" t="str">
        <f t="shared" si="0"/>
        <v/>
      </c>
      <c r="K61" s="2" t="str">
        <f t="shared" si="6"/>
        <v/>
      </c>
      <c r="M61" s="2" t="str">
        <f t="shared" si="2"/>
        <v/>
      </c>
    </row>
    <row r="62" spans="7:13" ht="20.100000000000001" customHeight="1" x14ac:dyDescent="0.25">
      <c r="G62" s="6" t="str">
        <f t="shared" si="3"/>
        <v/>
      </c>
      <c r="H62" s="2" t="str">
        <f t="shared" si="7"/>
        <v/>
      </c>
      <c r="I62" s="2" t="str">
        <f t="shared" si="5"/>
        <v/>
      </c>
      <c r="J62" s="2" t="str">
        <f t="shared" si="0"/>
        <v/>
      </c>
      <c r="K62" s="2" t="str">
        <f t="shared" si="6"/>
        <v/>
      </c>
      <c r="M62" s="2" t="str">
        <f t="shared" si="2"/>
        <v/>
      </c>
    </row>
    <row r="63" spans="7:13" ht="20.100000000000001" customHeight="1" x14ac:dyDescent="0.25">
      <c r="G63" s="6" t="str">
        <f t="shared" si="3"/>
        <v/>
      </c>
      <c r="H63" s="2" t="str">
        <f t="shared" si="7"/>
        <v/>
      </c>
      <c r="I63" s="2" t="str">
        <f t="shared" si="5"/>
        <v/>
      </c>
      <c r="J63" s="2" t="str">
        <f t="shared" si="0"/>
        <v/>
      </c>
      <c r="K63" s="2" t="str">
        <f t="shared" si="6"/>
        <v/>
      </c>
      <c r="M63" s="2" t="str">
        <f t="shared" si="2"/>
        <v/>
      </c>
    </row>
    <row r="64" spans="7:13" ht="20.100000000000001" customHeight="1" x14ac:dyDescent="0.25">
      <c r="G64" s="6" t="str">
        <f t="shared" si="3"/>
        <v/>
      </c>
      <c r="H64" s="2" t="str">
        <f t="shared" si="7"/>
        <v/>
      </c>
      <c r="I64" s="2" t="str">
        <f t="shared" si="5"/>
        <v/>
      </c>
      <c r="J64" s="2" t="str">
        <f t="shared" si="0"/>
        <v/>
      </c>
      <c r="K64" s="2" t="str">
        <f t="shared" si="6"/>
        <v/>
      </c>
      <c r="M64" s="2" t="str">
        <f t="shared" si="2"/>
        <v/>
      </c>
    </row>
    <row r="65" spans="7:13" ht="20.100000000000001" customHeight="1" x14ac:dyDescent="0.25">
      <c r="G65" s="6" t="str">
        <f t="shared" si="3"/>
        <v/>
      </c>
      <c r="H65" s="2" t="str">
        <f t="shared" si="7"/>
        <v/>
      </c>
      <c r="I65" s="2" t="str">
        <f t="shared" si="5"/>
        <v/>
      </c>
      <c r="J65" s="2" t="str">
        <f t="shared" si="0"/>
        <v/>
      </c>
      <c r="K65" s="2" t="str">
        <f t="shared" si="6"/>
        <v/>
      </c>
      <c r="M65" s="2" t="str">
        <f t="shared" si="2"/>
        <v/>
      </c>
    </row>
    <row r="66" spans="7:13" ht="20.100000000000001" customHeight="1" x14ac:dyDescent="0.25">
      <c r="G66" s="6" t="str">
        <f t="shared" si="3"/>
        <v/>
      </c>
      <c r="H66" s="2" t="str">
        <f t="shared" si="7"/>
        <v/>
      </c>
      <c r="I66" s="2" t="str">
        <f t="shared" si="5"/>
        <v/>
      </c>
      <c r="J66" s="2" t="str">
        <f t="shared" si="0"/>
        <v/>
      </c>
      <c r="K66" s="2" t="str">
        <f t="shared" si="6"/>
        <v/>
      </c>
      <c r="M66" s="2" t="str">
        <f t="shared" si="2"/>
        <v/>
      </c>
    </row>
    <row r="67" spans="7:13" ht="20.100000000000001" customHeight="1" x14ac:dyDescent="0.25">
      <c r="G67" s="6" t="str">
        <f t="shared" si="3"/>
        <v/>
      </c>
      <c r="H67" s="2" t="str">
        <f t="shared" si="7"/>
        <v/>
      </c>
      <c r="I67" s="2" t="str">
        <f t="shared" si="5"/>
        <v/>
      </c>
      <c r="J67" s="2" t="str">
        <f t="shared" si="0"/>
        <v/>
      </c>
      <c r="K67" s="2" t="str">
        <f t="shared" si="6"/>
        <v/>
      </c>
      <c r="M67" s="2" t="str">
        <f t="shared" si="2"/>
        <v/>
      </c>
    </row>
    <row r="68" spans="7:13" ht="20.100000000000001" customHeight="1" x14ac:dyDescent="0.25">
      <c r="G68" s="6" t="str">
        <f t="shared" si="3"/>
        <v/>
      </c>
      <c r="H68" s="2" t="str">
        <f t="shared" si="7"/>
        <v/>
      </c>
      <c r="I68" s="2" t="str">
        <f t="shared" si="5"/>
        <v/>
      </c>
      <c r="J68" s="2" t="str">
        <f t="shared" si="0"/>
        <v/>
      </c>
      <c r="K68" s="2" t="str">
        <f t="shared" si="6"/>
        <v/>
      </c>
      <c r="M68" s="2" t="str">
        <f t="shared" si="2"/>
        <v/>
      </c>
    </row>
    <row r="69" spans="7:13" ht="20.100000000000001" customHeight="1" x14ac:dyDescent="0.25">
      <c r="G69" s="6" t="str">
        <f t="shared" si="3"/>
        <v/>
      </c>
      <c r="H69" s="2" t="str">
        <f t="shared" si="7"/>
        <v/>
      </c>
      <c r="I69" s="2" t="str">
        <f t="shared" si="5"/>
        <v/>
      </c>
      <c r="J69" s="2" t="str">
        <f t="shared" si="0"/>
        <v/>
      </c>
      <c r="K69" s="2" t="str">
        <f t="shared" si="6"/>
        <v/>
      </c>
      <c r="M69" s="2" t="str">
        <f t="shared" si="2"/>
        <v/>
      </c>
    </row>
    <row r="70" spans="7:13" ht="20.100000000000001" customHeight="1" x14ac:dyDescent="0.25">
      <c r="G70" s="6" t="str">
        <f t="shared" si="3"/>
        <v/>
      </c>
      <c r="H70" s="2" t="str">
        <f t="shared" si="7"/>
        <v/>
      </c>
      <c r="I70" s="2" t="str">
        <f t="shared" si="5"/>
        <v/>
      </c>
      <c r="J70" s="2" t="str">
        <f t="shared" ref="J70:J133" si="8">IF(G70="","",IF(G70=0,0,(H70*$BA$9)))</f>
        <v/>
      </c>
      <c r="K70" s="2" t="str">
        <f t="shared" si="6"/>
        <v/>
      </c>
      <c r="M70" s="2" t="str">
        <f t="shared" ref="M70:M133" si="9">IF(G70="","",IF(ROW(G70)=6,H70,IF(AND($I$5=0,ROW(G70)-6=n),-K70,IF(AND(I70&gt;0,ROW(G70)-6=n),I70-K70,IF(AND(I70&lt;0,ROW(G70)-6=n),I70+K70,I70)))))</f>
        <v/>
      </c>
    </row>
    <row r="71" spans="7:13" ht="20.100000000000001" customHeight="1" x14ac:dyDescent="0.25">
      <c r="G71" s="6" t="str">
        <f t="shared" ref="G71:G134" si="10">IF(G70&gt;=$BA$7,"",G70+1)</f>
        <v/>
      </c>
      <c r="H71" s="2" t="str">
        <f t="shared" si="7"/>
        <v/>
      </c>
      <c r="I71" s="2" t="str">
        <f t="shared" ref="I71:I134" si="11">IF(G71=0,0,IF(G71="","",$BA$6))</f>
        <v/>
      </c>
      <c r="J71" s="2" t="str">
        <f t="shared" si="8"/>
        <v/>
      </c>
      <c r="K71" s="2" t="str">
        <f t="shared" si="6"/>
        <v/>
      </c>
      <c r="M71" s="2" t="str">
        <f t="shared" si="9"/>
        <v/>
      </c>
    </row>
    <row r="72" spans="7:13" ht="20.100000000000001" customHeight="1" x14ac:dyDescent="0.25">
      <c r="G72" s="6" t="str">
        <f t="shared" si="10"/>
        <v/>
      </c>
      <c r="H72" s="2" t="str">
        <f t="shared" ref="H72:H135" si="12">IF(G72="","",K71)</f>
        <v/>
      </c>
      <c r="I72" s="2" t="str">
        <f t="shared" si="11"/>
        <v/>
      </c>
      <c r="J72" s="2" t="str">
        <f t="shared" si="8"/>
        <v/>
      </c>
      <c r="K72" s="2" t="str">
        <f t="shared" ref="K72:K135" si="13">IF(G72="","",SUM(H72:J72))</f>
        <v/>
      </c>
      <c r="M72" s="2" t="str">
        <f t="shared" si="9"/>
        <v/>
      </c>
    </row>
    <row r="73" spans="7:13" ht="20.100000000000001" customHeight="1" x14ac:dyDescent="0.25">
      <c r="G73" s="6" t="str">
        <f t="shared" si="10"/>
        <v/>
      </c>
      <c r="H73" s="2" t="str">
        <f t="shared" si="12"/>
        <v/>
      </c>
      <c r="I73" s="2" t="str">
        <f t="shared" si="11"/>
        <v/>
      </c>
      <c r="J73" s="2" t="str">
        <f t="shared" si="8"/>
        <v/>
      </c>
      <c r="K73" s="2" t="str">
        <f t="shared" si="13"/>
        <v/>
      </c>
      <c r="M73" s="2" t="str">
        <f t="shared" si="9"/>
        <v/>
      </c>
    </row>
    <row r="74" spans="7:13" ht="20.100000000000001" customHeight="1" x14ac:dyDescent="0.25">
      <c r="G74" s="6" t="str">
        <f t="shared" si="10"/>
        <v/>
      </c>
      <c r="H74" s="2" t="str">
        <f t="shared" si="12"/>
        <v/>
      </c>
      <c r="I74" s="2" t="str">
        <f t="shared" si="11"/>
        <v/>
      </c>
      <c r="J74" s="2" t="str">
        <f t="shared" si="8"/>
        <v/>
      </c>
      <c r="K74" s="2" t="str">
        <f t="shared" si="13"/>
        <v/>
      </c>
      <c r="M74" s="2" t="str">
        <f t="shared" si="9"/>
        <v/>
      </c>
    </row>
    <row r="75" spans="7:13" ht="20.100000000000001" customHeight="1" x14ac:dyDescent="0.25">
      <c r="G75" s="6" t="str">
        <f t="shared" si="10"/>
        <v/>
      </c>
      <c r="H75" s="2" t="str">
        <f t="shared" si="12"/>
        <v/>
      </c>
      <c r="I75" s="2" t="str">
        <f t="shared" si="11"/>
        <v/>
      </c>
      <c r="J75" s="2" t="str">
        <f t="shared" si="8"/>
        <v/>
      </c>
      <c r="K75" s="2" t="str">
        <f t="shared" si="13"/>
        <v/>
      </c>
      <c r="M75" s="2" t="str">
        <f t="shared" si="9"/>
        <v/>
      </c>
    </row>
    <row r="76" spans="7:13" ht="20.100000000000001" customHeight="1" x14ac:dyDescent="0.25">
      <c r="G76" s="6" t="str">
        <f t="shared" si="10"/>
        <v/>
      </c>
      <c r="H76" s="2" t="str">
        <f t="shared" si="12"/>
        <v/>
      </c>
      <c r="I76" s="2" t="str">
        <f t="shared" si="11"/>
        <v/>
      </c>
      <c r="J76" s="2" t="str">
        <f t="shared" si="8"/>
        <v/>
      </c>
      <c r="K76" s="2" t="str">
        <f t="shared" si="13"/>
        <v/>
      </c>
      <c r="M76" s="2" t="str">
        <f t="shared" si="9"/>
        <v/>
      </c>
    </row>
    <row r="77" spans="7:13" ht="20.100000000000001" customHeight="1" x14ac:dyDescent="0.25">
      <c r="G77" s="6" t="str">
        <f t="shared" si="10"/>
        <v/>
      </c>
      <c r="H77" s="2" t="str">
        <f t="shared" si="12"/>
        <v/>
      </c>
      <c r="I77" s="2" t="str">
        <f t="shared" si="11"/>
        <v/>
      </c>
      <c r="J77" s="2" t="str">
        <f t="shared" si="8"/>
        <v/>
      </c>
      <c r="K77" s="2" t="str">
        <f t="shared" si="13"/>
        <v/>
      </c>
      <c r="M77" s="2" t="str">
        <f t="shared" si="9"/>
        <v/>
      </c>
    </row>
    <row r="78" spans="7:13" ht="20.100000000000001" customHeight="1" x14ac:dyDescent="0.25">
      <c r="G78" s="6" t="str">
        <f t="shared" si="10"/>
        <v/>
      </c>
      <c r="H78" s="2" t="str">
        <f t="shared" si="12"/>
        <v/>
      </c>
      <c r="I78" s="2" t="str">
        <f t="shared" si="11"/>
        <v/>
      </c>
      <c r="J78" s="2" t="str">
        <f t="shared" si="8"/>
        <v/>
      </c>
      <c r="K78" s="2" t="str">
        <f t="shared" si="13"/>
        <v/>
      </c>
      <c r="M78" s="2" t="str">
        <f t="shared" si="9"/>
        <v/>
      </c>
    </row>
    <row r="79" spans="7:13" ht="20.100000000000001" customHeight="1" x14ac:dyDescent="0.25">
      <c r="G79" s="6" t="str">
        <f t="shared" si="10"/>
        <v/>
      </c>
      <c r="H79" s="2" t="str">
        <f t="shared" si="12"/>
        <v/>
      </c>
      <c r="I79" s="2" t="str">
        <f t="shared" si="11"/>
        <v/>
      </c>
      <c r="J79" s="2" t="str">
        <f t="shared" si="8"/>
        <v/>
      </c>
      <c r="K79" s="2" t="str">
        <f t="shared" si="13"/>
        <v/>
      </c>
      <c r="M79" s="2" t="str">
        <f t="shared" si="9"/>
        <v/>
      </c>
    </row>
    <row r="80" spans="7:13" ht="20.100000000000001" customHeight="1" x14ac:dyDescent="0.25">
      <c r="G80" s="6" t="str">
        <f t="shared" si="10"/>
        <v/>
      </c>
      <c r="H80" s="2" t="str">
        <f t="shared" si="12"/>
        <v/>
      </c>
      <c r="I80" s="2" t="str">
        <f t="shared" si="11"/>
        <v/>
      </c>
      <c r="J80" s="2" t="str">
        <f t="shared" si="8"/>
        <v/>
      </c>
      <c r="K80" s="2" t="str">
        <f t="shared" si="13"/>
        <v/>
      </c>
      <c r="M80" s="2" t="str">
        <f t="shared" si="9"/>
        <v/>
      </c>
    </row>
    <row r="81" spans="7:13" ht="20.100000000000001" customHeight="1" x14ac:dyDescent="0.25">
      <c r="G81" s="6" t="str">
        <f t="shared" si="10"/>
        <v/>
      </c>
      <c r="H81" s="2" t="str">
        <f t="shared" si="12"/>
        <v/>
      </c>
      <c r="I81" s="2" t="str">
        <f t="shared" si="11"/>
        <v/>
      </c>
      <c r="J81" s="2" t="str">
        <f t="shared" si="8"/>
        <v/>
      </c>
      <c r="K81" s="2" t="str">
        <f t="shared" si="13"/>
        <v/>
      </c>
      <c r="M81" s="2" t="str">
        <f t="shared" si="9"/>
        <v/>
      </c>
    </row>
    <row r="82" spans="7:13" ht="20.100000000000001" customHeight="1" x14ac:dyDescent="0.25">
      <c r="G82" s="6" t="str">
        <f t="shared" si="10"/>
        <v/>
      </c>
      <c r="H82" s="2" t="str">
        <f t="shared" si="12"/>
        <v/>
      </c>
      <c r="I82" s="2" t="str">
        <f t="shared" si="11"/>
        <v/>
      </c>
      <c r="J82" s="2" t="str">
        <f t="shared" si="8"/>
        <v/>
      </c>
      <c r="K82" s="2" t="str">
        <f t="shared" si="13"/>
        <v/>
      </c>
      <c r="M82" s="2" t="str">
        <f t="shared" si="9"/>
        <v/>
      </c>
    </row>
    <row r="83" spans="7:13" ht="20.100000000000001" customHeight="1" x14ac:dyDescent="0.25">
      <c r="G83" s="6" t="str">
        <f t="shared" si="10"/>
        <v/>
      </c>
      <c r="H83" s="2" t="str">
        <f t="shared" si="12"/>
        <v/>
      </c>
      <c r="I83" s="2" t="str">
        <f t="shared" si="11"/>
        <v/>
      </c>
      <c r="J83" s="2" t="str">
        <f t="shared" si="8"/>
        <v/>
      </c>
      <c r="K83" s="2" t="str">
        <f t="shared" si="13"/>
        <v/>
      </c>
      <c r="M83" s="2" t="str">
        <f t="shared" si="9"/>
        <v/>
      </c>
    </row>
    <row r="84" spans="7:13" ht="20.100000000000001" customHeight="1" x14ac:dyDescent="0.25">
      <c r="G84" s="6" t="str">
        <f t="shared" si="10"/>
        <v/>
      </c>
      <c r="H84" s="2" t="str">
        <f t="shared" si="12"/>
        <v/>
      </c>
      <c r="I84" s="2" t="str">
        <f t="shared" si="11"/>
        <v/>
      </c>
      <c r="J84" s="2" t="str">
        <f t="shared" si="8"/>
        <v/>
      </c>
      <c r="K84" s="2" t="str">
        <f t="shared" si="13"/>
        <v/>
      </c>
      <c r="M84" s="2" t="str">
        <f t="shared" si="9"/>
        <v/>
      </c>
    </row>
    <row r="85" spans="7:13" ht="20.100000000000001" customHeight="1" x14ac:dyDescent="0.25">
      <c r="G85" s="6" t="str">
        <f t="shared" si="10"/>
        <v/>
      </c>
      <c r="H85" s="2" t="str">
        <f t="shared" si="12"/>
        <v/>
      </c>
      <c r="I85" s="2" t="str">
        <f t="shared" si="11"/>
        <v/>
      </c>
      <c r="J85" s="2" t="str">
        <f t="shared" si="8"/>
        <v/>
      </c>
      <c r="K85" s="2" t="str">
        <f t="shared" si="13"/>
        <v/>
      </c>
      <c r="M85" s="2" t="str">
        <f t="shared" si="9"/>
        <v/>
      </c>
    </row>
    <row r="86" spans="7:13" ht="20.100000000000001" customHeight="1" x14ac:dyDescent="0.25">
      <c r="G86" s="6" t="str">
        <f t="shared" si="10"/>
        <v/>
      </c>
      <c r="H86" s="2" t="str">
        <f t="shared" si="12"/>
        <v/>
      </c>
      <c r="I86" s="2" t="str">
        <f t="shared" si="11"/>
        <v/>
      </c>
      <c r="J86" s="2" t="str">
        <f t="shared" si="8"/>
        <v/>
      </c>
      <c r="K86" s="2" t="str">
        <f t="shared" si="13"/>
        <v/>
      </c>
      <c r="M86" s="2" t="str">
        <f t="shared" si="9"/>
        <v/>
      </c>
    </row>
    <row r="87" spans="7:13" ht="20.100000000000001" customHeight="1" x14ac:dyDescent="0.25">
      <c r="G87" s="6" t="str">
        <f t="shared" si="10"/>
        <v/>
      </c>
      <c r="H87" s="2" t="str">
        <f t="shared" si="12"/>
        <v/>
      </c>
      <c r="I87" s="2" t="str">
        <f t="shared" si="11"/>
        <v/>
      </c>
      <c r="J87" s="2" t="str">
        <f t="shared" si="8"/>
        <v/>
      </c>
      <c r="K87" s="2" t="str">
        <f t="shared" si="13"/>
        <v/>
      </c>
      <c r="M87" s="2" t="str">
        <f t="shared" si="9"/>
        <v/>
      </c>
    </row>
    <row r="88" spans="7:13" ht="20.100000000000001" customHeight="1" x14ac:dyDescent="0.25">
      <c r="G88" s="6" t="str">
        <f t="shared" si="10"/>
        <v/>
      </c>
      <c r="H88" s="2" t="str">
        <f t="shared" si="12"/>
        <v/>
      </c>
      <c r="I88" s="2" t="str">
        <f t="shared" si="11"/>
        <v/>
      </c>
      <c r="J88" s="2" t="str">
        <f t="shared" si="8"/>
        <v/>
      </c>
      <c r="K88" s="2" t="str">
        <f t="shared" si="13"/>
        <v/>
      </c>
      <c r="M88" s="2" t="str">
        <f t="shared" si="9"/>
        <v/>
      </c>
    </row>
    <row r="89" spans="7:13" ht="20.100000000000001" customHeight="1" x14ac:dyDescent="0.25">
      <c r="G89" s="6" t="str">
        <f t="shared" si="10"/>
        <v/>
      </c>
      <c r="H89" s="2" t="str">
        <f t="shared" si="12"/>
        <v/>
      </c>
      <c r="I89" s="2" t="str">
        <f t="shared" si="11"/>
        <v/>
      </c>
      <c r="J89" s="2" t="str">
        <f t="shared" si="8"/>
        <v/>
      </c>
      <c r="K89" s="2" t="str">
        <f t="shared" si="13"/>
        <v/>
      </c>
      <c r="M89" s="2" t="str">
        <f t="shared" si="9"/>
        <v/>
      </c>
    </row>
    <row r="90" spans="7:13" ht="20.100000000000001" customHeight="1" x14ac:dyDescent="0.25">
      <c r="G90" s="6" t="str">
        <f t="shared" si="10"/>
        <v/>
      </c>
      <c r="H90" s="2" t="str">
        <f t="shared" si="12"/>
        <v/>
      </c>
      <c r="I90" s="2" t="str">
        <f t="shared" si="11"/>
        <v/>
      </c>
      <c r="J90" s="2" t="str">
        <f t="shared" si="8"/>
        <v/>
      </c>
      <c r="K90" s="2" t="str">
        <f t="shared" si="13"/>
        <v/>
      </c>
      <c r="M90" s="2" t="str">
        <f t="shared" si="9"/>
        <v/>
      </c>
    </row>
    <row r="91" spans="7:13" ht="20.100000000000001" customHeight="1" x14ac:dyDescent="0.25">
      <c r="G91" s="6" t="str">
        <f t="shared" si="10"/>
        <v/>
      </c>
      <c r="H91" s="2" t="str">
        <f t="shared" si="12"/>
        <v/>
      </c>
      <c r="I91" s="2" t="str">
        <f t="shared" si="11"/>
        <v/>
      </c>
      <c r="J91" s="2" t="str">
        <f t="shared" si="8"/>
        <v/>
      </c>
      <c r="K91" s="2" t="str">
        <f t="shared" si="13"/>
        <v/>
      </c>
      <c r="M91" s="2" t="str">
        <f t="shared" si="9"/>
        <v/>
      </c>
    </row>
    <row r="92" spans="7:13" ht="20.100000000000001" customHeight="1" x14ac:dyDescent="0.25">
      <c r="G92" s="6" t="str">
        <f t="shared" si="10"/>
        <v/>
      </c>
      <c r="H92" s="2" t="str">
        <f t="shared" si="12"/>
        <v/>
      </c>
      <c r="I92" s="2" t="str">
        <f t="shared" si="11"/>
        <v/>
      </c>
      <c r="J92" s="2" t="str">
        <f t="shared" si="8"/>
        <v/>
      </c>
      <c r="K92" s="2" t="str">
        <f t="shared" si="13"/>
        <v/>
      </c>
      <c r="M92" s="2" t="str">
        <f t="shared" si="9"/>
        <v/>
      </c>
    </row>
    <row r="93" spans="7:13" ht="20.100000000000001" customHeight="1" x14ac:dyDescent="0.25">
      <c r="G93" s="6" t="str">
        <f t="shared" si="10"/>
        <v/>
      </c>
      <c r="H93" s="2" t="str">
        <f t="shared" si="12"/>
        <v/>
      </c>
      <c r="I93" s="2" t="str">
        <f t="shared" si="11"/>
        <v/>
      </c>
      <c r="J93" s="2" t="str">
        <f t="shared" si="8"/>
        <v/>
      </c>
      <c r="K93" s="2" t="str">
        <f t="shared" si="13"/>
        <v/>
      </c>
      <c r="M93" s="2" t="str">
        <f t="shared" si="9"/>
        <v/>
      </c>
    </row>
    <row r="94" spans="7:13" ht="20.100000000000001" customHeight="1" x14ac:dyDescent="0.25">
      <c r="G94" s="6" t="str">
        <f t="shared" si="10"/>
        <v/>
      </c>
      <c r="H94" s="2" t="str">
        <f t="shared" si="12"/>
        <v/>
      </c>
      <c r="I94" s="2" t="str">
        <f t="shared" si="11"/>
        <v/>
      </c>
      <c r="J94" s="2" t="str">
        <f t="shared" si="8"/>
        <v/>
      </c>
      <c r="K94" s="2" t="str">
        <f t="shared" si="13"/>
        <v/>
      </c>
      <c r="M94" s="2" t="str">
        <f t="shared" si="9"/>
        <v/>
      </c>
    </row>
    <row r="95" spans="7:13" ht="20.100000000000001" customHeight="1" x14ac:dyDescent="0.25">
      <c r="G95" s="6" t="str">
        <f t="shared" si="10"/>
        <v/>
      </c>
      <c r="H95" s="2" t="str">
        <f t="shared" si="12"/>
        <v/>
      </c>
      <c r="I95" s="2" t="str">
        <f t="shared" si="11"/>
        <v/>
      </c>
      <c r="J95" s="2" t="str">
        <f t="shared" si="8"/>
        <v/>
      </c>
      <c r="K95" s="2" t="str">
        <f t="shared" si="13"/>
        <v/>
      </c>
      <c r="M95" s="2" t="str">
        <f t="shared" si="9"/>
        <v/>
      </c>
    </row>
    <row r="96" spans="7:13" ht="20.100000000000001" customHeight="1" x14ac:dyDescent="0.25">
      <c r="G96" s="6" t="str">
        <f t="shared" si="10"/>
        <v/>
      </c>
      <c r="H96" s="2" t="str">
        <f t="shared" si="12"/>
        <v/>
      </c>
      <c r="I96" s="2" t="str">
        <f t="shared" si="11"/>
        <v/>
      </c>
      <c r="J96" s="2" t="str">
        <f t="shared" si="8"/>
        <v/>
      </c>
      <c r="K96" s="2" t="str">
        <f t="shared" si="13"/>
        <v/>
      </c>
      <c r="M96" s="2" t="str">
        <f t="shared" si="9"/>
        <v/>
      </c>
    </row>
    <row r="97" spans="7:13" ht="20.100000000000001" customHeight="1" x14ac:dyDescent="0.25">
      <c r="G97" s="6" t="str">
        <f t="shared" si="10"/>
        <v/>
      </c>
      <c r="H97" s="2" t="str">
        <f t="shared" si="12"/>
        <v/>
      </c>
      <c r="I97" s="2" t="str">
        <f t="shared" si="11"/>
        <v/>
      </c>
      <c r="J97" s="2" t="str">
        <f t="shared" si="8"/>
        <v/>
      </c>
      <c r="K97" s="2" t="str">
        <f t="shared" si="13"/>
        <v/>
      </c>
      <c r="M97" s="2" t="str">
        <f t="shared" si="9"/>
        <v/>
      </c>
    </row>
    <row r="98" spans="7:13" ht="20.100000000000001" customHeight="1" x14ac:dyDescent="0.25">
      <c r="G98" s="6" t="str">
        <f t="shared" si="10"/>
        <v/>
      </c>
      <c r="H98" s="2" t="str">
        <f t="shared" si="12"/>
        <v/>
      </c>
      <c r="I98" s="2" t="str">
        <f t="shared" si="11"/>
        <v/>
      </c>
      <c r="J98" s="2" t="str">
        <f t="shared" si="8"/>
        <v/>
      </c>
      <c r="K98" s="2" t="str">
        <f t="shared" si="13"/>
        <v/>
      </c>
      <c r="M98" s="2" t="str">
        <f t="shared" si="9"/>
        <v/>
      </c>
    </row>
    <row r="99" spans="7:13" ht="20.100000000000001" customHeight="1" x14ac:dyDescent="0.25">
      <c r="G99" s="6" t="str">
        <f t="shared" si="10"/>
        <v/>
      </c>
      <c r="H99" s="2" t="str">
        <f t="shared" si="12"/>
        <v/>
      </c>
      <c r="I99" s="2" t="str">
        <f t="shared" si="11"/>
        <v/>
      </c>
      <c r="J99" s="2" t="str">
        <f t="shared" si="8"/>
        <v/>
      </c>
      <c r="K99" s="2" t="str">
        <f t="shared" si="13"/>
        <v/>
      </c>
      <c r="M99" s="2" t="str">
        <f t="shared" si="9"/>
        <v/>
      </c>
    </row>
    <row r="100" spans="7:13" ht="20.100000000000001" customHeight="1" x14ac:dyDescent="0.25">
      <c r="G100" s="6" t="str">
        <f t="shared" si="10"/>
        <v/>
      </c>
      <c r="H100" s="2" t="str">
        <f t="shared" si="12"/>
        <v/>
      </c>
      <c r="I100" s="2" t="str">
        <f t="shared" si="11"/>
        <v/>
      </c>
      <c r="J100" s="2" t="str">
        <f t="shared" si="8"/>
        <v/>
      </c>
      <c r="K100" s="2" t="str">
        <f t="shared" si="13"/>
        <v/>
      </c>
      <c r="M100" s="2" t="str">
        <f t="shared" si="9"/>
        <v/>
      </c>
    </row>
    <row r="101" spans="7:13" ht="20.100000000000001" customHeight="1" x14ac:dyDescent="0.25">
      <c r="G101" s="6" t="str">
        <f t="shared" si="10"/>
        <v/>
      </c>
      <c r="H101" s="2" t="str">
        <f t="shared" si="12"/>
        <v/>
      </c>
      <c r="I101" s="2" t="str">
        <f t="shared" si="11"/>
        <v/>
      </c>
      <c r="J101" s="2" t="str">
        <f t="shared" si="8"/>
        <v/>
      </c>
      <c r="K101" s="2" t="str">
        <f t="shared" si="13"/>
        <v/>
      </c>
      <c r="M101" s="2" t="str">
        <f t="shared" si="9"/>
        <v/>
      </c>
    </row>
    <row r="102" spans="7:13" ht="20.100000000000001" customHeight="1" x14ac:dyDescent="0.25">
      <c r="G102" s="6" t="str">
        <f t="shared" si="10"/>
        <v/>
      </c>
      <c r="H102" s="2" t="str">
        <f t="shared" si="12"/>
        <v/>
      </c>
      <c r="I102" s="2" t="str">
        <f t="shared" si="11"/>
        <v/>
      </c>
      <c r="J102" s="2" t="str">
        <f t="shared" si="8"/>
        <v/>
      </c>
      <c r="K102" s="2" t="str">
        <f t="shared" si="13"/>
        <v/>
      </c>
      <c r="M102" s="2" t="str">
        <f t="shared" si="9"/>
        <v/>
      </c>
    </row>
    <row r="103" spans="7:13" ht="20.100000000000001" customHeight="1" x14ac:dyDescent="0.25">
      <c r="G103" s="6" t="str">
        <f t="shared" si="10"/>
        <v/>
      </c>
      <c r="H103" s="2" t="str">
        <f t="shared" si="12"/>
        <v/>
      </c>
      <c r="I103" s="2" t="str">
        <f t="shared" si="11"/>
        <v/>
      </c>
      <c r="J103" s="2" t="str">
        <f t="shared" si="8"/>
        <v/>
      </c>
      <c r="K103" s="2" t="str">
        <f t="shared" si="13"/>
        <v/>
      </c>
      <c r="M103" s="2" t="str">
        <f t="shared" si="9"/>
        <v/>
      </c>
    </row>
    <row r="104" spans="7:13" ht="20.100000000000001" customHeight="1" x14ac:dyDescent="0.25">
      <c r="G104" s="6" t="str">
        <f t="shared" si="10"/>
        <v/>
      </c>
      <c r="H104" s="2" t="str">
        <f t="shared" si="12"/>
        <v/>
      </c>
      <c r="I104" s="2" t="str">
        <f t="shared" si="11"/>
        <v/>
      </c>
      <c r="J104" s="2" t="str">
        <f t="shared" si="8"/>
        <v/>
      </c>
      <c r="K104" s="2" t="str">
        <f t="shared" si="13"/>
        <v/>
      </c>
      <c r="M104" s="2" t="str">
        <f t="shared" si="9"/>
        <v/>
      </c>
    </row>
    <row r="105" spans="7:13" ht="20.100000000000001" customHeight="1" x14ac:dyDescent="0.25">
      <c r="G105" s="6" t="str">
        <f t="shared" si="10"/>
        <v/>
      </c>
      <c r="H105" s="2" t="str">
        <f t="shared" si="12"/>
        <v/>
      </c>
      <c r="I105" s="2" t="str">
        <f t="shared" si="11"/>
        <v/>
      </c>
      <c r="J105" s="2" t="str">
        <f t="shared" si="8"/>
        <v/>
      </c>
      <c r="K105" s="2" t="str">
        <f t="shared" si="13"/>
        <v/>
      </c>
      <c r="M105" s="2" t="str">
        <f t="shared" si="9"/>
        <v/>
      </c>
    </row>
    <row r="106" spans="7:13" ht="20.100000000000001" customHeight="1" x14ac:dyDescent="0.25">
      <c r="G106" s="6" t="str">
        <f t="shared" si="10"/>
        <v/>
      </c>
      <c r="H106" s="2" t="str">
        <f t="shared" si="12"/>
        <v/>
      </c>
      <c r="I106" s="2" t="str">
        <f t="shared" si="11"/>
        <v/>
      </c>
      <c r="J106" s="2" t="str">
        <f t="shared" si="8"/>
        <v/>
      </c>
      <c r="K106" s="2" t="str">
        <f t="shared" si="13"/>
        <v/>
      </c>
      <c r="M106" s="2" t="str">
        <f t="shared" si="9"/>
        <v/>
      </c>
    </row>
    <row r="107" spans="7:13" ht="20.100000000000001" customHeight="1" x14ac:dyDescent="0.25">
      <c r="G107" s="6" t="str">
        <f t="shared" si="10"/>
        <v/>
      </c>
      <c r="H107" s="2" t="str">
        <f t="shared" si="12"/>
        <v/>
      </c>
      <c r="I107" s="2" t="str">
        <f t="shared" si="11"/>
        <v/>
      </c>
      <c r="J107" s="2" t="str">
        <f t="shared" si="8"/>
        <v/>
      </c>
      <c r="K107" s="2" t="str">
        <f t="shared" si="13"/>
        <v/>
      </c>
      <c r="M107" s="2" t="str">
        <f t="shared" si="9"/>
        <v/>
      </c>
    </row>
    <row r="108" spans="7:13" ht="20.100000000000001" customHeight="1" x14ac:dyDescent="0.25">
      <c r="G108" s="6" t="str">
        <f t="shared" si="10"/>
        <v/>
      </c>
      <c r="H108" s="2" t="str">
        <f t="shared" si="12"/>
        <v/>
      </c>
      <c r="I108" s="2" t="str">
        <f t="shared" si="11"/>
        <v/>
      </c>
      <c r="J108" s="2" t="str">
        <f t="shared" si="8"/>
        <v/>
      </c>
      <c r="K108" s="2" t="str">
        <f t="shared" si="13"/>
        <v/>
      </c>
      <c r="M108" s="2" t="str">
        <f t="shared" si="9"/>
        <v/>
      </c>
    </row>
    <row r="109" spans="7:13" ht="20.100000000000001" customHeight="1" x14ac:dyDescent="0.25">
      <c r="G109" s="6" t="str">
        <f t="shared" si="10"/>
        <v/>
      </c>
      <c r="H109" s="2" t="str">
        <f t="shared" si="12"/>
        <v/>
      </c>
      <c r="I109" s="2" t="str">
        <f t="shared" si="11"/>
        <v/>
      </c>
      <c r="J109" s="2" t="str">
        <f t="shared" si="8"/>
        <v/>
      </c>
      <c r="K109" s="2" t="str">
        <f t="shared" si="13"/>
        <v/>
      </c>
      <c r="M109" s="2" t="str">
        <f t="shared" si="9"/>
        <v/>
      </c>
    </row>
    <row r="110" spans="7:13" ht="20.100000000000001" customHeight="1" x14ac:dyDescent="0.25">
      <c r="G110" s="6" t="str">
        <f t="shared" si="10"/>
        <v/>
      </c>
      <c r="H110" s="2" t="str">
        <f t="shared" si="12"/>
        <v/>
      </c>
      <c r="I110" s="2" t="str">
        <f t="shared" si="11"/>
        <v/>
      </c>
      <c r="J110" s="2" t="str">
        <f t="shared" si="8"/>
        <v/>
      </c>
      <c r="K110" s="2" t="str">
        <f t="shared" si="13"/>
        <v/>
      </c>
      <c r="M110" s="2" t="str">
        <f t="shared" si="9"/>
        <v/>
      </c>
    </row>
    <row r="111" spans="7:13" ht="20.100000000000001" customHeight="1" x14ac:dyDescent="0.25">
      <c r="G111" s="6" t="str">
        <f t="shared" si="10"/>
        <v/>
      </c>
      <c r="H111" s="2" t="str">
        <f t="shared" si="12"/>
        <v/>
      </c>
      <c r="I111" s="2" t="str">
        <f t="shared" si="11"/>
        <v/>
      </c>
      <c r="J111" s="2" t="str">
        <f t="shared" si="8"/>
        <v/>
      </c>
      <c r="K111" s="2" t="str">
        <f t="shared" si="13"/>
        <v/>
      </c>
      <c r="M111" s="2" t="str">
        <f t="shared" si="9"/>
        <v/>
      </c>
    </row>
    <row r="112" spans="7:13" ht="20.100000000000001" customHeight="1" x14ac:dyDescent="0.25">
      <c r="G112" s="6" t="str">
        <f t="shared" si="10"/>
        <v/>
      </c>
      <c r="H112" s="2" t="str">
        <f t="shared" si="12"/>
        <v/>
      </c>
      <c r="I112" s="2" t="str">
        <f t="shared" si="11"/>
        <v/>
      </c>
      <c r="J112" s="2" t="str">
        <f t="shared" si="8"/>
        <v/>
      </c>
      <c r="K112" s="2" t="str">
        <f t="shared" si="13"/>
        <v/>
      </c>
      <c r="M112" s="2" t="str">
        <f t="shared" si="9"/>
        <v/>
      </c>
    </row>
    <row r="113" spans="7:13" ht="20.100000000000001" customHeight="1" x14ac:dyDescent="0.25">
      <c r="G113" s="6" t="str">
        <f t="shared" si="10"/>
        <v/>
      </c>
      <c r="H113" s="2" t="str">
        <f t="shared" si="12"/>
        <v/>
      </c>
      <c r="I113" s="2" t="str">
        <f t="shared" si="11"/>
        <v/>
      </c>
      <c r="J113" s="2" t="str">
        <f t="shared" si="8"/>
        <v/>
      </c>
      <c r="K113" s="2" t="str">
        <f t="shared" si="13"/>
        <v/>
      </c>
      <c r="M113" s="2" t="str">
        <f t="shared" si="9"/>
        <v/>
      </c>
    </row>
    <row r="114" spans="7:13" ht="20.100000000000001" customHeight="1" x14ac:dyDescent="0.25">
      <c r="G114" s="6" t="str">
        <f t="shared" si="10"/>
        <v/>
      </c>
      <c r="H114" s="2" t="str">
        <f t="shared" si="12"/>
        <v/>
      </c>
      <c r="I114" s="2" t="str">
        <f t="shared" si="11"/>
        <v/>
      </c>
      <c r="J114" s="2" t="str">
        <f t="shared" si="8"/>
        <v/>
      </c>
      <c r="K114" s="2" t="str">
        <f t="shared" si="13"/>
        <v/>
      </c>
      <c r="M114" s="2" t="str">
        <f t="shared" si="9"/>
        <v/>
      </c>
    </row>
    <row r="115" spans="7:13" ht="20.100000000000001" customHeight="1" x14ac:dyDescent="0.25">
      <c r="G115" s="6" t="str">
        <f t="shared" si="10"/>
        <v/>
      </c>
      <c r="H115" s="2" t="str">
        <f t="shared" si="12"/>
        <v/>
      </c>
      <c r="I115" s="2" t="str">
        <f t="shared" si="11"/>
        <v/>
      </c>
      <c r="J115" s="2" t="str">
        <f t="shared" si="8"/>
        <v/>
      </c>
      <c r="K115" s="2" t="str">
        <f t="shared" si="13"/>
        <v/>
      </c>
      <c r="M115" s="2" t="str">
        <f t="shared" si="9"/>
        <v/>
      </c>
    </row>
    <row r="116" spans="7:13" ht="20.100000000000001" customHeight="1" x14ac:dyDescent="0.25">
      <c r="G116" s="6" t="str">
        <f t="shared" si="10"/>
        <v/>
      </c>
      <c r="H116" s="2" t="str">
        <f t="shared" si="12"/>
        <v/>
      </c>
      <c r="I116" s="2" t="str">
        <f t="shared" si="11"/>
        <v/>
      </c>
      <c r="J116" s="2" t="str">
        <f t="shared" si="8"/>
        <v/>
      </c>
      <c r="K116" s="2" t="str">
        <f t="shared" si="13"/>
        <v/>
      </c>
      <c r="M116" s="2" t="str">
        <f t="shared" si="9"/>
        <v/>
      </c>
    </row>
    <row r="117" spans="7:13" ht="20.100000000000001" customHeight="1" x14ac:dyDescent="0.25">
      <c r="G117" s="6" t="str">
        <f t="shared" si="10"/>
        <v/>
      </c>
      <c r="H117" s="2" t="str">
        <f t="shared" si="12"/>
        <v/>
      </c>
      <c r="I117" s="2" t="str">
        <f t="shared" si="11"/>
        <v/>
      </c>
      <c r="J117" s="2" t="str">
        <f t="shared" si="8"/>
        <v/>
      </c>
      <c r="K117" s="2" t="str">
        <f t="shared" si="13"/>
        <v/>
      </c>
      <c r="M117" s="2" t="str">
        <f t="shared" si="9"/>
        <v/>
      </c>
    </row>
    <row r="118" spans="7:13" ht="20.100000000000001" customHeight="1" x14ac:dyDescent="0.25">
      <c r="G118" s="6" t="str">
        <f t="shared" si="10"/>
        <v/>
      </c>
      <c r="H118" s="2" t="str">
        <f t="shared" si="12"/>
        <v/>
      </c>
      <c r="I118" s="2" t="str">
        <f t="shared" si="11"/>
        <v/>
      </c>
      <c r="J118" s="2" t="str">
        <f t="shared" si="8"/>
        <v/>
      </c>
      <c r="K118" s="2" t="str">
        <f t="shared" si="13"/>
        <v/>
      </c>
      <c r="M118" s="2" t="str">
        <f t="shared" si="9"/>
        <v/>
      </c>
    </row>
    <row r="119" spans="7:13" ht="20.100000000000001" customHeight="1" x14ac:dyDescent="0.25">
      <c r="G119" s="6" t="str">
        <f t="shared" si="10"/>
        <v/>
      </c>
      <c r="H119" s="2" t="str">
        <f t="shared" si="12"/>
        <v/>
      </c>
      <c r="I119" s="2" t="str">
        <f t="shared" si="11"/>
        <v/>
      </c>
      <c r="J119" s="2" t="str">
        <f t="shared" si="8"/>
        <v/>
      </c>
      <c r="K119" s="2" t="str">
        <f t="shared" si="13"/>
        <v/>
      </c>
      <c r="M119" s="2" t="str">
        <f t="shared" si="9"/>
        <v/>
      </c>
    </row>
    <row r="120" spans="7:13" ht="20.100000000000001" customHeight="1" x14ac:dyDescent="0.25">
      <c r="G120" s="6" t="str">
        <f t="shared" si="10"/>
        <v/>
      </c>
      <c r="H120" s="2" t="str">
        <f t="shared" si="12"/>
        <v/>
      </c>
      <c r="I120" s="2" t="str">
        <f t="shared" si="11"/>
        <v/>
      </c>
      <c r="J120" s="2" t="str">
        <f t="shared" si="8"/>
        <v/>
      </c>
      <c r="K120" s="2" t="str">
        <f t="shared" si="13"/>
        <v/>
      </c>
      <c r="M120" s="2" t="str">
        <f t="shared" si="9"/>
        <v/>
      </c>
    </row>
    <row r="121" spans="7:13" ht="20.100000000000001" customHeight="1" x14ac:dyDescent="0.25">
      <c r="G121" s="6" t="str">
        <f t="shared" si="10"/>
        <v/>
      </c>
      <c r="H121" s="2" t="str">
        <f t="shared" si="12"/>
        <v/>
      </c>
      <c r="I121" s="2" t="str">
        <f t="shared" si="11"/>
        <v/>
      </c>
      <c r="J121" s="2" t="str">
        <f t="shared" si="8"/>
        <v/>
      </c>
      <c r="K121" s="2" t="str">
        <f t="shared" si="13"/>
        <v/>
      </c>
      <c r="M121" s="2" t="str">
        <f t="shared" si="9"/>
        <v/>
      </c>
    </row>
    <row r="122" spans="7:13" ht="20.100000000000001" customHeight="1" x14ac:dyDescent="0.25">
      <c r="G122" s="6" t="str">
        <f t="shared" si="10"/>
        <v/>
      </c>
      <c r="H122" s="2" t="str">
        <f t="shared" si="12"/>
        <v/>
      </c>
      <c r="I122" s="2" t="str">
        <f t="shared" si="11"/>
        <v/>
      </c>
      <c r="J122" s="2" t="str">
        <f t="shared" si="8"/>
        <v/>
      </c>
      <c r="K122" s="2" t="str">
        <f t="shared" si="13"/>
        <v/>
      </c>
      <c r="M122" s="2" t="str">
        <f t="shared" si="9"/>
        <v/>
      </c>
    </row>
    <row r="123" spans="7:13" ht="20.100000000000001" customHeight="1" x14ac:dyDescent="0.25">
      <c r="G123" s="6" t="str">
        <f t="shared" si="10"/>
        <v/>
      </c>
      <c r="H123" s="2" t="str">
        <f t="shared" si="12"/>
        <v/>
      </c>
      <c r="I123" s="2" t="str">
        <f t="shared" si="11"/>
        <v/>
      </c>
      <c r="J123" s="2" t="str">
        <f t="shared" si="8"/>
        <v/>
      </c>
      <c r="K123" s="2" t="str">
        <f t="shared" si="13"/>
        <v/>
      </c>
      <c r="M123" s="2" t="str">
        <f t="shared" si="9"/>
        <v/>
      </c>
    </row>
    <row r="124" spans="7:13" ht="20.100000000000001" customHeight="1" x14ac:dyDescent="0.25">
      <c r="G124" s="6" t="str">
        <f t="shared" si="10"/>
        <v/>
      </c>
      <c r="H124" s="2" t="str">
        <f t="shared" si="12"/>
        <v/>
      </c>
      <c r="I124" s="2" t="str">
        <f t="shared" si="11"/>
        <v/>
      </c>
      <c r="J124" s="2" t="str">
        <f t="shared" si="8"/>
        <v/>
      </c>
      <c r="K124" s="2" t="str">
        <f t="shared" si="13"/>
        <v/>
      </c>
      <c r="M124" s="2" t="str">
        <f t="shared" si="9"/>
        <v/>
      </c>
    </row>
    <row r="125" spans="7:13" ht="20.100000000000001" customHeight="1" x14ac:dyDescent="0.25">
      <c r="G125" s="6" t="str">
        <f t="shared" si="10"/>
        <v/>
      </c>
      <c r="H125" s="2" t="str">
        <f t="shared" si="12"/>
        <v/>
      </c>
      <c r="I125" s="2" t="str">
        <f t="shared" si="11"/>
        <v/>
      </c>
      <c r="J125" s="2" t="str">
        <f t="shared" si="8"/>
        <v/>
      </c>
      <c r="K125" s="2" t="str">
        <f t="shared" si="13"/>
        <v/>
      </c>
      <c r="M125" s="2" t="str">
        <f t="shared" si="9"/>
        <v/>
      </c>
    </row>
    <row r="126" spans="7:13" ht="20.100000000000001" customHeight="1" x14ac:dyDescent="0.25">
      <c r="G126" s="6" t="str">
        <f t="shared" si="10"/>
        <v/>
      </c>
      <c r="H126" s="2" t="str">
        <f t="shared" si="12"/>
        <v/>
      </c>
      <c r="I126" s="2" t="str">
        <f t="shared" si="11"/>
        <v/>
      </c>
      <c r="J126" s="2" t="str">
        <f t="shared" si="8"/>
        <v/>
      </c>
      <c r="K126" s="2" t="str">
        <f t="shared" si="13"/>
        <v/>
      </c>
      <c r="M126" s="2" t="str">
        <f t="shared" si="9"/>
        <v/>
      </c>
    </row>
    <row r="127" spans="7:13" ht="20.100000000000001" customHeight="1" x14ac:dyDescent="0.25">
      <c r="G127" s="6" t="str">
        <f t="shared" si="10"/>
        <v/>
      </c>
      <c r="H127" s="2" t="str">
        <f t="shared" si="12"/>
        <v/>
      </c>
      <c r="I127" s="2" t="str">
        <f t="shared" si="11"/>
        <v/>
      </c>
      <c r="J127" s="2" t="str">
        <f t="shared" si="8"/>
        <v/>
      </c>
      <c r="K127" s="2" t="str">
        <f t="shared" si="13"/>
        <v/>
      </c>
      <c r="M127" s="2" t="str">
        <f t="shared" si="9"/>
        <v/>
      </c>
    </row>
    <row r="128" spans="7:13" ht="20.100000000000001" customHeight="1" x14ac:dyDescent="0.25">
      <c r="G128" s="6" t="str">
        <f t="shared" si="10"/>
        <v/>
      </c>
      <c r="H128" s="2" t="str">
        <f t="shared" si="12"/>
        <v/>
      </c>
      <c r="I128" s="2" t="str">
        <f t="shared" si="11"/>
        <v/>
      </c>
      <c r="J128" s="2" t="str">
        <f t="shared" si="8"/>
        <v/>
      </c>
      <c r="K128" s="2" t="str">
        <f t="shared" si="13"/>
        <v/>
      </c>
      <c r="M128" s="2" t="str">
        <f t="shared" si="9"/>
        <v/>
      </c>
    </row>
    <row r="129" spans="7:13" ht="20.100000000000001" customHeight="1" x14ac:dyDescent="0.25">
      <c r="G129" s="6" t="str">
        <f t="shared" si="10"/>
        <v/>
      </c>
      <c r="H129" s="2" t="str">
        <f t="shared" si="12"/>
        <v/>
      </c>
      <c r="I129" s="2" t="str">
        <f t="shared" si="11"/>
        <v/>
      </c>
      <c r="J129" s="2" t="str">
        <f t="shared" si="8"/>
        <v/>
      </c>
      <c r="K129" s="2" t="str">
        <f t="shared" si="13"/>
        <v/>
      </c>
      <c r="M129" s="2" t="str">
        <f t="shared" si="9"/>
        <v/>
      </c>
    </row>
    <row r="130" spans="7:13" ht="20.100000000000001" customHeight="1" x14ac:dyDescent="0.25">
      <c r="G130" s="6" t="str">
        <f t="shared" si="10"/>
        <v/>
      </c>
      <c r="H130" s="2" t="str">
        <f t="shared" si="12"/>
        <v/>
      </c>
      <c r="I130" s="2" t="str">
        <f t="shared" si="11"/>
        <v/>
      </c>
      <c r="J130" s="2" t="str">
        <f t="shared" si="8"/>
        <v/>
      </c>
      <c r="K130" s="2" t="str">
        <f t="shared" si="13"/>
        <v/>
      </c>
      <c r="M130" s="2" t="str">
        <f t="shared" si="9"/>
        <v/>
      </c>
    </row>
    <row r="131" spans="7:13" ht="20.100000000000001" customHeight="1" x14ac:dyDescent="0.25">
      <c r="G131" s="6" t="str">
        <f t="shared" si="10"/>
        <v/>
      </c>
      <c r="H131" s="2" t="str">
        <f t="shared" si="12"/>
        <v/>
      </c>
      <c r="I131" s="2" t="str">
        <f t="shared" si="11"/>
        <v/>
      </c>
      <c r="J131" s="2" t="str">
        <f t="shared" si="8"/>
        <v/>
      </c>
      <c r="K131" s="2" t="str">
        <f t="shared" si="13"/>
        <v/>
      </c>
      <c r="M131" s="2" t="str">
        <f t="shared" si="9"/>
        <v/>
      </c>
    </row>
    <row r="132" spans="7:13" ht="20.100000000000001" customHeight="1" x14ac:dyDescent="0.25">
      <c r="G132" s="6" t="str">
        <f t="shared" si="10"/>
        <v/>
      </c>
      <c r="H132" s="2" t="str">
        <f t="shared" si="12"/>
        <v/>
      </c>
      <c r="I132" s="2" t="str">
        <f t="shared" si="11"/>
        <v/>
      </c>
      <c r="J132" s="2" t="str">
        <f t="shared" si="8"/>
        <v/>
      </c>
      <c r="K132" s="2" t="str">
        <f t="shared" si="13"/>
        <v/>
      </c>
      <c r="M132" s="2" t="str">
        <f t="shared" si="9"/>
        <v/>
      </c>
    </row>
    <row r="133" spans="7:13" ht="20.100000000000001" customHeight="1" x14ac:dyDescent="0.25">
      <c r="G133" s="6" t="str">
        <f t="shared" si="10"/>
        <v/>
      </c>
      <c r="H133" s="2" t="str">
        <f t="shared" si="12"/>
        <v/>
      </c>
      <c r="I133" s="2" t="str">
        <f t="shared" si="11"/>
        <v/>
      </c>
      <c r="J133" s="2" t="str">
        <f t="shared" si="8"/>
        <v/>
      </c>
      <c r="K133" s="2" t="str">
        <f t="shared" si="13"/>
        <v/>
      </c>
      <c r="M133" s="2" t="str">
        <f t="shared" si="9"/>
        <v/>
      </c>
    </row>
    <row r="134" spans="7:13" ht="20.100000000000001" customHeight="1" x14ac:dyDescent="0.25">
      <c r="G134" s="6" t="str">
        <f t="shared" si="10"/>
        <v/>
      </c>
      <c r="H134" s="2" t="str">
        <f t="shared" si="12"/>
        <v/>
      </c>
      <c r="I134" s="2" t="str">
        <f t="shared" si="11"/>
        <v/>
      </c>
      <c r="J134" s="2" t="str">
        <f t="shared" ref="J134:J197" si="14">IF(G134="","",IF(G134=0,0,(H134*$BA$9)))</f>
        <v/>
      </c>
      <c r="K134" s="2" t="str">
        <f t="shared" si="13"/>
        <v/>
      </c>
      <c r="M134" s="2" t="str">
        <f t="shared" ref="M134:M197" si="15">IF(G134="","",IF(ROW(G134)=6,H134,IF(AND($I$5=0,ROW(G134)-6=n),-K134,IF(AND(I134&gt;0,ROW(G134)-6=n),I134-K134,IF(AND(I134&lt;0,ROW(G134)-6=n),I134+K134,I134)))))</f>
        <v/>
      </c>
    </row>
    <row r="135" spans="7:13" ht="20.100000000000001" customHeight="1" x14ac:dyDescent="0.25">
      <c r="G135" s="6" t="str">
        <f t="shared" ref="G135:G198" si="16">IF(G134&gt;=$BA$7,"",G134+1)</f>
        <v/>
      </c>
      <c r="H135" s="2" t="str">
        <f t="shared" si="12"/>
        <v/>
      </c>
      <c r="I135" s="2" t="str">
        <f t="shared" ref="I135:I198" si="17">IF(G135=0,0,IF(G135="","",$BA$6))</f>
        <v/>
      </c>
      <c r="J135" s="2" t="str">
        <f t="shared" si="14"/>
        <v/>
      </c>
      <c r="K135" s="2" t="str">
        <f t="shared" si="13"/>
        <v/>
      </c>
      <c r="M135" s="2" t="str">
        <f t="shared" si="15"/>
        <v/>
      </c>
    </row>
    <row r="136" spans="7:13" ht="20.100000000000001" customHeight="1" x14ac:dyDescent="0.25">
      <c r="G136" s="6" t="str">
        <f t="shared" si="16"/>
        <v/>
      </c>
      <c r="H136" s="2" t="str">
        <f t="shared" ref="H136:H199" si="18">IF(G136="","",K135)</f>
        <v/>
      </c>
      <c r="I136" s="2" t="str">
        <f t="shared" si="17"/>
        <v/>
      </c>
      <c r="J136" s="2" t="str">
        <f t="shared" si="14"/>
        <v/>
      </c>
      <c r="K136" s="2" t="str">
        <f t="shared" ref="K136:K199" si="19">IF(G136="","",SUM(H136:J136))</f>
        <v/>
      </c>
      <c r="M136" s="2" t="str">
        <f t="shared" si="15"/>
        <v/>
      </c>
    </row>
    <row r="137" spans="7:13" ht="20.100000000000001" customHeight="1" x14ac:dyDescent="0.25">
      <c r="G137" s="6" t="str">
        <f t="shared" si="16"/>
        <v/>
      </c>
      <c r="H137" s="2" t="str">
        <f t="shared" si="18"/>
        <v/>
      </c>
      <c r="I137" s="2" t="str">
        <f t="shared" si="17"/>
        <v/>
      </c>
      <c r="J137" s="2" t="str">
        <f t="shared" si="14"/>
        <v/>
      </c>
      <c r="K137" s="2" t="str">
        <f t="shared" si="19"/>
        <v/>
      </c>
      <c r="M137" s="2" t="str">
        <f t="shared" si="15"/>
        <v/>
      </c>
    </row>
    <row r="138" spans="7:13" ht="20.100000000000001" customHeight="1" x14ac:dyDescent="0.25">
      <c r="G138" s="6" t="str">
        <f t="shared" si="16"/>
        <v/>
      </c>
      <c r="H138" s="2" t="str">
        <f t="shared" si="18"/>
        <v/>
      </c>
      <c r="I138" s="2" t="str">
        <f t="shared" si="17"/>
        <v/>
      </c>
      <c r="J138" s="2" t="str">
        <f t="shared" si="14"/>
        <v/>
      </c>
      <c r="K138" s="2" t="str">
        <f t="shared" si="19"/>
        <v/>
      </c>
      <c r="M138" s="2" t="str">
        <f t="shared" si="15"/>
        <v/>
      </c>
    </row>
    <row r="139" spans="7:13" ht="20.100000000000001" customHeight="1" x14ac:dyDescent="0.25">
      <c r="G139" s="6" t="str">
        <f t="shared" si="16"/>
        <v/>
      </c>
      <c r="H139" s="2" t="str">
        <f t="shared" si="18"/>
        <v/>
      </c>
      <c r="I139" s="2" t="str">
        <f t="shared" si="17"/>
        <v/>
      </c>
      <c r="J139" s="2" t="str">
        <f t="shared" si="14"/>
        <v/>
      </c>
      <c r="K139" s="2" t="str">
        <f t="shared" si="19"/>
        <v/>
      </c>
      <c r="M139" s="2" t="str">
        <f t="shared" si="15"/>
        <v/>
      </c>
    </row>
    <row r="140" spans="7:13" ht="20.100000000000001" customHeight="1" x14ac:dyDescent="0.25">
      <c r="G140" s="6" t="str">
        <f t="shared" si="16"/>
        <v/>
      </c>
      <c r="H140" s="2" t="str">
        <f t="shared" si="18"/>
        <v/>
      </c>
      <c r="I140" s="2" t="str">
        <f t="shared" si="17"/>
        <v/>
      </c>
      <c r="J140" s="2" t="str">
        <f t="shared" si="14"/>
        <v/>
      </c>
      <c r="K140" s="2" t="str">
        <f t="shared" si="19"/>
        <v/>
      </c>
      <c r="M140" s="2" t="str">
        <f t="shared" si="15"/>
        <v/>
      </c>
    </row>
    <row r="141" spans="7:13" ht="20.100000000000001" customHeight="1" x14ac:dyDescent="0.25">
      <c r="G141" s="6" t="str">
        <f t="shared" si="16"/>
        <v/>
      </c>
      <c r="H141" s="2" t="str">
        <f t="shared" si="18"/>
        <v/>
      </c>
      <c r="I141" s="2" t="str">
        <f t="shared" si="17"/>
        <v/>
      </c>
      <c r="J141" s="2" t="str">
        <f t="shared" si="14"/>
        <v/>
      </c>
      <c r="K141" s="2" t="str">
        <f t="shared" si="19"/>
        <v/>
      </c>
      <c r="M141" s="2" t="str">
        <f t="shared" si="15"/>
        <v/>
      </c>
    </row>
    <row r="142" spans="7:13" ht="20.100000000000001" customHeight="1" x14ac:dyDescent="0.25">
      <c r="G142" s="6" t="str">
        <f t="shared" si="16"/>
        <v/>
      </c>
      <c r="H142" s="2" t="str">
        <f t="shared" si="18"/>
        <v/>
      </c>
      <c r="I142" s="2" t="str">
        <f t="shared" si="17"/>
        <v/>
      </c>
      <c r="J142" s="2" t="str">
        <f t="shared" si="14"/>
        <v/>
      </c>
      <c r="K142" s="2" t="str">
        <f t="shared" si="19"/>
        <v/>
      </c>
      <c r="M142" s="2" t="str">
        <f t="shared" si="15"/>
        <v/>
      </c>
    </row>
    <row r="143" spans="7:13" ht="20.100000000000001" customHeight="1" x14ac:dyDescent="0.25">
      <c r="G143" s="6" t="str">
        <f t="shared" si="16"/>
        <v/>
      </c>
      <c r="H143" s="2" t="str">
        <f t="shared" si="18"/>
        <v/>
      </c>
      <c r="I143" s="2" t="str">
        <f t="shared" si="17"/>
        <v/>
      </c>
      <c r="J143" s="2" t="str">
        <f t="shared" si="14"/>
        <v/>
      </c>
      <c r="K143" s="2" t="str">
        <f t="shared" si="19"/>
        <v/>
      </c>
      <c r="M143" s="2" t="str">
        <f t="shared" si="15"/>
        <v/>
      </c>
    </row>
    <row r="144" spans="7:13" ht="20.100000000000001" customHeight="1" x14ac:dyDescent="0.25">
      <c r="G144" s="6" t="str">
        <f t="shared" si="16"/>
        <v/>
      </c>
      <c r="H144" s="2" t="str">
        <f t="shared" si="18"/>
        <v/>
      </c>
      <c r="I144" s="2" t="str">
        <f t="shared" si="17"/>
        <v/>
      </c>
      <c r="J144" s="2" t="str">
        <f t="shared" si="14"/>
        <v/>
      </c>
      <c r="K144" s="2" t="str">
        <f t="shared" si="19"/>
        <v/>
      </c>
      <c r="M144" s="2" t="str">
        <f t="shared" si="15"/>
        <v/>
      </c>
    </row>
    <row r="145" spans="7:13" ht="20.100000000000001" customHeight="1" x14ac:dyDescent="0.25">
      <c r="G145" s="6" t="str">
        <f t="shared" si="16"/>
        <v/>
      </c>
      <c r="H145" s="2" t="str">
        <f t="shared" si="18"/>
        <v/>
      </c>
      <c r="I145" s="2" t="str">
        <f t="shared" si="17"/>
        <v/>
      </c>
      <c r="J145" s="2" t="str">
        <f t="shared" si="14"/>
        <v/>
      </c>
      <c r="K145" s="2" t="str">
        <f t="shared" si="19"/>
        <v/>
      </c>
      <c r="M145" s="2" t="str">
        <f t="shared" si="15"/>
        <v/>
      </c>
    </row>
    <row r="146" spans="7:13" ht="20.100000000000001" customHeight="1" x14ac:dyDescent="0.25">
      <c r="G146" s="6" t="str">
        <f t="shared" si="16"/>
        <v/>
      </c>
      <c r="H146" s="2" t="str">
        <f t="shared" si="18"/>
        <v/>
      </c>
      <c r="I146" s="2" t="str">
        <f t="shared" si="17"/>
        <v/>
      </c>
      <c r="J146" s="2" t="str">
        <f t="shared" si="14"/>
        <v/>
      </c>
      <c r="K146" s="2" t="str">
        <f t="shared" si="19"/>
        <v/>
      </c>
      <c r="M146" s="2" t="str">
        <f t="shared" si="15"/>
        <v/>
      </c>
    </row>
    <row r="147" spans="7:13" ht="20.100000000000001" customHeight="1" x14ac:dyDescent="0.25">
      <c r="G147" s="6" t="str">
        <f t="shared" si="16"/>
        <v/>
      </c>
      <c r="H147" s="2" t="str">
        <f t="shared" si="18"/>
        <v/>
      </c>
      <c r="I147" s="2" t="str">
        <f t="shared" si="17"/>
        <v/>
      </c>
      <c r="J147" s="2" t="str">
        <f t="shared" si="14"/>
        <v/>
      </c>
      <c r="K147" s="2" t="str">
        <f t="shared" si="19"/>
        <v/>
      </c>
      <c r="M147" s="2" t="str">
        <f t="shared" si="15"/>
        <v/>
      </c>
    </row>
    <row r="148" spans="7:13" ht="20.100000000000001" customHeight="1" x14ac:dyDescent="0.25">
      <c r="G148" s="6" t="str">
        <f t="shared" si="16"/>
        <v/>
      </c>
      <c r="H148" s="2" t="str">
        <f t="shared" si="18"/>
        <v/>
      </c>
      <c r="I148" s="2" t="str">
        <f t="shared" si="17"/>
        <v/>
      </c>
      <c r="J148" s="2" t="str">
        <f t="shared" si="14"/>
        <v/>
      </c>
      <c r="K148" s="2" t="str">
        <f t="shared" si="19"/>
        <v/>
      </c>
      <c r="M148" s="2" t="str">
        <f t="shared" si="15"/>
        <v/>
      </c>
    </row>
    <row r="149" spans="7:13" ht="20.100000000000001" customHeight="1" x14ac:dyDescent="0.25">
      <c r="G149" s="6" t="str">
        <f t="shared" si="16"/>
        <v/>
      </c>
      <c r="H149" s="2" t="str">
        <f t="shared" si="18"/>
        <v/>
      </c>
      <c r="I149" s="2" t="str">
        <f t="shared" si="17"/>
        <v/>
      </c>
      <c r="J149" s="2" t="str">
        <f t="shared" si="14"/>
        <v/>
      </c>
      <c r="K149" s="2" t="str">
        <f t="shared" si="19"/>
        <v/>
      </c>
      <c r="M149" s="2" t="str">
        <f t="shared" si="15"/>
        <v/>
      </c>
    </row>
    <row r="150" spans="7:13" ht="20.100000000000001" customHeight="1" x14ac:dyDescent="0.25">
      <c r="G150" s="6" t="str">
        <f t="shared" si="16"/>
        <v/>
      </c>
      <c r="H150" s="2" t="str">
        <f t="shared" si="18"/>
        <v/>
      </c>
      <c r="I150" s="2" t="str">
        <f t="shared" si="17"/>
        <v/>
      </c>
      <c r="J150" s="2" t="str">
        <f t="shared" si="14"/>
        <v/>
      </c>
      <c r="K150" s="2" t="str">
        <f t="shared" si="19"/>
        <v/>
      </c>
      <c r="M150" s="2" t="str">
        <f t="shared" si="15"/>
        <v/>
      </c>
    </row>
    <row r="151" spans="7:13" ht="20.100000000000001" customHeight="1" x14ac:dyDescent="0.25">
      <c r="G151" s="6" t="str">
        <f t="shared" si="16"/>
        <v/>
      </c>
      <c r="H151" s="2" t="str">
        <f t="shared" si="18"/>
        <v/>
      </c>
      <c r="I151" s="2" t="str">
        <f t="shared" si="17"/>
        <v/>
      </c>
      <c r="J151" s="2" t="str">
        <f t="shared" si="14"/>
        <v/>
      </c>
      <c r="K151" s="2" t="str">
        <f t="shared" si="19"/>
        <v/>
      </c>
      <c r="M151" s="2" t="str">
        <f t="shared" si="15"/>
        <v/>
      </c>
    </row>
    <row r="152" spans="7:13" ht="20.100000000000001" customHeight="1" x14ac:dyDescent="0.25">
      <c r="G152" s="6" t="str">
        <f t="shared" si="16"/>
        <v/>
      </c>
      <c r="H152" s="2" t="str">
        <f t="shared" si="18"/>
        <v/>
      </c>
      <c r="I152" s="2" t="str">
        <f t="shared" si="17"/>
        <v/>
      </c>
      <c r="J152" s="2" t="str">
        <f t="shared" si="14"/>
        <v/>
      </c>
      <c r="K152" s="2" t="str">
        <f t="shared" si="19"/>
        <v/>
      </c>
      <c r="M152" s="2" t="str">
        <f t="shared" si="15"/>
        <v/>
      </c>
    </row>
    <row r="153" spans="7:13" ht="20.100000000000001" customHeight="1" x14ac:dyDescent="0.25">
      <c r="G153" s="6" t="str">
        <f t="shared" si="16"/>
        <v/>
      </c>
      <c r="H153" s="2" t="str">
        <f t="shared" si="18"/>
        <v/>
      </c>
      <c r="I153" s="2" t="str">
        <f t="shared" si="17"/>
        <v/>
      </c>
      <c r="J153" s="2" t="str">
        <f t="shared" si="14"/>
        <v/>
      </c>
      <c r="K153" s="2" t="str">
        <f t="shared" si="19"/>
        <v/>
      </c>
      <c r="M153" s="2" t="str">
        <f t="shared" si="15"/>
        <v/>
      </c>
    </row>
    <row r="154" spans="7:13" ht="20.100000000000001" customHeight="1" x14ac:dyDescent="0.25">
      <c r="G154" s="6" t="str">
        <f t="shared" si="16"/>
        <v/>
      </c>
      <c r="H154" s="2" t="str">
        <f t="shared" si="18"/>
        <v/>
      </c>
      <c r="I154" s="2" t="str">
        <f t="shared" si="17"/>
        <v/>
      </c>
      <c r="J154" s="2" t="str">
        <f t="shared" si="14"/>
        <v/>
      </c>
      <c r="K154" s="2" t="str">
        <f t="shared" si="19"/>
        <v/>
      </c>
      <c r="M154" s="2" t="str">
        <f t="shared" si="15"/>
        <v/>
      </c>
    </row>
    <row r="155" spans="7:13" ht="20.100000000000001" customHeight="1" x14ac:dyDescent="0.25">
      <c r="G155" s="6" t="str">
        <f t="shared" si="16"/>
        <v/>
      </c>
      <c r="H155" s="2" t="str">
        <f t="shared" si="18"/>
        <v/>
      </c>
      <c r="I155" s="2" t="str">
        <f t="shared" si="17"/>
        <v/>
      </c>
      <c r="J155" s="2" t="str">
        <f t="shared" si="14"/>
        <v/>
      </c>
      <c r="K155" s="2" t="str">
        <f t="shared" si="19"/>
        <v/>
      </c>
      <c r="M155" s="2" t="str">
        <f t="shared" si="15"/>
        <v/>
      </c>
    </row>
    <row r="156" spans="7:13" ht="20.100000000000001" customHeight="1" x14ac:dyDescent="0.25">
      <c r="G156" s="6" t="str">
        <f t="shared" si="16"/>
        <v/>
      </c>
      <c r="H156" s="2" t="str">
        <f t="shared" si="18"/>
        <v/>
      </c>
      <c r="I156" s="2" t="str">
        <f t="shared" si="17"/>
        <v/>
      </c>
      <c r="J156" s="2" t="str">
        <f t="shared" si="14"/>
        <v/>
      </c>
      <c r="K156" s="2" t="str">
        <f t="shared" si="19"/>
        <v/>
      </c>
      <c r="M156" s="2" t="str">
        <f t="shared" si="15"/>
        <v/>
      </c>
    </row>
    <row r="157" spans="7:13" ht="20.100000000000001" customHeight="1" x14ac:dyDescent="0.25">
      <c r="G157" s="6" t="str">
        <f t="shared" si="16"/>
        <v/>
      </c>
      <c r="H157" s="2" t="str">
        <f t="shared" si="18"/>
        <v/>
      </c>
      <c r="I157" s="2" t="str">
        <f t="shared" si="17"/>
        <v/>
      </c>
      <c r="J157" s="2" t="str">
        <f t="shared" si="14"/>
        <v/>
      </c>
      <c r="K157" s="2" t="str">
        <f t="shared" si="19"/>
        <v/>
      </c>
      <c r="M157" s="2" t="str">
        <f t="shared" si="15"/>
        <v/>
      </c>
    </row>
    <row r="158" spans="7:13" ht="20.100000000000001" customHeight="1" x14ac:dyDescent="0.25">
      <c r="G158" s="6" t="str">
        <f t="shared" si="16"/>
        <v/>
      </c>
      <c r="H158" s="2" t="str">
        <f t="shared" si="18"/>
        <v/>
      </c>
      <c r="I158" s="2" t="str">
        <f t="shared" si="17"/>
        <v/>
      </c>
      <c r="J158" s="2" t="str">
        <f t="shared" si="14"/>
        <v/>
      </c>
      <c r="K158" s="2" t="str">
        <f t="shared" si="19"/>
        <v/>
      </c>
      <c r="M158" s="2" t="str">
        <f t="shared" si="15"/>
        <v/>
      </c>
    </row>
    <row r="159" spans="7:13" ht="20.100000000000001" customHeight="1" x14ac:dyDescent="0.25">
      <c r="G159" s="6" t="str">
        <f t="shared" si="16"/>
        <v/>
      </c>
      <c r="H159" s="2" t="str">
        <f t="shared" si="18"/>
        <v/>
      </c>
      <c r="I159" s="2" t="str">
        <f t="shared" si="17"/>
        <v/>
      </c>
      <c r="J159" s="2" t="str">
        <f t="shared" si="14"/>
        <v/>
      </c>
      <c r="K159" s="2" t="str">
        <f t="shared" si="19"/>
        <v/>
      </c>
      <c r="M159" s="2" t="str">
        <f t="shared" si="15"/>
        <v/>
      </c>
    </row>
    <row r="160" spans="7:13" ht="20.100000000000001" customHeight="1" x14ac:dyDescent="0.25">
      <c r="G160" s="6" t="str">
        <f t="shared" si="16"/>
        <v/>
      </c>
      <c r="H160" s="2" t="str">
        <f t="shared" si="18"/>
        <v/>
      </c>
      <c r="I160" s="2" t="str">
        <f t="shared" si="17"/>
        <v/>
      </c>
      <c r="J160" s="2" t="str">
        <f t="shared" si="14"/>
        <v/>
      </c>
      <c r="K160" s="2" t="str">
        <f t="shared" si="19"/>
        <v/>
      </c>
      <c r="M160" s="2" t="str">
        <f t="shared" si="15"/>
        <v/>
      </c>
    </row>
    <row r="161" spans="7:13" ht="20.100000000000001" customHeight="1" x14ac:dyDescent="0.25">
      <c r="G161" s="6" t="str">
        <f t="shared" si="16"/>
        <v/>
      </c>
      <c r="H161" s="2" t="str">
        <f t="shared" si="18"/>
        <v/>
      </c>
      <c r="I161" s="2" t="str">
        <f t="shared" si="17"/>
        <v/>
      </c>
      <c r="J161" s="2" t="str">
        <f t="shared" si="14"/>
        <v/>
      </c>
      <c r="K161" s="2" t="str">
        <f t="shared" si="19"/>
        <v/>
      </c>
      <c r="M161" s="2" t="str">
        <f t="shared" si="15"/>
        <v/>
      </c>
    </row>
    <row r="162" spans="7:13" ht="20.100000000000001" customHeight="1" x14ac:dyDescent="0.25">
      <c r="G162" s="6" t="str">
        <f t="shared" si="16"/>
        <v/>
      </c>
      <c r="H162" s="2" t="str">
        <f t="shared" si="18"/>
        <v/>
      </c>
      <c r="I162" s="2" t="str">
        <f t="shared" si="17"/>
        <v/>
      </c>
      <c r="J162" s="2" t="str">
        <f t="shared" si="14"/>
        <v/>
      </c>
      <c r="K162" s="2" t="str">
        <f t="shared" si="19"/>
        <v/>
      </c>
      <c r="M162" s="2" t="str">
        <f t="shared" si="15"/>
        <v/>
      </c>
    </row>
    <row r="163" spans="7:13" ht="20.100000000000001" customHeight="1" x14ac:dyDescent="0.25">
      <c r="G163" s="6" t="str">
        <f t="shared" si="16"/>
        <v/>
      </c>
      <c r="H163" s="2" t="str">
        <f t="shared" si="18"/>
        <v/>
      </c>
      <c r="I163" s="2" t="str">
        <f t="shared" si="17"/>
        <v/>
      </c>
      <c r="J163" s="2" t="str">
        <f t="shared" si="14"/>
        <v/>
      </c>
      <c r="K163" s="2" t="str">
        <f t="shared" si="19"/>
        <v/>
      </c>
      <c r="M163" s="2" t="str">
        <f t="shared" si="15"/>
        <v/>
      </c>
    </row>
    <row r="164" spans="7:13" ht="20.100000000000001" customHeight="1" x14ac:dyDescent="0.25">
      <c r="G164" s="6" t="str">
        <f t="shared" si="16"/>
        <v/>
      </c>
      <c r="H164" s="2" t="str">
        <f t="shared" si="18"/>
        <v/>
      </c>
      <c r="I164" s="2" t="str">
        <f t="shared" si="17"/>
        <v/>
      </c>
      <c r="J164" s="2" t="str">
        <f t="shared" si="14"/>
        <v/>
      </c>
      <c r="K164" s="2" t="str">
        <f t="shared" si="19"/>
        <v/>
      </c>
      <c r="M164" s="2" t="str">
        <f t="shared" si="15"/>
        <v/>
      </c>
    </row>
    <row r="165" spans="7:13" ht="20.100000000000001" customHeight="1" x14ac:dyDescent="0.25">
      <c r="G165" s="6" t="str">
        <f t="shared" si="16"/>
        <v/>
      </c>
      <c r="H165" s="2" t="str">
        <f t="shared" si="18"/>
        <v/>
      </c>
      <c r="I165" s="2" t="str">
        <f t="shared" si="17"/>
        <v/>
      </c>
      <c r="J165" s="2" t="str">
        <f t="shared" si="14"/>
        <v/>
      </c>
      <c r="K165" s="2" t="str">
        <f t="shared" si="19"/>
        <v/>
      </c>
      <c r="M165" s="2" t="str">
        <f t="shared" si="15"/>
        <v/>
      </c>
    </row>
    <row r="166" spans="7:13" ht="20.100000000000001" customHeight="1" x14ac:dyDescent="0.25">
      <c r="G166" s="6" t="str">
        <f t="shared" si="16"/>
        <v/>
      </c>
      <c r="H166" s="2" t="str">
        <f t="shared" si="18"/>
        <v/>
      </c>
      <c r="I166" s="2" t="str">
        <f t="shared" si="17"/>
        <v/>
      </c>
      <c r="J166" s="2" t="str">
        <f t="shared" si="14"/>
        <v/>
      </c>
      <c r="K166" s="2" t="str">
        <f t="shared" si="19"/>
        <v/>
      </c>
      <c r="M166" s="2" t="str">
        <f t="shared" si="15"/>
        <v/>
      </c>
    </row>
    <row r="167" spans="7:13" ht="20.100000000000001" customHeight="1" x14ac:dyDescent="0.25">
      <c r="G167" s="6" t="str">
        <f t="shared" si="16"/>
        <v/>
      </c>
      <c r="H167" s="2" t="str">
        <f t="shared" si="18"/>
        <v/>
      </c>
      <c r="I167" s="2" t="str">
        <f t="shared" si="17"/>
        <v/>
      </c>
      <c r="J167" s="2" t="str">
        <f t="shared" si="14"/>
        <v/>
      </c>
      <c r="K167" s="2" t="str">
        <f t="shared" si="19"/>
        <v/>
      </c>
      <c r="M167" s="2" t="str">
        <f t="shared" si="15"/>
        <v/>
      </c>
    </row>
    <row r="168" spans="7:13" ht="20.100000000000001" customHeight="1" x14ac:dyDescent="0.25">
      <c r="G168" s="6" t="str">
        <f t="shared" si="16"/>
        <v/>
      </c>
      <c r="H168" s="2" t="str">
        <f t="shared" si="18"/>
        <v/>
      </c>
      <c r="I168" s="2" t="str">
        <f t="shared" si="17"/>
        <v/>
      </c>
      <c r="J168" s="2" t="str">
        <f t="shared" si="14"/>
        <v/>
      </c>
      <c r="K168" s="2" t="str">
        <f t="shared" si="19"/>
        <v/>
      </c>
      <c r="M168" s="2" t="str">
        <f t="shared" si="15"/>
        <v/>
      </c>
    </row>
    <row r="169" spans="7:13" ht="20.100000000000001" customHeight="1" x14ac:dyDescent="0.25">
      <c r="G169" s="6" t="str">
        <f t="shared" si="16"/>
        <v/>
      </c>
      <c r="H169" s="2" t="str">
        <f t="shared" si="18"/>
        <v/>
      </c>
      <c r="I169" s="2" t="str">
        <f t="shared" si="17"/>
        <v/>
      </c>
      <c r="J169" s="2" t="str">
        <f t="shared" si="14"/>
        <v/>
      </c>
      <c r="K169" s="2" t="str">
        <f t="shared" si="19"/>
        <v/>
      </c>
      <c r="M169" s="2" t="str">
        <f t="shared" si="15"/>
        <v/>
      </c>
    </row>
    <row r="170" spans="7:13" ht="20.100000000000001" customHeight="1" x14ac:dyDescent="0.25">
      <c r="G170" s="6" t="str">
        <f t="shared" si="16"/>
        <v/>
      </c>
      <c r="H170" s="2" t="str">
        <f t="shared" si="18"/>
        <v/>
      </c>
      <c r="I170" s="2" t="str">
        <f t="shared" si="17"/>
        <v/>
      </c>
      <c r="J170" s="2" t="str">
        <f t="shared" si="14"/>
        <v/>
      </c>
      <c r="K170" s="2" t="str">
        <f t="shared" si="19"/>
        <v/>
      </c>
      <c r="M170" s="2" t="str">
        <f t="shared" si="15"/>
        <v/>
      </c>
    </row>
    <row r="171" spans="7:13" ht="20.100000000000001" customHeight="1" x14ac:dyDescent="0.25">
      <c r="G171" s="6" t="str">
        <f t="shared" si="16"/>
        <v/>
      </c>
      <c r="H171" s="2" t="str">
        <f t="shared" si="18"/>
        <v/>
      </c>
      <c r="I171" s="2" t="str">
        <f t="shared" si="17"/>
        <v/>
      </c>
      <c r="J171" s="2" t="str">
        <f t="shared" si="14"/>
        <v/>
      </c>
      <c r="K171" s="2" t="str">
        <f t="shared" si="19"/>
        <v/>
      </c>
      <c r="M171" s="2" t="str">
        <f t="shared" si="15"/>
        <v/>
      </c>
    </row>
    <row r="172" spans="7:13" ht="20.100000000000001" customHeight="1" x14ac:dyDescent="0.25">
      <c r="G172" s="6" t="str">
        <f t="shared" si="16"/>
        <v/>
      </c>
      <c r="H172" s="2" t="str">
        <f t="shared" si="18"/>
        <v/>
      </c>
      <c r="I172" s="2" t="str">
        <f t="shared" si="17"/>
        <v/>
      </c>
      <c r="J172" s="2" t="str">
        <f t="shared" si="14"/>
        <v/>
      </c>
      <c r="K172" s="2" t="str">
        <f t="shared" si="19"/>
        <v/>
      </c>
      <c r="M172" s="2" t="str">
        <f t="shared" si="15"/>
        <v/>
      </c>
    </row>
    <row r="173" spans="7:13" ht="20.100000000000001" customHeight="1" x14ac:dyDescent="0.25">
      <c r="G173" s="6" t="str">
        <f t="shared" si="16"/>
        <v/>
      </c>
      <c r="H173" s="2" t="str">
        <f t="shared" si="18"/>
        <v/>
      </c>
      <c r="I173" s="2" t="str">
        <f t="shared" si="17"/>
        <v/>
      </c>
      <c r="J173" s="2" t="str">
        <f t="shared" si="14"/>
        <v/>
      </c>
      <c r="K173" s="2" t="str">
        <f t="shared" si="19"/>
        <v/>
      </c>
      <c r="M173" s="2" t="str">
        <f t="shared" si="15"/>
        <v/>
      </c>
    </row>
    <row r="174" spans="7:13" ht="20.100000000000001" customHeight="1" x14ac:dyDescent="0.25">
      <c r="G174" s="6" t="str">
        <f t="shared" si="16"/>
        <v/>
      </c>
      <c r="H174" s="2" t="str">
        <f t="shared" si="18"/>
        <v/>
      </c>
      <c r="I174" s="2" t="str">
        <f t="shared" si="17"/>
        <v/>
      </c>
      <c r="J174" s="2" t="str">
        <f t="shared" si="14"/>
        <v/>
      </c>
      <c r="K174" s="2" t="str">
        <f t="shared" si="19"/>
        <v/>
      </c>
      <c r="M174" s="2" t="str">
        <f t="shared" si="15"/>
        <v/>
      </c>
    </row>
    <row r="175" spans="7:13" ht="20.100000000000001" customHeight="1" x14ac:dyDescent="0.25">
      <c r="G175" s="6" t="str">
        <f t="shared" si="16"/>
        <v/>
      </c>
      <c r="H175" s="2" t="str">
        <f t="shared" si="18"/>
        <v/>
      </c>
      <c r="I175" s="2" t="str">
        <f t="shared" si="17"/>
        <v/>
      </c>
      <c r="J175" s="2" t="str">
        <f t="shared" si="14"/>
        <v/>
      </c>
      <c r="K175" s="2" t="str">
        <f t="shared" si="19"/>
        <v/>
      </c>
      <c r="M175" s="2" t="str">
        <f t="shared" si="15"/>
        <v/>
      </c>
    </row>
    <row r="176" spans="7:13" ht="20.100000000000001" customHeight="1" x14ac:dyDescent="0.25">
      <c r="G176" s="6" t="str">
        <f t="shared" si="16"/>
        <v/>
      </c>
      <c r="H176" s="2" t="str">
        <f t="shared" si="18"/>
        <v/>
      </c>
      <c r="I176" s="2" t="str">
        <f t="shared" si="17"/>
        <v/>
      </c>
      <c r="J176" s="2" t="str">
        <f t="shared" si="14"/>
        <v/>
      </c>
      <c r="K176" s="2" t="str">
        <f t="shared" si="19"/>
        <v/>
      </c>
      <c r="M176" s="2" t="str">
        <f t="shared" si="15"/>
        <v/>
      </c>
    </row>
    <row r="177" spans="7:13" ht="20.100000000000001" customHeight="1" x14ac:dyDescent="0.25">
      <c r="G177" s="6" t="str">
        <f t="shared" si="16"/>
        <v/>
      </c>
      <c r="H177" s="2" t="str">
        <f t="shared" si="18"/>
        <v/>
      </c>
      <c r="I177" s="2" t="str">
        <f t="shared" si="17"/>
        <v/>
      </c>
      <c r="J177" s="2" t="str">
        <f t="shared" si="14"/>
        <v/>
      </c>
      <c r="K177" s="2" t="str">
        <f t="shared" si="19"/>
        <v/>
      </c>
      <c r="M177" s="2" t="str">
        <f t="shared" si="15"/>
        <v/>
      </c>
    </row>
    <row r="178" spans="7:13" ht="20.100000000000001" customHeight="1" x14ac:dyDescent="0.25">
      <c r="G178" s="6" t="str">
        <f t="shared" si="16"/>
        <v/>
      </c>
      <c r="H178" s="2" t="str">
        <f t="shared" si="18"/>
        <v/>
      </c>
      <c r="I178" s="2" t="str">
        <f t="shared" si="17"/>
        <v/>
      </c>
      <c r="J178" s="2" t="str">
        <f t="shared" si="14"/>
        <v/>
      </c>
      <c r="K178" s="2" t="str">
        <f t="shared" si="19"/>
        <v/>
      </c>
      <c r="M178" s="2" t="str">
        <f t="shared" si="15"/>
        <v/>
      </c>
    </row>
    <row r="179" spans="7:13" ht="20.100000000000001" customHeight="1" x14ac:dyDescent="0.25">
      <c r="G179" s="6" t="str">
        <f t="shared" si="16"/>
        <v/>
      </c>
      <c r="H179" s="2" t="str">
        <f t="shared" si="18"/>
        <v/>
      </c>
      <c r="I179" s="2" t="str">
        <f t="shared" si="17"/>
        <v/>
      </c>
      <c r="J179" s="2" t="str">
        <f t="shared" si="14"/>
        <v/>
      </c>
      <c r="K179" s="2" t="str">
        <f t="shared" si="19"/>
        <v/>
      </c>
      <c r="M179" s="2" t="str">
        <f t="shared" si="15"/>
        <v/>
      </c>
    </row>
    <row r="180" spans="7:13" ht="20.100000000000001" customHeight="1" x14ac:dyDescent="0.25">
      <c r="G180" s="6" t="str">
        <f t="shared" si="16"/>
        <v/>
      </c>
      <c r="H180" s="2" t="str">
        <f t="shared" si="18"/>
        <v/>
      </c>
      <c r="I180" s="2" t="str">
        <f t="shared" si="17"/>
        <v/>
      </c>
      <c r="J180" s="2" t="str">
        <f t="shared" si="14"/>
        <v/>
      </c>
      <c r="K180" s="2" t="str">
        <f t="shared" si="19"/>
        <v/>
      </c>
      <c r="M180" s="2" t="str">
        <f t="shared" si="15"/>
        <v/>
      </c>
    </row>
    <row r="181" spans="7:13" ht="20.100000000000001" customHeight="1" x14ac:dyDescent="0.25">
      <c r="G181" s="6" t="str">
        <f t="shared" si="16"/>
        <v/>
      </c>
      <c r="H181" s="2" t="str">
        <f t="shared" si="18"/>
        <v/>
      </c>
      <c r="I181" s="2" t="str">
        <f t="shared" si="17"/>
        <v/>
      </c>
      <c r="J181" s="2" t="str">
        <f t="shared" si="14"/>
        <v/>
      </c>
      <c r="K181" s="2" t="str">
        <f t="shared" si="19"/>
        <v/>
      </c>
      <c r="M181" s="2" t="str">
        <f t="shared" si="15"/>
        <v/>
      </c>
    </row>
    <row r="182" spans="7:13" ht="20.100000000000001" customHeight="1" x14ac:dyDescent="0.25">
      <c r="G182" s="6" t="str">
        <f t="shared" si="16"/>
        <v/>
      </c>
      <c r="H182" s="2" t="str">
        <f t="shared" si="18"/>
        <v/>
      </c>
      <c r="I182" s="2" t="str">
        <f t="shared" si="17"/>
        <v/>
      </c>
      <c r="J182" s="2" t="str">
        <f t="shared" si="14"/>
        <v/>
      </c>
      <c r="K182" s="2" t="str">
        <f t="shared" si="19"/>
        <v/>
      </c>
      <c r="M182" s="2" t="str">
        <f t="shared" si="15"/>
        <v/>
      </c>
    </row>
    <row r="183" spans="7:13" ht="20.100000000000001" customHeight="1" x14ac:dyDescent="0.25">
      <c r="G183" s="6" t="str">
        <f t="shared" si="16"/>
        <v/>
      </c>
      <c r="H183" s="2" t="str">
        <f t="shared" si="18"/>
        <v/>
      </c>
      <c r="I183" s="2" t="str">
        <f t="shared" si="17"/>
        <v/>
      </c>
      <c r="J183" s="2" t="str">
        <f t="shared" si="14"/>
        <v/>
      </c>
      <c r="K183" s="2" t="str">
        <f t="shared" si="19"/>
        <v/>
      </c>
      <c r="M183" s="2" t="str">
        <f t="shared" si="15"/>
        <v/>
      </c>
    </row>
    <row r="184" spans="7:13" ht="20.100000000000001" customHeight="1" x14ac:dyDescent="0.25">
      <c r="G184" s="6" t="str">
        <f t="shared" si="16"/>
        <v/>
      </c>
      <c r="H184" s="2" t="str">
        <f t="shared" si="18"/>
        <v/>
      </c>
      <c r="I184" s="2" t="str">
        <f t="shared" si="17"/>
        <v/>
      </c>
      <c r="J184" s="2" t="str">
        <f t="shared" si="14"/>
        <v/>
      </c>
      <c r="K184" s="2" t="str">
        <f t="shared" si="19"/>
        <v/>
      </c>
      <c r="M184" s="2" t="str">
        <f t="shared" si="15"/>
        <v/>
      </c>
    </row>
    <row r="185" spans="7:13" ht="20.100000000000001" customHeight="1" x14ac:dyDescent="0.25">
      <c r="G185" s="6" t="str">
        <f t="shared" si="16"/>
        <v/>
      </c>
      <c r="H185" s="2" t="str">
        <f t="shared" si="18"/>
        <v/>
      </c>
      <c r="I185" s="2" t="str">
        <f t="shared" si="17"/>
        <v/>
      </c>
      <c r="J185" s="2" t="str">
        <f t="shared" si="14"/>
        <v/>
      </c>
      <c r="K185" s="2" t="str">
        <f t="shared" si="19"/>
        <v/>
      </c>
      <c r="M185" s="2" t="str">
        <f t="shared" si="15"/>
        <v/>
      </c>
    </row>
    <row r="186" spans="7:13" ht="20.100000000000001" customHeight="1" x14ac:dyDescent="0.25">
      <c r="G186" s="6" t="str">
        <f t="shared" si="16"/>
        <v/>
      </c>
      <c r="H186" s="2" t="str">
        <f t="shared" si="18"/>
        <v/>
      </c>
      <c r="I186" s="2" t="str">
        <f t="shared" si="17"/>
        <v/>
      </c>
      <c r="J186" s="2" t="str">
        <f t="shared" si="14"/>
        <v/>
      </c>
      <c r="K186" s="2" t="str">
        <f t="shared" si="19"/>
        <v/>
      </c>
      <c r="M186" s="2" t="str">
        <f t="shared" si="15"/>
        <v/>
      </c>
    </row>
    <row r="187" spans="7:13" ht="20.100000000000001" customHeight="1" x14ac:dyDescent="0.25">
      <c r="G187" s="6" t="str">
        <f t="shared" si="16"/>
        <v/>
      </c>
      <c r="H187" s="2" t="str">
        <f t="shared" si="18"/>
        <v/>
      </c>
      <c r="I187" s="2" t="str">
        <f t="shared" si="17"/>
        <v/>
      </c>
      <c r="J187" s="2" t="str">
        <f t="shared" si="14"/>
        <v/>
      </c>
      <c r="K187" s="2" t="str">
        <f t="shared" si="19"/>
        <v/>
      </c>
      <c r="M187" s="2" t="str">
        <f t="shared" si="15"/>
        <v/>
      </c>
    </row>
    <row r="188" spans="7:13" ht="20.100000000000001" customHeight="1" x14ac:dyDescent="0.25">
      <c r="G188" s="6" t="str">
        <f t="shared" si="16"/>
        <v/>
      </c>
      <c r="H188" s="2" t="str">
        <f t="shared" si="18"/>
        <v/>
      </c>
      <c r="I188" s="2" t="str">
        <f t="shared" si="17"/>
        <v/>
      </c>
      <c r="J188" s="2" t="str">
        <f t="shared" si="14"/>
        <v/>
      </c>
      <c r="K188" s="2" t="str">
        <f t="shared" si="19"/>
        <v/>
      </c>
      <c r="M188" s="2" t="str">
        <f t="shared" si="15"/>
        <v/>
      </c>
    </row>
    <row r="189" spans="7:13" ht="20.100000000000001" customHeight="1" x14ac:dyDescent="0.25">
      <c r="G189" s="6" t="str">
        <f t="shared" si="16"/>
        <v/>
      </c>
      <c r="H189" s="2" t="str">
        <f t="shared" si="18"/>
        <v/>
      </c>
      <c r="I189" s="2" t="str">
        <f t="shared" si="17"/>
        <v/>
      </c>
      <c r="J189" s="2" t="str">
        <f t="shared" si="14"/>
        <v/>
      </c>
      <c r="K189" s="2" t="str">
        <f t="shared" si="19"/>
        <v/>
      </c>
      <c r="M189" s="2" t="str">
        <f t="shared" si="15"/>
        <v/>
      </c>
    </row>
    <row r="190" spans="7:13" ht="20.100000000000001" customHeight="1" x14ac:dyDescent="0.25">
      <c r="G190" s="6" t="str">
        <f t="shared" si="16"/>
        <v/>
      </c>
      <c r="H190" s="2" t="str">
        <f t="shared" si="18"/>
        <v/>
      </c>
      <c r="I190" s="2" t="str">
        <f t="shared" si="17"/>
        <v/>
      </c>
      <c r="J190" s="2" t="str">
        <f t="shared" si="14"/>
        <v/>
      </c>
      <c r="K190" s="2" t="str">
        <f t="shared" si="19"/>
        <v/>
      </c>
      <c r="M190" s="2" t="str">
        <f t="shared" si="15"/>
        <v/>
      </c>
    </row>
    <row r="191" spans="7:13" ht="20.100000000000001" customHeight="1" x14ac:dyDescent="0.25">
      <c r="G191" s="6" t="str">
        <f t="shared" si="16"/>
        <v/>
      </c>
      <c r="H191" s="2" t="str">
        <f t="shared" si="18"/>
        <v/>
      </c>
      <c r="I191" s="2" t="str">
        <f t="shared" si="17"/>
        <v/>
      </c>
      <c r="J191" s="2" t="str">
        <f t="shared" si="14"/>
        <v/>
      </c>
      <c r="K191" s="2" t="str">
        <f t="shared" si="19"/>
        <v/>
      </c>
      <c r="M191" s="2" t="str">
        <f t="shared" si="15"/>
        <v/>
      </c>
    </row>
    <row r="192" spans="7:13" ht="20.100000000000001" customHeight="1" x14ac:dyDescent="0.25">
      <c r="G192" s="6" t="str">
        <f t="shared" si="16"/>
        <v/>
      </c>
      <c r="H192" s="2" t="str">
        <f t="shared" si="18"/>
        <v/>
      </c>
      <c r="I192" s="2" t="str">
        <f t="shared" si="17"/>
        <v/>
      </c>
      <c r="J192" s="2" t="str">
        <f t="shared" si="14"/>
        <v/>
      </c>
      <c r="K192" s="2" t="str">
        <f t="shared" si="19"/>
        <v/>
      </c>
      <c r="M192" s="2" t="str">
        <f t="shared" si="15"/>
        <v/>
      </c>
    </row>
    <row r="193" spans="7:13" ht="20.100000000000001" customHeight="1" x14ac:dyDescent="0.25">
      <c r="G193" s="6" t="str">
        <f t="shared" si="16"/>
        <v/>
      </c>
      <c r="H193" s="2" t="str">
        <f t="shared" si="18"/>
        <v/>
      </c>
      <c r="I193" s="2" t="str">
        <f t="shared" si="17"/>
        <v/>
      </c>
      <c r="J193" s="2" t="str">
        <f t="shared" si="14"/>
        <v/>
      </c>
      <c r="K193" s="2" t="str">
        <f t="shared" si="19"/>
        <v/>
      </c>
      <c r="M193" s="2" t="str">
        <f t="shared" si="15"/>
        <v/>
      </c>
    </row>
    <row r="194" spans="7:13" ht="20.100000000000001" customHeight="1" x14ac:dyDescent="0.25">
      <c r="G194" s="6" t="str">
        <f t="shared" si="16"/>
        <v/>
      </c>
      <c r="H194" s="2" t="str">
        <f t="shared" si="18"/>
        <v/>
      </c>
      <c r="I194" s="2" t="str">
        <f t="shared" si="17"/>
        <v/>
      </c>
      <c r="J194" s="2" t="str">
        <f t="shared" si="14"/>
        <v/>
      </c>
      <c r="K194" s="2" t="str">
        <f t="shared" si="19"/>
        <v/>
      </c>
      <c r="M194" s="2" t="str">
        <f t="shared" si="15"/>
        <v/>
      </c>
    </row>
    <row r="195" spans="7:13" ht="20.100000000000001" customHeight="1" x14ac:dyDescent="0.25">
      <c r="G195" s="6" t="str">
        <f t="shared" si="16"/>
        <v/>
      </c>
      <c r="H195" s="2" t="str">
        <f t="shared" si="18"/>
        <v/>
      </c>
      <c r="I195" s="2" t="str">
        <f t="shared" si="17"/>
        <v/>
      </c>
      <c r="J195" s="2" t="str">
        <f t="shared" si="14"/>
        <v/>
      </c>
      <c r="K195" s="2" t="str">
        <f t="shared" si="19"/>
        <v/>
      </c>
      <c r="M195" s="2" t="str">
        <f t="shared" si="15"/>
        <v/>
      </c>
    </row>
    <row r="196" spans="7:13" ht="20.100000000000001" customHeight="1" x14ac:dyDescent="0.25">
      <c r="G196" s="6" t="str">
        <f t="shared" si="16"/>
        <v/>
      </c>
      <c r="H196" s="2" t="str">
        <f t="shared" si="18"/>
        <v/>
      </c>
      <c r="I196" s="2" t="str">
        <f t="shared" si="17"/>
        <v/>
      </c>
      <c r="J196" s="2" t="str">
        <f t="shared" si="14"/>
        <v/>
      </c>
      <c r="K196" s="2" t="str">
        <f t="shared" si="19"/>
        <v/>
      </c>
      <c r="M196" s="2" t="str">
        <f t="shared" si="15"/>
        <v/>
      </c>
    </row>
    <row r="197" spans="7:13" ht="20.100000000000001" customHeight="1" x14ac:dyDescent="0.25">
      <c r="G197" s="6" t="str">
        <f t="shared" si="16"/>
        <v/>
      </c>
      <c r="H197" s="2" t="str">
        <f t="shared" si="18"/>
        <v/>
      </c>
      <c r="I197" s="2" t="str">
        <f t="shared" si="17"/>
        <v/>
      </c>
      <c r="J197" s="2" t="str">
        <f t="shared" si="14"/>
        <v/>
      </c>
      <c r="K197" s="2" t="str">
        <f t="shared" si="19"/>
        <v/>
      </c>
      <c r="M197" s="2" t="str">
        <f t="shared" si="15"/>
        <v/>
      </c>
    </row>
    <row r="198" spans="7:13" ht="20.100000000000001" customHeight="1" x14ac:dyDescent="0.25">
      <c r="G198" s="6" t="str">
        <f t="shared" si="16"/>
        <v/>
      </c>
      <c r="H198" s="2" t="str">
        <f t="shared" si="18"/>
        <v/>
      </c>
      <c r="I198" s="2" t="str">
        <f t="shared" si="17"/>
        <v/>
      </c>
      <c r="J198" s="2" t="str">
        <f t="shared" ref="J198:J261" si="20">IF(G198="","",IF(G198=0,0,(H198*$BA$9)))</f>
        <v/>
      </c>
      <c r="K198" s="2" t="str">
        <f t="shared" si="19"/>
        <v/>
      </c>
      <c r="M198" s="2" t="str">
        <f t="shared" ref="M198:M261" si="21">IF(G198="","",IF(ROW(G198)=6,H198,IF(AND($I$5=0,ROW(G198)-6=n),-K198,IF(AND(I198&gt;0,ROW(G198)-6=n),I198-K198,IF(AND(I198&lt;0,ROW(G198)-6=n),I198+K198,I198)))))</f>
        <v/>
      </c>
    </row>
    <row r="199" spans="7:13" ht="20.100000000000001" customHeight="1" x14ac:dyDescent="0.25">
      <c r="G199" s="6" t="str">
        <f t="shared" ref="G199:G262" si="22">IF(G198&gt;=$BA$7,"",G198+1)</f>
        <v/>
      </c>
      <c r="H199" s="2" t="str">
        <f t="shared" si="18"/>
        <v/>
      </c>
      <c r="I199" s="2" t="str">
        <f t="shared" ref="I199:I262" si="23">IF(G199=0,0,IF(G199="","",$BA$6))</f>
        <v/>
      </c>
      <c r="J199" s="2" t="str">
        <f t="shared" si="20"/>
        <v/>
      </c>
      <c r="K199" s="2" t="str">
        <f t="shared" si="19"/>
        <v/>
      </c>
      <c r="M199" s="2" t="str">
        <f t="shared" si="21"/>
        <v/>
      </c>
    </row>
    <row r="200" spans="7:13" ht="20.100000000000001" customHeight="1" x14ac:dyDescent="0.25">
      <c r="G200" s="6" t="str">
        <f t="shared" si="22"/>
        <v/>
      </c>
      <c r="H200" s="2" t="str">
        <f t="shared" ref="H200:H263" si="24">IF(G200="","",K199)</f>
        <v/>
      </c>
      <c r="I200" s="2" t="str">
        <f t="shared" si="23"/>
        <v/>
      </c>
      <c r="J200" s="2" t="str">
        <f t="shared" si="20"/>
        <v/>
      </c>
      <c r="K200" s="2" t="str">
        <f t="shared" ref="K200:K263" si="25">IF(G200="","",SUM(H200:J200))</f>
        <v/>
      </c>
      <c r="M200" s="2" t="str">
        <f t="shared" si="21"/>
        <v/>
      </c>
    </row>
    <row r="201" spans="7:13" ht="20.100000000000001" customHeight="1" x14ac:dyDescent="0.25">
      <c r="G201" s="6" t="str">
        <f t="shared" si="22"/>
        <v/>
      </c>
      <c r="H201" s="2" t="str">
        <f t="shared" si="24"/>
        <v/>
      </c>
      <c r="I201" s="2" t="str">
        <f t="shared" si="23"/>
        <v/>
      </c>
      <c r="J201" s="2" t="str">
        <f t="shared" si="20"/>
        <v/>
      </c>
      <c r="K201" s="2" t="str">
        <f t="shared" si="25"/>
        <v/>
      </c>
      <c r="M201" s="2" t="str">
        <f t="shared" si="21"/>
        <v/>
      </c>
    </row>
    <row r="202" spans="7:13" ht="20.100000000000001" customHeight="1" x14ac:dyDescent="0.25">
      <c r="G202" s="6" t="str">
        <f t="shared" si="22"/>
        <v/>
      </c>
      <c r="H202" s="2" t="str">
        <f t="shared" si="24"/>
        <v/>
      </c>
      <c r="I202" s="2" t="str">
        <f t="shared" si="23"/>
        <v/>
      </c>
      <c r="J202" s="2" t="str">
        <f t="shared" si="20"/>
        <v/>
      </c>
      <c r="K202" s="2" t="str">
        <f t="shared" si="25"/>
        <v/>
      </c>
      <c r="M202" s="2" t="str">
        <f t="shared" si="21"/>
        <v/>
      </c>
    </row>
    <row r="203" spans="7:13" ht="20.100000000000001" customHeight="1" x14ac:dyDescent="0.25">
      <c r="G203" s="6" t="str">
        <f t="shared" si="22"/>
        <v/>
      </c>
      <c r="H203" s="2" t="str">
        <f t="shared" si="24"/>
        <v/>
      </c>
      <c r="I203" s="2" t="str">
        <f t="shared" si="23"/>
        <v/>
      </c>
      <c r="J203" s="2" t="str">
        <f t="shared" si="20"/>
        <v/>
      </c>
      <c r="K203" s="2" t="str">
        <f t="shared" si="25"/>
        <v/>
      </c>
      <c r="M203" s="2" t="str">
        <f t="shared" si="21"/>
        <v/>
      </c>
    </row>
    <row r="204" spans="7:13" ht="20.100000000000001" customHeight="1" x14ac:dyDescent="0.25">
      <c r="G204" s="6" t="str">
        <f t="shared" si="22"/>
        <v/>
      </c>
      <c r="H204" s="2" t="str">
        <f t="shared" si="24"/>
        <v/>
      </c>
      <c r="I204" s="2" t="str">
        <f t="shared" si="23"/>
        <v/>
      </c>
      <c r="J204" s="2" t="str">
        <f t="shared" si="20"/>
        <v/>
      </c>
      <c r="K204" s="2" t="str">
        <f t="shared" si="25"/>
        <v/>
      </c>
      <c r="M204" s="2" t="str">
        <f t="shared" si="21"/>
        <v/>
      </c>
    </row>
    <row r="205" spans="7:13" ht="20.100000000000001" customHeight="1" x14ac:dyDescent="0.25">
      <c r="G205" s="6" t="str">
        <f t="shared" si="22"/>
        <v/>
      </c>
      <c r="H205" s="2" t="str">
        <f t="shared" si="24"/>
        <v/>
      </c>
      <c r="I205" s="2" t="str">
        <f t="shared" si="23"/>
        <v/>
      </c>
      <c r="J205" s="2" t="str">
        <f t="shared" si="20"/>
        <v/>
      </c>
      <c r="K205" s="2" t="str">
        <f t="shared" si="25"/>
        <v/>
      </c>
      <c r="M205" s="2" t="str">
        <f t="shared" si="21"/>
        <v/>
      </c>
    </row>
    <row r="206" spans="7:13" ht="20.100000000000001" customHeight="1" x14ac:dyDescent="0.25">
      <c r="G206" s="6" t="str">
        <f t="shared" si="22"/>
        <v/>
      </c>
      <c r="H206" s="2" t="str">
        <f t="shared" si="24"/>
        <v/>
      </c>
      <c r="I206" s="2" t="str">
        <f t="shared" si="23"/>
        <v/>
      </c>
      <c r="J206" s="2" t="str">
        <f t="shared" si="20"/>
        <v/>
      </c>
      <c r="K206" s="2" t="str">
        <f t="shared" si="25"/>
        <v/>
      </c>
      <c r="M206" s="2" t="str">
        <f t="shared" si="21"/>
        <v/>
      </c>
    </row>
    <row r="207" spans="7:13" ht="20.100000000000001" customHeight="1" x14ac:dyDescent="0.25">
      <c r="G207" s="6" t="str">
        <f t="shared" si="22"/>
        <v/>
      </c>
      <c r="H207" s="2" t="str">
        <f t="shared" si="24"/>
        <v/>
      </c>
      <c r="I207" s="2" t="str">
        <f t="shared" si="23"/>
        <v/>
      </c>
      <c r="J207" s="2" t="str">
        <f t="shared" si="20"/>
        <v/>
      </c>
      <c r="K207" s="2" t="str">
        <f t="shared" si="25"/>
        <v/>
      </c>
      <c r="M207" s="2" t="str">
        <f t="shared" si="21"/>
        <v/>
      </c>
    </row>
    <row r="208" spans="7:13" ht="20.100000000000001" customHeight="1" x14ac:dyDescent="0.25">
      <c r="G208" s="6" t="str">
        <f t="shared" si="22"/>
        <v/>
      </c>
      <c r="H208" s="2" t="str">
        <f t="shared" si="24"/>
        <v/>
      </c>
      <c r="I208" s="2" t="str">
        <f t="shared" si="23"/>
        <v/>
      </c>
      <c r="J208" s="2" t="str">
        <f t="shared" si="20"/>
        <v/>
      </c>
      <c r="K208" s="2" t="str">
        <f t="shared" si="25"/>
        <v/>
      </c>
      <c r="M208" s="2" t="str">
        <f t="shared" si="21"/>
        <v/>
      </c>
    </row>
    <row r="209" spans="7:13" ht="20.100000000000001" customHeight="1" x14ac:dyDescent="0.25">
      <c r="G209" s="6" t="str">
        <f t="shared" si="22"/>
        <v/>
      </c>
      <c r="H209" s="2" t="str">
        <f t="shared" si="24"/>
        <v/>
      </c>
      <c r="I209" s="2" t="str">
        <f t="shared" si="23"/>
        <v/>
      </c>
      <c r="J209" s="2" t="str">
        <f t="shared" si="20"/>
        <v/>
      </c>
      <c r="K209" s="2" t="str">
        <f t="shared" si="25"/>
        <v/>
      </c>
      <c r="M209" s="2" t="str">
        <f t="shared" si="21"/>
        <v/>
      </c>
    </row>
    <row r="210" spans="7:13" ht="20.100000000000001" customHeight="1" x14ac:dyDescent="0.25">
      <c r="G210" s="6" t="str">
        <f t="shared" si="22"/>
        <v/>
      </c>
      <c r="H210" s="2" t="str">
        <f t="shared" si="24"/>
        <v/>
      </c>
      <c r="I210" s="2" t="str">
        <f t="shared" si="23"/>
        <v/>
      </c>
      <c r="J210" s="2" t="str">
        <f t="shared" si="20"/>
        <v/>
      </c>
      <c r="K210" s="2" t="str">
        <f t="shared" si="25"/>
        <v/>
      </c>
      <c r="M210" s="2" t="str">
        <f t="shared" si="21"/>
        <v/>
      </c>
    </row>
    <row r="211" spans="7:13" ht="20.100000000000001" customHeight="1" x14ac:dyDescent="0.25">
      <c r="G211" s="6" t="str">
        <f t="shared" si="22"/>
        <v/>
      </c>
      <c r="H211" s="2" t="str">
        <f t="shared" si="24"/>
        <v/>
      </c>
      <c r="I211" s="2" t="str">
        <f t="shared" si="23"/>
        <v/>
      </c>
      <c r="J211" s="2" t="str">
        <f t="shared" si="20"/>
        <v/>
      </c>
      <c r="K211" s="2" t="str">
        <f t="shared" si="25"/>
        <v/>
      </c>
      <c r="M211" s="2" t="str">
        <f t="shared" si="21"/>
        <v/>
      </c>
    </row>
    <row r="212" spans="7:13" ht="20.100000000000001" customHeight="1" x14ac:dyDescent="0.25">
      <c r="G212" s="6" t="str">
        <f t="shared" si="22"/>
        <v/>
      </c>
      <c r="H212" s="2" t="str">
        <f t="shared" si="24"/>
        <v/>
      </c>
      <c r="I212" s="2" t="str">
        <f t="shared" si="23"/>
        <v/>
      </c>
      <c r="J212" s="2" t="str">
        <f t="shared" si="20"/>
        <v/>
      </c>
      <c r="K212" s="2" t="str">
        <f t="shared" si="25"/>
        <v/>
      </c>
      <c r="M212" s="2" t="str">
        <f t="shared" si="21"/>
        <v/>
      </c>
    </row>
    <row r="213" spans="7:13" ht="20.100000000000001" customHeight="1" x14ac:dyDescent="0.25">
      <c r="G213" s="6" t="str">
        <f t="shared" si="22"/>
        <v/>
      </c>
      <c r="H213" s="2" t="str">
        <f t="shared" si="24"/>
        <v/>
      </c>
      <c r="I213" s="2" t="str">
        <f t="shared" si="23"/>
        <v/>
      </c>
      <c r="J213" s="2" t="str">
        <f t="shared" si="20"/>
        <v/>
      </c>
      <c r="K213" s="2" t="str">
        <f t="shared" si="25"/>
        <v/>
      </c>
      <c r="M213" s="2" t="str">
        <f t="shared" si="21"/>
        <v/>
      </c>
    </row>
    <row r="214" spans="7:13" ht="20.100000000000001" customHeight="1" x14ac:dyDescent="0.25">
      <c r="G214" s="6" t="str">
        <f t="shared" si="22"/>
        <v/>
      </c>
      <c r="H214" s="2" t="str">
        <f t="shared" si="24"/>
        <v/>
      </c>
      <c r="I214" s="2" t="str">
        <f t="shared" si="23"/>
        <v/>
      </c>
      <c r="J214" s="2" t="str">
        <f t="shared" si="20"/>
        <v/>
      </c>
      <c r="K214" s="2" t="str">
        <f t="shared" si="25"/>
        <v/>
      </c>
      <c r="M214" s="2" t="str">
        <f t="shared" si="21"/>
        <v/>
      </c>
    </row>
    <row r="215" spans="7:13" ht="20.100000000000001" customHeight="1" x14ac:dyDescent="0.25">
      <c r="G215" s="6" t="str">
        <f t="shared" si="22"/>
        <v/>
      </c>
      <c r="H215" s="2" t="str">
        <f t="shared" si="24"/>
        <v/>
      </c>
      <c r="I215" s="2" t="str">
        <f t="shared" si="23"/>
        <v/>
      </c>
      <c r="J215" s="2" t="str">
        <f t="shared" si="20"/>
        <v/>
      </c>
      <c r="K215" s="2" t="str">
        <f t="shared" si="25"/>
        <v/>
      </c>
      <c r="M215" s="2" t="str">
        <f t="shared" si="21"/>
        <v/>
      </c>
    </row>
    <row r="216" spans="7:13" ht="20.100000000000001" customHeight="1" x14ac:dyDescent="0.25">
      <c r="G216" s="6" t="str">
        <f t="shared" si="22"/>
        <v/>
      </c>
      <c r="H216" s="2" t="str">
        <f t="shared" si="24"/>
        <v/>
      </c>
      <c r="I216" s="2" t="str">
        <f t="shared" si="23"/>
        <v/>
      </c>
      <c r="J216" s="2" t="str">
        <f t="shared" si="20"/>
        <v/>
      </c>
      <c r="K216" s="2" t="str">
        <f t="shared" si="25"/>
        <v/>
      </c>
      <c r="M216" s="2" t="str">
        <f t="shared" si="21"/>
        <v/>
      </c>
    </row>
    <row r="217" spans="7:13" ht="20.100000000000001" customHeight="1" x14ac:dyDescent="0.25">
      <c r="G217" s="6" t="str">
        <f t="shared" si="22"/>
        <v/>
      </c>
      <c r="H217" s="2" t="str">
        <f t="shared" si="24"/>
        <v/>
      </c>
      <c r="I217" s="2" t="str">
        <f t="shared" si="23"/>
        <v/>
      </c>
      <c r="J217" s="2" t="str">
        <f t="shared" si="20"/>
        <v/>
      </c>
      <c r="K217" s="2" t="str">
        <f t="shared" si="25"/>
        <v/>
      </c>
      <c r="M217" s="2" t="str">
        <f t="shared" si="21"/>
        <v/>
      </c>
    </row>
    <row r="218" spans="7:13" ht="20.100000000000001" customHeight="1" x14ac:dyDescent="0.25">
      <c r="G218" s="6" t="str">
        <f t="shared" si="22"/>
        <v/>
      </c>
      <c r="H218" s="2" t="str">
        <f t="shared" si="24"/>
        <v/>
      </c>
      <c r="I218" s="2" t="str">
        <f t="shared" si="23"/>
        <v/>
      </c>
      <c r="J218" s="2" t="str">
        <f t="shared" si="20"/>
        <v/>
      </c>
      <c r="K218" s="2" t="str">
        <f t="shared" si="25"/>
        <v/>
      </c>
      <c r="M218" s="2" t="str">
        <f t="shared" si="21"/>
        <v/>
      </c>
    </row>
    <row r="219" spans="7:13" ht="20.100000000000001" customHeight="1" x14ac:dyDescent="0.25">
      <c r="G219" s="6" t="str">
        <f t="shared" si="22"/>
        <v/>
      </c>
      <c r="H219" s="2" t="str">
        <f t="shared" si="24"/>
        <v/>
      </c>
      <c r="I219" s="2" t="str">
        <f t="shared" si="23"/>
        <v/>
      </c>
      <c r="J219" s="2" t="str">
        <f t="shared" si="20"/>
        <v/>
      </c>
      <c r="K219" s="2" t="str">
        <f t="shared" si="25"/>
        <v/>
      </c>
      <c r="M219" s="2" t="str">
        <f t="shared" si="21"/>
        <v/>
      </c>
    </row>
    <row r="220" spans="7:13" ht="20.100000000000001" customHeight="1" x14ac:dyDescent="0.25">
      <c r="G220" s="6" t="str">
        <f t="shared" si="22"/>
        <v/>
      </c>
      <c r="H220" s="2" t="str">
        <f t="shared" si="24"/>
        <v/>
      </c>
      <c r="I220" s="2" t="str">
        <f t="shared" si="23"/>
        <v/>
      </c>
      <c r="J220" s="2" t="str">
        <f t="shared" si="20"/>
        <v/>
      </c>
      <c r="K220" s="2" t="str">
        <f t="shared" si="25"/>
        <v/>
      </c>
      <c r="M220" s="2" t="str">
        <f t="shared" si="21"/>
        <v/>
      </c>
    </row>
    <row r="221" spans="7:13" ht="20.100000000000001" customHeight="1" x14ac:dyDescent="0.25">
      <c r="G221" s="6" t="str">
        <f t="shared" si="22"/>
        <v/>
      </c>
      <c r="H221" s="2" t="str">
        <f t="shared" si="24"/>
        <v/>
      </c>
      <c r="I221" s="2" t="str">
        <f t="shared" si="23"/>
        <v/>
      </c>
      <c r="J221" s="2" t="str">
        <f t="shared" si="20"/>
        <v/>
      </c>
      <c r="K221" s="2" t="str">
        <f t="shared" si="25"/>
        <v/>
      </c>
      <c r="M221" s="2" t="str">
        <f t="shared" si="21"/>
        <v/>
      </c>
    </row>
    <row r="222" spans="7:13" ht="20.100000000000001" customHeight="1" x14ac:dyDescent="0.25">
      <c r="G222" s="6" t="str">
        <f t="shared" si="22"/>
        <v/>
      </c>
      <c r="H222" s="2" t="str">
        <f t="shared" si="24"/>
        <v/>
      </c>
      <c r="I222" s="2" t="str">
        <f t="shared" si="23"/>
        <v/>
      </c>
      <c r="J222" s="2" t="str">
        <f t="shared" si="20"/>
        <v/>
      </c>
      <c r="K222" s="2" t="str">
        <f t="shared" si="25"/>
        <v/>
      </c>
      <c r="M222" s="2" t="str">
        <f t="shared" si="21"/>
        <v/>
      </c>
    </row>
    <row r="223" spans="7:13" ht="20.100000000000001" customHeight="1" x14ac:dyDescent="0.25">
      <c r="G223" s="6" t="str">
        <f t="shared" si="22"/>
        <v/>
      </c>
      <c r="H223" s="2" t="str">
        <f t="shared" si="24"/>
        <v/>
      </c>
      <c r="I223" s="2" t="str">
        <f t="shared" si="23"/>
        <v/>
      </c>
      <c r="J223" s="2" t="str">
        <f t="shared" si="20"/>
        <v/>
      </c>
      <c r="K223" s="2" t="str">
        <f t="shared" si="25"/>
        <v/>
      </c>
      <c r="M223" s="2" t="str">
        <f t="shared" si="21"/>
        <v/>
      </c>
    </row>
    <row r="224" spans="7:13" ht="20.100000000000001" customHeight="1" x14ac:dyDescent="0.25">
      <c r="G224" s="6" t="str">
        <f t="shared" si="22"/>
        <v/>
      </c>
      <c r="H224" s="2" t="str">
        <f t="shared" si="24"/>
        <v/>
      </c>
      <c r="I224" s="2" t="str">
        <f t="shared" si="23"/>
        <v/>
      </c>
      <c r="J224" s="2" t="str">
        <f t="shared" si="20"/>
        <v/>
      </c>
      <c r="K224" s="2" t="str">
        <f t="shared" si="25"/>
        <v/>
      </c>
      <c r="M224" s="2" t="str">
        <f t="shared" si="21"/>
        <v/>
      </c>
    </row>
    <row r="225" spans="7:13" ht="20.100000000000001" customHeight="1" x14ac:dyDescent="0.25">
      <c r="G225" s="6" t="str">
        <f t="shared" si="22"/>
        <v/>
      </c>
      <c r="H225" s="2" t="str">
        <f t="shared" si="24"/>
        <v/>
      </c>
      <c r="I225" s="2" t="str">
        <f t="shared" si="23"/>
        <v/>
      </c>
      <c r="J225" s="2" t="str">
        <f t="shared" si="20"/>
        <v/>
      </c>
      <c r="K225" s="2" t="str">
        <f t="shared" si="25"/>
        <v/>
      </c>
      <c r="M225" s="2" t="str">
        <f t="shared" si="21"/>
        <v/>
      </c>
    </row>
    <row r="226" spans="7:13" ht="20.100000000000001" customHeight="1" x14ac:dyDescent="0.25">
      <c r="G226" s="6" t="str">
        <f t="shared" si="22"/>
        <v/>
      </c>
      <c r="H226" s="2" t="str">
        <f t="shared" si="24"/>
        <v/>
      </c>
      <c r="I226" s="2" t="str">
        <f t="shared" si="23"/>
        <v/>
      </c>
      <c r="J226" s="2" t="str">
        <f t="shared" si="20"/>
        <v/>
      </c>
      <c r="K226" s="2" t="str">
        <f t="shared" si="25"/>
        <v/>
      </c>
      <c r="M226" s="2" t="str">
        <f t="shared" si="21"/>
        <v/>
      </c>
    </row>
    <row r="227" spans="7:13" ht="20.100000000000001" customHeight="1" x14ac:dyDescent="0.25">
      <c r="G227" s="6" t="str">
        <f t="shared" si="22"/>
        <v/>
      </c>
      <c r="H227" s="2" t="str">
        <f t="shared" si="24"/>
        <v/>
      </c>
      <c r="I227" s="2" t="str">
        <f t="shared" si="23"/>
        <v/>
      </c>
      <c r="J227" s="2" t="str">
        <f t="shared" si="20"/>
        <v/>
      </c>
      <c r="K227" s="2" t="str">
        <f t="shared" si="25"/>
        <v/>
      </c>
      <c r="M227" s="2" t="str">
        <f t="shared" si="21"/>
        <v/>
      </c>
    </row>
    <row r="228" spans="7:13" ht="20.100000000000001" customHeight="1" x14ac:dyDescent="0.25">
      <c r="G228" s="6" t="str">
        <f t="shared" si="22"/>
        <v/>
      </c>
      <c r="H228" s="2" t="str">
        <f t="shared" si="24"/>
        <v/>
      </c>
      <c r="I228" s="2" t="str">
        <f t="shared" si="23"/>
        <v/>
      </c>
      <c r="J228" s="2" t="str">
        <f t="shared" si="20"/>
        <v/>
      </c>
      <c r="K228" s="2" t="str">
        <f t="shared" si="25"/>
        <v/>
      </c>
      <c r="M228" s="2" t="str">
        <f t="shared" si="21"/>
        <v/>
      </c>
    </row>
    <row r="229" spans="7:13" ht="20.100000000000001" customHeight="1" x14ac:dyDescent="0.25">
      <c r="G229" s="6" t="str">
        <f t="shared" si="22"/>
        <v/>
      </c>
      <c r="H229" s="2" t="str">
        <f t="shared" si="24"/>
        <v/>
      </c>
      <c r="I229" s="2" t="str">
        <f t="shared" si="23"/>
        <v/>
      </c>
      <c r="J229" s="2" t="str">
        <f t="shared" si="20"/>
        <v/>
      </c>
      <c r="K229" s="2" t="str">
        <f t="shared" si="25"/>
        <v/>
      </c>
      <c r="M229" s="2" t="str">
        <f t="shared" si="21"/>
        <v/>
      </c>
    </row>
    <row r="230" spans="7:13" ht="20.100000000000001" customHeight="1" x14ac:dyDescent="0.25">
      <c r="G230" s="6" t="str">
        <f t="shared" si="22"/>
        <v/>
      </c>
      <c r="H230" s="2" t="str">
        <f t="shared" si="24"/>
        <v/>
      </c>
      <c r="I230" s="2" t="str">
        <f t="shared" si="23"/>
        <v/>
      </c>
      <c r="J230" s="2" t="str">
        <f t="shared" si="20"/>
        <v/>
      </c>
      <c r="K230" s="2" t="str">
        <f t="shared" si="25"/>
        <v/>
      </c>
      <c r="M230" s="2" t="str">
        <f t="shared" si="21"/>
        <v/>
      </c>
    </row>
    <row r="231" spans="7:13" ht="20.100000000000001" customHeight="1" x14ac:dyDescent="0.25">
      <c r="G231" s="6" t="str">
        <f t="shared" si="22"/>
        <v/>
      </c>
      <c r="H231" s="2" t="str">
        <f t="shared" si="24"/>
        <v/>
      </c>
      <c r="I231" s="2" t="str">
        <f t="shared" si="23"/>
        <v/>
      </c>
      <c r="J231" s="2" t="str">
        <f t="shared" si="20"/>
        <v/>
      </c>
      <c r="K231" s="2" t="str">
        <f t="shared" si="25"/>
        <v/>
      </c>
      <c r="M231" s="2" t="str">
        <f t="shared" si="21"/>
        <v/>
      </c>
    </row>
    <row r="232" spans="7:13" ht="20.100000000000001" customHeight="1" x14ac:dyDescent="0.25">
      <c r="G232" s="6" t="str">
        <f t="shared" si="22"/>
        <v/>
      </c>
      <c r="H232" s="2" t="str">
        <f t="shared" si="24"/>
        <v/>
      </c>
      <c r="I232" s="2" t="str">
        <f t="shared" si="23"/>
        <v/>
      </c>
      <c r="J232" s="2" t="str">
        <f t="shared" si="20"/>
        <v/>
      </c>
      <c r="K232" s="2" t="str">
        <f t="shared" si="25"/>
        <v/>
      </c>
      <c r="M232" s="2" t="str">
        <f t="shared" si="21"/>
        <v/>
      </c>
    </row>
    <row r="233" spans="7:13" ht="20.100000000000001" customHeight="1" x14ac:dyDescent="0.25">
      <c r="G233" s="6" t="str">
        <f t="shared" si="22"/>
        <v/>
      </c>
      <c r="H233" s="2" t="str">
        <f t="shared" si="24"/>
        <v/>
      </c>
      <c r="I233" s="2" t="str">
        <f t="shared" si="23"/>
        <v/>
      </c>
      <c r="J233" s="2" t="str">
        <f t="shared" si="20"/>
        <v/>
      </c>
      <c r="K233" s="2" t="str">
        <f t="shared" si="25"/>
        <v/>
      </c>
      <c r="M233" s="2" t="str">
        <f t="shared" si="21"/>
        <v/>
      </c>
    </row>
    <row r="234" spans="7:13" ht="20.100000000000001" customHeight="1" x14ac:dyDescent="0.25">
      <c r="G234" s="6" t="str">
        <f t="shared" si="22"/>
        <v/>
      </c>
      <c r="H234" s="2" t="str">
        <f t="shared" si="24"/>
        <v/>
      </c>
      <c r="I234" s="2" t="str">
        <f t="shared" si="23"/>
        <v/>
      </c>
      <c r="J234" s="2" t="str">
        <f t="shared" si="20"/>
        <v/>
      </c>
      <c r="K234" s="2" t="str">
        <f t="shared" si="25"/>
        <v/>
      </c>
      <c r="M234" s="2" t="str">
        <f t="shared" si="21"/>
        <v/>
      </c>
    </row>
    <row r="235" spans="7:13" ht="20.100000000000001" customHeight="1" x14ac:dyDescent="0.25">
      <c r="G235" s="6" t="str">
        <f t="shared" si="22"/>
        <v/>
      </c>
      <c r="H235" s="2" t="str">
        <f t="shared" si="24"/>
        <v/>
      </c>
      <c r="I235" s="2" t="str">
        <f t="shared" si="23"/>
        <v/>
      </c>
      <c r="J235" s="2" t="str">
        <f t="shared" si="20"/>
        <v/>
      </c>
      <c r="K235" s="2" t="str">
        <f t="shared" si="25"/>
        <v/>
      </c>
      <c r="M235" s="2" t="str">
        <f t="shared" si="21"/>
        <v/>
      </c>
    </row>
    <row r="236" spans="7:13" ht="20.100000000000001" customHeight="1" x14ac:dyDescent="0.25">
      <c r="G236" s="6" t="str">
        <f t="shared" si="22"/>
        <v/>
      </c>
      <c r="H236" s="2" t="str">
        <f t="shared" si="24"/>
        <v/>
      </c>
      <c r="I236" s="2" t="str">
        <f t="shared" si="23"/>
        <v/>
      </c>
      <c r="J236" s="2" t="str">
        <f t="shared" si="20"/>
        <v/>
      </c>
      <c r="K236" s="2" t="str">
        <f t="shared" si="25"/>
        <v/>
      </c>
      <c r="M236" s="2" t="str">
        <f t="shared" si="21"/>
        <v/>
      </c>
    </row>
    <row r="237" spans="7:13" ht="20.100000000000001" customHeight="1" x14ac:dyDescent="0.25">
      <c r="G237" s="6" t="str">
        <f t="shared" si="22"/>
        <v/>
      </c>
      <c r="H237" s="2" t="str">
        <f t="shared" si="24"/>
        <v/>
      </c>
      <c r="I237" s="2" t="str">
        <f t="shared" si="23"/>
        <v/>
      </c>
      <c r="J237" s="2" t="str">
        <f t="shared" si="20"/>
        <v/>
      </c>
      <c r="K237" s="2" t="str">
        <f t="shared" si="25"/>
        <v/>
      </c>
      <c r="M237" s="2" t="str">
        <f t="shared" si="21"/>
        <v/>
      </c>
    </row>
    <row r="238" spans="7:13" ht="20.100000000000001" customHeight="1" x14ac:dyDescent="0.25">
      <c r="G238" s="6" t="str">
        <f t="shared" si="22"/>
        <v/>
      </c>
      <c r="H238" s="2" t="str">
        <f t="shared" si="24"/>
        <v/>
      </c>
      <c r="I238" s="2" t="str">
        <f t="shared" si="23"/>
        <v/>
      </c>
      <c r="J238" s="2" t="str">
        <f t="shared" si="20"/>
        <v/>
      </c>
      <c r="K238" s="2" t="str">
        <f t="shared" si="25"/>
        <v/>
      </c>
      <c r="M238" s="2" t="str">
        <f t="shared" si="21"/>
        <v/>
      </c>
    </row>
    <row r="239" spans="7:13" ht="20.100000000000001" customHeight="1" x14ac:dyDescent="0.25">
      <c r="G239" s="6" t="str">
        <f t="shared" si="22"/>
        <v/>
      </c>
      <c r="H239" s="2" t="str">
        <f t="shared" si="24"/>
        <v/>
      </c>
      <c r="I239" s="2" t="str">
        <f t="shared" si="23"/>
        <v/>
      </c>
      <c r="J239" s="2" t="str">
        <f t="shared" si="20"/>
        <v/>
      </c>
      <c r="K239" s="2" t="str">
        <f t="shared" si="25"/>
        <v/>
      </c>
      <c r="M239" s="2" t="str">
        <f t="shared" si="21"/>
        <v/>
      </c>
    </row>
    <row r="240" spans="7:13" ht="20.100000000000001" customHeight="1" x14ac:dyDescent="0.25">
      <c r="G240" s="6" t="str">
        <f t="shared" si="22"/>
        <v/>
      </c>
      <c r="H240" s="2" t="str">
        <f t="shared" si="24"/>
        <v/>
      </c>
      <c r="I240" s="2" t="str">
        <f t="shared" si="23"/>
        <v/>
      </c>
      <c r="J240" s="2" t="str">
        <f t="shared" si="20"/>
        <v/>
      </c>
      <c r="K240" s="2" t="str">
        <f t="shared" si="25"/>
        <v/>
      </c>
      <c r="M240" s="2" t="str">
        <f t="shared" si="21"/>
        <v/>
      </c>
    </row>
    <row r="241" spans="7:13" ht="20.100000000000001" customHeight="1" x14ac:dyDescent="0.25">
      <c r="G241" s="6" t="str">
        <f t="shared" si="22"/>
        <v/>
      </c>
      <c r="H241" s="2" t="str">
        <f t="shared" si="24"/>
        <v/>
      </c>
      <c r="I241" s="2" t="str">
        <f t="shared" si="23"/>
        <v/>
      </c>
      <c r="J241" s="2" t="str">
        <f t="shared" si="20"/>
        <v/>
      </c>
      <c r="K241" s="2" t="str">
        <f t="shared" si="25"/>
        <v/>
      </c>
      <c r="M241" s="2" t="str">
        <f t="shared" si="21"/>
        <v/>
      </c>
    </row>
    <row r="242" spans="7:13" ht="20.100000000000001" customHeight="1" x14ac:dyDescent="0.25">
      <c r="G242" s="6" t="str">
        <f t="shared" si="22"/>
        <v/>
      </c>
      <c r="H242" s="2" t="str">
        <f t="shared" si="24"/>
        <v/>
      </c>
      <c r="I242" s="2" t="str">
        <f t="shared" si="23"/>
        <v/>
      </c>
      <c r="J242" s="2" t="str">
        <f t="shared" si="20"/>
        <v/>
      </c>
      <c r="K242" s="2" t="str">
        <f t="shared" si="25"/>
        <v/>
      </c>
      <c r="M242" s="2" t="str">
        <f t="shared" si="21"/>
        <v/>
      </c>
    </row>
    <row r="243" spans="7:13" ht="20.100000000000001" customHeight="1" x14ac:dyDescent="0.25">
      <c r="G243" s="6" t="str">
        <f t="shared" si="22"/>
        <v/>
      </c>
      <c r="H243" s="2" t="str">
        <f t="shared" si="24"/>
        <v/>
      </c>
      <c r="I243" s="2" t="str">
        <f t="shared" si="23"/>
        <v/>
      </c>
      <c r="J243" s="2" t="str">
        <f t="shared" si="20"/>
        <v/>
      </c>
      <c r="K243" s="2" t="str">
        <f t="shared" si="25"/>
        <v/>
      </c>
      <c r="M243" s="2" t="str">
        <f t="shared" si="21"/>
        <v/>
      </c>
    </row>
    <row r="244" spans="7:13" ht="20.100000000000001" customHeight="1" x14ac:dyDescent="0.25">
      <c r="G244" s="6" t="str">
        <f t="shared" si="22"/>
        <v/>
      </c>
      <c r="H244" s="2" t="str">
        <f t="shared" si="24"/>
        <v/>
      </c>
      <c r="I244" s="2" t="str">
        <f t="shared" si="23"/>
        <v/>
      </c>
      <c r="J244" s="2" t="str">
        <f t="shared" si="20"/>
        <v/>
      </c>
      <c r="K244" s="2" t="str">
        <f t="shared" si="25"/>
        <v/>
      </c>
      <c r="M244" s="2" t="str">
        <f t="shared" si="21"/>
        <v/>
      </c>
    </row>
    <row r="245" spans="7:13" ht="20.100000000000001" customHeight="1" x14ac:dyDescent="0.25">
      <c r="G245" s="6" t="str">
        <f t="shared" si="22"/>
        <v/>
      </c>
      <c r="H245" s="2" t="str">
        <f t="shared" si="24"/>
        <v/>
      </c>
      <c r="I245" s="2" t="str">
        <f t="shared" si="23"/>
        <v/>
      </c>
      <c r="J245" s="2" t="str">
        <f t="shared" si="20"/>
        <v/>
      </c>
      <c r="K245" s="2" t="str">
        <f t="shared" si="25"/>
        <v/>
      </c>
      <c r="M245" s="2" t="str">
        <f t="shared" si="21"/>
        <v/>
      </c>
    </row>
    <row r="246" spans="7:13" ht="20.100000000000001" customHeight="1" x14ac:dyDescent="0.25">
      <c r="G246" s="6" t="str">
        <f t="shared" si="22"/>
        <v/>
      </c>
      <c r="H246" s="2" t="str">
        <f t="shared" si="24"/>
        <v/>
      </c>
      <c r="I246" s="2" t="str">
        <f t="shared" si="23"/>
        <v/>
      </c>
      <c r="J246" s="2" t="str">
        <f t="shared" si="20"/>
        <v/>
      </c>
      <c r="K246" s="2" t="str">
        <f t="shared" si="25"/>
        <v/>
      </c>
      <c r="M246" s="2" t="str">
        <f t="shared" si="21"/>
        <v/>
      </c>
    </row>
    <row r="247" spans="7:13" ht="20.100000000000001" customHeight="1" x14ac:dyDescent="0.25">
      <c r="G247" s="6" t="str">
        <f t="shared" si="22"/>
        <v/>
      </c>
      <c r="H247" s="2" t="str">
        <f t="shared" si="24"/>
        <v/>
      </c>
      <c r="I247" s="2" t="str">
        <f t="shared" si="23"/>
        <v/>
      </c>
      <c r="J247" s="2" t="str">
        <f t="shared" si="20"/>
        <v/>
      </c>
      <c r="K247" s="2" t="str">
        <f t="shared" si="25"/>
        <v/>
      </c>
      <c r="M247" s="2" t="str">
        <f t="shared" si="21"/>
        <v/>
      </c>
    </row>
    <row r="248" spans="7:13" ht="20.100000000000001" customHeight="1" x14ac:dyDescent="0.25">
      <c r="G248" s="6" t="str">
        <f t="shared" si="22"/>
        <v/>
      </c>
      <c r="H248" s="2" t="str">
        <f t="shared" si="24"/>
        <v/>
      </c>
      <c r="I248" s="2" t="str">
        <f t="shared" si="23"/>
        <v/>
      </c>
      <c r="J248" s="2" t="str">
        <f t="shared" si="20"/>
        <v/>
      </c>
      <c r="K248" s="2" t="str">
        <f t="shared" si="25"/>
        <v/>
      </c>
      <c r="M248" s="2" t="str">
        <f t="shared" si="21"/>
        <v/>
      </c>
    </row>
    <row r="249" spans="7:13" ht="20.100000000000001" customHeight="1" x14ac:dyDescent="0.25">
      <c r="G249" s="6" t="str">
        <f t="shared" si="22"/>
        <v/>
      </c>
      <c r="H249" s="2" t="str">
        <f t="shared" si="24"/>
        <v/>
      </c>
      <c r="I249" s="2" t="str">
        <f t="shared" si="23"/>
        <v/>
      </c>
      <c r="J249" s="2" t="str">
        <f t="shared" si="20"/>
        <v/>
      </c>
      <c r="K249" s="2" t="str">
        <f t="shared" si="25"/>
        <v/>
      </c>
      <c r="M249" s="2" t="str">
        <f t="shared" si="21"/>
        <v/>
      </c>
    </row>
    <row r="250" spans="7:13" ht="20.100000000000001" customHeight="1" x14ac:dyDescent="0.25">
      <c r="G250" s="6" t="str">
        <f t="shared" si="22"/>
        <v/>
      </c>
      <c r="H250" s="2" t="str">
        <f t="shared" si="24"/>
        <v/>
      </c>
      <c r="I250" s="2" t="str">
        <f t="shared" si="23"/>
        <v/>
      </c>
      <c r="J250" s="2" t="str">
        <f t="shared" si="20"/>
        <v/>
      </c>
      <c r="K250" s="2" t="str">
        <f t="shared" si="25"/>
        <v/>
      </c>
      <c r="M250" s="2" t="str">
        <f t="shared" si="21"/>
        <v/>
      </c>
    </row>
    <row r="251" spans="7:13" ht="20.100000000000001" customHeight="1" x14ac:dyDescent="0.25">
      <c r="G251" s="6" t="str">
        <f t="shared" si="22"/>
        <v/>
      </c>
      <c r="H251" s="2" t="str">
        <f t="shared" si="24"/>
        <v/>
      </c>
      <c r="I251" s="2" t="str">
        <f t="shared" si="23"/>
        <v/>
      </c>
      <c r="J251" s="2" t="str">
        <f t="shared" si="20"/>
        <v/>
      </c>
      <c r="K251" s="2" t="str">
        <f t="shared" si="25"/>
        <v/>
      </c>
      <c r="M251" s="2" t="str">
        <f t="shared" si="21"/>
        <v/>
      </c>
    </row>
    <row r="252" spans="7:13" ht="20.100000000000001" customHeight="1" x14ac:dyDescent="0.25">
      <c r="G252" s="6" t="str">
        <f t="shared" si="22"/>
        <v/>
      </c>
      <c r="H252" s="2" t="str">
        <f t="shared" si="24"/>
        <v/>
      </c>
      <c r="I252" s="2" t="str">
        <f t="shared" si="23"/>
        <v/>
      </c>
      <c r="J252" s="2" t="str">
        <f t="shared" si="20"/>
        <v/>
      </c>
      <c r="K252" s="2" t="str">
        <f t="shared" si="25"/>
        <v/>
      </c>
      <c r="M252" s="2" t="str">
        <f t="shared" si="21"/>
        <v/>
      </c>
    </row>
    <row r="253" spans="7:13" ht="20.100000000000001" customHeight="1" x14ac:dyDescent="0.25">
      <c r="G253" s="6" t="str">
        <f t="shared" si="22"/>
        <v/>
      </c>
      <c r="H253" s="2" t="str">
        <f t="shared" si="24"/>
        <v/>
      </c>
      <c r="I253" s="2" t="str">
        <f t="shared" si="23"/>
        <v/>
      </c>
      <c r="J253" s="2" t="str">
        <f t="shared" si="20"/>
        <v/>
      </c>
      <c r="K253" s="2" t="str">
        <f t="shared" si="25"/>
        <v/>
      </c>
      <c r="M253" s="2" t="str">
        <f t="shared" si="21"/>
        <v/>
      </c>
    </row>
    <row r="254" spans="7:13" ht="20.100000000000001" customHeight="1" x14ac:dyDescent="0.25">
      <c r="G254" s="6" t="str">
        <f t="shared" si="22"/>
        <v/>
      </c>
      <c r="H254" s="2" t="str">
        <f t="shared" si="24"/>
        <v/>
      </c>
      <c r="I254" s="2" t="str">
        <f t="shared" si="23"/>
        <v/>
      </c>
      <c r="J254" s="2" t="str">
        <f t="shared" si="20"/>
        <v/>
      </c>
      <c r="K254" s="2" t="str">
        <f t="shared" si="25"/>
        <v/>
      </c>
      <c r="M254" s="2" t="str">
        <f t="shared" si="21"/>
        <v/>
      </c>
    </row>
    <row r="255" spans="7:13" ht="20.100000000000001" customHeight="1" x14ac:dyDescent="0.25">
      <c r="G255" s="6" t="str">
        <f t="shared" si="22"/>
        <v/>
      </c>
      <c r="H255" s="2" t="str">
        <f t="shared" si="24"/>
        <v/>
      </c>
      <c r="I255" s="2" t="str">
        <f t="shared" si="23"/>
        <v/>
      </c>
      <c r="J255" s="2" t="str">
        <f t="shared" si="20"/>
        <v/>
      </c>
      <c r="K255" s="2" t="str">
        <f t="shared" si="25"/>
        <v/>
      </c>
      <c r="M255" s="2" t="str">
        <f t="shared" si="21"/>
        <v/>
      </c>
    </row>
    <row r="256" spans="7:13" ht="20.100000000000001" customHeight="1" x14ac:dyDescent="0.25">
      <c r="G256" s="6" t="str">
        <f t="shared" si="22"/>
        <v/>
      </c>
      <c r="H256" s="2" t="str">
        <f t="shared" si="24"/>
        <v/>
      </c>
      <c r="I256" s="2" t="str">
        <f t="shared" si="23"/>
        <v/>
      </c>
      <c r="J256" s="2" t="str">
        <f t="shared" si="20"/>
        <v/>
      </c>
      <c r="K256" s="2" t="str">
        <f t="shared" si="25"/>
        <v/>
      </c>
      <c r="M256" s="2" t="str">
        <f t="shared" si="21"/>
        <v/>
      </c>
    </row>
    <row r="257" spans="7:13" ht="20.100000000000001" customHeight="1" x14ac:dyDescent="0.25">
      <c r="G257" s="6" t="str">
        <f t="shared" si="22"/>
        <v/>
      </c>
      <c r="H257" s="2" t="str">
        <f t="shared" si="24"/>
        <v/>
      </c>
      <c r="I257" s="2" t="str">
        <f t="shared" si="23"/>
        <v/>
      </c>
      <c r="J257" s="2" t="str">
        <f t="shared" si="20"/>
        <v/>
      </c>
      <c r="K257" s="2" t="str">
        <f t="shared" si="25"/>
        <v/>
      </c>
      <c r="M257" s="2" t="str">
        <f t="shared" si="21"/>
        <v/>
      </c>
    </row>
    <row r="258" spans="7:13" ht="20.100000000000001" customHeight="1" x14ac:dyDescent="0.25">
      <c r="G258" s="6" t="str">
        <f t="shared" si="22"/>
        <v/>
      </c>
      <c r="H258" s="2" t="str">
        <f t="shared" si="24"/>
        <v/>
      </c>
      <c r="I258" s="2" t="str">
        <f t="shared" si="23"/>
        <v/>
      </c>
      <c r="J258" s="2" t="str">
        <f t="shared" si="20"/>
        <v/>
      </c>
      <c r="K258" s="2" t="str">
        <f t="shared" si="25"/>
        <v/>
      </c>
      <c r="M258" s="2" t="str">
        <f t="shared" si="21"/>
        <v/>
      </c>
    </row>
    <row r="259" spans="7:13" ht="20.100000000000001" customHeight="1" x14ac:dyDescent="0.25">
      <c r="G259" s="6" t="str">
        <f t="shared" si="22"/>
        <v/>
      </c>
      <c r="H259" s="2" t="str">
        <f t="shared" si="24"/>
        <v/>
      </c>
      <c r="I259" s="2" t="str">
        <f t="shared" si="23"/>
        <v/>
      </c>
      <c r="J259" s="2" t="str">
        <f t="shared" si="20"/>
        <v/>
      </c>
      <c r="K259" s="2" t="str">
        <f t="shared" si="25"/>
        <v/>
      </c>
      <c r="M259" s="2" t="str">
        <f t="shared" si="21"/>
        <v/>
      </c>
    </row>
    <row r="260" spans="7:13" ht="20.100000000000001" customHeight="1" x14ac:dyDescent="0.25">
      <c r="G260" s="6" t="str">
        <f t="shared" si="22"/>
        <v/>
      </c>
      <c r="H260" s="2" t="str">
        <f t="shared" si="24"/>
        <v/>
      </c>
      <c r="I260" s="2" t="str">
        <f t="shared" si="23"/>
        <v/>
      </c>
      <c r="J260" s="2" t="str">
        <f t="shared" si="20"/>
        <v/>
      </c>
      <c r="K260" s="2" t="str">
        <f t="shared" si="25"/>
        <v/>
      </c>
      <c r="M260" s="2" t="str">
        <f t="shared" si="21"/>
        <v/>
      </c>
    </row>
    <row r="261" spans="7:13" ht="20.100000000000001" customHeight="1" x14ac:dyDescent="0.25">
      <c r="G261" s="6" t="str">
        <f t="shared" si="22"/>
        <v/>
      </c>
      <c r="H261" s="2" t="str">
        <f t="shared" si="24"/>
        <v/>
      </c>
      <c r="I261" s="2" t="str">
        <f t="shared" si="23"/>
        <v/>
      </c>
      <c r="J261" s="2" t="str">
        <f t="shared" si="20"/>
        <v/>
      </c>
      <c r="K261" s="2" t="str">
        <f t="shared" si="25"/>
        <v/>
      </c>
      <c r="M261" s="2" t="str">
        <f t="shared" si="21"/>
        <v/>
      </c>
    </row>
    <row r="262" spans="7:13" ht="20.100000000000001" customHeight="1" x14ac:dyDescent="0.25">
      <c r="G262" s="6" t="str">
        <f t="shared" si="22"/>
        <v/>
      </c>
      <c r="H262" s="2" t="str">
        <f t="shared" si="24"/>
        <v/>
      </c>
      <c r="I262" s="2" t="str">
        <f t="shared" si="23"/>
        <v/>
      </c>
      <c r="J262" s="2" t="str">
        <f t="shared" ref="J262:J325" si="26">IF(G262="","",IF(G262=0,0,(H262*$BA$9)))</f>
        <v/>
      </c>
      <c r="K262" s="2" t="str">
        <f t="shared" si="25"/>
        <v/>
      </c>
      <c r="M262" s="2" t="str">
        <f t="shared" ref="M262:M325" si="27">IF(G262="","",IF(ROW(G262)=6,H262,IF(AND($I$5=0,ROW(G262)-6=n),-K262,IF(AND(I262&gt;0,ROW(G262)-6=n),I262-K262,IF(AND(I262&lt;0,ROW(G262)-6=n),I262+K262,I262)))))</f>
        <v/>
      </c>
    </row>
    <row r="263" spans="7:13" ht="20.100000000000001" customHeight="1" x14ac:dyDescent="0.25">
      <c r="G263" s="6" t="str">
        <f t="shared" ref="G263:G326" si="28">IF(G262&gt;=$BA$7,"",G262+1)</f>
        <v/>
      </c>
      <c r="H263" s="2" t="str">
        <f t="shared" si="24"/>
        <v/>
      </c>
      <c r="I263" s="2" t="str">
        <f t="shared" ref="I263:I326" si="29">IF(G263=0,0,IF(G263="","",$BA$6))</f>
        <v/>
      </c>
      <c r="J263" s="2" t="str">
        <f t="shared" si="26"/>
        <v/>
      </c>
      <c r="K263" s="2" t="str">
        <f t="shared" si="25"/>
        <v/>
      </c>
      <c r="M263" s="2" t="str">
        <f t="shared" si="27"/>
        <v/>
      </c>
    </row>
    <row r="264" spans="7:13" ht="20.100000000000001" customHeight="1" x14ac:dyDescent="0.25">
      <c r="G264" s="6" t="str">
        <f t="shared" si="28"/>
        <v/>
      </c>
      <c r="H264" s="2" t="str">
        <f t="shared" ref="H264:H327" si="30">IF(G264="","",K263)</f>
        <v/>
      </c>
      <c r="I264" s="2" t="str">
        <f t="shared" si="29"/>
        <v/>
      </c>
      <c r="J264" s="2" t="str">
        <f t="shared" si="26"/>
        <v/>
      </c>
      <c r="K264" s="2" t="str">
        <f t="shared" ref="K264:K327" si="31">IF(G264="","",SUM(H264:J264))</f>
        <v/>
      </c>
      <c r="M264" s="2" t="str">
        <f t="shared" si="27"/>
        <v/>
      </c>
    </row>
    <row r="265" spans="7:13" ht="20.100000000000001" customHeight="1" x14ac:dyDescent="0.25">
      <c r="G265" s="6" t="str">
        <f t="shared" si="28"/>
        <v/>
      </c>
      <c r="H265" s="2" t="str">
        <f t="shared" si="30"/>
        <v/>
      </c>
      <c r="I265" s="2" t="str">
        <f t="shared" si="29"/>
        <v/>
      </c>
      <c r="J265" s="2" t="str">
        <f t="shared" si="26"/>
        <v/>
      </c>
      <c r="K265" s="2" t="str">
        <f t="shared" si="31"/>
        <v/>
      </c>
      <c r="M265" s="2" t="str">
        <f t="shared" si="27"/>
        <v/>
      </c>
    </row>
    <row r="266" spans="7:13" ht="20.100000000000001" customHeight="1" x14ac:dyDescent="0.25">
      <c r="G266" s="6" t="str">
        <f t="shared" si="28"/>
        <v/>
      </c>
      <c r="H266" s="2" t="str">
        <f t="shared" si="30"/>
        <v/>
      </c>
      <c r="I266" s="2" t="str">
        <f t="shared" si="29"/>
        <v/>
      </c>
      <c r="J266" s="2" t="str">
        <f t="shared" si="26"/>
        <v/>
      </c>
      <c r="K266" s="2" t="str">
        <f t="shared" si="31"/>
        <v/>
      </c>
      <c r="M266" s="2" t="str">
        <f t="shared" si="27"/>
        <v/>
      </c>
    </row>
    <row r="267" spans="7:13" ht="20.100000000000001" customHeight="1" x14ac:dyDescent="0.25">
      <c r="G267" s="6" t="str">
        <f t="shared" si="28"/>
        <v/>
      </c>
      <c r="H267" s="2" t="str">
        <f t="shared" si="30"/>
        <v/>
      </c>
      <c r="I267" s="2" t="str">
        <f t="shared" si="29"/>
        <v/>
      </c>
      <c r="J267" s="2" t="str">
        <f t="shared" si="26"/>
        <v/>
      </c>
      <c r="K267" s="2" t="str">
        <f t="shared" si="31"/>
        <v/>
      </c>
      <c r="M267" s="2" t="str">
        <f t="shared" si="27"/>
        <v/>
      </c>
    </row>
    <row r="268" spans="7:13" ht="20.100000000000001" customHeight="1" x14ac:dyDescent="0.25">
      <c r="G268" s="6" t="str">
        <f t="shared" si="28"/>
        <v/>
      </c>
      <c r="H268" s="2" t="str">
        <f t="shared" si="30"/>
        <v/>
      </c>
      <c r="I268" s="2" t="str">
        <f t="shared" si="29"/>
        <v/>
      </c>
      <c r="J268" s="2" t="str">
        <f t="shared" si="26"/>
        <v/>
      </c>
      <c r="K268" s="2" t="str">
        <f t="shared" si="31"/>
        <v/>
      </c>
      <c r="M268" s="2" t="str">
        <f t="shared" si="27"/>
        <v/>
      </c>
    </row>
    <row r="269" spans="7:13" ht="20.100000000000001" customHeight="1" x14ac:dyDescent="0.25">
      <c r="G269" s="6" t="str">
        <f t="shared" si="28"/>
        <v/>
      </c>
      <c r="H269" s="2" t="str">
        <f t="shared" si="30"/>
        <v/>
      </c>
      <c r="I269" s="2" t="str">
        <f t="shared" si="29"/>
        <v/>
      </c>
      <c r="J269" s="2" t="str">
        <f t="shared" si="26"/>
        <v/>
      </c>
      <c r="K269" s="2" t="str">
        <f t="shared" si="31"/>
        <v/>
      </c>
      <c r="M269" s="2" t="str">
        <f t="shared" si="27"/>
        <v/>
      </c>
    </row>
    <row r="270" spans="7:13" ht="20.100000000000001" customHeight="1" x14ac:dyDescent="0.25">
      <c r="G270" s="6" t="str">
        <f t="shared" si="28"/>
        <v/>
      </c>
      <c r="H270" s="2" t="str">
        <f t="shared" si="30"/>
        <v/>
      </c>
      <c r="I270" s="2" t="str">
        <f t="shared" si="29"/>
        <v/>
      </c>
      <c r="J270" s="2" t="str">
        <f t="shared" si="26"/>
        <v/>
      </c>
      <c r="K270" s="2" t="str">
        <f t="shared" si="31"/>
        <v/>
      </c>
      <c r="M270" s="2" t="str">
        <f t="shared" si="27"/>
        <v/>
      </c>
    </row>
    <row r="271" spans="7:13" ht="20.100000000000001" customHeight="1" x14ac:dyDescent="0.25">
      <c r="G271" s="6" t="str">
        <f t="shared" si="28"/>
        <v/>
      </c>
      <c r="H271" s="2" t="str">
        <f t="shared" si="30"/>
        <v/>
      </c>
      <c r="I271" s="2" t="str">
        <f t="shared" si="29"/>
        <v/>
      </c>
      <c r="J271" s="2" t="str">
        <f t="shared" si="26"/>
        <v/>
      </c>
      <c r="K271" s="2" t="str">
        <f t="shared" si="31"/>
        <v/>
      </c>
      <c r="M271" s="2" t="str">
        <f t="shared" si="27"/>
        <v/>
      </c>
    </row>
    <row r="272" spans="7:13" ht="20.100000000000001" customHeight="1" x14ac:dyDescent="0.25">
      <c r="G272" s="6" t="str">
        <f t="shared" si="28"/>
        <v/>
      </c>
      <c r="H272" s="2" t="str">
        <f t="shared" si="30"/>
        <v/>
      </c>
      <c r="I272" s="2" t="str">
        <f t="shared" si="29"/>
        <v/>
      </c>
      <c r="J272" s="2" t="str">
        <f t="shared" si="26"/>
        <v/>
      </c>
      <c r="K272" s="2" t="str">
        <f t="shared" si="31"/>
        <v/>
      </c>
      <c r="M272" s="2" t="str">
        <f t="shared" si="27"/>
        <v/>
      </c>
    </row>
    <row r="273" spans="7:13" ht="20.100000000000001" customHeight="1" x14ac:dyDescent="0.25">
      <c r="G273" s="6" t="str">
        <f t="shared" si="28"/>
        <v/>
      </c>
      <c r="H273" s="2" t="str">
        <f t="shared" si="30"/>
        <v/>
      </c>
      <c r="I273" s="2" t="str">
        <f t="shared" si="29"/>
        <v/>
      </c>
      <c r="J273" s="2" t="str">
        <f t="shared" si="26"/>
        <v/>
      </c>
      <c r="K273" s="2" t="str">
        <f t="shared" si="31"/>
        <v/>
      </c>
      <c r="M273" s="2" t="str">
        <f t="shared" si="27"/>
        <v/>
      </c>
    </row>
    <row r="274" spans="7:13" ht="20.100000000000001" customHeight="1" x14ac:dyDescent="0.25">
      <c r="G274" s="6" t="str">
        <f t="shared" si="28"/>
        <v/>
      </c>
      <c r="H274" s="2" t="str">
        <f t="shared" si="30"/>
        <v/>
      </c>
      <c r="I274" s="2" t="str">
        <f t="shared" si="29"/>
        <v/>
      </c>
      <c r="J274" s="2" t="str">
        <f t="shared" si="26"/>
        <v/>
      </c>
      <c r="K274" s="2" t="str">
        <f t="shared" si="31"/>
        <v/>
      </c>
      <c r="M274" s="2" t="str">
        <f t="shared" si="27"/>
        <v/>
      </c>
    </row>
    <row r="275" spans="7:13" ht="20.100000000000001" customHeight="1" x14ac:dyDescent="0.25">
      <c r="G275" s="6" t="str">
        <f t="shared" si="28"/>
        <v/>
      </c>
      <c r="H275" s="2" t="str">
        <f t="shared" si="30"/>
        <v/>
      </c>
      <c r="I275" s="2" t="str">
        <f t="shared" si="29"/>
        <v/>
      </c>
      <c r="J275" s="2" t="str">
        <f t="shared" si="26"/>
        <v/>
      </c>
      <c r="K275" s="2" t="str">
        <f t="shared" si="31"/>
        <v/>
      </c>
      <c r="M275" s="2" t="str">
        <f t="shared" si="27"/>
        <v/>
      </c>
    </row>
    <row r="276" spans="7:13" ht="20.100000000000001" customHeight="1" x14ac:dyDescent="0.25">
      <c r="G276" s="6" t="str">
        <f t="shared" si="28"/>
        <v/>
      </c>
      <c r="H276" s="2" t="str">
        <f t="shared" si="30"/>
        <v/>
      </c>
      <c r="I276" s="2" t="str">
        <f t="shared" si="29"/>
        <v/>
      </c>
      <c r="J276" s="2" t="str">
        <f t="shared" si="26"/>
        <v/>
      </c>
      <c r="K276" s="2" t="str">
        <f t="shared" si="31"/>
        <v/>
      </c>
      <c r="M276" s="2" t="str">
        <f t="shared" si="27"/>
        <v/>
      </c>
    </row>
    <row r="277" spans="7:13" ht="20.100000000000001" customHeight="1" x14ac:dyDescent="0.25">
      <c r="G277" s="6" t="str">
        <f t="shared" si="28"/>
        <v/>
      </c>
      <c r="H277" s="2" t="str">
        <f t="shared" si="30"/>
        <v/>
      </c>
      <c r="I277" s="2" t="str">
        <f t="shared" si="29"/>
        <v/>
      </c>
      <c r="J277" s="2" t="str">
        <f t="shared" si="26"/>
        <v/>
      </c>
      <c r="K277" s="2" t="str">
        <f t="shared" si="31"/>
        <v/>
      </c>
      <c r="M277" s="2" t="str">
        <f t="shared" si="27"/>
        <v/>
      </c>
    </row>
    <row r="278" spans="7:13" ht="20.100000000000001" customHeight="1" x14ac:dyDescent="0.25">
      <c r="G278" s="6" t="str">
        <f t="shared" si="28"/>
        <v/>
      </c>
      <c r="H278" s="2" t="str">
        <f t="shared" si="30"/>
        <v/>
      </c>
      <c r="I278" s="2" t="str">
        <f t="shared" si="29"/>
        <v/>
      </c>
      <c r="J278" s="2" t="str">
        <f t="shared" si="26"/>
        <v/>
      </c>
      <c r="K278" s="2" t="str">
        <f t="shared" si="31"/>
        <v/>
      </c>
      <c r="M278" s="2" t="str">
        <f t="shared" si="27"/>
        <v/>
      </c>
    </row>
    <row r="279" spans="7:13" ht="20.100000000000001" customHeight="1" x14ac:dyDescent="0.25">
      <c r="G279" s="6" t="str">
        <f t="shared" si="28"/>
        <v/>
      </c>
      <c r="H279" s="2" t="str">
        <f t="shared" si="30"/>
        <v/>
      </c>
      <c r="I279" s="2" t="str">
        <f t="shared" si="29"/>
        <v/>
      </c>
      <c r="J279" s="2" t="str">
        <f t="shared" si="26"/>
        <v/>
      </c>
      <c r="K279" s="2" t="str">
        <f t="shared" si="31"/>
        <v/>
      </c>
      <c r="M279" s="2" t="str">
        <f t="shared" si="27"/>
        <v/>
      </c>
    </row>
    <row r="280" spans="7:13" ht="20.100000000000001" customHeight="1" x14ac:dyDescent="0.25">
      <c r="G280" s="6" t="str">
        <f t="shared" si="28"/>
        <v/>
      </c>
      <c r="H280" s="2" t="str">
        <f t="shared" si="30"/>
        <v/>
      </c>
      <c r="I280" s="2" t="str">
        <f t="shared" si="29"/>
        <v/>
      </c>
      <c r="J280" s="2" t="str">
        <f t="shared" si="26"/>
        <v/>
      </c>
      <c r="K280" s="2" t="str">
        <f t="shared" si="31"/>
        <v/>
      </c>
      <c r="M280" s="2" t="str">
        <f t="shared" si="27"/>
        <v/>
      </c>
    </row>
    <row r="281" spans="7:13" ht="20.100000000000001" customHeight="1" x14ac:dyDescent="0.25">
      <c r="G281" s="6" t="str">
        <f t="shared" si="28"/>
        <v/>
      </c>
      <c r="H281" s="2" t="str">
        <f t="shared" si="30"/>
        <v/>
      </c>
      <c r="I281" s="2" t="str">
        <f t="shared" si="29"/>
        <v/>
      </c>
      <c r="J281" s="2" t="str">
        <f t="shared" si="26"/>
        <v/>
      </c>
      <c r="K281" s="2" t="str">
        <f t="shared" si="31"/>
        <v/>
      </c>
      <c r="M281" s="2" t="str">
        <f t="shared" si="27"/>
        <v/>
      </c>
    </row>
    <row r="282" spans="7:13" ht="20.100000000000001" customHeight="1" x14ac:dyDescent="0.25">
      <c r="G282" s="6" t="str">
        <f t="shared" si="28"/>
        <v/>
      </c>
      <c r="H282" s="2" t="str">
        <f t="shared" si="30"/>
        <v/>
      </c>
      <c r="I282" s="2" t="str">
        <f t="shared" si="29"/>
        <v/>
      </c>
      <c r="J282" s="2" t="str">
        <f t="shared" si="26"/>
        <v/>
      </c>
      <c r="K282" s="2" t="str">
        <f t="shared" si="31"/>
        <v/>
      </c>
      <c r="M282" s="2" t="str">
        <f t="shared" si="27"/>
        <v/>
      </c>
    </row>
    <row r="283" spans="7:13" ht="20.100000000000001" customHeight="1" x14ac:dyDescent="0.25">
      <c r="G283" s="6" t="str">
        <f t="shared" si="28"/>
        <v/>
      </c>
      <c r="H283" s="2" t="str">
        <f t="shared" si="30"/>
        <v/>
      </c>
      <c r="I283" s="2" t="str">
        <f t="shared" si="29"/>
        <v/>
      </c>
      <c r="J283" s="2" t="str">
        <f t="shared" si="26"/>
        <v/>
      </c>
      <c r="K283" s="2" t="str">
        <f t="shared" si="31"/>
        <v/>
      </c>
      <c r="M283" s="2" t="str">
        <f t="shared" si="27"/>
        <v/>
      </c>
    </row>
    <row r="284" spans="7:13" ht="20.100000000000001" customHeight="1" x14ac:dyDescent="0.25">
      <c r="G284" s="6" t="str">
        <f t="shared" si="28"/>
        <v/>
      </c>
      <c r="H284" s="2" t="str">
        <f t="shared" si="30"/>
        <v/>
      </c>
      <c r="I284" s="2" t="str">
        <f t="shared" si="29"/>
        <v/>
      </c>
      <c r="J284" s="2" t="str">
        <f t="shared" si="26"/>
        <v/>
      </c>
      <c r="K284" s="2" t="str">
        <f t="shared" si="31"/>
        <v/>
      </c>
      <c r="M284" s="2" t="str">
        <f t="shared" si="27"/>
        <v/>
      </c>
    </row>
    <row r="285" spans="7:13" ht="20.100000000000001" customHeight="1" x14ac:dyDescent="0.25">
      <c r="G285" s="6" t="str">
        <f t="shared" si="28"/>
        <v/>
      </c>
      <c r="H285" s="2" t="str">
        <f t="shared" si="30"/>
        <v/>
      </c>
      <c r="I285" s="2" t="str">
        <f t="shared" si="29"/>
        <v/>
      </c>
      <c r="J285" s="2" t="str">
        <f t="shared" si="26"/>
        <v/>
      </c>
      <c r="K285" s="2" t="str">
        <f t="shared" si="31"/>
        <v/>
      </c>
      <c r="M285" s="2" t="str">
        <f t="shared" si="27"/>
        <v/>
      </c>
    </row>
    <row r="286" spans="7:13" ht="20.100000000000001" customHeight="1" x14ac:dyDescent="0.25">
      <c r="G286" s="6" t="str">
        <f t="shared" si="28"/>
        <v/>
      </c>
      <c r="H286" s="2" t="str">
        <f t="shared" si="30"/>
        <v/>
      </c>
      <c r="I286" s="2" t="str">
        <f t="shared" si="29"/>
        <v/>
      </c>
      <c r="J286" s="2" t="str">
        <f t="shared" si="26"/>
        <v/>
      </c>
      <c r="K286" s="2" t="str">
        <f t="shared" si="31"/>
        <v/>
      </c>
      <c r="M286" s="2" t="str">
        <f t="shared" si="27"/>
        <v/>
      </c>
    </row>
    <row r="287" spans="7:13" ht="20.100000000000001" customHeight="1" x14ac:dyDescent="0.25">
      <c r="G287" s="6" t="str">
        <f t="shared" si="28"/>
        <v/>
      </c>
      <c r="H287" s="2" t="str">
        <f t="shared" si="30"/>
        <v/>
      </c>
      <c r="I287" s="2" t="str">
        <f t="shared" si="29"/>
        <v/>
      </c>
      <c r="J287" s="2" t="str">
        <f t="shared" si="26"/>
        <v/>
      </c>
      <c r="K287" s="2" t="str">
        <f t="shared" si="31"/>
        <v/>
      </c>
      <c r="M287" s="2" t="str">
        <f t="shared" si="27"/>
        <v/>
      </c>
    </row>
    <row r="288" spans="7:13" ht="20.100000000000001" customHeight="1" x14ac:dyDescent="0.25">
      <c r="G288" s="6" t="str">
        <f t="shared" si="28"/>
        <v/>
      </c>
      <c r="H288" s="2" t="str">
        <f t="shared" si="30"/>
        <v/>
      </c>
      <c r="I288" s="2" t="str">
        <f t="shared" si="29"/>
        <v/>
      </c>
      <c r="J288" s="2" t="str">
        <f t="shared" si="26"/>
        <v/>
      </c>
      <c r="K288" s="2" t="str">
        <f t="shared" si="31"/>
        <v/>
      </c>
      <c r="M288" s="2" t="str">
        <f t="shared" si="27"/>
        <v/>
      </c>
    </row>
    <row r="289" spans="7:13" ht="20.100000000000001" customHeight="1" x14ac:dyDescent="0.25">
      <c r="G289" s="6" t="str">
        <f t="shared" si="28"/>
        <v/>
      </c>
      <c r="H289" s="2" t="str">
        <f t="shared" si="30"/>
        <v/>
      </c>
      <c r="I289" s="2" t="str">
        <f t="shared" si="29"/>
        <v/>
      </c>
      <c r="J289" s="2" t="str">
        <f t="shared" si="26"/>
        <v/>
      </c>
      <c r="K289" s="2" t="str">
        <f t="shared" si="31"/>
        <v/>
      </c>
      <c r="M289" s="2" t="str">
        <f t="shared" si="27"/>
        <v/>
      </c>
    </row>
    <row r="290" spans="7:13" ht="20.100000000000001" customHeight="1" x14ac:dyDescent="0.25">
      <c r="G290" s="6" t="str">
        <f t="shared" si="28"/>
        <v/>
      </c>
      <c r="H290" s="2" t="str">
        <f t="shared" si="30"/>
        <v/>
      </c>
      <c r="I290" s="2" t="str">
        <f t="shared" si="29"/>
        <v/>
      </c>
      <c r="J290" s="2" t="str">
        <f t="shared" si="26"/>
        <v/>
      </c>
      <c r="K290" s="2" t="str">
        <f t="shared" si="31"/>
        <v/>
      </c>
      <c r="M290" s="2" t="str">
        <f t="shared" si="27"/>
        <v/>
      </c>
    </row>
    <row r="291" spans="7:13" ht="20.100000000000001" customHeight="1" x14ac:dyDescent="0.25">
      <c r="G291" s="6" t="str">
        <f t="shared" si="28"/>
        <v/>
      </c>
      <c r="H291" s="2" t="str">
        <f t="shared" si="30"/>
        <v/>
      </c>
      <c r="I291" s="2" t="str">
        <f t="shared" si="29"/>
        <v/>
      </c>
      <c r="J291" s="2" t="str">
        <f t="shared" si="26"/>
        <v/>
      </c>
      <c r="K291" s="2" t="str">
        <f t="shared" si="31"/>
        <v/>
      </c>
      <c r="M291" s="2" t="str">
        <f t="shared" si="27"/>
        <v/>
      </c>
    </row>
    <row r="292" spans="7:13" ht="20.100000000000001" customHeight="1" x14ac:dyDescent="0.25">
      <c r="G292" s="6" t="str">
        <f t="shared" si="28"/>
        <v/>
      </c>
      <c r="H292" s="2" t="str">
        <f t="shared" si="30"/>
        <v/>
      </c>
      <c r="I292" s="2" t="str">
        <f t="shared" si="29"/>
        <v/>
      </c>
      <c r="J292" s="2" t="str">
        <f t="shared" si="26"/>
        <v/>
      </c>
      <c r="K292" s="2" t="str">
        <f t="shared" si="31"/>
        <v/>
      </c>
      <c r="M292" s="2" t="str">
        <f t="shared" si="27"/>
        <v/>
      </c>
    </row>
    <row r="293" spans="7:13" ht="20.100000000000001" customHeight="1" x14ac:dyDescent="0.25">
      <c r="G293" s="6" t="str">
        <f t="shared" si="28"/>
        <v/>
      </c>
      <c r="H293" s="2" t="str">
        <f t="shared" si="30"/>
        <v/>
      </c>
      <c r="I293" s="2" t="str">
        <f t="shared" si="29"/>
        <v/>
      </c>
      <c r="J293" s="2" t="str">
        <f t="shared" si="26"/>
        <v/>
      </c>
      <c r="K293" s="2" t="str">
        <f t="shared" si="31"/>
        <v/>
      </c>
      <c r="M293" s="2" t="str">
        <f t="shared" si="27"/>
        <v/>
      </c>
    </row>
    <row r="294" spans="7:13" ht="20.100000000000001" customHeight="1" x14ac:dyDescent="0.25">
      <c r="G294" s="6" t="str">
        <f t="shared" si="28"/>
        <v/>
      </c>
      <c r="H294" s="2" t="str">
        <f t="shared" si="30"/>
        <v/>
      </c>
      <c r="I294" s="2" t="str">
        <f t="shared" si="29"/>
        <v/>
      </c>
      <c r="J294" s="2" t="str">
        <f t="shared" si="26"/>
        <v/>
      </c>
      <c r="K294" s="2" t="str">
        <f t="shared" si="31"/>
        <v/>
      </c>
      <c r="M294" s="2" t="str">
        <f t="shared" si="27"/>
        <v/>
      </c>
    </row>
    <row r="295" spans="7:13" ht="20.100000000000001" customHeight="1" x14ac:dyDescent="0.25">
      <c r="G295" s="6" t="str">
        <f t="shared" si="28"/>
        <v/>
      </c>
      <c r="H295" s="2" t="str">
        <f t="shared" si="30"/>
        <v/>
      </c>
      <c r="I295" s="2" t="str">
        <f t="shared" si="29"/>
        <v/>
      </c>
      <c r="J295" s="2" t="str">
        <f t="shared" si="26"/>
        <v/>
      </c>
      <c r="K295" s="2" t="str">
        <f t="shared" si="31"/>
        <v/>
      </c>
      <c r="M295" s="2" t="str">
        <f t="shared" si="27"/>
        <v/>
      </c>
    </row>
    <row r="296" spans="7:13" ht="20.100000000000001" customHeight="1" x14ac:dyDescent="0.25">
      <c r="G296" s="6" t="str">
        <f t="shared" si="28"/>
        <v/>
      </c>
      <c r="H296" s="2" t="str">
        <f t="shared" si="30"/>
        <v/>
      </c>
      <c r="I296" s="2" t="str">
        <f t="shared" si="29"/>
        <v/>
      </c>
      <c r="J296" s="2" t="str">
        <f t="shared" si="26"/>
        <v/>
      </c>
      <c r="K296" s="2" t="str">
        <f t="shared" si="31"/>
        <v/>
      </c>
      <c r="M296" s="2" t="str">
        <f t="shared" si="27"/>
        <v/>
      </c>
    </row>
    <row r="297" spans="7:13" ht="20.100000000000001" customHeight="1" x14ac:dyDescent="0.25">
      <c r="G297" s="6" t="str">
        <f t="shared" si="28"/>
        <v/>
      </c>
      <c r="H297" s="2" t="str">
        <f t="shared" si="30"/>
        <v/>
      </c>
      <c r="I297" s="2" t="str">
        <f t="shared" si="29"/>
        <v/>
      </c>
      <c r="J297" s="2" t="str">
        <f t="shared" si="26"/>
        <v/>
      </c>
      <c r="K297" s="2" t="str">
        <f t="shared" si="31"/>
        <v/>
      </c>
      <c r="M297" s="2" t="str">
        <f t="shared" si="27"/>
        <v/>
      </c>
    </row>
    <row r="298" spans="7:13" ht="20.100000000000001" customHeight="1" x14ac:dyDescent="0.25">
      <c r="G298" s="6" t="str">
        <f t="shared" si="28"/>
        <v/>
      </c>
      <c r="H298" s="2" t="str">
        <f t="shared" si="30"/>
        <v/>
      </c>
      <c r="I298" s="2" t="str">
        <f t="shared" si="29"/>
        <v/>
      </c>
      <c r="J298" s="2" t="str">
        <f t="shared" si="26"/>
        <v/>
      </c>
      <c r="K298" s="2" t="str">
        <f t="shared" si="31"/>
        <v/>
      </c>
      <c r="M298" s="2" t="str">
        <f t="shared" si="27"/>
        <v/>
      </c>
    </row>
    <row r="299" spans="7:13" ht="20.100000000000001" customHeight="1" x14ac:dyDescent="0.25">
      <c r="G299" s="6" t="str">
        <f t="shared" si="28"/>
        <v/>
      </c>
      <c r="H299" s="2" t="str">
        <f t="shared" si="30"/>
        <v/>
      </c>
      <c r="I299" s="2" t="str">
        <f t="shared" si="29"/>
        <v/>
      </c>
      <c r="J299" s="2" t="str">
        <f t="shared" si="26"/>
        <v/>
      </c>
      <c r="K299" s="2" t="str">
        <f t="shared" si="31"/>
        <v/>
      </c>
      <c r="M299" s="2" t="str">
        <f t="shared" si="27"/>
        <v/>
      </c>
    </row>
    <row r="300" spans="7:13" ht="20.100000000000001" customHeight="1" x14ac:dyDescent="0.25">
      <c r="G300" s="6" t="str">
        <f t="shared" si="28"/>
        <v/>
      </c>
      <c r="H300" s="2" t="str">
        <f t="shared" si="30"/>
        <v/>
      </c>
      <c r="I300" s="2" t="str">
        <f t="shared" si="29"/>
        <v/>
      </c>
      <c r="J300" s="2" t="str">
        <f t="shared" si="26"/>
        <v/>
      </c>
      <c r="K300" s="2" t="str">
        <f t="shared" si="31"/>
        <v/>
      </c>
      <c r="M300" s="2" t="str">
        <f t="shared" si="27"/>
        <v/>
      </c>
    </row>
    <row r="301" spans="7:13" ht="20.100000000000001" customHeight="1" x14ac:dyDescent="0.25">
      <c r="G301" s="6" t="str">
        <f t="shared" si="28"/>
        <v/>
      </c>
      <c r="H301" s="2" t="str">
        <f t="shared" si="30"/>
        <v/>
      </c>
      <c r="I301" s="2" t="str">
        <f t="shared" si="29"/>
        <v/>
      </c>
      <c r="J301" s="2" t="str">
        <f t="shared" si="26"/>
        <v/>
      </c>
      <c r="K301" s="2" t="str">
        <f t="shared" si="31"/>
        <v/>
      </c>
      <c r="M301" s="2" t="str">
        <f t="shared" si="27"/>
        <v/>
      </c>
    </row>
    <row r="302" spans="7:13" ht="20.100000000000001" customHeight="1" x14ac:dyDescent="0.25">
      <c r="G302" s="6" t="str">
        <f t="shared" si="28"/>
        <v/>
      </c>
      <c r="H302" s="2" t="str">
        <f t="shared" si="30"/>
        <v/>
      </c>
      <c r="I302" s="2" t="str">
        <f t="shared" si="29"/>
        <v/>
      </c>
      <c r="J302" s="2" t="str">
        <f t="shared" si="26"/>
        <v/>
      </c>
      <c r="K302" s="2" t="str">
        <f t="shared" si="31"/>
        <v/>
      </c>
      <c r="M302" s="2" t="str">
        <f t="shared" si="27"/>
        <v/>
      </c>
    </row>
    <row r="303" spans="7:13" ht="20.100000000000001" customHeight="1" x14ac:dyDescent="0.25">
      <c r="G303" s="6" t="str">
        <f t="shared" si="28"/>
        <v/>
      </c>
      <c r="H303" s="2" t="str">
        <f t="shared" si="30"/>
        <v/>
      </c>
      <c r="I303" s="2" t="str">
        <f t="shared" si="29"/>
        <v/>
      </c>
      <c r="J303" s="2" t="str">
        <f t="shared" si="26"/>
        <v/>
      </c>
      <c r="K303" s="2" t="str">
        <f t="shared" si="31"/>
        <v/>
      </c>
      <c r="M303" s="2" t="str">
        <f t="shared" si="27"/>
        <v/>
      </c>
    </row>
    <row r="304" spans="7:13" ht="20.100000000000001" customHeight="1" x14ac:dyDescent="0.25">
      <c r="G304" s="6" t="str">
        <f t="shared" si="28"/>
        <v/>
      </c>
      <c r="H304" s="2" t="str">
        <f t="shared" si="30"/>
        <v/>
      </c>
      <c r="I304" s="2" t="str">
        <f t="shared" si="29"/>
        <v/>
      </c>
      <c r="J304" s="2" t="str">
        <f t="shared" si="26"/>
        <v/>
      </c>
      <c r="K304" s="2" t="str">
        <f t="shared" si="31"/>
        <v/>
      </c>
      <c r="M304" s="2" t="str">
        <f t="shared" si="27"/>
        <v/>
      </c>
    </row>
    <row r="305" spans="7:13" ht="20.100000000000001" customHeight="1" x14ac:dyDescent="0.25">
      <c r="G305" s="6" t="str">
        <f t="shared" si="28"/>
        <v/>
      </c>
      <c r="H305" s="2" t="str">
        <f t="shared" si="30"/>
        <v/>
      </c>
      <c r="I305" s="2" t="str">
        <f t="shared" si="29"/>
        <v/>
      </c>
      <c r="J305" s="2" t="str">
        <f t="shared" si="26"/>
        <v/>
      </c>
      <c r="K305" s="2" t="str">
        <f t="shared" si="31"/>
        <v/>
      </c>
      <c r="M305" s="2" t="str">
        <f t="shared" si="27"/>
        <v/>
      </c>
    </row>
    <row r="306" spans="7:13" ht="20.100000000000001" customHeight="1" x14ac:dyDescent="0.25">
      <c r="G306" s="6" t="str">
        <f t="shared" si="28"/>
        <v/>
      </c>
      <c r="H306" s="2" t="str">
        <f t="shared" si="30"/>
        <v/>
      </c>
      <c r="I306" s="2" t="str">
        <f t="shared" si="29"/>
        <v/>
      </c>
      <c r="J306" s="2" t="str">
        <f t="shared" si="26"/>
        <v/>
      </c>
      <c r="K306" s="2" t="str">
        <f t="shared" si="31"/>
        <v/>
      </c>
      <c r="M306" s="2" t="str">
        <f t="shared" si="27"/>
        <v/>
      </c>
    </row>
    <row r="307" spans="7:13" ht="20.100000000000001" customHeight="1" x14ac:dyDescent="0.25">
      <c r="G307" s="6" t="str">
        <f t="shared" si="28"/>
        <v/>
      </c>
      <c r="H307" s="2" t="str">
        <f t="shared" si="30"/>
        <v/>
      </c>
      <c r="I307" s="2" t="str">
        <f t="shared" si="29"/>
        <v/>
      </c>
      <c r="J307" s="2" t="str">
        <f t="shared" si="26"/>
        <v/>
      </c>
      <c r="K307" s="2" t="str">
        <f t="shared" si="31"/>
        <v/>
      </c>
      <c r="M307" s="2" t="str">
        <f t="shared" si="27"/>
        <v/>
      </c>
    </row>
    <row r="308" spans="7:13" ht="20.100000000000001" customHeight="1" x14ac:dyDescent="0.25">
      <c r="G308" s="6" t="str">
        <f t="shared" si="28"/>
        <v/>
      </c>
      <c r="H308" s="2" t="str">
        <f t="shared" si="30"/>
        <v/>
      </c>
      <c r="I308" s="2" t="str">
        <f t="shared" si="29"/>
        <v/>
      </c>
      <c r="J308" s="2" t="str">
        <f t="shared" si="26"/>
        <v/>
      </c>
      <c r="K308" s="2" t="str">
        <f t="shared" si="31"/>
        <v/>
      </c>
      <c r="M308" s="2" t="str">
        <f t="shared" si="27"/>
        <v/>
      </c>
    </row>
    <row r="309" spans="7:13" ht="20.100000000000001" customHeight="1" x14ac:dyDescent="0.25">
      <c r="G309" s="6" t="str">
        <f t="shared" si="28"/>
        <v/>
      </c>
      <c r="H309" s="2" t="str">
        <f t="shared" si="30"/>
        <v/>
      </c>
      <c r="I309" s="2" t="str">
        <f t="shared" si="29"/>
        <v/>
      </c>
      <c r="J309" s="2" t="str">
        <f t="shared" si="26"/>
        <v/>
      </c>
      <c r="K309" s="2" t="str">
        <f t="shared" si="31"/>
        <v/>
      </c>
      <c r="M309" s="2" t="str">
        <f t="shared" si="27"/>
        <v/>
      </c>
    </row>
    <row r="310" spans="7:13" ht="20.100000000000001" customHeight="1" x14ac:dyDescent="0.25">
      <c r="G310" s="6" t="str">
        <f t="shared" si="28"/>
        <v/>
      </c>
      <c r="H310" s="2" t="str">
        <f t="shared" si="30"/>
        <v/>
      </c>
      <c r="I310" s="2" t="str">
        <f t="shared" si="29"/>
        <v/>
      </c>
      <c r="J310" s="2" t="str">
        <f t="shared" si="26"/>
        <v/>
      </c>
      <c r="K310" s="2" t="str">
        <f t="shared" si="31"/>
        <v/>
      </c>
      <c r="M310" s="2" t="str">
        <f t="shared" si="27"/>
        <v/>
      </c>
    </row>
    <row r="311" spans="7:13" ht="20.100000000000001" customHeight="1" x14ac:dyDescent="0.25">
      <c r="G311" s="6" t="str">
        <f t="shared" si="28"/>
        <v/>
      </c>
      <c r="H311" s="2" t="str">
        <f t="shared" si="30"/>
        <v/>
      </c>
      <c r="I311" s="2" t="str">
        <f t="shared" si="29"/>
        <v/>
      </c>
      <c r="J311" s="2" t="str">
        <f t="shared" si="26"/>
        <v/>
      </c>
      <c r="K311" s="2" t="str">
        <f t="shared" si="31"/>
        <v/>
      </c>
      <c r="M311" s="2" t="str">
        <f t="shared" si="27"/>
        <v/>
      </c>
    </row>
    <row r="312" spans="7:13" ht="20.100000000000001" customHeight="1" x14ac:dyDescent="0.25">
      <c r="G312" s="6" t="str">
        <f t="shared" si="28"/>
        <v/>
      </c>
      <c r="H312" s="2" t="str">
        <f t="shared" si="30"/>
        <v/>
      </c>
      <c r="I312" s="2" t="str">
        <f t="shared" si="29"/>
        <v/>
      </c>
      <c r="J312" s="2" t="str">
        <f t="shared" si="26"/>
        <v/>
      </c>
      <c r="K312" s="2" t="str">
        <f t="shared" si="31"/>
        <v/>
      </c>
      <c r="M312" s="2" t="str">
        <f t="shared" si="27"/>
        <v/>
      </c>
    </row>
    <row r="313" spans="7:13" ht="20.100000000000001" customHeight="1" x14ac:dyDescent="0.25">
      <c r="G313" s="6" t="str">
        <f t="shared" si="28"/>
        <v/>
      </c>
      <c r="H313" s="2" t="str">
        <f t="shared" si="30"/>
        <v/>
      </c>
      <c r="I313" s="2" t="str">
        <f t="shared" si="29"/>
        <v/>
      </c>
      <c r="J313" s="2" t="str">
        <f t="shared" si="26"/>
        <v/>
      </c>
      <c r="K313" s="2" t="str">
        <f t="shared" si="31"/>
        <v/>
      </c>
      <c r="M313" s="2" t="str">
        <f t="shared" si="27"/>
        <v/>
      </c>
    </row>
    <row r="314" spans="7:13" ht="20.100000000000001" customHeight="1" x14ac:dyDescent="0.25">
      <c r="G314" s="6" t="str">
        <f t="shared" si="28"/>
        <v/>
      </c>
      <c r="H314" s="2" t="str">
        <f t="shared" si="30"/>
        <v/>
      </c>
      <c r="I314" s="2" t="str">
        <f t="shared" si="29"/>
        <v/>
      </c>
      <c r="J314" s="2" t="str">
        <f t="shared" si="26"/>
        <v/>
      </c>
      <c r="K314" s="2" t="str">
        <f t="shared" si="31"/>
        <v/>
      </c>
      <c r="M314" s="2" t="str">
        <f t="shared" si="27"/>
        <v/>
      </c>
    </row>
    <row r="315" spans="7:13" ht="20.100000000000001" customHeight="1" x14ac:dyDescent="0.25">
      <c r="G315" s="6" t="str">
        <f t="shared" si="28"/>
        <v/>
      </c>
      <c r="H315" s="2" t="str">
        <f t="shared" si="30"/>
        <v/>
      </c>
      <c r="I315" s="2" t="str">
        <f t="shared" si="29"/>
        <v/>
      </c>
      <c r="J315" s="2" t="str">
        <f t="shared" si="26"/>
        <v/>
      </c>
      <c r="K315" s="2" t="str">
        <f t="shared" si="31"/>
        <v/>
      </c>
      <c r="M315" s="2" t="str">
        <f t="shared" si="27"/>
        <v/>
      </c>
    </row>
    <row r="316" spans="7:13" ht="20.100000000000001" customHeight="1" x14ac:dyDescent="0.25">
      <c r="G316" s="6" t="str">
        <f t="shared" si="28"/>
        <v/>
      </c>
      <c r="H316" s="2" t="str">
        <f t="shared" si="30"/>
        <v/>
      </c>
      <c r="I316" s="2" t="str">
        <f t="shared" si="29"/>
        <v/>
      </c>
      <c r="J316" s="2" t="str">
        <f t="shared" si="26"/>
        <v/>
      </c>
      <c r="K316" s="2" t="str">
        <f t="shared" si="31"/>
        <v/>
      </c>
      <c r="M316" s="2" t="str">
        <f t="shared" si="27"/>
        <v/>
      </c>
    </row>
    <row r="317" spans="7:13" ht="20.100000000000001" customHeight="1" x14ac:dyDescent="0.25">
      <c r="G317" s="6" t="str">
        <f t="shared" si="28"/>
        <v/>
      </c>
      <c r="H317" s="2" t="str">
        <f t="shared" si="30"/>
        <v/>
      </c>
      <c r="I317" s="2" t="str">
        <f t="shared" si="29"/>
        <v/>
      </c>
      <c r="J317" s="2" t="str">
        <f t="shared" si="26"/>
        <v/>
      </c>
      <c r="K317" s="2" t="str">
        <f t="shared" si="31"/>
        <v/>
      </c>
      <c r="M317" s="2" t="str">
        <f t="shared" si="27"/>
        <v/>
      </c>
    </row>
    <row r="318" spans="7:13" ht="20.100000000000001" customHeight="1" x14ac:dyDescent="0.25">
      <c r="G318" s="6" t="str">
        <f t="shared" si="28"/>
        <v/>
      </c>
      <c r="H318" s="2" t="str">
        <f t="shared" si="30"/>
        <v/>
      </c>
      <c r="I318" s="2" t="str">
        <f t="shared" si="29"/>
        <v/>
      </c>
      <c r="J318" s="2" t="str">
        <f t="shared" si="26"/>
        <v/>
      </c>
      <c r="K318" s="2" t="str">
        <f t="shared" si="31"/>
        <v/>
      </c>
      <c r="M318" s="2" t="str">
        <f t="shared" si="27"/>
        <v/>
      </c>
    </row>
    <row r="319" spans="7:13" ht="20.100000000000001" customHeight="1" x14ac:dyDescent="0.25">
      <c r="G319" s="6" t="str">
        <f t="shared" si="28"/>
        <v/>
      </c>
      <c r="H319" s="2" t="str">
        <f t="shared" si="30"/>
        <v/>
      </c>
      <c r="I319" s="2" t="str">
        <f t="shared" si="29"/>
        <v/>
      </c>
      <c r="J319" s="2" t="str">
        <f t="shared" si="26"/>
        <v/>
      </c>
      <c r="K319" s="2" t="str">
        <f t="shared" si="31"/>
        <v/>
      </c>
      <c r="M319" s="2" t="str">
        <f t="shared" si="27"/>
        <v/>
      </c>
    </row>
    <row r="320" spans="7:13" ht="20.100000000000001" customHeight="1" x14ac:dyDescent="0.25">
      <c r="G320" s="6" t="str">
        <f t="shared" si="28"/>
        <v/>
      </c>
      <c r="H320" s="2" t="str">
        <f t="shared" si="30"/>
        <v/>
      </c>
      <c r="I320" s="2" t="str">
        <f t="shared" si="29"/>
        <v/>
      </c>
      <c r="J320" s="2" t="str">
        <f t="shared" si="26"/>
        <v/>
      </c>
      <c r="K320" s="2" t="str">
        <f t="shared" si="31"/>
        <v/>
      </c>
      <c r="M320" s="2" t="str">
        <f t="shared" si="27"/>
        <v/>
      </c>
    </row>
    <row r="321" spans="7:13" ht="20.100000000000001" customHeight="1" x14ac:dyDescent="0.25">
      <c r="G321" s="6" t="str">
        <f t="shared" si="28"/>
        <v/>
      </c>
      <c r="H321" s="2" t="str">
        <f t="shared" si="30"/>
        <v/>
      </c>
      <c r="I321" s="2" t="str">
        <f t="shared" si="29"/>
        <v/>
      </c>
      <c r="J321" s="2" t="str">
        <f t="shared" si="26"/>
        <v/>
      </c>
      <c r="K321" s="2" t="str">
        <f t="shared" si="31"/>
        <v/>
      </c>
      <c r="M321" s="2" t="str">
        <f t="shared" si="27"/>
        <v/>
      </c>
    </row>
    <row r="322" spans="7:13" ht="20.100000000000001" customHeight="1" x14ac:dyDescent="0.25">
      <c r="G322" s="6" t="str">
        <f t="shared" si="28"/>
        <v/>
      </c>
      <c r="H322" s="2" t="str">
        <f t="shared" si="30"/>
        <v/>
      </c>
      <c r="I322" s="2" t="str">
        <f t="shared" si="29"/>
        <v/>
      </c>
      <c r="J322" s="2" t="str">
        <f t="shared" si="26"/>
        <v/>
      </c>
      <c r="K322" s="2" t="str">
        <f t="shared" si="31"/>
        <v/>
      </c>
      <c r="M322" s="2" t="str">
        <f t="shared" si="27"/>
        <v/>
      </c>
    </row>
    <row r="323" spans="7:13" ht="20.100000000000001" customHeight="1" x14ac:dyDescent="0.25">
      <c r="G323" s="6" t="str">
        <f t="shared" si="28"/>
        <v/>
      </c>
      <c r="H323" s="2" t="str">
        <f t="shared" si="30"/>
        <v/>
      </c>
      <c r="I323" s="2" t="str">
        <f t="shared" si="29"/>
        <v/>
      </c>
      <c r="J323" s="2" t="str">
        <f t="shared" si="26"/>
        <v/>
      </c>
      <c r="K323" s="2" t="str">
        <f t="shared" si="31"/>
        <v/>
      </c>
      <c r="M323" s="2" t="str">
        <f t="shared" si="27"/>
        <v/>
      </c>
    </row>
    <row r="324" spans="7:13" ht="20.100000000000001" customHeight="1" x14ac:dyDescent="0.25">
      <c r="G324" s="6" t="str">
        <f t="shared" si="28"/>
        <v/>
      </c>
      <c r="H324" s="2" t="str">
        <f t="shared" si="30"/>
        <v/>
      </c>
      <c r="I324" s="2" t="str">
        <f t="shared" si="29"/>
        <v/>
      </c>
      <c r="J324" s="2" t="str">
        <f t="shared" si="26"/>
        <v/>
      </c>
      <c r="K324" s="2" t="str">
        <f t="shared" si="31"/>
        <v/>
      </c>
      <c r="M324" s="2" t="str">
        <f t="shared" si="27"/>
        <v/>
      </c>
    </row>
    <row r="325" spans="7:13" ht="20.100000000000001" customHeight="1" x14ac:dyDescent="0.25">
      <c r="G325" s="6" t="str">
        <f t="shared" si="28"/>
        <v/>
      </c>
      <c r="H325" s="2" t="str">
        <f t="shared" si="30"/>
        <v/>
      </c>
      <c r="I325" s="2" t="str">
        <f t="shared" si="29"/>
        <v/>
      </c>
      <c r="J325" s="2" t="str">
        <f t="shared" si="26"/>
        <v/>
      </c>
      <c r="K325" s="2" t="str">
        <f t="shared" si="31"/>
        <v/>
      </c>
      <c r="M325" s="2" t="str">
        <f t="shared" si="27"/>
        <v/>
      </c>
    </row>
    <row r="326" spans="7:13" ht="20.100000000000001" customHeight="1" x14ac:dyDescent="0.25">
      <c r="G326" s="6" t="str">
        <f t="shared" si="28"/>
        <v/>
      </c>
      <c r="H326" s="2" t="str">
        <f t="shared" si="30"/>
        <v/>
      </c>
      <c r="I326" s="2" t="str">
        <f t="shared" si="29"/>
        <v/>
      </c>
      <c r="J326" s="2" t="str">
        <f t="shared" ref="J326:J340" si="32">IF(G326="","",IF(G326=0,0,(H326*$BA$9)))</f>
        <v/>
      </c>
      <c r="K326" s="2" t="str">
        <f t="shared" si="31"/>
        <v/>
      </c>
      <c r="M326" s="2" t="str">
        <f t="shared" ref="M326:M340" si="33">IF(G326="","",IF(ROW(G326)=6,H326,IF(AND($I$5=0,ROW(G326)-6=n),-K326,IF(AND(I326&gt;0,ROW(G326)-6=n),I326-K326,IF(AND(I326&lt;0,ROW(G326)-6=n),I326+K326,I326)))))</f>
        <v/>
      </c>
    </row>
    <row r="327" spans="7:13" ht="20.100000000000001" customHeight="1" x14ac:dyDescent="0.25">
      <c r="G327" s="6" t="str">
        <f t="shared" ref="G327:G380" si="34">IF(G326&gt;=$BA$7,"",G326+1)</f>
        <v/>
      </c>
      <c r="H327" s="2" t="str">
        <f t="shared" si="30"/>
        <v/>
      </c>
      <c r="I327" s="2" t="str">
        <f t="shared" ref="I327:I340" si="35">IF(G327=0,0,IF(G327="","",$BA$6))</f>
        <v/>
      </c>
      <c r="J327" s="2" t="str">
        <f t="shared" si="32"/>
        <v/>
      </c>
      <c r="K327" s="2" t="str">
        <f t="shared" si="31"/>
        <v/>
      </c>
      <c r="M327" s="2" t="str">
        <f t="shared" si="33"/>
        <v/>
      </c>
    </row>
    <row r="328" spans="7:13" ht="20.100000000000001" customHeight="1" x14ac:dyDescent="0.25">
      <c r="G328" s="6" t="str">
        <f t="shared" si="34"/>
        <v/>
      </c>
      <c r="H328" s="2" t="str">
        <f t="shared" ref="H328:H340" si="36">IF(G328="","",K327)</f>
        <v/>
      </c>
      <c r="I328" s="2" t="str">
        <f t="shared" si="35"/>
        <v/>
      </c>
      <c r="J328" s="2" t="str">
        <f t="shared" si="32"/>
        <v/>
      </c>
      <c r="K328" s="2" t="str">
        <f t="shared" ref="K328:K340" si="37">IF(G328="","",SUM(H328:J328))</f>
        <v/>
      </c>
      <c r="M328" s="2" t="str">
        <f t="shared" si="33"/>
        <v/>
      </c>
    </row>
    <row r="329" spans="7:13" ht="20.100000000000001" customHeight="1" x14ac:dyDescent="0.25">
      <c r="G329" s="6" t="str">
        <f t="shared" si="34"/>
        <v/>
      </c>
      <c r="H329" s="2" t="str">
        <f t="shared" si="36"/>
        <v/>
      </c>
      <c r="I329" s="2" t="str">
        <f t="shared" si="35"/>
        <v/>
      </c>
      <c r="J329" s="2" t="str">
        <f t="shared" si="32"/>
        <v/>
      </c>
      <c r="K329" s="2" t="str">
        <f t="shared" si="37"/>
        <v/>
      </c>
      <c r="M329" s="2" t="str">
        <f t="shared" si="33"/>
        <v/>
      </c>
    </row>
    <row r="330" spans="7:13" ht="20.100000000000001" customHeight="1" x14ac:dyDescent="0.25">
      <c r="G330" s="6" t="str">
        <f t="shared" si="34"/>
        <v/>
      </c>
      <c r="H330" s="2" t="str">
        <f t="shared" si="36"/>
        <v/>
      </c>
      <c r="I330" s="2" t="str">
        <f t="shared" si="35"/>
        <v/>
      </c>
      <c r="J330" s="2" t="str">
        <f t="shared" si="32"/>
        <v/>
      </c>
      <c r="K330" s="2" t="str">
        <f t="shared" si="37"/>
        <v/>
      </c>
      <c r="M330" s="2" t="str">
        <f t="shared" si="33"/>
        <v/>
      </c>
    </row>
    <row r="331" spans="7:13" ht="20.100000000000001" customHeight="1" x14ac:dyDescent="0.25">
      <c r="G331" s="6" t="str">
        <f t="shared" si="34"/>
        <v/>
      </c>
      <c r="H331" s="2" t="str">
        <f t="shared" si="36"/>
        <v/>
      </c>
      <c r="I331" s="2" t="str">
        <f t="shared" si="35"/>
        <v/>
      </c>
      <c r="J331" s="2" t="str">
        <f t="shared" si="32"/>
        <v/>
      </c>
      <c r="K331" s="2" t="str">
        <f t="shared" si="37"/>
        <v/>
      </c>
      <c r="M331" s="2" t="str">
        <f t="shared" si="33"/>
        <v/>
      </c>
    </row>
    <row r="332" spans="7:13" ht="20.100000000000001" customHeight="1" x14ac:dyDescent="0.25">
      <c r="G332" s="6" t="str">
        <f t="shared" si="34"/>
        <v/>
      </c>
      <c r="H332" s="2" t="str">
        <f t="shared" si="36"/>
        <v/>
      </c>
      <c r="I332" s="2" t="str">
        <f t="shared" si="35"/>
        <v/>
      </c>
      <c r="J332" s="2" t="str">
        <f t="shared" si="32"/>
        <v/>
      </c>
      <c r="K332" s="2" t="str">
        <f t="shared" si="37"/>
        <v/>
      </c>
      <c r="M332" s="2" t="str">
        <f t="shared" si="33"/>
        <v/>
      </c>
    </row>
    <row r="333" spans="7:13" ht="20.100000000000001" customHeight="1" x14ac:dyDescent="0.25">
      <c r="G333" s="6" t="str">
        <f t="shared" si="34"/>
        <v/>
      </c>
      <c r="H333" s="2" t="str">
        <f t="shared" si="36"/>
        <v/>
      </c>
      <c r="I333" s="2" t="str">
        <f t="shared" si="35"/>
        <v/>
      </c>
      <c r="J333" s="2" t="str">
        <f t="shared" si="32"/>
        <v/>
      </c>
      <c r="K333" s="2" t="str">
        <f t="shared" si="37"/>
        <v/>
      </c>
      <c r="M333" s="2" t="str">
        <f t="shared" si="33"/>
        <v/>
      </c>
    </row>
    <row r="334" spans="7:13" ht="20.100000000000001" customHeight="1" x14ac:dyDescent="0.25">
      <c r="G334" s="6" t="str">
        <f t="shared" si="34"/>
        <v/>
      </c>
      <c r="H334" s="2" t="str">
        <f t="shared" si="36"/>
        <v/>
      </c>
      <c r="I334" s="2" t="str">
        <f t="shared" si="35"/>
        <v/>
      </c>
      <c r="J334" s="2" t="str">
        <f t="shared" si="32"/>
        <v/>
      </c>
      <c r="K334" s="2" t="str">
        <f t="shared" si="37"/>
        <v/>
      </c>
      <c r="M334" s="2" t="str">
        <f t="shared" si="33"/>
        <v/>
      </c>
    </row>
    <row r="335" spans="7:13" ht="20.100000000000001" customHeight="1" x14ac:dyDescent="0.25">
      <c r="G335" s="6" t="str">
        <f t="shared" si="34"/>
        <v/>
      </c>
      <c r="H335" s="2" t="str">
        <f t="shared" si="36"/>
        <v/>
      </c>
      <c r="I335" s="2" t="str">
        <f t="shared" si="35"/>
        <v/>
      </c>
      <c r="J335" s="2" t="str">
        <f t="shared" si="32"/>
        <v/>
      </c>
      <c r="K335" s="2" t="str">
        <f t="shared" si="37"/>
        <v/>
      </c>
      <c r="M335" s="2" t="str">
        <f t="shared" si="33"/>
        <v/>
      </c>
    </row>
    <row r="336" spans="7:13" ht="20.100000000000001" customHeight="1" x14ac:dyDescent="0.25">
      <c r="G336" s="6" t="str">
        <f t="shared" si="34"/>
        <v/>
      </c>
      <c r="H336" s="2" t="str">
        <f t="shared" si="36"/>
        <v/>
      </c>
      <c r="I336" s="2" t="str">
        <f t="shared" si="35"/>
        <v/>
      </c>
      <c r="J336" s="2" t="str">
        <f t="shared" si="32"/>
        <v/>
      </c>
      <c r="K336" s="2" t="str">
        <f t="shared" si="37"/>
        <v/>
      </c>
      <c r="M336" s="2" t="str">
        <f t="shared" si="33"/>
        <v/>
      </c>
    </row>
    <row r="337" spans="7:13" ht="20.100000000000001" customHeight="1" x14ac:dyDescent="0.25">
      <c r="G337" s="6" t="str">
        <f t="shared" si="34"/>
        <v/>
      </c>
      <c r="H337" s="2" t="str">
        <f t="shared" si="36"/>
        <v/>
      </c>
      <c r="I337" s="2" t="str">
        <f t="shared" si="35"/>
        <v/>
      </c>
      <c r="J337" s="2" t="str">
        <f t="shared" si="32"/>
        <v/>
      </c>
      <c r="K337" s="2" t="str">
        <f t="shared" si="37"/>
        <v/>
      </c>
      <c r="M337" s="2" t="str">
        <f t="shared" si="33"/>
        <v/>
      </c>
    </row>
    <row r="338" spans="7:13" ht="20.100000000000001" customHeight="1" x14ac:dyDescent="0.25">
      <c r="G338" s="6" t="str">
        <f t="shared" si="34"/>
        <v/>
      </c>
      <c r="H338" s="2" t="str">
        <f t="shared" si="36"/>
        <v/>
      </c>
      <c r="I338" s="2" t="str">
        <f t="shared" si="35"/>
        <v/>
      </c>
      <c r="J338" s="2" t="str">
        <f t="shared" si="32"/>
        <v/>
      </c>
      <c r="K338" s="2" t="str">
        <f t="shared" si="37"/>
        <v/>
      </c>
      <c r="M338" s="2" t="str">
        <f t="shared" si="33"/>
        <v/>
      </c>
    </row>
    <row r="339" spans="7:13" ht="20.100000000000001" customHeight="1" x14ac:dyDescent="0.25">
      <c r="G339" s="6" t="str">
        <f t="shared" si="34"/>
        <v/>
      </c>
      <c r="H339" s="2" t="str">
        <f t="shared" si="36"/>
        <v/>
      </c>
      <c r="I339" s="2" t="str">
        <f t="shared" si="35"/>
        <v/>
      </c>
      <c r="J339" s="2" t="str">
        <f t="shared" si="32"/>
        <v/>
      </c>
      <c r="K339" s="2" t="str">
        <f t="shared" si="37"/>
        <v/>
      </c>
      <c r="M339" s="2" t="str">
        <f t="shared" si="33"/>
        <v/>
      </c>
    </row>
    <row r="340" spans="7:13" ht="20.100000000000001" customHeight="1" x14ac:dyDescent="0.25">
      <c r="G340" s="6" t="str">
        <f t="shared" si="34"/>
        <v/>
      </c>
      <c r="H340" s="2" t="str">
        <f t="shared" si="36"/>
        <v/>
      </c>
      <c r="I340" s="2" t="str">
        <f t="shared" si="35"/>
        <v/>
      </c>
      <c r="J340" s="2" t="str">
        <f t="shared" si="32"/>
        <v/>
      </c>
      <c r="K340" s="2" t="str">
        <f t="shared" si="37"/>
        <v/>
      </c>
      <c r="M340" s="2" t="str">
        <f t="shared" si="33"/>
        <v/>
      </c>
    </row>
    <row r="341" spans="7:13" ht="20.100000000000001" customHeight="1" x14ac:dyDescent="0.25">
      <c r="G341" s="6" t="str">
        <f t="shared" si="34"/>
        <v/>
      </c>
      <c r="H341" s="2" t="str">
        <f t="shared" ref="H341:H366" si="38">IF(G341="","",K340)</f>
        <v/>
      </c>
      <c r="I341" s="2" t="str">
        <f t="shared" ref="I341:I366" si="39">IF(G341=0,0,IF(G341="","",$BA$6))</f>
        <v/>
      </c>
      <c r="J341" s="2" t="str">
        <f t="shared" ref="J341:J366" si="40">IF(G341="","",IF(G341=0,0,(H341*$BA$9)))</f>
        <v/>
      </c>
      <c r="K341" s="2" t="str">
        <f t="shared" ref="K341:K366" si="41">IF(G341="","",SUM(H341:J341))</f>
        <v/>
      </c>
      <c r="M341" s="2" t="str">
        <f t="shared" ref="M341:M366" si="42">IF(G341="","",IF(ROW(G341)=6,H341,IF(AND($I$5=0,ROW(G341)-6=n),-K341,IF(AND(I341&gt;0,ROW(G341)-6=n),I341-K341,IF(AND(I341&lt;0,ROW(G341)-6=n),I341+K341,I341)))))</f>
        <v/>
      </c>
    </row>
    <row r="342" spans="7:13" ht="20.100000000000001" customHeight="1" x14ac:dyDescent="0.25">
      <c r="G342" s="6" t="str">
        <f t="shared" si="34"/>
        <v/>
      </c>
      <c r="H342" s="2" t="str">
        <f t="shared" si="38"/>
        <v/>
      </c>
      <c r="I342" s="2" t="str">
        <f t="shared" si="39"/>
        <v/>
      </c>
      <c r="J342" s="2" t="str">
        <f t="shared" si="40"/>
        <v/>
      </c>
      <c r="K342" s="2" t="str">
        <f t="shared" si="41"/>
        <v/>
      </c>
      <c r="M342" s="2" t="str">
        <f t="shared" si="42"/>
        <v/>
      </c>
    </row>
    <row r="343" spans="7:13" ht="20.100000000000001" customHeight="1" x14ac:dyDescent="0.25">
      <c r="G343" s="6" t="str">
        <f t="shared" si="34"/>
        <v/>
      </c>
      <c r="H343" s="2" t="str">
        <f t="shared" si="38"/>
        <v/>
      </c>
      <c r="I343" s="2" t="str">
        <f t="shared" si="39"/>
        <v/>
      </c>
      <c r="J343" s="2" t="str">
        <f t="shared" si="40"/>
        <v/>
      </c>
      <c r="K343" s="2" t="str">
        <f t="shared" si="41"/>
        <v/>
      </c>
      <c r="M343" s="2" t="str">
        <f t="shared" si="42"/>
        <v/>
      </c>
    </row>
    <row r="344" spans="7:13" ht="20.100000000000001" customHeight="1" x14ac:dyDescent="0.25">
      <c r="G344" s="6" t="str">
        <f t="shared" si="34"/>
        <v/>
      </c>
      <c r="H344" s="2" t="str">
        <f t="shared" si="38"/>
        <v/>
      </c>
      <c r="I344" s="2" t="str">
        <f t="shared" si="39"/>
        <v/>
      </c>
      <c r="J344" s="2" t="str">
        <f t="shared" si="40"/>
        <v/>
      </c>
      <c r="K344" s="2" t="str">
        <f t="shared" si="41"/>
        <v/>
      </c>
      <c r="M344" s="2" t="str">
        <f t="shared" si="42"/>
        <v/>
      </c>
    </row>
    <row r="345" spans="7:13" ht="20.100000000000001" customHeight="1" x14ac:dyDescent="0.25">
      <c r="G345" s="6" t="str">
        <f t="shared" si="34"/>
        <v/>
      </c>
      <c r="H345" s="2" t="str">
        <f t="shared" si="38"/>
        <v/>
      </c>
      <c r="I345" s="2" t="str">
        <f t="shared" si="39"/>
        <v/>
      </c>
      <c r="J345" s="2" t="str">
        <f t="shared" si="40"/>
        <v/>
      </c>
      <c r="K345" s="2" t="str">
        <f t="shared" si="41"/>
        <v/>
      </c>
      <c r="M345" s="2" t="str">
        <f t="shared" si="42"/>
        <v/>
      </c>
    </row>
    <row r="346" spans="7:13" ht="20.100000000000001" customHeight="1" x14ac:dyDescent="0.25">
      <c r="G346" s="6" t="str">
        <f t="shared" si="34"/>
        <v/>
      </c>
      <c r="H346" s="2" t="str">
        <f t="shared" si="38"/>
        <v/>
      </c>
      <c r="I346" s="2" t="str">
        <f t="shared" si="39"/>
        <v/>
      </c>
      <c r="J346" s="2" t="str">
        <f t="shared" si="40"/>
        <v/>
      </c>
      <c r="K346" s="2" t="str">
        <f t="shared" si="41"/>
        <v/>
      </c>
      <c r="M346" s="2" t="str">
        <f t="shared" si="42"/>
        <v/>
      </c>
    </row>
    <row r="347" spans="7:13" ht="20.100000000000001" customHeight="1" x14ac:dyDescent="0.25">
      <c r="G347" s="6" t="str">
        <f t="shared" si="34"/>
        <v/>
      </c>
      <c r="H347" s="2" t="str">
        <f t="shared" si="38"/>
        <v/>
      </c>
      <c r="I347" s="2" t="str">
        <f t="shared" si="39"/>
        <v/>
      </c>
      <c r="J347" s="2" t="str">
        <f t="shared" si="40"/>
        <v/>
      </c>
      <c r="K347" s="2" t="str">
        <f t="shared" si="41"/>
        <v/>
      </c>
      <c r="M347" s="2" t="str">
        <f t="shared" si="42"/>
        <v/>
      </c>
    </row>
    <row r="348" spans="7:13" ht="20.100000000000001" customHeight="1" x14ac:dyDescent="0.25">
      <c r="G348" s="6" t="str">
        <f t="shared" si="34"/>
        <v/>
      </c>
      <c r="H348" s="2" t="str">
        <f t="shared" si="38"/>
        <v/>
      </c>
      <c r="I348" s="2" t="str">
        <f t="shared" si="39"/>
        <v/>
      </c>
      <c r="J348" s="2" t="str">
        <f t="shared" si="40"/>
        <v/>
      </c>
      <c r="K348" s="2" t="str">
        <f t="shared" si="41"/>
        <v/>
      </c>
      <c r="M348" s="2" t="str">
        <f t="shared" si="42"/>
        <v/>
      </c>
    </row>
    <row r="349" spans="7:13" ht="20.100000000000001" customHeight="1" x14ac:dyDescent="0.25">
      <c r="G349" s="6" t="str">
        <f t="shared" si="34"/>
        <v/>
      </c>
      <c r="H349" s="2" t="str">
        <f t="shared" si="38"/>
        <v/>
      </c>
      <c r="I349" s="2" t="str">
        <f t="shared" si="39"/>
        <v/>
      </c>
      <c r="J349" s="2" t="str">
        <f t="shared" si="40"/>
        <v/>
      </c>
      <c r="K349" s="2" t="str">
        <f t="shared" si="41"/>
        <v/>
      </c>
      <c r="M349" s="2" t="str">
        <f t="shared" si="42"/>
        <v/>
      </c>
    </row>
    <row r="350" spans="7:13" ht="20.100000000000001" customHeight="1" x14ac:dyDescent="0.25">
      <c r="G350" s="6" t="str">
        <f t="shared" si="34"/>
        <v/>
      </c>
      <c r="H350" s="2" t="str">
        <f t="shared" si="38"/>
        <v/>
      </c>
      <c r="I350" s="2" t="str">
        <f t="shared" si="39"/>
        <v/>
      </c>
      <c r="J350" s="2" t="str">
        <f t="shared" si="40"/>
        <v/>
      </c>
      <c r="K350" s="2" t="str">
        <f t="shared" si="41"/>
        <v/>
      </c>
      <c r="M350" s="2" t="str">
        <f t="shared" si="42"/>
        <v/>
      </c>
    </row>
    <row r="351" spans="7:13" ht="20.100000000000001" customHeight="1" x14ac:dyDescent="0.25">
      <c r="G351" s="6" t="str">
        <f t="shared" si="34"/>
        <v/>
      </c>
      <c r="H351" s="2" t="str">
        <f t="shared" si="38"/>
        <v/>
      </c>
      <c r="I351" s="2" t="str">
        <f t="shared" si="39"/>
        <v/>
      </c>
      <c r="J351" s="2" t="str">
        <f t="shared" si="40"/>
        <v/>
      </c>
      <c r="K351" s="2" t="str">
        <f t="shared" si="41"/>
        <v/>
      </c>
      <c r="M351" s="2" t="str">
        <f t="shared" si="42"/>
        <v/>
      </c>
    </row>
    <row r="352" spans="7:13" ht="20.100000000000001" customHeight="1" x14ac:dyDescent="0.25">
      <c r="G352" s="6" t="str">
        <f t="shared" si="34"/>
        <v/>
      </c>
      <c r="H352" s="2" t="str">
        <f t="shared" si="38"/>
        <v/>
      </c>
      <c r="I352" s="2" t="str">
        <f t="shared" si="39"/>
        <v/>
      </c>
      <c r="J352" s="2" t="str">
        <f t="shared" si="40"/>
        <v/>
      </c>
      <c r="K352" s="2" t="str">
        <f t="shared" si="41"/>
        <v/>
      </c>
      <c r="M352" s="2" t="str">
        <f t="shared" si="42"/>
        <v/>
      </c>
    </row>
    <row r="353" spans="7:13" ht="20.100000000000001" customHeight="1" x14ac:dyDescent="0.25">
      <c r="G353" s="6" t="str">
        <f t="shared" si="34"/>
        <v/>
      </c>
      <c r="H353" s="2" t="str">
        <f t="shared" si="38"/>
        <v/>
      </c>
      <c r="I353" s="2" t="str">
        <f t="shared" si="39"/>
        <v/>
      </c>
      <c r="J353" s="2" t="str">
        <f t="shared" si="40"/>
        <v/>
      </c>
      <c r="K353" s="2" t="str">
        <f t="shared" si="41"/>
        <v/>
      </c>
      <c r="M353" s="2" t="str">
        <f t="shared" si="42"/>
        <v/>
      </c>
    </row>
    <row r="354" spans="7:13" ht="20.100000000000001" customHeight="1" x14ac:dyDescent="0.25">
      <c r="G354" s="6" t="str">
        <f t="shared" si="34"/>
        <v/>
      </c>
      <c r="H354" s="2" t="str">
        <f t="shared" si="38"/>
        <v/>
      </c>
      <c r="I354" s="2" t="str">
        <f t="shared" si="39"/>
        <v/>
      </c>
      <c r="J354" s="2" t="str">
        <f t="shared" si="40"/>
        <v/>
      </c>
      <c r="K354" s="2" t="str">
        <f t="shared" si="41"/>
        <v/>
      </c>
      <c r="M354" s="2" t="str">
        <f t="shared" si="42"/>
        <v/>
      </c>
    </row>
    <row r="355" spans="7:13" ht="20.100000000000001" customHeight="1" x14ac:dyDescent="0.25">
      <c r="G355" s="6" t="str">
        <f t="shared" si="34"/>
        <v/>
      </c>
      <c r="H355" s="2" t="str">
        <f t="shared" si="38"/>
        <v/>
      </c>
      <c r="I355" s="2" t="str">
        <f t="shared" si="39"/>
        <v/>
      </c>
      <c r="J355" s="2" t="str">
        <f t="shared" si="40"/>
        <v/>
      </c>
      <c r="K355" s="2" t="str">
        <f t="shared" si="41"/>
        <v/>
      </c>
      <c r="M355" s="2" t="str">
        <f t="shared" si="42"/>
        <v/>
      </c>
    </row>
    <row r="356" spans="7:13" ht="20.100000000000001" customHeight="1" x14ac:dyDescent="0.25">
      <c r="G356" s="6" t="str">
        <f t="shared" si="34"/>
        <v/>
      </c>
      <c r="H356" s="2" t="str">
        <f t="shared" si="38"/>
        <v/>
      </c>
      <c r="I356" s="2" t="str">
        <f t="shared" si="39"/>
        <v/>
      </c>
      <c r="J356" s="2" t="str">
        <f t="shared" si="40"/>
        <v/>
      </c>
      <c r="K356" s="2" t="str">
        <f t="shared" si="41"/>
        <v/>
      </c>
      <c r="M356" s="2" t="str">
        <f t="shared" si="42"/>
        <v/>
      </c>
    </row>
    <row r="357" spans="7:13" ht="20.100000000000001" customHeight="1" x14ac:dyDescent="0.25">
      <c r="G357" s="6" t="str">
        <f t="shared" si="34"/>
        <v/>
      </c>
      <c r="H357" s="2" t="str">
        <f t="shared" si="38"/>
        <v/>
      </c>
      <c r="I357" s="2" t="str">
        <f t="shared" si="39"/>
        <v/>
      </c>
      <c r="J357" s="2" t="str">
        <f t="shared" si="40"/>
        <v/>
      </c>
      <c r="K357" s="2" t="str">
        <f t="shared" si="41"/>
        <v/>
      </c>
      <c r="M357" s="2" t="str">
        <f t="shared" si="42"/>
        <v/>
      </c>
    </row>
    <row r="358" spans="7:13" ht="20.100000000000001" customHeight="1" x14ac:dyDescent="0.25">
      <c r="G358" s="6" t="str">
        <f t="shared" si="34"/>
        <v/>
      </c>
      <c r="H358" s="2" t="str">
        <f t="shared" si="38"/>
        <v/>
      </c>
      <c r="I358" s="2" t="str">
        <f t="shared" si="39"/>
        <v/>
      </c>
      <c r="J358" s="2" t="str">
        <f t="shared" si="40"/>
        <v/>
      </c>
      <c r="K358" s="2" t="str">
        <f t="shared" si="41"/>
        <v/>
      </c>
      <c r="M358" s="2" t="str">
        <f t="shared" si="42"/>
        <v/>
      </c>
    </row>
    <row r="359" spans="7:13" ht="20.100000000000001" customHeight="1" x14ac:dyDescent="0.25">
      <c r="G359" s="6" t="str">
        <f t="shared" si="34"/>
        <v/>
      </c>
      <c r="H359" s="2" t="str">
        <f t="shared" si="38"/>
        <v/>
      </c>
      <c r="I359" s="2" t="str">
        <f t="shared" si="39"/>
        <v/>
      </c>
      <c r="J359" s="2" t="str">
        <f t="shared" si="40"/>
        <v/>
      </c>
      <c r="K359" s="2" t="str">
        <f t="shared" si="41"/>
        <v/>
      </c>
      <c r="M359" s="2" t="str">
        <f t="shared" si="42"/>
        <v/>
      </c>
    </row>
    <row r="360" spans="7:13" ht="20.100000000000001" customHeight="1" x14ac:dyDescent="0.25">
      <c r="G360" s="6" t="str">
        <f t="shared" si="34"/>
        <v/>
      </c>
      <c r="H360" s="2" t="str">
        <f t="shared" si="38"/>
        <v/>
      </c>
      <c r="I360" s="2" t="str">
        <f t="shared" si="39"/>
        <v/>
      </c>
      <c r="J360" s="2" t="str">
        <f t="shared" si="40"/>
        <v/>
      </c>
      <c r="K360" s="2" t="str">
        <f t="shared" si="41"/>
        <v/>
      </c>
      <c r="M360" s="2" t="str">
        <f t="shared" si="42"/>
        <v/>
      </c>
    </row>
    <row r="361" spans="7:13" ht="20.100000000000001" customHeight="1" x14ac:dyDescent="0.25">
      <c r="G361" s="6" t="str">
        <f t="shared" si="34"/>
        <v/>
      </c>
      <c r="H361" s="2" t="str">
        <f t="shared" si="38"/>
        <v/>
      </c>
      <c r="I361" s="2" t="str">
        <f t="shared" si="39"/>
        <v/>
      </c>
      <c r="J361" s="2" t="str">
        <f t="shared" si="40"/>
        <v/>
      </c>
      <c r="K361" s="2" t="str">
        <f t="shared" si="41"/>
        <v/>
      </c>
      <c r="M361" s="2" t="str">
        <f t="shared" si="42"/>
        <v/>
      </c>
    </row>
    <row r="362" spans="7:13" ht="20.100000000000001" customHeight="1" x14ac:dyDescent="0.25">
      <c r="G362" s="6" t="str">
        <f t="shared" si="34"/>
        <v/>
      </c>
      <c r="H362" s="2" t="str">
        <f t="shared" si="38"/>
        <v/>
      </c>
      <c r="I362" s="2" t="str">
        <f t="shared" si="39"/>
        <v/>
      </c>
      <c r="J362" s="2" t="str">
        <f t="shared" si="40"/>
        <v/>
      </c>
      <c r="K362" s="2" t="str">
        <f t="shared" si="41"/>
        <v/>
      </c>
      <c r="M362" s="2" t="str">
        <f t="shared" si="42"/>
        <v/>
      </c>
    </row>
    <row r="363" spans="7:13" ht="20.100000000000001" customHeight="1" x14ac:dyDescent="0.25">
      <c r="G363" s="6" t="str">
        <f t="shared" si="34"/>
        <v/>
      </c>
      <c r="H363" s="2" t="str">
        <f t="shared" si="38"/>
        <v/>
      </c>
      <c r="I363" s="2" t="str">
        <f t="shared" si="39"/>
        <v/>
      </c>
      <c r="J363" s="2" t="str">
        <f t="shared" si="40"/>
        <v/>
      </c>
      <c r="K363" s="2" t="str">
        <f t="shared" si="41"/>
        <v/>
      </c>
      <c r="M363" s="2" t="str">
        <f t="shared" si="42"/>
        <v/>
      </c>
    </row>
    <row r="364" spans="7:13" ht="20.100000000000001" customHeight="1" x14ac:dyDescent="0.25">
      <c r="G364" s="6" t="str">
        <f t="shared" si="34"/>
        <v/>
      </c>
      <c r="H364" s="2" t="str">
        <f t="shared" si="38"/>
        <v/>
      </c>
      <c r="I364" s="2" t="str">
        <f t="shared" si="39"/>
        <v/>
      </c>
      <c r="J364" s="2" t="str">
        <f t="shared" si="40"/>
        <v/>
      </c>
      <c r="K364" s="2" t="str">
        <f t="shared" si="41"/>
        <v/>
      </c>
      <c r="M364" s="2" t="str">
        <f t="shared" si="42"/>
        <v/>
      </c>
    </row>
    <row r="365" spans="7:13" ht="20.100000000000001" customHeight="1" x14ac:dyDescent="0.25">
      <c r="G365" s="6" t="str">
        <f t="shared" si="34"/>
        <v/>
      </c>
      <c r="H365" s="2" t="str">
        <f t="shared" si="38"/>
        <v/>
      </c>
      <c r="I365" s="2" t="str">
        <f t="shared" si="39"/>
        <v/>
      </c>
      <c r="J365" s="2" t="str">
        <f t="shared" si="40"/>
        <v/>
      </c>
      <c r="K365" s="2" t="str">
        <f t="shared" si="41"/>
        <v/>
      </c>
      <c r="M365" s="2" t="str">
        <f t="shared" si="42"/>
        <v/>
      </c>
    </row>
    <row r="366" spans="7:13" ht="20.100000000000001" customHeight="1" x14ac:dyDescent="0.25">
      <c r="G366" s="6" t="str">
        <f t="shared" si="34"/>
        <v/>
      </c>
      <c r="H366" s="2" t="str">
        <f t="shared" si="38"/>
        <v/>
      </c>
      <c r="I366" s="2" t="str">
        <f t="shared" si="39"/>
        <v/>
      </c>
      <c r="J366" s="2" t="str">
        <f t="shared" si="40"/>
        <v/>
      </c>
      <c r="K366" s="2" t="str">
        <f t="shared" si="41"/>
        <v/>
      </c>
      <c r="M366" s="2" t="str">
        <f t="shared" si="42"/>
        <v/>
      </c>
    </row>
    <row r="367" spans="7:13" ht="20.100000000000001" customHeight="1" x14ac:dyDescent="0.25">
      <c r="G367" s="6" t="str">
        <f t="shared" si="34"/>
        <v/>
      </c>
      <c r="H367" s="2" t="str">
        <f t="shared" ref="H367:H380" si="43">IF(G367="","",K366)</f>
        <v/>
      </c>
      <c r="I367" s="2" t="str">
        <f t="shared" ref="I367:I380" si="44">IF(G367=0,0,IF(G367="","",$BA$6))</f>
        <v/>
      </c>
      <c r="J367" s="2" t="str">
        <f t="shared" ref="J367:J380" si="45">IF(G367="","",IF(G367=0,0,(H367*$BA$9)))</f>
        <v/>
      </c>
      <c r="K367" s="2" t="str">
        <f t="shared" ref="K367:K380" si="46">IF(G367="","",SUM(H367:J367))</f>
        <v/>
      </c>
      <c r="M367" s="2" t="str">
        <f t="shared" ref="M367:M380" si="47">IF(G367="","",IF(ROW(G367)=6,H367,IF(AND($I$5=0,ROW(G367)-6=n),-K367,IF(AND(I367&gt;0,ROW(G367)-6=n),I367-K367,IF(AND(I367&lt;0,ROW(G367)-6=n),I367+K367,I367)))))</f>
        <v/>
      </c>
    </row>
    <row r="368" spans="7:13" ht="20.100000000000001" customHeight="1" x14ac:dyDescent="0.25">
      <c r="G368" s="6" t="str">
        <f t="shared" si="34"/>
        <v/>
      </c>
      <c r="H368" s="2" t="str">
        <f t="shared" si="43"/>
        <v/>
      </c>
      <c r="I368" s="2" t="str">
        <f t="shared" si="44"/>
        <v/>
      </c>
      <c r="J368" s="2" t="str">
        <f t="shared" si="45"/>
        <v/>
      </c>
      <c r="K368" s="2" t="str">
        <f t="shared" si="46"/>
        <v/>
      </c>
      <c r="M368" s="2" t="str">
        <f t="shared" si="47"/>
        <v/>
      </c>
    </row>
    <row r="369" spans="7:13" ht="20.100000000000001" customHeight="1" x14ac:dyDescent="0.25">
      <c r="G369" s="6" t="str">
        <f t="shared" si="34"/>
        <v/>
      </c>
      <c r="H369" s="2" t="str">
        <f t="shared" si="43"/>
        <v/>
      </c>
      <c r="I369" s="2" t="str">
        <f t="shared" si="44"/>
        <v/>
      </c>
      <c r="J369" s="2" t="str">
        <f t="shared" si="45"/>
        <v/>
      </c>
      <c r="K369" s="2" t="str">
        <f t="shared" si="46"/>
        <v/>
      </c>
      <c r="M369" s="2" t="str">
        <f t="shared" si="47"/>
        <v/>
      </c>
    </row>
    <row r="370" spans="7:13" ht="20.100000000000001" customHeight="1" x14ac:dyDescent="0.25">
      <c r="G370" s="6" t="str">
        <f t="shared" si="34"/>
        <v/>
      </c>
      <c r="H370" s="2" t="str">
        <f t="shared" si="43"/>
        <v/>
      </c>
      <c r="I370" s="2" t="str">
        <f t="shared" si="44"/>
        <v/>
      </c>
      <c r="J370" s="2" t="str">
        <f t="shared" si="45"/>
        <v/>
      </c>
      <c r="K370" s="2" t="str">
        <f t="shared" si="46"/>
        <v/>
      </c>
      <c r="M370" s="2" t="str">
        <f t="shared" si="47"/>
        <v/>
      </c>
    </row>
    <row r="371" spans="7:13" ht="20.100000000000001" customHeight="1" x14ac:dyDescent="0.25">
      <c r="G371" s="6" t="str">
        <f t="shared" si="34"/>
        <v/>
      </c>
      <c r="H371" s="2" t="str">
        <f t="shared" si="43"/>
        <v/>
      </c>
      <c r="I371" s="2" t="str">
        <f t="shared" si="44"/>
        <v/>
      </c>
      <c r="J371" s="2" t="str">
        <f t="shared" si="45"/>
        <v/>
      </c>
      <c r="K371" s="2" t="str">
        <f t="shared" si="46"/>
        <v/>
      </c>
      <c r="M371" s="2" t="str">
        <f t="shared" si="47"/>
        <v/>
      </c>
    </row>
    <row r="372" spans="7:13" ht="20.100000000000001" customHeight="1" x14ac:dyDescent="0.25">
      <c r="G372" s="6" t="str">
        <f t="shared" si="34"/>
        <v/>
      </c>
      <c r="H372" s="2" t="str">
        <f t="shared" si="43"/>
        <v/>
      </c>
      <c r="I372" s="2" t="str">
        <f t="shared" si="44"/>
        <v/>
      </c>
      <c r="J372" s="2" t="str">
        <f t="shared" si="45"/>
        <v/>
      </c>
      <c r="K372" s="2" t="str">
        <f t="shared" si="46"/>
        <v/>
      </c>
      <c r="M372" s="2" t="str">
        <f t="shared" si="47"/>
        <v/>
      </c>
    </row>
    <row r="373" spans="7:13" ht="20.100000000000001" customHeight="1" x14ac:dyDescent="0.25">
      <c r="G373" s="6" t="str">
        <f t="shared" si="34"/>
        <v/>
      </c>
      <c r="H373" s="2" t="str">
        <f t="shared" si="43"/>
        <v/>
      </c>
      <c r="I373" s="2" t="str">
        <f t="shared" si="44"/>
        <v/>
      </c>
      <c r="J373" s="2" t="str">
        <f t="shared" si="45"/>
        <v/>
      </c>
      <c r="K373" s="2" t="str">
        <f t="shared" si="46"/>
        <v/>
      </c>
      <c r="M373" s="2" t="str">
        <f t="shared" si="47"/>
        <v/>
      </c>
    </row>
    <row r="374" spans="7:13" ht="20.100000000000001" customHeight="1" x14ac:dyDescent="0.25">
      <c r="G374" s="6" t="str">
        <f t="shared" si="34"/>
        <v/>
      </c>
      <c r="H374" s="2" t="str">
        <f t="shared" si="43"/>
        <v/>
      </c>
      <c r="I374" s="2" t="str">
        <f t="shared" si="44"/>
        <v/>
      </c>
      <c r="J374" s="2" t="str">
        <f t="shared" si="45"/>
        <v/>
      </c>
      <c r="K374" s="2" t="str">
        <f t="shared" si="46"/>
        <v/>
      </c>
      <c r="M374" s="2" t="str">
        <f t="shared" si="47"/>
        <v/>
      </c>
    </row>
    <row r="375" spans="7:13" ht="20.100000000000001" customHeight="1" x14ac:dyDescent="0.25">
      <c r="G375" s="6" t="str">
        <f t="shared" si="34"/>
        <v/>
      </c>
      <c r="H375" s="2" t="str">
        <f t="shared" si="43"/>
        <v/>
      </c>
      <c r="I375" s="2" t="str">
        <f t="shared" si="44"/>
        <v/>
      </c>
      <c r="J375" s="2" t="str">
        <f t="shared" si="45"/>
        <v/>
      </c>
      <c r="K375" s="2" t="str">
        <f t="shared" si="46"/>
        <v/>
      </c>
      <c r="M375" s="2" t="str">
        <f t="shared" si="47"/>
        <v/>
      </c>
    </row>
    <row r="376" spans="7:13" ht="20.100000000000001" customHeight="1" x14ac:dyDescent="0.25">
      <c r="G376" s="6" t="str">
        <f t="shared" si="34"/>
        <v/>
      </c>
      <c r="H376" s="2" t="str">
        <f t="shared" si="43"/>
        <v/>
      </c>
      <c r="I376" s="2" t="str">
        <f t="shared" si="44"/>
        <v/>
      </c>
      <c r="J376" s="2" t="str">
        <f t="shared" si="45"/>
        <v/>
      </c>
      <c r="K376" s="2" t="str">
        <f t="shared" si="46"/>
        <v/>
      </c>
      <c r="M376" s="2" t="str">
        <f t="shared" si="47"/>
        <v/>
      </c>
    </row>
    <row r="377" spans="7:13" ht="20.100000000000001" customHeight="1" x14ac:dyDescent="0.25">
      <c r="G377" s="6" t="str">
        <f t="shared" si="34"/>
        <v/>
      </c>
      <c r="H377" s="2" t="str">
        <f t="shared" si="43"/>
        <v/>
      </c>
      <c r="I377" s="2" t="str">
        <f t="shared" si="44"/>
        <v/>
      </c>
      <c r="J377" s="2" t="str">
        <f t="shared" si="45"/>
        <v/>
      </c>
      <c r="K377" s="2" t="str">
        <f t="shared" si="46"/>
        <v/>
      </c>
      <c r="M377" s="2" t="str">
        <f t="shared" si="47"/>
        <v/>
      </c>
    </row>
    <row r="378" spans="7:13" ht="20.100000000000001" customHeight="1" x14ac:dyDescent="0.25">
      <c r="G378" s="6" t="str">
        <f t="shared" si="34"/>
        <v/>
      </c>
      <c r="H378" s="2" t="str">
        <f t="shared" si="43"/>
        <v/>
      </c>
      <c r="I378" s="2" t="str">
        <f t="shared" si="44"/>
        <v/>
      </c>
      <c r="J378" s="2" t="str">
        <f t="shared" si="45"/>
        <v/>
      </c>
      <c r="K378" s="2" t="str">
        <f t="shared" si="46"/>
        <v/>
      </c>
      <c r="M378" s="2" t="str">
        <f t="shared" si="47"/>
        <v/>
      </c>
    </row>
    <row r="379" spans="7:13" ht="20.100000000000001" customHeight="1" x14ac:dyDescent="0.25">
      <c r="G379" s="6" t="str">
        <f t="shared" si="34"/>
        <v/>
      </c>
      <c r="H379" s="2" t="str">
        <f t="shared" si="43"/>
        <v/>
      </c>
      <c r="I379" s="2" t="str">
        <f t="shared" si="44"/>
        <v/>
      </c>
      <c r="J379" s="2" t="str">
        <f t="shared" si="45"/>
        <v/>
      </c>
      <c r="K379" s="2" t="str">
        <f t="shared" si="46"/>
        <v/>
      </c>
      <c r="M379" s="2" t="str">
        <f t="shared" si="47"/>
        <v/>
      </c>
    </row>
    <row r="380" spans="7:13" ht="20.100000000000001" customHeight="1" x14ac:dyDescent="0.25">
      <c r="G380" s="6" t="str">
        <f t="shared" si="34"/>
        <v/>
      </c>
      <c r="H380" s="2" t="str">
        <f t="shared" si="43"/>
        <v/>
      </c>
      <c r="I380" s="2" t="str">
        <f t="shared" si="44"/>
        <v/>
      </c>
      <c r="J380" s="2" t="str">
        <f t="shared" si="45"/>
        <v/>
      </c>
      <c r="K380" s="2" t="str">
        <f t="shared" si="46"/>
        <v/>
      </c>
      <c r="M380" s="2" t="str">
        <f t="shared" si="47"/>
        <v/>
      </c>
    </row>
    <row r="381" spans="7:13" ht="20.100000000000001" customHeight="1" x14ac:dyDescent="0.25"/>
    <row r="382" spans="7:13" ht="20.100000000000001" customHeight="1" x14ac:dyDescent="0.25"/>
    <row r="383" spans="7:13" ht="20.100000000000001" customHeight="1" x14ac:dyDescent="0.25"/>
    <row r="384" spans="7:13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</sheetData>
  <sheetProtection algorithmName="SHA-512" hashValue="g+jSqtCwKHOUCRqdLZp7ELqLb8nX34KtlYva9/6mpSlkaDGaum7rsN89OgWKUKfIrnZmfpwts8g41PUsiLpVwQ==" saltValue="+ksWyTVqfOR26Qy3jOQvsg==" spinCount="100000" sheet="1" objects="1" scenarios="1"/>
  <mergeCells count="13">
    <mergeCell ref="M3:M4"/>
    <mergeCell ref="V2:AE12"/>
    <mergeCell ref="A2:A13"/>
    <mergeCell ref="D3:E3"/>
    <mergeCell ref="D5:E5"/>
    <mergeCell ref="K3:K4"/>
    <mergeCell ref="J3:J4"/>
    <mergeCell ref="H3:H4"/>
    <mergeCell ref="I3:I4"/>
    <mergeCell ref="G3:G5"/>
    <mergeCell ref="D4:E4"/>
    <mergeCell ref="D12:E13"/>
    <mergeCell ref="D2:E2"/>
  </mergeCells>
  <conditionalFormatting sqref="G6:K501">
    <cfRule type="expression" dxfId="4" priority="4">
      <formula>$G6&lt;&gt;""</formula>
    </cfRule>
  </conditionalFormatting>
  <conditionalFormatting sqref="C19:C20">
    <cfRule type="expression" dxfId="3" priority="2">
      <formula>$C$19&lt;&gt;""</formula>
    </cfRule>
  </conditionalFormatting>
  <conditionalFormatting sqref="M6:M501">
    <cfRule type="expression" dxfId="2" priority="6">
      <formula>$G6&lt;&gt;""</formula>
    </cfRule>
  </conditionalFormatting>
  <conditionalFormatting sqref="D11:E11">
    <cfRule type="expression" dxfId="1" priority="1">
      <formula>$D$10="Taxa de Juros (i) % am:"</formula>
    </cfRule>
  </conditionalFormatting>
  <conditionalFormatting sqref="BA5:BA9">
    <cfRule type="expression" dxfId="0" priority="8">
      <formula>$E6=""</formula>
    </cfRule>
  </conditionalFormatting>
  <pageMargins left="0.51181102362204722" right="0.51181102362204722" top="0.78740157480314965" bottom="0.78740157480314965" header="0.31496062992125984" footer="0.31496062992125984"/>
  <pageSetup paperSize="9" orientation="portrait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3A18D-FEC8-4BBD-B7E6-1E0B26EE1868}">
  <sheetPr codeName="Sht_Apoio"/>
  <dimension ref="A1:K7"/>
  <sheetViews>
    <sheetView workbookViewId="0">
      <selection activeCell="K6" sqref="K6:K7"/>
    </sheetView>
  </sheetViews>
  <sheetFormatPr defaultRowHeight="15" x14ac:dyDescent="0.25"/>
  <cols>
    <col min="1" max="1" width="17.28515625" bestFit="1" customWidth="1"/>
    <col min="2" max="2" width="22.85546875" customWidth="1"/>
    <col min="10" max="11" width="11.28515625" customWidth="1"/>
  </cols>
  <sheetData>
    <row r="1" spans="1:11" ht="34.5" customHeight="1" x14ac:dyDescent="0.25">
      <c r="J1" s="26" t="s">
        <v>26</v>
      </c>
      <c r="K1" s="26" t="s">
        <v>25</v>
      </c>
    </row>
    <row r="2" spans="1:11" ht="15" customHeight="1" x14ac:dyDescent="0.25">
      <c r="A2" s="1" t="s">
        <v>1</v>
      </c>
      <c r="B2" s="1" t="s">
        <v>0</v>
      </c>
      <c r="E2" s="44" t="s">
        <v>21</v>
      </c>
      <c r="F2" s="45"/>
      <c r="G2" s="45"/>
      <c r="H2" s="45"/>
      <c r="I2" s="46"/>
      <c r="J2" s="40">
        <v>5</v>
      </c>
      <c r="K2" s="40">
        <v>5</v>
      </c>
    </row>
    <row r="3" spans="1:11" ht="15" customHeight="1" x14ac:dyDescent="0.25">
      <c r="A3" t="s">
        <v>2</v>
      </c>
      <c r="B3" t="s">
        <v>4</v>
      </c>
      <c r="E3" s="47"/>
      <c r="F3" s="48"/>
      <c r="G3" s="48"/>
      <c r="H3" s="48"/>
      <c r="I3" s="49"/>
      <c r="J3" s="41"/>
      <c r="K3" s="41"/>
    </row>
    <row r="4" spans="1:11" x14ac:dyDescent="0.25">
      <c r="A4" t="s">
        <v>3</v>
      </c>
      <c r="B4" t="s">
        <v>7</v>
      </c>
      <c r="E4" s="44" t="s">
        <v>22</v>
      </c>
      <c r="F4" s="45"/>
      <c r="G4" s="45"/>
      <c r="H4" s="45"/>
      <c r="I4" s="46"/>
      <c r="J4" s="42">
        <v>0</v>
      </c>
      <c r="K4" s="42">
        <v>0</v>
      </c>
    </row>
    <row r="5" spans="1:11" x14ac:dyDescent="0.25">
      <c r="B5" t="s">
        <v>5</v>
      </c>
      <c r="E5" s="47"/>
      <c r="F5" s="48"/>
      <c r="G5" s="48"/>
      <c r="H5" s="48"/>
      <c r="I5" s="49"/>
      <c r="J5" s="43"/>
      <c r="K5" s="43"/>
    </row>
    <row r="6" spans="1:11" ht="15" customHeight="1" x14ac:dyDescent="0.25">
      <c r="B6" t="s">
        <v>6</v>
      </c>
      <c r="E6" s="44" t="s">
        <v>23</v>
      </c>
      <c r="F6" s="45"/>
      <c r="G6" s="45"/>
      <c r="H6" s="45"/>
      <c r="I6" s="46"/>
      <c r="J6" s="42">
        <f>IF(QdeUso+1-J4&lt;0,0,QdeUso+1-J4)</f>
        <v>6</v>
      </c>
      <c r="K6" s="42">
        <f>IF(QdeCalculos+1-K4&lt;0,0,QdeCalculos+1-K4)</f>
        <v>6</v>
      </c>
    </row>
    <row r="7" spans="1:11" ht="15" customHeight="1" x14ac:dyDescent="0.25">
      <c r="E7" s="47"/>
      <c r="F7" s="48"/>
      <c r="G7" s="48"/>
      <c r="H7" s="48"/>
      <c r="I7" s="49"/>
      <c r="J7" s="43"/>
      <c r="K7" s="43"/>
    </row>
  </sheetData>
  <mergeCells count="9">
    <mergeCell ref="K2:K3"/>
    <mergeCell ref="K6:K7"/>
    <mergeCell ref="K4:K5"/>
    <mergeCell ref="E2:I3"/>
    <mergeCell ref="J2:J3"/>
    <mergeCell ref="E4:I5"/>
    <mergeCell ref="J4:J5"/>
    <mergeCell ref="E6:I7"/>
    <mergeCell ref="J6:J7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24</vt:i4>
      </vt:variant>
    </vt:vector>
  </HeadingPairs>
  <TitlesOfParts>
    <vt:vector size="26" baseType="lpstr">
      <vt:lpstr>Formulário</vt:lpstr>
      <vt:lpstr>Apoio</vt:lpstr>
      <vt:lpstr>AvisoAcesso</vt:lpstr>
      <vt:lpstr>Calcular</vt:lpstr>
      <vt:lpstr>Descr_Formula</vt:lpstr>
      <vt:lpstr>Descr_fv</vt:lpstr>
      <vt:lpstr>Descr_i</vt:lpstr>
      <vt:lpstr>Descr_n</vt:lpstr>
      <vt:lpstr>Descr_pv</vt:lpstr>
      <vt:lpstr>Descr_Resultado</vt:lpstr>
      <vt:lpstr>DisponibilidadeCalculos</vt:lpstr>
      <vt:lpstr>DisponibilidadeUso</vt:lpstr>
      <vt:lpstr>fv</vt:lpstr>
      <vt:lpstr>Hora_Calculo</vt:lpstr>
      <vt:lpstr>i</vt:lpstr>
      <vt:lpstr>n</vt:lpstr>
      <vt:lpstr>pv</vt:lpstr>
      <vt:lpstr>QdeCalcRealizados</vt:lpstr>
      <vt:lpstr>QdeCalculos</vt:lpstr>
      <vt:lpstr>QdeUso</vt:lpstr>
      <vt:lpstr>QdeUsoRealizado</vt:lpstr>
      <vt:lpstr>Resultado</vt:lpstr>
      <vt:lpstr>rng_SomaJuros</vt:lpstr>
      <vt:lpstr>rng_SomaParcelas</vt:lpstr>
      <vt:lpstr>RotuloCalcExcel</vt:lpstr>
      <vt:lpstr>TipoCalculo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 Marinho</dc:creator>
  <cp:lastModifiedBy>Regis Marinho</cp:lastModifiedBy>
  <cp:lastPrinted>2016-08-30T19:59:59Z</cp:lastPrinted>
  <dcterms:created xsi:type="dcterms:W3CDTF">2016-03-13T11:42:23Z</dcterms:created>
  <dcterms:modified xsi:type="dcterms:W3CDTF">2018-11-16T17:04:19Z</dcterms:modified>
</cp:coreProperties>
</file>