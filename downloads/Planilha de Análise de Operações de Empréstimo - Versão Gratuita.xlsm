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DE3D350F-5E5E-4837-ACAD-629115E5960F}" xr6:coauthVersionLast="38" xr6:coauthVersionMax="38" xr10:uidLastSave="{00000000-0000-0000-0000-000000000000}"/>
  <bookViews>
    <workbookView xWindow="0" yWindow="0" windowWidth="11520" windowHeight="7545" tabRatio="689" activeTab="1" xr2:uid="{00000000-000D-0000-FFFF-FFFF00000000}"/>
  </bookViews>
  <sheets>
    <sheet name="Tutorial" sheetId="39" r:id="rId1"/>
    <sheet name="CÁLCULO" sheetId="28" r:id="rId2"/>
    <sheet name="CUSTO REAL DA OPERAÇÃO" sheetId="40" state="hidden" r:id="rId3"/>
    <sheet name="Feriados" sheetId="37" r:id="rId4"/>
  </sheets>
  <definedNames>
    <definedName name="_xlnm._FilterDatabase" localSheetId="1" hidden="1">CÁLCULO!$B$18:$B$501</definedName>
    <definedName name="_xlnm.Print_Area" localSheetId="1">CÁLCULO!$C$4:$L$43</definedName>
    <definedName name="_xlnm.Print_Area" localSheetId="2">'CUSTO REAL DA OPERAÇÃO'!$C$3:$T$35</definedName>
    <definedName name="_xlnm.Print_Area" localSheetId="0">Tutorial!$B$2:$C$15</definedName>
    <definedName name="ContagemCalc">'CUSTO REAL DA OPERAÇÃO'!$A$6</definedName>
    <definedName name="MaximoCalc">'CUSTO REAL DA OPERAÇÃO'!$A$5</definedName>
    <definedName name="Metodo">CÁLCULO!$K$5</definedName>
    <definedName name="Parcela">CÁLCULO!$K$8</definedName>
    <definedName name="PrazoParc">CÁLCULO!$H$12</definedName>
    <definedName name="Principal">CÁLCULO!$K$7</definedName>
    <definedName name="PV_ParcelasFixas">OFFSET(CÁLCULO!$S$5,2,0,COUNT(CÁLCULO!$S$7:$S$23),2)</definedName>
    <definedName name="rng_Contrato">CÁLCULO!$C$5</definedName>
    <definedName name="rng_ContratoRegistrado">CÁLCULO!$B$5</definedName>
    <definedName name="rng_UltimaLinhaCustoReal">'CUSTO REAL DA OPERAÇÃO'!$A$3</definedName>
    <definedName name="rng_UltimalinhaMontagemParc">CÁLCULO!$B$9</definedName>
    <definedName name="SaldoCalc">'CUSTO REAL DA OPERAÇÃO'!$A$7</definedName>
    <definedName name="Taxa">CÁLCULO!$K$9</definedName>
    <definedName name="TempoCarencia">CÁLCULO!$H$11</definedName>
    <definedName name="_xlnm.Print_Titles" localSheetId="1">CÁLCULO!$17:$17</definedName>
    <definedName name="TxJurosAoDia">CÁLCULO!$K$11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40" l="1"/>
  <c r="V9" i="28" l="1"/>
  <c r="V8" i="28" l="1"/>
  <c r="V7" i="28"/>
  <c r="F12" i="40" l="1"/>
  <c r="E11" i="40"/>
  <c r="F14" i="40"/>
  <c r="G18" i="40"/>
  <c r="H18" i="40" s="1"/>
  <c r="K488" i="40"/>
  <c r="L488" i="40" s="1"/>
  <c r="M488" i="40"/>
  <c r="O488" i="40"/>
  <c r="P488" i="40" s="1"/>
  <c r="Q488" i="40"/>
  <c r="Y488" i="40" s="1"/>
  <c r="K489" i="40"/>
  <c r="L489" i="40" s="1"/>
  <c r="M489" i="40"/>
  <c r="O489" i="40"/>
  <c r="P489" i="40" s="1"/>
  <c r="Q489" i="40"/>
  <c r="Y489" i="40" s="1"/>
  <c r="K490" i="40"/>
  <c r="L490" i="40" s="1"/>
  <c r="M490" i="40"/>
  <c r="O490" i="40"/>
  <c r="P490" i="40" s="1"/>
  <c r="Q490" i="40"/>
  <c r="Y490" i="40" s="1"/>
  <c r="K491" i="40"/>
  <c r="L491" i="40" s="1"/>
  <c r="M491" i="40"/>
  <c r="O491" i="40"/>
  <c r="P491" i="40" s="1"/>
  <c r="Q491" i="40"/>
  <c r="Y491" i="40" s="1"/>
  <c r="K492" i="40"/>
  <c r="L492" i="40" s="1"/>
  <c r="M492" i="40"/>
  <c r="O492" i="40"/>
  <c r="P492" i="40" s="1"/>
  <c r="Q492" i="40"/>
  <c r="Y492" i="40" s="1"/>
  <c r="K493" i="40"/>
  <c r="L493" i="40" s="1"/>
  <c r="M493" i="40"/>
  <c r="O493" i="40"/>
  <c r="P493" i="40" s="1"/>
  <c r="Q493" i="40"/>
  <c r="Y493" i="40" s="1"/>
  <c r="K494" i="40"/>
  <c r="L494" i="40" s="1"/>
  <c r="M494" i="40"/>
  <c r="O494" i="40"/>
  <c r="P494" i="40" s="1"/>
  <c r="Q494" i="40"/>
  <c r="Y494" i="40" s="1"/>
  <c r="K495" i="40"/>
  <c r="L495" i="40" s="1"/>
  <c r="M495" i="40"/>
  <c r="O495" i="40"/>
  <c r="P495" i="40" s="1"/>
  <c r="Q495" i="40"/>
  <c r="Y495" i="40" s="1"/>
  <c r="K496" i="40"/>
  <c r="L496" i="40" s="1"/>
  <c r="M496" i="40"/>
  <c r="O496" i="40"/>
  <c r="P496" i="40" s="1"/>
  <c r="Q496" i="40"/>
  <c r="Y496" i="40" s="1"/>
  <c r="K497" i="40"/>
  <c r="L497" i="40" s="1"/>
  <c r="M497" i="40"/>
  <c r="O497" i="40"/>
  <c r="P497" i="40" s="1"/>
  <c r="Q497" i="40"/>
  <c r="Y497" i="40" s="1"/>
  <c r="K498" i="40"/>
  <c r="L498" i="40" s="1"/>
  <c r="M498" i="40"/>
  <c r="O498" i="40"/>
  <c r="P498" i="40" s="1"/>
  <c r="Q498" i="40"/>
  <c r="Y498" i="40" s="1"/>
  <c r="K499" i="40"/>
  <c r="L499" i="40" s="1"/>
  <c r="M499" i="40"/>
  <c r="O499" i="40"/>
  <c r="P499" i="40" s="1"/>
  <c r="Q499" i="40"/>
  <c r="Y499" i="40" s="1"/>
  <c r="K500" i="40"/>
  <c r="L500" i="40" s="1"/>
  <c r="M500" i="40"/>
  <c r="O500" i="40"/>
  <c r="P500" i="40" s="1"/>
  <c r="Q500" i="40"/>
  <c r="Y500" i="40" s="1"/>
  <c r="K501" i="40"/>
  <c r="L501" i="40" s="1"/>
  <c r="M501" i="40"/>
  <c r="O501" i="40"/>
  <c r="P501" i="40" s="1"/>
  <c r="Q501" i="40"/>
  <c r="Y501" i="40" s="1"/>
  <c r="K502" i="40"/>
  <c r="L502" i="40" s="1"/>
  <c r="M502" i="40"/>
  <c r="O502" i="40"/>
  <c r="P502" i="40" s="1"/>
  <c r="Q502" i="40"/>
  <c r="Y502" i="40" s="1"/>
  <c r="W502" i="40" l="1"/>
  <c r="S502" i="40"/>
  <c r="W498" i="40"/>
  <c r="S498" i="40"/>
  <c r="T496" i="40"/>
  <c r="S496" i="40"/>
  <c r="W494" i="40"/>
  <c r="S494" i="40"/>
  <c r="T492" i="40"/>
  <c r="S492" i="40"/>
  <c r="W490" i="40"/>
  <c r="S490" i="40"/>
  <c r="W488" i="40"/>
  <c r="S488" i="40"/>
  <c r="W500" i="40"/>
  <c r="S500" i="40"/>
  <c r="T501" i="40"/>
  <c r="S501" i="40"/>
  <c r="W499" i="40"/>
  <c r="S499" i="40"/>
  <c r="W497" i="40"/>
  <c r="S497" i="40"/>
  <c r="W495" i="40"/>
  <c r="S495" i="40"/>
  <c r="T493" i="40"/>
  <c r="S493" i="40"/>
  <c r="V491" i="40"/>
  <c r="S491" i="40"/>
  <c r="W489" i="40"/>
  <c r="S489" i="40"/>
  <c r="H12" i="40"/>
  <c r="H9" i="40"/>
  <c r="H7" i="40"/>
  <c r="H6" i="40"/>
  <c r="H5" i="40"/>
  <c r="H14" i="40"/>
  <c r="H8" i="40"/>
  <c r="T498" i="40"/>
  <c r="T490" i="40"/>
  <c r="T488" i="40"/>
  <c r="T500" i="40"/>
  <c r="T499" i="40"/>
  <c r="T491" i="40"/>
  <c r="T497" i="40"/>
  <c r="T489" i="40"/>
  <c r="T495" i="40"/>
  <c r="T502" i="40"/>
  <c r="T494" i="40"/>
  <c r="V498" i="40"/>
  <c r="V495" i="40"/>
  <c r="W491" i="40"/>
  <c r="V494" i="40"/>
  <c r="V490" i="40"/>
  <c r="V502" i="40"/>
  <c r="V499" i="40"/>
  <c r="W493" i="40"/>
  <c r="V493" i="40"/>
  <c r="W496" i="40"/>
  <c r="V496" i="40"/>
  <c r="W501" i="40"/>
  <c r="V501" i="40"/>
  <c r="V500" i="40"/>
  <c r="V489" i="40"/>
  <c r="V497" i="40"/>
  <c r="V488" i="40"/>
  <c r="V492" i="40"/>
  <c r="W492" i="40"/>
  <c r="F10" i="40"/>
  <c r="H10" i="40" s="1"/>
  <c r="I8" i="28" l="1"/>
  <c r="H13" i="28"/>
  <c r="C23" i="40" s="1"/>
  <c r="K11" i="28"/>
  <c r="K10" i="28"/>
  <c r="N8" i="28" l="1"/>
  <c r="B5" i="37" l="1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4" i="37"/>
  <c r="B17" i="28" l="1"/>
  <c r="B16" i="28"/>
  <c r="C20" i="28" l="1"/>
  <c r="C21" i="28" s="1"/>
  <c r="C19" i="28"/>
  <c r="C2" i="28"/>
  <c r="I21" i="28" l="1"/>
  <c r="C22" i="28"/>
  <c r="I22" i="28" s="1"/>
  <c r="F19" i="28"/>
  <c r="J19" i="28" s="1"/>
  <c r="F20" i="28" s="1"/>
  <c r="E19" i="28"/>
  <c r="I19" i="28"/>
  <c r="G19" i="28"/>
  <c r="E20" i="28"/>
  <c r="I20" i="28"/>
  <c r="S5" i="40"/>
  <c r="T5" i="40" s="1"/>
  <c r="K5" i="40"/>
  <c r="L5" i="40" s="1"/>
  <c r="K6" i="40"/>
  <c r="L6" i="40" s="1"/>
  <c r="B7" i="28"/>
  <c r="B5" i="28"/>
  <c r="H19" i="28" l="1"/>
  <c r="K19" i="28" s="1"/>
  <c r="C23" i="28"/>
  <c r="I23" i="28" s="1"/>
  <c r="G20" i="28"/>
  <c r="H20" i="28" s="1"/>
  <c r="M5" i="40"/>
  <c r="O5" i="40"/>
  <c r="K7" i="40"/>
  <c r="L7" i="40" s="1"/>
  <c r="M6" i="40"/>
  <c r="A19" i="28"/>
  <c r="C24" i="28" l="1"/>
  <c r="I24" i="28" s="1"/>
  <c r="K20" i="28"/>
  <c r="J20" i="28"/>
  <c r="F21" i="28" s="1"/>
  <c r="P5" i="40"/>
  <c r="K8" i="40"/>
  <c r="O6" i="40"/>
  <c r="B11" i="28"/>
  <c r="C25" i="28" l="1"/>
  <c r="I25" i="28" s="1"/>
  <c r="L8" i="40"/>
  <c r="K9" i="40"/>
  <c r="P6" i="40"/>
  <c r="B13" i="28"/>
  <c r="C26" i="28" l="1"/>
  <c r="C27" i="28" s="1"/>
  <c r="L9" i="40"/>
  <c r="Q6" i="40"/>
  <c r="Y6" i="40" s="1"/>
  <c r="K10" i="40"/>
  <c r="V6" i="40"/>
  <c r="F2" i="28"/>
  <c r="I26" i="28" l="1"/>
  <c r="I27" i="28"/>
  <c r="C28" i="28"/>
  <c r="L10" i="40"/>
  <c r="S6" i="40"/>
  <c r="T6" i="40" s="1"/>
  <c r="W6" i="40"/>
  <c r="K11" i="40"/>
  <c r="L2" i="28"/>
  <c r="M2" i="28" s="1"/>
  <c r="N2" i="28" s="1"/>
  <c r="O2" i="28" s="1"/>
  <c r="P2" i="28" s="1"/>
  <c r="E2" i="28"/>
  <c r="G2" i="28" s="1"/>
  <c r="L20" i="28"/>
  <c r="M20" i="28" s="1"/>
  <c r="N20" i="28" s="1"/>
  <c r="O20" i="28" s="1"/>
  <c r="P20" i="28" s="1"/>
  <c r="L19" i="28"/>
  <c r="M19" i="28" s="1"/>
  <c r="N19" i="28" s="1"/>
  <c r="O19" i="28" s="1"/>
  <c r="P19" i="28" s="1"/>
  <c r="I28" i="28" l="1"/>
  <c r="C29" i="28"/>
  <c r="L11" i="40"/>
  <c r="K12" i="40"/>
  <c r="H2" i="28"/>
  <c r="Z2" i="28"/>
  <c r="L21" i="28"/>
  <c r="M21" i="28" s="1"/>
  <c r="N21" i="28" s="1"/>
  <c r="O21" i="28" s="1"/>
  <c r="P21" i="28" s="1"/>
  <c r="E21" i="28" s="1"/>
  <c r="G21" i="28" s="1"/>
  <c r="H21" i="28" s="1"/>
  <c r="A20" i="28"/>
  <c r="C30" i="28" l="1"/>
  <c r="I29" i="28"/>
  <c r="K21" i="28"/>
  <c r="J21" i="28"/>
  <c r="L12" i="40"/>
  <c r="I2" i="28"/>
  <c r="K2" i="28" s="1"/>
  <c r="K13" i="40"/>
  <c r="V19" i="28"/>
  <c r="L22" i="28"/>
  <c r="M22" i="28" s="1"/>
  <c r="N22" i="28" s="1"/>
  <c r="O22" i="28" s="1"/>
  <c r="P22" i="28" s="1"/>
  <c r="E22" i="28" s="1"/>
  <c r="G22" i="28" s="1"/>
  <c r="C31" i="28" l="1"/>
  <c r="I30" i="28"/>
  <c r="F22" i="28"/>
  <c r="H22" i="28" s="1"/>
  <c r="K22" i="28" s="1"/>
  <c r="L13" i="40"/>
  <c r="J2" i="28"/>
  <c r="A21" i="28"/>
  <c r="M7" i="40"/>
  <c r="Q7" i="40"/>
  <c r="Y7" i="40" s="1"/>
  <c r="K14" i="40"/>
  <c r="O8" i="40"/>
  <c r="M8" i="40"/>
  <c r="O7" i="40"/>
  <c r="A22" i="28"/>
  <c r="L23" i="28"/>
  <c r="M23" i="28" s="1"/>
  <c r="N23" i="28" s="1"/>
  <c r="O23" i="28" s="1"/>
  <c r="P23" i="28" s="1"/>
  <c r="E23" i="28" s="1"/>
  <c r="G23" i="28" s="1"/>
  <c r="C32" i="28" l="1"/>
  <c r="I31" i="28"/>
  <c r="J22" i="28"/>
  <c r="L14" i="40"/>
  <c r="K15" i="40"/>
  <c r="O9" i="40"/>
  <c r="M9" i="40"/>
  <c r="P7" i="40"/>
  <c r="S7" i="40" s="1"/>
  <c r="A23" i="28"/>
  <c r="V20" i="28"/>
  <c r="L24" i="28"/>
  <c r="M24" i="28" s="1"/>
  <c r="N24" i="28" s="1"/>
  <c r="O24" i="28" s="1"/>
  <c r="P24" i="28" s="1"/>
  <c r="E24" i="28" s="1"/>
  <c r="G24" i="28" s="1"/>
  <c r="C33" i="28" l="1"/>
  <c r="I32" i="28"/>
  <c r="F23" i="28"/>
  <c r="H23" i="28" s="1"/>
  <c r="K23" i="28" s="1"/>
  <c r="L15" i="40"/>
  <c r="T7" i="40"/>
  <c r="K16" i="40"/>
  <c r="V7" i="40"/>
  <c r="O10" i="40"/>
  <c r="M10" i="40"/>
  <c r="P8" i="40"/>
  <c r="A24" i="28"/>
  <c r="L25" i="28"/>
  <c r="M25" i="28" s="1"/>
  <c r="N25" i="28" s="1"/>
  <c r="O25" i="28" s="1"/>
  <c r="P25" i="28" s="1"/>
  <c r="E25" i="28" s="1"/>
  <c r="G25" i="28" s="1"/>
  <c r="C34" i="28" l="1"/>
  <c r="I33" i="28"/>
  <c r="J23" i="28"/>
  <c r="L16" i="40"/>
  <c r="Q8" i="40"/>
  <c r="Y8" i="40" s="1"/>
  <c r="W7" i="40"/>
  <c r="K17" i="40"/>
  <c r="V8" i="40"/>
  <c r="W8" i="40" s="1"/>
  <c r="O11" i="40"/>
  <c r="M11" i="40"/>
  <c r="P9" i="40"/>
  <c r="A25" i="28"/>
  <c r="L26" i="28"/>
  <c r="M26" i="28" s="1"/>
  <c r="N26" i="28" s="1"/>
  <c r="O26" i="28" s="1"/>
  <c r="P26" i="28" s="1"/>
  <c r="E26" i="28" s="1"/>
  <c r="G26" i="28" s="1"/>
  <c r="C35" i="28" l="1"/>
  <c r="I34" i="28"/>
  <c r="F24" i="28"/>
  <c r="H24" i="28" s="1"/>
  <c r="K24" i="28" s="1"/>
  <c r="L17" i="40"/>
  <c r="S8" i="40"/>
  <c r="T8" i="40" s="1"/>
  <c r="P10" i="40"/>
  <c r="K18" i="40"/>
  <c r="O12" i="40"/>
  <c r="M12" i="40"/>
  <c r="V9" i="40"/>
  <c r="A26" i="28"/>
  <c r="L27" i="28"/>
  <c r="M27" i="28" s="1"/>
  <c r="N27" i="28" s="1"/>
  <c r="O27" i="28" s="1"/>
  <c r="P27" i="28" s="1"/>
  <c r="E27" i="28" s="1"/>
  <c r="G27" i="28" s="1"/>
  <c r="V21" i="28"/>
  <c r="C36" i="28" l="1"/>
  <c r="I35" i="28"/>
  <c r="J24" i="28"/>
  <c r="L18" i="40"/>
  <c r="P11" i="40"/>
  <c r="P12" i="40" s="1"/>
  <c r="V10" i="40"/>
  <c r="W9" i="40"/>
  <c r="K19" i="40"/>
  <c r="O13" i="40"/>
  <c r="M13" i="40"/>
  <c r="A27" i="28"/>
  <c r="L28" i="28"/>
  <c r="M28" i="28" s="1"/>
  <c r="N28" i="28" s="1"/>
  <c r="O28" i="28" s="1"/>
  <c r="P28" i="28" s="1"/>
  <c r="E28" i="28" s="1"/>
  <c r="G28" i="28" s="1"/>
  <c r="C37" i="28" l="1"/>
  <c r="I36" i="28"/>
  <c r="F25" i="28"/>
  <c r="H25" i="28" s="1"/>
  <c r="K25" i="28" s="1"/>
  <c r="L19" i="40"/>
  <c r="V11" i="40"/>
  <c r="Q9" i="40"/>
  <c r="S9" i="40" s="1"/>
  <c r="K20" i="40"/>
  <c r="V12" i="40"/>
  <c r="O14" i="40"/>
  <c r="M14" i="40"/>
  <c r="P13" i="40"/>
  <c r="A28" i="28"/>
  <c r="L29" i="28"/>
  <c r="M29" i="28" s="1"/>
  <c r="N29" i="28" s="1"/>
  <c r="O29" i="28" s="1"/>
  <c r="P29" i="28" s="1"/>
  <c r="E29" i="28" s="1"/>
  <c r="G29" i="28" s="1"/>
  <c r="C38" i="28" l="1"/>
  <c r="I37" i="28"/>
  <c r="J25" i="28"/>
  <c r="L20" i="40"/>
  <c r="Y9" i="40"/>
  <c r="K21" i="40"/>
  <c r="P14" i="40"/>
  <c r="O15" i="40"/>
  <c r="M15" i="40"/>
  <c r="V13" i="40"/>
  <c r="A29" i="28"/>
  <c r="L30" i="28"/>
  <c r="M30" i="28" s="1"/>
  <c r="N30" i="28" s="1"/>
  <c r="O30" i="28" s="1"/>
  <c r="P30" i="28" s="1"/>
  <c r="E30" i="28" s="1"/>
  <c r="G30" i="28" s="1"/>
  <c r="V22" i="28"/>
  <c r="C39" i="28" l="1"/>
  <c r="I38" i="28"/>
  <c r="F26" i="28"/>
  <c r="H26" i="28" s="1"/>
  <c r="K26" i="28" s="1"/>
  <c r="L21" i="40"/>
  <c r="T9" i="40"/>
  <c r="W10" i="40"/>
  <c r="V14" i="40"/>
  <c r="K22" i="40"/>
  <c r="P15" i="40"/>
  <c r="O16" i="40"/>
  <c r="M16" i="40"/>
  <c r="A30" i="28"/>
  <c r="L31" i="28"/>
  <c r="M31" i="28" s="1"/>
  <c r="N31" i="28" s="1"/>
  <c r="O31" i="28" s="1"/>
  <c r="P31" i="28" s="1"/>
  <c r="E31" i="28" s="1"/>
  <c r="G31" i="28" s="1"/>
  <c r="C40" i="28" l="1"/>
  <c r="I39" i="28"/>
  <c r="J26" i="28"/>
  <c r="L22" i="40"/>
  <c r="Q10" i="40"/>
  <c r="S10" i="40" s="1"/>
  <c r="V15" i="40"/>
  <c r="K23" i="40"/>
  <c r="O17" i="40"/>
  <c r="M17" i="40"/>
  <c r="P16" i="40"/>
  <c r="A31" i="28"/>
  <c r="V23" i="28"/>
  <c r="L32" i="28"/>
  <c r="M32" i="28" s="1"/>
  <c r="N32" i="28" s="1"/>
  <c r="O32" i="28" s="1"/>
  <c r="P32" i="28" s="1"/>
  <c r="E32" i="28" s="1"/>
  <c r="G32" i="28" s="1"/>
  <c r="C41" i="28" l="1"/>
  <c r="I40" i="28"/>
  <c r="F27" i="28"/>
  <c r="H27" i="28" s="1"/>
  <c r="K27" i="28" s="1"/>
  <c r="L23" i="40"/>
  <c r="Y10" i="40"/>
  <c r="K24" i="40"/>
  <c r="V16" i="40"/>
  <c r="M18" i="40"/>
  <c r="O18" i="40"/>
  <c r="P17" i="40"/>
  <c r="A32" i="28"/>
  <c r="L33" i="28"/>
  <c r="M33" i="28" s="1"/>
  <c r="N33" i="28" s="1"/>
  <c r="O33" i="28" s="1"/>
  <c r="P33" i="28" s="1"/>
  <c r="E33" i="28" s="1"/>
  <c r="G33" i="28" s="1"/>
  <c r="J27" i="28" l="1"/>
  <c r="F28" i="28" s="1"/>
  <c r="H28" i="28" s="1"/>
  <c r="K28" i="28" s="1"/>
  <c r="C42" i="28"/>
  <c r="I41" i="28"/>
  <c r="L24" i="40"/>
  <c r="T10" i="40"/>
  <c r="W11" i="40"/>
  <c r="K25" i="40"/>
  <c r="M19" i="40"/>
  <c r="O19" i="40"/>
  <c r="P18" i="40"/>
  <c r="V17" i="40"/>
  <c r="A33" i="28"/>
  <c r="L34" i="28"/>
  <c r="M34" i="28" s="1"/>
  <c r="N34" i="28" s="1"/>
  <c r="O34" i="28" s="1"/>
  <c r="P34" i="28" s="1"/>
  <c r="E34" i="28" s="1"/>
  <c r="G34" i="28" s="1"/>
  <c r="C43" i="28" l="1"/>
  <c r="I42" i="28"/>
  <c r="J28" i="28"/>
  <c r="L25" i="40"/>
  <c r="Q11" i="40"/>
  <c r="S11" i="40" s="1"/>
  <c r="K26" i="40"/>
  <c r="V18" i="40"/>
  <c r="P19" i="40"/>
  <c r="M20" i="40"/>
  <c r="O20" i="40"/>
  <c r="A34" i="28"/>
  <c r="V24" i="28"/>
  <c r="L35" i="28"/>
  <c r="M35" i="28" s="1"/>
  <c r="N35" i="28" s="1"/>
  <c r="O35" i="28" s="1"/>
  <c r="P35" i="28" s="1"/>
  <c r="E35" i="28" s="1"/>
  <c r="G35" i="28" s="1"/>
  <c r="C44" i="28" l="1"/>
  <c r="I43" i="28"/>
  <c r="F29" i="28"/>
  <c r="H29" i="28" s="1"/>
  <c r="K29" i="28" s="1"/>
  <c r="L26" i="40"/>
  <c r="Y11" i="40"/>
  <c r="K27" i="40"/>
  <c r="V19" i="40"/>
  <c r="P20" i="40"/>
  <c r="M21" i="40"/>
  <c r="O21" i="40"/>
  <c r="A35" i="28"/>
  <c r="L36" i="28"/>
  <c r="M36" i="28" s="1"/>
  <c r="N36" i="28" s="1"/>
  <c r="O36" i="28" s="1"/>
  <c r="P36" i="28" s="1"/>
  <c r="E36" i="28" s="1"/>
  <c r="G36" i="28" s="1"/>
  <c r="F44" i="28" l="1"/>
  <c r="E44" i="28"/>
  <c r="J44" i="28"/>
  <c r="C45" i="28"/>
  <c r="I44" i="28"/>
  <c r="G44" i="28"/>
  <c r="H44" i="28"/>
  <c r="K44" i="28"/>
  <c r="J29" i="28"/>
  <c r="L27" i="40"/>
  <c r="W12" i="40"/>
  <c r="T11" i="40"/>
  <c r="V20" i="40"/>
  <c r="K28" i="40"/>
  <c r="M22" i="40"/>
  <c r="O22" i="40"/>
  <c r="P21" i="40"/>
  <c r="A36" i="28"/>
  <c r="L37" i="28"/>
  <c r="M37" i="28" s="1"/>
  <c r="N37" i="28" s="1"/>
  <c r="O37" i="28" s="1"/>
  <c r="P37" i="28" s="1"/>
  <c r="E37" i="28" s="1"/>
  <c r="G37" i="28" s="1"/>
  <c r="F45" i="28" l="1"/>
  <c r="E45" i="28"/>
  <c r="C46" i="28"/>
  <c r="H45" i="28"/>
  <c r="G45" i="28"/>
  <c r="J45" i="28"/>
  <c r="I45" i="28"/>
  <c r="K45" i="28"/>
  <c r="F30" i="28"/>
  <c r="H30" i="28" s="1"/>
  <c r="K30" i="28" s="1"/>
  <c r="L28" i="40"/>
  <c r="Q12" i="40"/>
  <c r="S12" i="40" s="1"/>
  <c r="V21" i="40"/>
  <c r="K29" i="40"/>
  <c r="M23" i="40"/>
  <c r="O23" i="40"/>
  <c r="P22" i="40"/>
  <c r="A37" i="28"/>
  <c r="V25" i="28"/>
  <c r="L38" i="28"/>
  <c r="M38" i="28" s="1"/>
  <c r="N38" i="28" s="1"/>
  <c r="O38" i="28" s="1"/>
  <c r="P38" i="28" s="1"/>
  <c r="E38" i="28" s="1"/>
  <c r="G38" i="28" s="1"/>
  <c r="G46" i="28" l="1"/>
  <c r="F46" i="28"/>
  <c r="I46" i="28"/>
  <c r="C47" i="28"/>
  <c r="K46" i="28"/>
  <c r="J46" i="28"/>
  <c r="E46" i="28"/>
  <c r="H46" i="28"/>
  <c r="J30" i="28"/>
  <c r="L29" i="40"/>
  <c r="Y12" i="40"/>
  <c r="K30" i="40"/>
  <c r="P23" i="40"/>
  <c r="M24" i="40"/>
  <c r="O24" i="40"/>
  <c r="V22" i="40"/>
  <c r="A38" i="28"/>
  <c r="L39" i="28"/>
  <c r="M39" i="28" s="1"/>
  <c r="N39" i="28" s="1"/>
  <c r="O39" i="28" s="1"/>
  <c r="P39" i="28" s="1"/>
  <c r="E39" i="28" s="1"/>
  <c r="G39" i="28" s="1"/>
  <c r="E47" i="28" l="1"/>
  <c r="J47" i="28"/>
  <c r="C48" i="28"/>
  <c r="K47" i="28"/>
  <c r="I47" i="28"/>
  <c r="H47" i="28"/>
  <c r="F47" i="28"/>
  <c r="G47" i="28"/>
  <c r="F31" i="28"/>
  <c r="H31" i="28" s="1"/>
  <c r="K31" i="28" s="1"/>
  <c r="L30" i="40"/>
  <c r="Q13" i="40"/>
  <c r="W13" i="40"/>
  <c r="T12" i="40"/>
  <c r="K31" i="40"/>
  <c r="V23" i="40"/>
  <c r="M25" i="40"/>
  <c r="O25" i="40"/>
  <c r="P24" i="40"/>
  <c r="A39" i="28"/>
  <c r="L40" i="28"/>
  <c r="M40" i="28" s="1"/>
  <c r="N40" i="28" s="1"/>
  <c r="O40" i="28" s="1"/>
  <c r="P40" i="28" s="1"/>
  <c r="E40" i="28" s="1"/>
  <c r="G40" i="28" s="1"/>
  <c r="I48" i="28" l="1"/>
  <c r="G48" i="28"/>
  <c r="H48" i="28"/>
  <c r="F48" i="28"/>
  <c r="C49" i="28"/>
  <c r="E48" i="28"/>
  <c r="K48" i="28"/>
  <c r="J48" i="28"/>
  <c r="J31" i="28"/>
  <c r="L31" i="40"/>
  <c r="S13" i="40"/>
  <c r="W14" i="40" s="1"/>
  <c r="Y13" i="40"/>
  <c r="K32" i="40"/>
  <c r="V24" i="40"/>
  <c r="P25" i="40"/>
  <c r="M26" i="40"/>
  <c r="O26" i="40"/>
  <c r="A40" i="28"/>
  <c r="V26" i="28"/>
  <c r="L41" i="28"/>
  <c r="M41" i="28" s="1"/>
  <c r="N41" i="28" s="1"/>
  <c r="O41" i="28" s="1"/>
  <c r="P41" i="28" s="1"/>
  <c r="E41" i="28" s="1"/>
  <c r="G41" i="28" s="1"/>
  <c r="G49" i="28" l="1"/>
  <c r="J49" i="28"/>
  <c r="C50" i="28"/>
  <c r="H49" i="28"/>
  <c r="F49" i="28"/>
  <c r="E49" i="28"/>
  <c r="K49" i="28"/>
  <c r="I49" i="28"/>
  <c r="F32" i="28"/>
  <c r="H32" i="28" s="1"/>
  <c r="K32" i="28" s="1"/>
  <c r="L32" i="40"/>
  <c r="T13" i="40"/>
  <c r="Q14" i="40"/>
  <c r="S14" i="40" s="1"/>
  <c r="K33" i="40"/>
  <c r="V25" i="40"/>
  <c r="M27" i="40"/>
  <c r="O27" i="40"/>
  <c r="P26" i="40"/>
  <c r="A41" i="28"/>
  <c r="L42" i="28"/>
  <c r="M42" i="28" s="1"/>
  <c r="N42" i="28" s="1"/>
  <c r="O42" i="28" s="1"/>
  <c r="P42" i="28" s="1"/>
  <c r="E42" i="28" s="1"/>
  <c r="G42" i="28" s="1"/>
  <c r="E50" i="28" l="1"/>
  <c r="J50" i="28"/>
  <c r="K50" i="28"/>
  <c r="C51" i="28"/>
  <c r="G50" i="28"/>
  <c r="H50" i="28"/>
  <c r="F50" i="28"/>
  <c r="I50" i="28"/>
  <c r="J32" i="28"/>
  <c r="L33" i="40"/>
  <c r="Y14" i="40"/>
  <c r="T14" i="40"/>
  <c r="W15" i="40"/>
  <c r="V26" i="40"/>
  <c r="K34" i="40"/>
  <c r="P27" i="40"/>
  <c r="M28" i="40"/>
  <c r="O28" i="40"/>
  <c r="A42" i="28"/>
  <c r="L43" i="28"/>
  <c r="M43" i="28" s="1"/>
  <c r="N43" i="28" s="1"/>
  <c r="O43" i="28" s="1"/>
  <c r="P43" i="28" s="1"/>
  <c r="E43" i="28" s="1"/>
  <c r="G43" i="28" s="1"/>
  <c r="C52" i="28" l="1"/>
  <c r="H51" i="28"/>
  <c r="G51" i="28"/>
  <c r="K51" i="28"/>
  <c r="E51" i="28"/>
  <c r="J51" i="28"/>
  <c r="I51" i="28"/>
  <c r="F51" i="28"/>
  <c r="F33" i="28"/>
  <c r="H33" i="28" s="1"/>
  <c r="K33" i="28" s="1"/>
  <c r="L34" i="40"/>
  <c r="V27" i="40"/>
  <c r="K35" i="40"/>
  <c r="L35" i="40" s="1"/>
  <c r="P28" i="40"/>
  <c r="M29" i="40"/>
  <c r="O29" i="40"/>
  <c r="A43" i="28"/>
  <c r="V27" i="28"/>
  <c r="L44" i="28"/>
  <c r="M44" i="28" s="1"/>
  <c r="N44" i="28" s="1"/>
  <c r="O44" i="28" s="1"/>
  <c r="P44" i="28" s="1"/>
  <c r="K52" i="28" l="1"/>
  <c r="I52" i="28"/>
  <c r="C53" i="28"/>
  <c r="H52" i="28"/>
  <c r="F52" i="28"/>
  <c r="G52" i="28"/>
  <c r="E52" i="28"/>
  <c r="J52" i="28"/>
  <c r="J33" i="28"/>
  <c r="M30" i="40"/>
  <c r="O30" i="40"/>
  <c r="K36" i="40"/>
  <c r="L36" i="40" s="1"/>
  <c r="V28" i="40"/>
  <c r="P29" i="40"/>
  <c r="A44" i="28"/>
  <c r="L45" i="28"/>
  <c r="M45" i="28" s="1"/>
  <c r="N45" i="28" s="1"/>
  <c r="O45" i="28" s="1"/>
  <c r="P45" i="28" s="1"/>
  <c r="C54" i="28" l="1"/>
  <c r="J53" i="28"/>
  <c r="I53" i="28"/>
  <c r="H53" i="28"/>
  <c r="G53" i="28"/>
  <c r="E53" i="28"/>
  <c r="F53" i="28"/>
  <c r="K53" i="28"/>
  <c r="F34" i="28"/>
  <c r="H34" i="28" s="1"/>
  <c r="K34" i="28" s="1"/>
  <c r="Q15" i="40"/>
  <c r="S15" i="40" s="1"/>
  <c r="V29" i="40"/>
  <c r="P30" i="40"/>
  <c r="M31" i="40"/>
  <c r="O31" i="40"/>
  <c r="K37" i="40"/>
  <c r="L37" i="40" s="1"/>
  <c r="A45" i="28"/>
  <c r="L46" i="28"/>
  <c r="M46" i="28" s="1"/>
  <c r="N46" i="28" s="1"/>
  <c r="O46" i="28" s="1"/>
  <c r="P46" i="28" s="1"/>
  <c r="E54" i="28" l="1"/>
  <c r="C55" i="28"/>
  <c r="K54" i="28"/>
  <c r="J54" i="28"/>
  <c r="I54" i="28"/>
  <c r="G54" i="28"/>
  <c r="H54" i="28"/>
  <c r="F54" i="28"/>
  <c r="J34" i="28"/>
  <c r="Y15" i="40"/>
  <c r="V30" i="40"/>
  <c r="P31" i="40"/>
  <c r="M32" i="40"/>
  <c r="O32" i="40"/>
  <c r="K38" i="40"/>
  <c r="L38" i="40" s="1"/>
  <c r="A46" i="28"/>
  <c r="V28" i="28"/>
  <c r="L47" i="28"/>
  <c r="M47" i="28" s="1"/>
  <c r="N47" i="28" s="1"/>
  <c r="O47" i="28" s="1"/>
  <c r="P47" i="28" s="1"/>
  <c r="C56" i="28" l="1"/>
  <c r="K55" i="28"/>
  <c r="I55" i="28"/>
  <c r="F55" i="28"/>
  <c r="E55" i="28"/>
  <c r="H55" i="28"/>
  <c r="J55" i="28"/>
  <c r="G55" i="28"/>
  <c r="F35" i="28"/>
  <c r="H35" i="28" s="1"/>
  <c r="K35" i="28" s="1"/>
  <c r="T15" i="40"/>
  <c r="W16" i="40"/>
  <c r="V31" i="40"/>
  <c r="P32" i="40"/>
  <c r="M33" i="40"/>
  <c r="O33" i="40"/>
  <c r="K39" i="40"/>
  <c r="L39" i="40" s="1"/>
  <c r="A47" i="28"/>
  <c r="L48" i="28"/>
  <c r="M48" i="28" s="1"/>
  <c r="N48" i="28" s="1"/>
  <c r="O48" i="28" s="1"/>
  <c r="P48" i="28" s="1"/>
  <c r="K56" i="28" l="1"/>
  <c r="E56" i="28"/>
  <c r="C57" i="28"/>
  <c r="I56" i="28"/>
  <c r="H56" i="28"/>
  <c r="F56" i="28"/>
  <c r="G56" i="28"/>
  <c r="J56" i="28"/>
  <c r="J35" i="28"/>
  <c r="Q16" i="40"/>
  <c r="V32" i="40"/>
  <c r="M34" i="40"/>
  <c r="O34" i="40"/>
  <c r="P33" i="40"/>
  <c r="K40" i="40"/>
  <c r="L40" i="40" s="1"/>
  <c r="A48" i="28"/>
  <c r="L49" i="28"/>
  <c r="M49" i="28" s="1"/>
  <c r="N49" i="28" s="1"/>
  <c r="O49" i="28" s="1"/>
  <c r="P49" i="28" s="1"/>
  <c r="C58" i="28" l="1"/>
  <c r="H57" i="28"/>
  <c r="F57" i="28"/>
  <c r="K57" i="28"/>
  <c r="E57" i="28"/>
  <c r="J57" i="28"/>
  <c r="G57" i="28"/>
  <c r="I57" i="28"/>
  <c r="F36" i="28"/>
  <c r="H36" i="28" s="1"/>
  <c r="K36" i="28" s="1"/>
  <c r="Y16" i="40"/>
  <c r="S16" i="40"/>
  <c r="T16" i="40" s="1"/>
  <c r="V33" i="40"/>
  <c r="P34" i="40"/>
  <c r="M35" i="40"/>
  <c r="O35" i="40"/>
  <c r="K41" i="40"/>
  <c r="L41" i="40" s="1"/>
  <c r="A49" i="28"/>
  <c r="L50" i="28"/>
  <c r="M50" i="28" s="1"/>
  <c r="N50" i="28" s="1"/>
  <c r="O50" i="28" s="1"/>
  <c r="V29" i="28"/>
  <c r="C59" i="28" l="1"/>
  <c r="G58" i="28"/>
  <c r="E58" i="28"/>
  <c r="I58" i="28"/>
  <c r="F58" i="28"/>
  <c r="H58" i="28"/>
  <c r="K58" i="28"/>
  <c r="J58" i="28"/>
  <c r="J36" i="28"/>
  <c r="Q42" i="40"/>
  <c r="Y42" i="40" s="1"/>
  <c r="W17" i="40"/>
  <c r="V34" i="40"/>
  <c r="P35" i="40"/>
  <c r="K42" i="40"/>
  <c r="L42" i="40" s="1"/>
  <c r="L51" i="28"/>
  <c r="M51" i="28" s="1"/>
  <c r="N51" i="28" s="1"/>
  <c r="O51" i="28" s="1"/>
  <c r="P50" i="28"/>
  <c r="C60" i="28" l="1"/>
  <c r="J59" i="28"/>
  <c r="H59" i="28"/>
  <c r="G59" i="28"/>
  <c r="F59" i="28"/>
  <c r="E59" i="28"/>
  <c r="I59" i="28"/>
  <c r="K59" i="28"/>
  <c r="F37" i="28"/>
  <c r="H37" i="28" s="1"/>
  <c r="K37" i="28" s="1"/>
  <c r="Q43" i="40"/>
  <c r="Y43" i="40" s="1"/>
  <c r="Q17" i="40"/>
  <c r="S17" i="40" s="1"/>
  <c r="V35" i="40"/>
  <c r="M36" i="40"/>
  <c r="O36" i="40"/>
  <c r="K43" i="40"/>
  <c r="L43" i="40" s="1"/>
  <c r="A50" i="28"/>
  <c r="L52" i="28"/>
  <c r="M52" i="28" s="1"/>
  <c r="N52" i="28" s="1"/>
  <c r="O52" i="28" s="1"/>
  <c r="P51" i="28"/>
  <c r="C61" i="28" l="1"/>
  <c r="H60" i="28"/>
  <c r="K60" i="28"/>
  <c r="G60" i="28"/>
  <c r="J60" i="28"/>
  <c r="I60" i="28"/>
  <c r="F60" i="28"/>
  <c r="E60" i="28"/>
  <c r="J37" i="28"/>
  <c r="Q44" i="40"/>
  <c r="Y44" i="40" s="1"/>
  <c r="Y17" i="40"/>
  <c r="P36" i="40"/>
  <c r="M37" i="40"/>
  <c r="O37" i="40"/>
  <c r="K44" i="40"/>
  <c r="L44" i="40" s="1"/>
  <c r="A51" i="28"/>
  <c r="L53" i="28"/>
  <c r="M53" i="28" s="1"/>
  <c r="N53" i="28" s="1"/>
  <c r="O53" i="28" s="1"/>
  <c r="P52" i="28"/>
  <c r="V30" i="28"/>
  <c r="C62" i="28" l="1"/>
  <c r="J61" i="28"/>
  <c r="I61" i="28"/>
  <c r="F61" i="28"/>
  <c r="E61" i="28"/>
  <c r="H61" i="28"/>
  <c r="K61" i="28"/>
  <c r="G61" i="28"/>
  <c r="F38" i="28"/>
  <c r="H38" i="28" s="1"/>
  <c r="K38" i="28" s="1"/>
  <c r="Q45" i="40"/>
  <c r="Y45" i="40" s="1"/>
  <c r="Q18" i="40"/>
  <c r="S18" i="40" s="1"/>
  <c r="W18" i="40"/>
  <c r="T17" i="40"/>
  <c r="V36" i="40"/>
  <c r="P37" i="40"/>
  <c r="M38" i="40"/>
  <c r="O38" i="40"/>
  <c r="K45" i="40"/>
  <c r="L45" i="40" s="1"/>
  <c r="A52" i="28"/>
  <c r="L54" i="28"/>
  <c r="M54" i="28" s="1"/>
  <c r="N54" i="28" s="1"/>
  <c r="O54" i="28" s="1"/>
  <c r="P53" i="28"/>
  <c r="C63" i="28" l="1"/>
  <c r="J62" i="28"/>
  <c r="G62" i="28"/>
  <c r="I62" i="28"/>
  <c r="H62" i="28"/>
  <c r="E62" i="28"/>
  <c r="K62" i="28"/>
  <c r="F62" i="28"/>
  <c r="J38" i="28"/>
  <c r="Q46" i="40"/>
  <c r="Y46" i="40" s="1"/>
  <c r="Y18" i="40"/>
  <c r="T18" i="40"/>
  <c r="W19" i="40"/>
  <c r="V37" i="40"/>
  <c r="P38" i="40"/>
  <c r="M39" i="40"/>
  <c r="O39" i="40"/>
  <c r="K46" i="40"/>
  <c r="L46" i="40" s="1"/>
  <c r="A53" i="28"/>
  <c r="L55" i="28"/>
  <c r="M55" i="28" s="1"/>
  <c r="N55" i="28" s="1"/>
  <c r="O55" i="28" s="1"/>
  <c r="P54" i="28"/>
  <c r="C64" i="28" l="1"/>
  <c r="K63" i="28"/>
  <c r="J63" i="28"/>
  <c r="E63" i="28"/>
  <c r="H63" i="28"/>
  <c r="I63" i="28"/>
  <c r="F63" i="28"/>
  <c r="G63" i="28"/>
  <c r="F39" i="28"/>
  <c r="H39" i="28" s="1"/>
  <c r="K39" i="28" s="1"/>
  <c r="Q47" i="40"/>
  <c r="Y47" i="40" s="1"/>
  <c r="V38" i="40"/>
  <c r="M40" i="40"/>
  <c r="O40" i="40"/>
  <c r="P39" i="40"/>
  <c r="K47" i="40"/>
  <c r="L47" i="40" s="1"/>
  <c r="A54" i="28"/>
  <c r="P55" i="28"/>
  <c r="V31" i="28"/>
  <c r="V56" i="28"/>
  <c r="L56" i="28"/>
  <c r="M56" i="28" s="1"/>
  <c r="N56" i="28" s="1"/>
  <c r="O56" i="28" s="1"/>
  <c r="I64" i="28" l="1"/>
  <c r="C65" i="28"/>
  <c r="E64" i="28"/>
  <c r="H64" i="28"/>
  <c r="J64" i="28"/>
  <c r="G64" i="28"/>
  <c r="F64" i="28"/>
  <c r="K64" i="28"/>
  <c r="J39" i="28"/>
  <c r="Q48" i="40"/>
  <c r="Y48" i="40" s="1"/>
  <c r="Q19" i="40"/>
  <c r="S19" i="40" s="1"/>
  <c r="V39" i="40"/>
  <c r="M41" i="40"/>
  <c r="O41" i="40"/>
  <c r="P40" i="40"/>
  <c r="K48" i="40"/>
  <c r="L48" i="40" s="1"/>
  <c r="A55" i="28"/>
  <c r="V57" i="28"/>
  <c r="L57" i="28"/>
  <c r="M57" i="28" s="1"/>
  <c r="N57" i="28" s="1"/>
  <c r="O57" i="28" s="1"/>
  <c r="P56" i="28"/>
  <c r="C66" i="28" l="1"/>
  <c r="F65" i="28"/>
  <c r="E65" i="28"/>
  <c r="K65" i="28"/>
  <c r="J65" i="28"/>
  <c r="G65" i="28"/>
  <c r="I65" i="28"/>
  <c r="H65" i="28"/>
  <c r="F40" i="28"/>
  <c r="H40" i="28" s="1"/>
  <c r="K40" i="28" s="1"/>
  <c r="Q49" i="40"/>
  <c r="Y49" i="40" s="1"/>
  <c r="S48" i="40"/>
  <c r="Y19" i="40"/>
  <c r="T19" i="40"/>
  <c r="W20" i="40"/>
  <c r="P41" i="40"/>
  <c r="V40" i="40"/>
  <c r="M42" i="40"/>
  <c r="O42" i="40"/>
  <c r="K49" i="40"/>
  <c r="L49" i="40" s="1"/>
  <c r="A56" i="28"/>
  <c r="V58" i="28"/>
  <c r="L58" i="28"/>
  <c r="M58" i="28" s="1"/>
  <c r="N58" i="28" s="1"/>
  <c r="O58" i="28" s="1"/>
  <c r="P57" i="28"/>
  <c r="H66" i="28" l="1"/>
  <c r="C67" i="28"/>
  <c r="G66" i="28"/>
  <c r="F66" i="28"/>
  <c r="K66" i="28"/>
  <c r="E66" i="28"/>
  <c r="J66" i="28"/>
  <c r="I66" i="28"/>
  <c r="J40" i="28"/>
  <c r="Q50" i="40"/>
  <c r="Y50" i="40" s="1"/>
  <c r="S49" i="40"/>
  <c r="V41" i="40"/>
  <c r="M43" i="40"/>
  <c r="O43" i="40"/>
  <c r="P42" i="40"/>
  <c r="S42" i="40" s="1"/>
  <c r="K50" i="40"/>
  <c r="L50" i="40" s="1"/>
  <c r="A57" i="28"/>
  <c r="P58" i="28"/>
  <c r="V32" i="28"/>
  <c r="V59" i="28"/>
  <c r="L59" i="28"/>
  <c r="M59" i="28" s="1"/>
  <c r="N59" i="28" s="1"/>
  <c r="O59" i="28" s="1"/>
  <c r="C68" i="28" l="1"/>
  <c r="H67" i="28"/>
  <c r="K67" i="28"/>
  <c r="I67" i="28"/>
  <c r="J67" i="28"/>
  <c r="G67" i="28"/>
  <c r="F67" i="28"/>
  <c r="E67" i="28"/>
  <c r="F41" i="28"/>
  <c r="H41" i="28" s="1"/>
  <c r="K41" i="28" s="1"/>
  <c r="Q51" i="40"/>
  <c r="Y51" i="40" s="1"/>
  <c r="S50" i="40"/>
  <c r="Q20" i="40"/>
  <c r="V42" i="40"/>
  <c r="P43" i="40"/>
  <c r="S43" i="40" s="1"/>
  <c r="M44" i="40"/>
  <c r="O44" i="40"/>
  <c r="K51" i="40"/>
  <c r="L51" i="40" s="1"/>
  <c r="A58" i="28"/>
  <c r="V60" i="28"/>
  <c r="L60" i="28"/>
  <c r="M60" i="28" s="1"/>
  <c r="N60" i="28" s="1"/>
  <c r="O60" i="28" s="1"/>
  <c r="P59" i="28"/>
  <c r="E68" i="28" l="1"/>
  <c r="C69" i="28"/>
  <c r="I68" i="28"/>
  <c r="H68" i="28"/>
  <c r="K68" i="28"/>
  <c r="J68" i="28"/>
  <c r="G68" i="28"/>
  <c r="F68" i="28"/>
  <c r="J41" i="28"/>
  <c r="Q52" i="40"/>
  <c r="Y52" i="40" s="1"/>
  <c r="S51" i="40"/>
  <c r="Y20" i="40"/>
  <c r="S20" i="40"/>
  <c r="V43" i="40"/>
  <c r="M45" i="40"/>
  <c r="O45" i="40"/>
  <c r="P44" i="40"/>
  <c r="S44" i="40" s="1"/>
  <c r="K52" i="40"/>
  <c r="L52" i="40" s="1"/>
  <c r="A59" i="28"/>
  <c r="P60" i="28"/>
  <c r="V61" i="28"/>
  <c r="L61" i="28"/>
  <c r="M61" i="28" s="1"/>
  <c r="N61" i="28" s="1"/>
  <c r="O61" i="28" s="1"/>
  <c r="C70" i="28" l="1"/>
  <c r="J69" i="28"/>
  <c r="I69" i="28"/>
  <c r="E69" i="28"/>
  <c r="H69" i="28"/>
  <c r="G69" i="28"/>
  <c r="K69" i="28"/>
  <c r="F69" i="28"/>
  <c r="F42" i="28"/>
  <c r="H42" i="28" s="1"/>
  <c r="K42" i="28" s="1"/>
  <c r="Q53" i="40"/>
  <c r="Y53" i="40" s="1"/>
  <c r="T20" i="40"/>
  <c r="S52" i="40"/>
  <c r="W21" i="40"/>
  <c r="V44" i="40"/>
  <c r="M46" i="40"/>
  <c r="O46" i="40"/>
  <c r="P45" i="40"/>
  <c r="S45" i="40" s="1"/>
  <c r="K53" i="40"/>
  <c r="L53" i="40" s="1"/>
  <c r="A60" i="28"/>
  <c r="V62" i="28"/>
  <c r="L62" i="28"/>
  <c r="M62" i="28" s="1"/>
  <c r="N62" i="28" s="1"/>
  <c r="O62" i="28" s="1"/>
  <c r="V33" i="28"/>
  <c r="P61" i="28"/>
  <c r="C71" i="28" l="1"/>
  <c r="E70" i="28"/>
  <c r="I70" i="28"/>
  <c r="K70" i="28"/>
  <c r="J70" i="28"/>
  <c r="G70" i="28"/>
  <c r="F70" i="28"/>
  <c r="H70" i="28"/>
  <c r="J42" i="28"/>
  <c r="Q54" i="40"/>
  <c r="Y54" i="40" s="1"/>
  <c r="S53" i="40"/>
  <c r="Q21" i="40"/>
  <c r="V45" i="40"/>
  <c r="M47" i="40"/>
  <c r="O47" i="40"/>
  <c r="P46" i="40"/>
  <c r="S46" i="40" s="1"/>
  <c r="K54" i="40"/>
  <c r="L54" i="40" s="1"/>
  <c r="A61" i="28"/>
  <c r="V63" i="28"/>
  <c r="L63" i="28"/>
  <c r="M63" i="28" s="1"/>
  <c r="N63" i="28" s="1"/>
  <c r="O63" i="28" s="1"/>
  <c r="P62" i="28"/>
  <c r="C72" i="28" l="1"/>
  <c r="K71" i="28"/>
  <c r="J71" i="28"/>
  <c r="I71" i="28"/>
  <c r="H71" i="28"/>
  <c r="E71" i="28"/>
  <c r="G71" i="28"/>
  <c r="F71" i="28"/>
  <c r="F43" i="28"/>
  <c r="H43" i="28" s="1"/>
  <c r="K43" i="28" s="1"/>
  <c r="Q55" i="40"/>
  <c r="Y55" i="40" s="1"/>
  <c r="S54" i="40"/>
  <c r="Y21" i="40"/>
  <c r="S21" i="40"/>
  <c r="V46" i="40"/>
  <c r="M48" i="40"/>
  <c r="O48" i="40"/>
  <c r="P47" i="40"/>
  <c r="S47" i="40" s="1"/>
  <c r="K55" i="40"/>
  <c r="L55" i="40" s="1"/>
  <c r="A62" i="28"/>
  <c r="P63" i="28"/>
  <c r="V64" i="28"/>
  <c r="L64" i="28"/>
  <c r="M64" i="28" s="1"/>
  <c r="N64" i="28" s="1"/>
  <c r="O64" i="28" s="1"/>
  <c r="H72" i="28" l="1"/>
  <c r="C73" i="28"/>
  <c r="E72" i="28"/>
  <c r="F72" i="28"/>
  <c r="K72" i="28"/>
  <c r="J72" i="28"/>
  <c r="G72" i="28"/>
  <c r="I72" i="28"/>
  <c r="J43" i="28"/>
  <c r="Q56" i="40"/>
  <c r="Y56" i="40" s="1"/>
  <c r="W22" i="40"/>
  <c r="S55" i="40"/>
  <c r="T21" i="40"/>
  <c r="V47" i="40"/>
  <c r="P48" i="40"/>
  <c r="M49" i="40"/>
  <c r="O49" i="40"/>
  <c r="K56" i="40"/>
  <c r="L56" i="40" s="1"/>
  <c r="A63" i="28"/>
  <c r="V65" i="28"/>
  <c r="L65" i="28"/>
  <c r="M65" i="28" s="1"/>
  <c r="N65" i="28" s="1"/>
  <c r="O65" i="28" s="1"/>
  <c r="V34" i="28"/>
  <c r="P64" i="28"/>
  <c r="C74" i="28" l="1"/>
  <c r="F73" i="28"/>
  <c r="E73" i="28"/>
  <c r="H73" i="28"/>
  <c r="G73" i="28"/>
  <c r="I73" i="28"/>
  <c r="J73" i="28"/>
  <c r="K73" i="28"/>
  <c r="Q57" i="40"/>
  <c r="Y57" i="40" s="1"/>
  <c r="S56" i="40"/>
  <c r="T48" i="40"/>
  <c r="Q22" i="40"/>
  <c r="S22" i="40" s="1"/>
  <c r="V48" i="40"/>
  <c r="W48" i="40" s="1"/>
  <c r="P49" i="40"/>
  <c r="M50" i="40"/>
  <c r="O50" i="40"/>
  <c r="K57" i="40"/>
  <c r="L57" i="40" s="1"/>
  <c r="A64" i="28"/>
  <c r="P65" i="28"/>
  <c r="V66" i="28"/>
  <c r="L66" i="28"/>
  <c r="M66" i="28" s="1"/>
  <c r="N66" i="28" s="1"/>
  <c r="O66" i="28" s="1"/>
  <c r="C75" i="28" l="1"/>
  <c r="I74" i="28"/>
  <c r="E74" i="28"/>
  <c r="G74" i="28"/>
  <c r="F74" i="28"/>
  <c r="K74" i="28"/>
  <c r="J74" i="28"/>
  <c r="H74" i="28"/>
  <c r="Q58" i="40"/>
  <c r="Y58" i="40" s="1"/>
  <c r="S57" i="40"/>
  <c r="T49" i="40"/>
  <c r="Y22" i="40"/>
  <c r="W23" i="40"/>
  <c r="T22" i="40"/>
  <c r="P50" i="40"/>
  <c r="M51" i="40"/>
  <c r="O51" i="40"/>
  <c r="V49" i="40"/>
  <c r="W49" i="40" s="1"/>
  <c r="K58" i="40"/>
  <c r="L58" i="40" s="1"/>
  <c r="A65" i="28"/>
  <c r="P66" i="28"/>
  <c r="V67" i="28"/>
  <c r="L67" i="28"/>
  <c r="M67" i="28" s="1"/>
  <c r="N67" i="28" s="1"/>
  <c r="O67" i="28" s="1"/>
  <c r="C76" i="28" l="1"/>
  <c r="H75" i="28"/>
  <c r="G75" i="28"/>
  <c r="E75" i="28"/>
  <c r="K75" i="28"/>
  <c r="I75" i="28"/>
  <c r="F75" i="28"/>
  <c r="J75" i="28"/>
  <c r="Q59" i="40"/>
  <c r="Y59" i="40" s="1"/>
  <c r="S58" i="40"/>
  <c r="T50" i="40"/>
  <c r="V50" i="40"/>
  <c r="W50" i="40" s="1"/>
  <c r="P51" i="40"/>
  <c r="M52" i="40"/>
  <c r="O52" i="40"/>
  <c r="K59" i="40"/>
  <c r="L59" i="40" s="1"/>
  <c r="A66" i="28"/>
  <c r="V68" i="28"/>
  <c r="L68" i="28"/>
  <c r="M68" i="28" s="1"/>
  <c r="N68" i="28" s="1"/>
  <c r="O68" i="28" s="1"/>
  <c r="V35" i="28"/>
  <c r="P67" i="28"/>
  <c r="C77" i="28" l="1"/>
  <c r="K76" i="28"/>
  <c r="I76" i="28"/>
  <c r="H76" i="28"/>
  <c r="G76" i="28"/>
  <c r="F76" i="28"/>
  <c r="E76" i="28"/>
  <c r="J76" i="28"/>
  <c r="Q60" i="40"/>
  <c r="Y60" i="40" s="1"/>
  <c r="S59" i="40"/>
  <c r="T51" i="40"/>
  <c r="Q23" i="40"/>
  <c r="S23" i="40" s="1"/>
  <c r="V51" i="40"/>
  <c r="W51" i="40" s="1"/>
  <c r="M53" i="40"/>
  <c r="O53" i="40"/>
  <c r="P52" i="40"/>
  <c r="K60" i="40"/>
  <c r="L60" i="40" s="1"/>
  <c r="A67" i="28"/>
  <c r="V69" i="28"/>
  <c r="L69" i="28"/>
  <c r="M69" i="28" s="1"/>
  <c r="N69" i="28" s="1"/>
  <c r="O69" i="28" s="1"/>
  <c r="P68" i="28"/>
  <c r="C78" i="28" l="1"/>
  <c r="J77" i="28"/>
  <c r="I77" i="28"/>
  <c r="E77" i="28"/>
  <c r="K77" i="28"/>
  <c r="H77" i="28"/>
  <c r="F77" i="28"/>
  <c r="G77" i="28"/>
  <c r="Q61" i="40"/>
  <c r="Y61" i="40" s="1"/>
  <c r="S60" i="40"/>
  <c r="T52" i="40"/>
  <c r="Y23" i="40"/>
  <c r="W24" i="40"/>
  <c r="T23" i="40"/>
  <c r="V52" i="40"/>
  <c r="W52" i="40" s="1"/>
  <c r="P53" i="40"/>
  <c r="M54" i="40"/>
  <c r="O54" i="40"/>
  <c r="K61" i="40"/>
  <c r="L61" i="40" s="1"/>
  <c r="A68" i="28"/>
  <c r="P69" i="28"/>
  <c r="V70" i="28"/>
  <c r="L70" i="28"/>
  <c r="M70" i="28" s="1"/>
  <c r="N70" i="28" s="1"/>
  <c r="O70" i="28" s="1"/>
  <c r="C79" i="28" l="1"/>
  <c r="K78" i="28"/>
  <c r="J78" i="28"/>
  <c r="I78" i="28"/>
  <c r="F78" i="28"/>
  <c r="E78" i="28"/>
  <c r="H78" i="28"/>
  <c r="G78" i="28"/>
  <c r="Q62" i="40"/>
  <c r="Y62" i="40" s="1"/>
  <c r="S61" i="40"/>
  <c r="T53" i="40"/>
  <c r="P54" i="40"/>
  <c r="M55" i="40"/>
  <c r="O55" i="40"/>
  <c r="V53" i="40"/>
  <c r="W53" i="40" s="1"/>
  <c r="K62" i="40"/>
  <c r="L62" i="40" s="1"/>
  <c r="A69" i="28"/>
  <c r="P70" i="28"/>
  <c r="V71" i="28"/>
  <c r="L71" i="28"/>
  <c r="M71" i="28" s="1"/>
  <c r="N71" i="28" s="1"/>
  <c r="O71" i="28" s="1"/>
  <c r="V36" i="28"/>
  <c r="C80" i="28" l="1"/>
  <c r="K79" i="28"/>
  <c r="H79" i="28"/>
  <c r="G79" i="28"/>
  <c r="F79" i="28"/>
  <c r="E79" i="28"/>
  <c r="I79" i="28"/>
  <c r="J79" i="28"/>
  <c r="Q63" i="40"/>
  <c r="Y63" i="40" s="1"/>
  <c r="S62" i="40"/>
  <c r="T54" i="40"/>
  <c r="V54" i="40"/>
  <c r="W54" i="40" s="1"/>
  <c r="P55" i="40"/>
  <c r="M56" i="40"/>
  <c r="O56" i="40"/>
  <c r="K63" i="40"/>
  <c r="L63" i="40" s="1"/>
  <c r="A70" i="28"/>
  <c r="P71" i="28"/>
  <c r="V72" i="28"/>
  <c r="L72" i="28"/>
  <c r="M72" i="28" s="1"/>
  <c r="N72" i="28" s="1"/>
  <c r="O72" i="28" s="1"/>
  <c r="C81" i="28" l="1"/>
  <c r="E80" i="28"/>
  <c r="K80" i="28"/>
  <c r="J80" i="28"/>
  <c r="I80" i="28"/>
  <c r="H80" i="28"/>
  <c r="G80" i="28"/>
  <c r="F80" i="28"/>
  <c r="Q64" i="40"/>
  <c r="Y64" i="40" s="1"/>
  <c r="S63" i="40"/>
  <c r="T55" i="40"/>
  <c r="Q24" i="40"/>
  <c r="S24" i="40" s="1"/>
  <c r="V55" i="40"/>
  <c r="W55" i="40" s="1"/>
  <c r="P56" i="40"/>
  <c r="M57" i="40"/>
  <c r="O57" i="40"/>
  <c r="K64" i="40"/>
  <c r="L64" i="40" s="1"/>
  <c r="A71" i="28"/>
  <c r="V73" i="28"/>
  <c r="L73" i="28"/>
  <c r="M73" i="28" s="1"/>
  <c r="N73" i="28" s="1"/>
  <c r="O73" i="28" s="1"/>
  <c r="P72" i="28"/>
  <c r="C82" i="28" l="1"/>
  <c r="F81" i="28"/>
  <c r="H81" i="28"/>
  <c r="E81" i="28"/>
  <c r="G81" i="28"/>
  <c r="K81" i="28"/>
  <c r="I81" i="28"/>
  <c r="J81" i="28"/>
  <c r="Q65" i="40"/>
  <c r="Y65" i="40" s="1"/>
  <c r="S64" i="40"/>
  <c r="T56" i="40"/>
  <c r="Y24" i="40"/>
  <c r="V56" i="40"/>
  <c r="W56" i="40" s="1"/>
  <c r="P57" i="40"/>
  <c r="M58" i="40"/>
  <c r="O58" i="40"/>
  <c r="K65" i="40"/>
  <c r="L65" i="40" s="1"/>
  <c r="A72" i="28"/>
  <c r="V37" i="28"/>
  <c r="P73" i="28"/>
  <c r="V74" i="28"/>
  <c r="L74" i="28"/>
  <c r="M74" i="28" s="1"/>
  <c r="N74" i="28" s="1"/>
  <c r="O74" i="28" s="1"/>
  <c r="C83" i="28" l="1"/>
  <c r="G82" i="28"/>
  <c r="F82" i="28"/>
  <c r="I82" i="28"/>
  <c r="H82" i="28"/>
  <c r="J82" i="28"/>
  <c r="E82" i="28"/>
  <c r="K82" i="28"/>
  <c r="Q66" i="40"/>
  <c r="Y66" i="40" s="1"/>
  <c r="S65" i="40"/>
  <c r="T57" i="40"/>
  <c r="Q25" i="40"/>
  <c r="S25" i="40" s="1"/>
  <c r="W25" i="40"/>
  <c r="T24" i="40"/>
  <c r="V57" i="40"/>
  <c r="W57" i="40" s="1"/>
  <c r="M59" i="40"/>
  <c r="O59" i="40"/>
  <c r="P58" i="40"/>
  <c r="K66" i="40"/>
  <c r="L66" i="40" s="1"/>
  <c r="A73" i="28"/>
  <c r="P74" i="28"/>
  <c r="V75" i="28"/>
  <c r="L75" i="28"/>
  <c r="M75" i="28" s="1"/>
  <c r="N75" i="28" s="1"/>
  <c r="O75" i="28" s="1"/>
  <c r="C84" i="28" l="1"/>
  <c r="H83" i="28"/>
  <c r="G83" i="28"/>
  <c r="K83" i="28"/>
  <c r="J83" i="28"/>
  <c r="I83" i="28"/>
  <c r="F83" i="28"/>
  <c r="E83" i="28"/>
  <c r="Q67" i="40"/>
  <c r="Y67" i="40" s="1"/>
  <c r="S66" i="40"/>
  <c r="T58" i="40"/>
  <c r="Y25" i="40"/>
  <c r="W26" i="40"/>
  <c r="T25" i="40"/>
  <c r="V58" i="40"/>
  <c r="W58" i="40" s="1"/>
  <c r="P59" i="40"/>
  <c r="M60" i="40"/>
  <c r="O60" i="40"/>
  <c r="K67" i="40"/>
  <c r="L67" i="40" s="1"/>
  <c r="A74" i="28"/>
  <c r="V76" i="28"/>
  <c r="L76" i="28"/>
  <c r="M76" i="28" s="1"/>
  <c r="N76" i="28" s="1"/>
  <c r="O76" i="28" s="1"/>
  <c r="P75" i="28"/>
  <c r="C85" i="28" l="1"/>
  <c r="I84" i="28"/>
  <c r="H84" i="28"/>
  <c r="G84" i="28"/>
  <c r="K84" i="28"/>
  <c r="F84" i="28"/>
  <c r="E84" i="28"/>
  <c r="J84" i="28"/>
  <c r="Q68" i="40"/>
  <c r="Y68" i="40" s="1"/>
  <c r="S67" i="40"/>
  <c r="T59" i="40"/>
  <c r="V59" i="40"/>
  <c r="W59" i="40" s="1"/>
  <c r="P60" i="40"/>
  <c r="M61" i="40"/>
  <c r="O61" i="40"/>
  <c r="K68" i="40"/>
  <c r="L68" i="40" s="1"/>
  <c r="A75" i="28"/>
  <c r="V77" i="28"/>
  <c r="L77" i="28"/>
  <c r="M77" i="28" s="1"/>
  <c r="N77" i="28" s="1"/>
  <c r="O77" i="28" s="1"/>
  <c r="P76" i="28"/>
  <c r="V38" i="28"/>
  <c r="C86" i="28" l="1"/>
  <c r="J85" i="28"/>
  <c r="I85" i="28"/>
  <c r="K85" i="28"/>
  <c r="F85" i="28"/>
  <c r="H85" i="28"/>
  <c r="G85" i="28"/>
  <c r="E85" i="28"/>
  <c r="Q69" i="40"/>
  <c r="Y69" i="40" s="1"/>
  <c r="S68" i="40"/>
  <c r="T60" i="40"/>
  <c r="V60" i="40"/>
  <c r="W60" i="40" s="1"/>
  <c r="P61" i="40"/>
  <c r="M62" i="40"/>
  <c r="O62" i="40"/>
  <c r="K69" i="40"/>
  <c r="L69" i="40" s="1"/>
  <c r="A76" i="28"/>
  <c r="V78" i="28"/>
  <c r="L78" i="28"/>
  <c r="M78" i="28" s="1"/>
  <c r="N78" i="28" s="1"/>
  <c r="O78" i="28" s="1"/>
  <c r="P77" i="28"/>
  <c r="C87" i="28" l="1"/>
  <c r="K86" i="28"/>
  <c r="F86" i="28"/>
  <c r="J86" i="28"/>
  <c r="I86" i="28"/>
  <c r="E86" i="28"/>
  <c r="G86" i="28"/>
  <c r="H86" i="28"/>
  <c r="Q70" i="40"/>
  <c r="Y70" i="40" s="1"/>
  <c r="S69" i="40"/>
  <c r="T61" i="40"/>
  <c r="Q26" i="40"/>
  <c r="S26" i="40" s="1"/>
  <c r="V61" i="40"/>
  <c r="W61" i="40" s="1"/>
  <c r="M63" i="40"/>
  <c r="O63" i="40"/>
  <c r="P62" i="40"/>
  <c r="K70" i="40"/>
  <c r="L70" i="40" s="1"/>
  <c r="A77" i="28"/>
  <c r="P78" i="28"/>
  <c r="V79" i="28"/>
  <c r="L79" i="28"/>
  <c r="M79" i="28" s="1"/>
  <c r="N79" i="28" s="1"/>
  <c r="O79" i="28" s="1"/>
  <c r="C88" i="28" l="1"/>
  <c r="J87" i="28"/>
  <c r="K87" i="28"/>
  <c r="H87" i="28"/>
  <c r="E87" i="28"/>
  <c r="G87" i="28"/>
  <c r="F87" i="28"/>
  <c r="I87" i="28"/>
  <c r="Q71" i="40"/>
  <c r="Y71" i="40" s="1"/>
  <c r="S70" i="40"/>
  <c r="T62" i="40"/>
  <c r="Y26" i="40"/>
  <c r="W27" i="40"/>
  <c r="T26" i="40"/>
  <c r="M64" i="40"/>
  <c r="O64" i="40"/>
  <c r="V62" i="40"/>
  <c r="W62" i="40" s="1"/>
  <c r="P63" i="40"/>
  <c r="K71" i="40"/>
  <c r="L71" i="40" s="1"/>
  <c r="A78" i="28"/>
  <c r="V39" i="28"/>
  <c r="V80" i="28"/>
  <c r="L80" i="28"/>
  <c r="M80" i="28" s="1"/>
  <c r="N80" i="28" s="1"/>
  <c r="O80" i="28" s="1"/>
  <c r="P79" i="28"/>
  <c r="C89" i="28" l="1"/>
  <c r="E88" i="28"/>
  <c r="H88" i="28"/>
  <c r="K88" i="28"/>
  <c r="J88" i="28"/>
  <c r="I88" i="28"/>
  <c r="F88" i="28"/>
  <c r="G88" i="28"/>
  <c r="Q72" i="40"/>
  <c r="Y72" i="40" s="1"/>
  <c r="S71" i="40"/>
  <c r="T63" i="40"/>
  <c r="Q27" i="40"/>
  <c r="V63" i="40"/>
  <c r="W63" i="40" s="1"/>
  <c r="M65" i="40"/>
  <c r="O65" i="40"/>
  <c r="P64" i="40"/>
  <c r="K72" i="40"/>
  <c r="L72" i="40" s="1"/>
  <c r="A79" i="28"/>
  <c r="P80" i="28"/>
  <c r="V81" i="28"/>
  <c r="L81" i="28"/>
  <c r="M81" i="28" s="1"/>
  <c r="N81" i="28" s="1"/>
  <c r="O81" i="28" s="1"/>
  <c r="C90" i="28" l="1"/>
  <c r="F89" i="28"/>
  <c r="I89" i="28"/>
  <c r="E89" i="28"/>
  <c r="H89" i="28"/>
  <c r="G89" i="28"/>
  <c r="K89" i="28"/>
  <c r="J89" i="28"/>
  <c r="Q73" i="40"/>
  <c r="Y73" i="40" s="1"/>
  <c r="S72" i="40"/>
  <c r="S27" i="40"/>
  <c r="W28" i="40" s="1"/>
  <c r="T64" i="40"/>
  <c r="Y27" i="40"/>
  <c r="V64" i="40"/>
  <c r="W64" i="40" s="1"/>
  <c r="P65" i="40"/>
  <c r="M66" i="40"/>
  <c r="O66" i="40"/>
  <c r="K73" i="40"/>
  <c r="L73" i="40" s="1"/>
  <c r="A80" i="28"/>
  <c r="V82" i="28"/>
  <c r="L82" i="28"/>
  <c r="M82" i="28" s="1"/>
  <c r="N82" i="28" s="1"/>
  <c r="O82" i="28" s="1"/>
  <c r="P81" i="28"/>
  <c r="C91" i="28" l="1"/>
  <c r="G90" i="28"/>
  <c r="I90" i="28"/>
  <c r="E90" i="28"/>
  <c r="F90" i="28"/>
  <c r="K90" i="28"/>
  <c r="J90" i="28"/>
  <c r="H90" i="28"/>
  <c r="Q74" i="40"/>
  <c r="Y74" i="40" s="1"/>
  <c r="S73" i="40"/>
  <c r="T27" i="40"/>
  <c r="T65" i="40"/>
  <c r="V65" i="40"/>
  <c r="W65" i="40" s="1"/>
  <c r="P66" i="40"/>
  <c r="M67" i="40"/>
  <c r="O67" i="40"/>
  <c r="K74" i="40"/>
  <c r="L74" i="40" s="1"/>
  <c r="A81" i="28"/>
  <c r="V40" i="28"/>
  <c r="V83" i="28"/>
  <c r="L83" i="28"/>
  <c r="M83" i="28" s="1"/>
  <c r="N83" i="28" s="1"/>
  <c r="O83" i="28" s="1"/>
  <c r="P82" i="28"/>
  <c r="C92" i="28" l="1"/>
  <c r="H91" i="28"/>
  <c r="G91" i="28"/>
  <c r="F91" i="28"/>
  <c r="K91" i="28"/>
  <c r="I91" i="28"/>
  <c r="J91" i="28"/>
  <c r="E91" i="28"/>
  <c r="Q75" i="40"/>
  <c r="Y75" i="40" s="1"/>
  <c r="S74" i="40"/>
  <c r="T66" i="40"/>
  <c r="Q28" i="40"/>
  <c r="V66" i="40"/>
  <c r="W66" i="40" s="1"/>
  <c r="P67" i="40"/>
  <c r="M68" i="40"/>
  <c r="O68" i="40"/>
  <c r="K75" i="40"/>
  <c r="L75" i="40" s="1"/>
  <c r="A82" i="28"/>
  <c r="V84" i="28"/>
  <c r="L84" i="28"/>
  <c r="M84" i="28" s="1"/>
  <c r="N84" i="28" s="1"/>
  <c r="O84" i="28" s="1"/>
  <c r="P83" i="28"/>
  <c r="C93" i="28" l="1"/>
  <c r="I92" i="28"/>
  <c r="G92" i="28"/>
  <c r="H92" i="28"/>
  <c r="K92" i="28"/>
  <c r="J92" i="28"/>
  <c r="F92" i="28"/>
  <c r="E92" i="28"/>
  <c r="Q76" i="40"/>
  <c r="Y76" i="40" s="1"/>
  <c r="S75" i="40"/>
  <c r="Y28" i="40"/>
  <c r="S28" i="40"/>
  <c r="W29" i="40" s="1"/>
  <c r="T67" i="40"/>
  <c r="V67" i="40"/>
  <c r="W67" i="40" s="1"/>
  <c r="M69" i="40"/>
  <c r="O69" i="40"/>
  <c r="P68" i="40"/>
  <c r="K76" i="40"/>
  <c r="L76" i="40" s="1"/>
  <c r="A83" i="28"/>
  <c r="P84" i="28"/>
  <c r="V85" i="28"/>
  <c r="L85" i="28"/>
  <c r="M85" i="28" s="1"/>
  <c r="N85" i="28" s="1"/>
  <c r="O85" i="28" s="1"/>
  <c r="C94" i="28" l="1"/>
  <c r="J93" i="28"/>
  <c r="I93" i="28"/>
  <c r="H93" i="28"/>
  <c r="F93" i="28"/>
  <c r="E93" i="28"/>
  <c r="K93" i="28"/>
  <c r="G93" i="28"/>
  <c r="Q77" i="40"/>
  <c r="Y77" i="40" s="1"/>
  <c r="S76" i="40"/>
  <c r="T68" i="40"/>
  <c r="T28" i="40"/>
  <c r="V68" i="40"/>
  <c r="W68" i="40" s="1"/>
  <c r="P69" i="40"/>
  <c r="M70" i="40"/>
  <c r="O70" i="40"/>
  <c r="K77" i="40"/>
  <c r="L77" i="40" s="1"/>
  <c r="A84" i="28"/>
  <c r="V41" i="28"/>
  <c r="V86" i="28"/>
  <c r="L86" i="28"/>
  <c r="M86" i="28" s="1"/>
  <c r="N86" i="28" s="1"/>
  <c r="O86" i="28" s="1"/>
  <c r="P85" i="28"/>
  <c r="C95" i="28" l="1"/>
  <c r="K94" i="28"/>
  <c r="I94" i="28"/>
  <c r="F94" i="28"/>
  <c r="J94" i="28"/>
  <c r="H94" i="28"/>
  <c r="G94" i="28"/>
  <c r="E94" i="28"/>
  <c r="Q78" i="40"/>
  <c r="Y78" i="40" s="1"/>
  <c r="S77" i="40"/>
  <c r="T69" i="40"/>
  <c r="Q29" i="40"/>
  <c r="S29" i="40" s="1"/>
  <c r="V69" i="40"/>
  <c r="W69" i="40" s="1"/>
  <c r="M71" i="40"/>
  <c r="O71" i="40"/>
  <c r="P70" i="40"/>
  <c r="K78" i="40"/>
  <c r="L78" i="40" s="1"/>
  <c r="A85" i="28"/>
  <c r="V87" i="28"/>
  <c r="L87" i="28"/>
  <c r="M87" i="28" s="1"/>
  <c r="N87" i="28" s="1"/>
  <c r="O87" i="28" s="1"/>
  <c r="P86" i="28"/>
  <c r="C96" i="28" l="1"/>
  <c r="G95" i="28"/>
  <c r="F95" i="28"/>
  <c r="K95" i="28"/>
  <c r="J95" i="28"/>
  <c r="E95" i="28"/>
  <c r="H95" i="28"/>
  <c r="I95" i="28"/>
  <c r="Q79" i="40"/>
  <c r="Y79" i="40" s="1"/>
  <c r="S78" i="40"/>
  <c r="T70" i="40"/>
  <c r="Y29" i="40"/>
  <c r="V70" i="40"/>
  <c r="W70" i="40" s="1"/>
  <c r="P71" i="40"/>
  <c r="M72" i="40"/>
  <c r="O72" i="40"/>
  <c r="K79" i="40"/>
  <c r="L79" i="40" s="1"/>
  <c r="A86" i="28"/>
  <c r="P87" i="28"/>
  <c r="V88" i="28"/>
  <c r="L88" i="28"/>
  <c r="M88" i="28" s="1"/>
  <c r="N88" i="28" s="1"/>
  <c r="O88" i="28" s="1"/>
  <c r="C97" i="28" l="1"/>
  <c r="H96" i="28"/>
  <c r="G96" i="28"/>
  <c r="F96" i="28"/>
  <c r="E96" i="28"/>
  <c r="K96" i="28"/>
  <c r="J96" i="28"/>
  <c r="I96" i="28"/>
  <c r="Q80" i="40"/>
  <c r="Y80" i="40" s="1"/>
  <c r="S79" i="40"/>
  <c r="T71" i="40"/>
  <c r="T29" i="40"/>
  <c r="W30" i="40"/>
  <c r="Q30" i="40"/>
  <c r="S30" i="40" s="1"/>
  <c r="M73" i="40"/>
  <c r="O73" i="40"/>
  <c r="P72" i="40"/>
  <c r="V71" i="40"/>
  <c r="W71" i="40" s="1"/>
  <c r="K80" i="40"/>
  <c r="L80" i="40" s="1"/>
  <c r="A87" i="28"/>
  <c r="V42" i="28"/>
  <c r="V89" i="28"/>
  <c r="L89" i="28"/>
  <c r="M89" i="28" s="1"/>
  <c r="N89" i="28" s="1"/>
  <c r="O89" i="28" s="1"/>
  <c r="P88" i="28"/>
  <c r="C98" i="28" l="1"/>
  <c r="I97" i="28"/>
  <c r="F97" i="28"/>
  <c r="H97" i="28"/>
  <c r="K97" i="28"/>
  <c r="G97" i="28"/>
  <c r="J97" i="28"/>
  <c r="E97" i="28"/>
  <c r="Q81" i="40"/>
  <c r="Y81" i="40" s="1"/>
  <c r="S80" i="40"/>
  <c r="T72" i="40"/>
  <c r="Y30" i="40"/>
  <c r="W31" i="40"/>
  <c r="V72" i="40"/>
  <c r="W72" i="40" s="1"/>
  <c r="P73" i="40"/>
  <c r="M74" i="40"/>
  <c r="O74" i="40"/>
  <c r="K81" i="40"/>
  <c r="L81" i="40" s="1"/>
  <c r="A88" i="28"/>
  <c r="P89" i="28"/>
  <c r="V90" i="28"/>
  <c r="L90" i="28"/>
  <c r="M90" i="28" s="1"/>
  <c r="N90" i="28" s="1"/>
  <c r="O90" i="28" s="1"/>
  <c r="C99" i="28" l="1"/>
  <c r="J98" i="28"/>
  <c r="K98" i="28"/>
  <c r="I98" i="28"/>
  <c r="G98" i="28"/>
  <c r="E98" i="28"/>
  <c r="H98" i="28"/>
  <c r="F98" i="28"/>
  <c r="Q82" i="40"/>
  <c r="Y82" i="40" s="1"/>
  <c r="Q36" i="40"/>
  <c r="V50" i="28"/>
  <c r="S81" i="40"/>
  <c r="T73" i="40"/>
  <c r="T30" i="40"/>
  <c r="V73" i="40"/>
  <c r="W73" i="40" s="1"/>
  <c r="M75" i="40"/>
  <c r="O75" i="40"/>
  <c r="P74" i="40"/>
  <c r="K82" i="40"/>
  <c r="L82" i="40" s="1"/>
  <c r="A89" i="28"/>
  <c r="V91" i="28"/>
  <c r="L91" i="28"/>
  <c r="M91" i="28" s="1"/>
  <c r="N91" i="28" s="1"/>
  <c r="O91" i="28" s="1"/>
  <c r="V43" i="28"/>
  <c r="P90" i="28"/>
  <c r="C100" i="28" l="1"/>
  <c r="K99" i="28"/>
  <c r="H99" i="28"/>
  <c r="J99" i="28"/>
  <c r="G99" i="28"/>
  <c r="F99" i="28"/>
  <c r="I99" i="28"/>
  <c r="E99" i="28"/>
  <c r="Q83" i="40"/>
  <c r="Y83" i="40" s="1"/>
  <c r="Y36" i="40"/>
  <c r="S36" i="40"/>
  <c r="S82" i="40"/>
  <c r="T74" i="40"/>
  <c r="Q31" i="40"/>
  <c r="S31" i="40" s="1"/>
  <c r="M76" i="40"/>
  <c r="O76" i="40"/>
  <c r="P75" i="40"/>
  <c r="V74" i="40"/>
  <c r="W74" i="40" s="1"/>
  <c r="K83" i="40"/>
  <c r="L83" i="40" s="1"/>
  <c r="A90" i="28"/>
  <c r="V92" i="28"/>
  <c r="L92" i="28"/>
  <c r="M92" i="28" s="1"/>
  <c r="N92" i="28" s="1"/>
  <c r="O92" i="28" s="1"/>
  <c r="P91" i="28"/>
  <c r="C101" i="28" l="1"/>
  <c r="K100" i="28"/>
  <c r="H100" i="28"/>
  <c r="J100" i="28"/>
  <c r="I100" i="28"/>
  <c r="E100" i="28"/>
  <c r="F100" i="28"/>
  <c r="G100" i="28"/>
  <c r="Q84" i="40"/>
  <c r="Y84" i="40" s="1"/>
  <c r="S83" i="40"/>
  <c r="T75" i="40"/>
  <c r="Y31" i="40"/>
  <c r="V75" i="40"/>
  <c r="W75" i="40" s="1"/>
  <c r="M77" i="40"/>
  <c r="O77" i="40"/>
  <c r="P76" i="40"/>
  <c r="K84" i="40"/>
  <c r="L84" i="40" s="1"/>
  <c r="A91" i="28"/>
  <c r="V93" i="28"/>
  <c r="L93" i="28"/>
  <c r="M93" i="28" s="1"/>
  <c r="N93" i="28" s="1"/>
  <c r="O93" i="28" s="1"/>
  <c r="P92" i="28"/>
  <c r="C102" i="28" l="1"/>
  <c r="E101" i="28"/>
  <c r="G101" i="28"/>
  <c r="K101" i="28"/>
  <c r="J101" i="28"/>
  <c r="I101" i="28"/>
  <c r="H101" i="28"/>
  <c r="F101" i="28"/>
  <c r="Q85" i="40"/>
  <c r="Y85" i="40" s="1"/>
  <c r="Q37" i="40"/>
  <c r="V51" i="28"/>
  <c r="S84" i="40"/>
  <c r="T76" i="40"/>
  <c r="W32" i="40"/>
  <c r="T31" i="40"/>
  <c r="V76" i="40"/>
  <c r="W76" i="40" s="1"/>
  <c r="M78" i="40"/>
  <c r="O78" i="40"/>
  <c r="P77" i="40"/>
  <c r="K85" i="40"/>
  <c r="L85" i="40" s="1"/>
  <c r="A92" i="28"/>
  <c r="V44" i="28"/>
  <c r="V94" i="28"/>
  <c r="L94" i="28"/>
  <c r="M94" i="28" s="1"/>
  <c r="N94" i="28" s="1"/>
  <c r="O94" i="28" s="1"/>
  <c r="P93" i="28"/>
  <c r="C103" i="28" l="1"/>
  <c r="F102" i="28"/>
  <c r="E102" i="28"/>
  <c r="H102" i="28"/>
  <c r="G102" i="28"/>
  <c r="I102" i="28"/>
  <c r="K102" i="28"/>
  <c r="J102" i="28"/>
  <c r="Q86" i="40"/>
  <c r="Y86" i="40" s="1"/>
  <c r="Y37" i="40"/>
  <c r="S37" i="40"/>
  <c r="S85" i="40"/>
  <c r="T77" i="40"/>
  <c r="Q32" i="40"/>
  <c r="S32" i="40" s="1"/>
  <c r="V77" i="40"/>
  <c r="W77" i="40" s="1"/>
  <c r="P78" i="40"/>
  <c r="M79" i="40"/>
  <c r="O79" i="40"/>
  <c r="K86" i="40"/>
  <c r="L86" i="40" s="1"/>
  <c r="A93" i="28"/>
  <c r="V95" i="28"/>
  <c r="L95" i="28"/>
  <c r="M95" i="28" s="1"/>
  <c r="N95" i="28" s="1"/>
  <c r="O95" i="28" s="1"/>
  <c r="P94" i="28"/>
  <c r="C104" i="28" l="1"/>
  <c r="G103" i="28"/>
  <c r="F103" i="28"/>
  <c r="K103" i="28"/>
  <c r="I103" i="28"/>
  <c r="J103" i="28"/>
  <c r="H103" i="28"/>
  <c r="E103" i="28"/>
  <c r="Q87" i="40"/>
  <c r="Y87" i="40" s="1"/>
  <c r="S86" i="40"/>
  <c r="T78" i="40"/>
  <c r="Y32" i="40"/>
  <c r="V78" i="40"/>
  <c r="W78" i="40" s="1"/>
  <c r="M80" i="40"/>
  <c r="O80" i="40"/>
  <c r="P79" i="40"/>
  <c r="K87" i="40"/>
  <c r="L87" i="40" s="1"/>
  <c r="A94" i="28"/>
  <c r="P95" i="28"/>
  <c r="V96" i="28"/>
  <c r="L96" i="28"/>
  <c r="M96" i="28" s="1"/>
  <c r="N96" i="28" s="1"/>
  <c r="O96" i="28" s="1"/>
  <c r="C105" i="28" l="1"/>
  <c r="H104" i="28"/>
  <c r="G104" i="28"/>
  <c r="J104" i="28"/>
  <c r="I104" i="28"/>
  <c r="F104" i="28"/>
  <c r="E104" i="28"/>
  <c r="K104" i="28"/>
  <c r="Q88" i="40"/>
  <c r="Y88" i="40" s="1"/>
  <c r="Q38" i="40"/>
  <c r="V52" i="28"/>
  <c r="S87" i="40"/>
  <c r="T79" i="40"/>
  <c r="W33" i="40"/>
  <c r="T32" i="40"/>
  <c r="V79" i="40"/>
  <c r="W79" i="40" s="1"/>
  <c r="P80" i="40"/>
  <c r="M81" i="40"/>
  <c r="O81" i="40"/>
  <c r="K88" i="40"/>
  <c r="L88" i="40" s="1"/>
  <c r="A95" i="28"/>
  <c r="V45" i="28"/>
  <c r="V97" i="28"/>
  <c r="L97" i="28"/>
  <c r="M97" i="28" s="1"/>
  <c r="N97" i="28" s="1"/>
  <c r="O97" i="28" s="1"/>
  <c r="P96" i="28"/>
  <c r="C106" i="28" l="1"/>
  <c r="I105" i="28"/>
  <c r="H105" i="28"/>
  <c r="K105" i="28"/>
  <c r="G105" i="28"/>
  <c r="F105" i="28"/>
  <c r="E105" i="28"/>
  <c r="J105" i="28"/>
  <c r="Q89" i="40"/>
  <c r="Y89" i="40" s="1"/>
  <c r="Y38" i="40"/>
  <c r="S38" i="40"/>
  <c r="S88" i="40"/>
  <c r="T80" i="40"/>
  <c r="Q33" i="40"/>
  <c r="S33" i="40" s="1"/>
  <c r="V80" i="40"/>
  <c r="W80" i="40" s="1"/>
  <c r="M82" i="40"/>
  <c r="O82" i="40"/>
  <c r="P81" i="40"/>
  <c r="K89" i="40"/>
  <c r="L89" i="40" s="1"/>
  <c r="A96" i="28"/>
  <c r="V98" i="28"/>
  <c r="L98" i="28"/>
  <c r="M98" i="28" s="1"/>
  <c r="N98" i="28" s="1"/>
  <c r="O98" i="28" s="1"/>
  <c r="P97" i="28"/>
  <c r="C107" i="28" l="1"/>
  <c r="J106" i="28"/>
  <c r="F106" i="28"/>
  <c r="I106" i="28"/>
  <c r="H106" i="28"/>
  <c r="K106" i="28"/>
  <c r="G106" i="28"/>
  <c r="E106" i="28"/>
  <c r="Q90" i="40"/>
  <c r="Y90" i="40" s="1"/>
  <c r="S89" i="40"/>
  <c r="T81" i="40"/>
  <c r="Y33" i="40"/>
  <c r="V81" i="40"/>
  <c r="W81" i="40" s="1"/>
  <c r="P82" i="40"/>
  <c r="M83" i="40"/>
  <c r="O83" i="40"/>
  <c r="K90" i="40"/>
  <c r="L90" i="40" s="1"/>
  <c r="A97" i="28"/>
  <c r="V99" i="28"/>
  <c r="L99" i="28"/>
  <c r="M99" i="28" s="1"/>
  <c r="N99" i="28" s="1"/>
  <c r="O99" i="28" s="1"/>
  <c r="P98" i="28"/>
  <c r="C108" i="28" l="1"/>
  <c r="K107" i="28"/>
  <c r="I107" i="28"/>
  <c r="J107" i="28"/>
  <c r="G107" i="28"/>
  <c r="E107" i="28"/>
  <c r="H107" i="28"/>
  <c r="F107" i="28"/>
  <c r="Q91" i="40"/>
  <c r="Y91" i="40" s="1"/>
  <c r="Q39" i="40"/>
  <c r="V53" i="28"/>
  <c r="S90" i="40"/>
  <c r="T82" i="40"/>
  <c r="T33" i="40"/>
  <c r="W34" i="40"/>
  <c r="V82" i="40"/>
  <c r="W82" i="40" s="1"/>
  <c r="M84" i="40"/>
  <c r="O84" i="40"/>
  <c r="P83" i="40"/>
  <c r="K91" i="40"/>
  <c r="L91" i="40" s="1"/>
  <c r="A98" i="28"/>
  <c r="V46" i="28"/>
  <c r="V100" i="28"/>
  <c r="L100" i="28"/>
  <c r="M100" i="28" s="1"/>
  <c r="N100" i="28" s="1"/>
  <c r="O100" i="28" s="1"/>
  <c r="P99" i="28"/>
  <c r="C109" i="28" l="1"/>
  <c r="K108" i="28"/>
  <c r="J108" i="28"/>
  <c r="H108" i="28"/>
  <c r="E108" i="28"/>
  <c r="G108" i="28"/>
  <c r="F108" i="28"/>
  <c r="I108" i="28"/>
  <c r="Q92" i="40"/>
  <c r="Y92" i="40" s="1"/>
  <c r="Y39" i="40"/>
  <c r="S39" i="40"/>
  <c r="S91" i="40"/>
  <c r="T83" i="40"/>
  <c r="Q34" i="40"/>
  <c r="S34" i="40" s="1"/>
  <c r="P84" i="40"/>
  <c r="M85" i="40"/>
  <c r="O85" i="40"/>
  <c r="V83" i="40"/>
  <c r="W83" i="40" s="1"/>
  <c r="K92" i="40"/>
  <c r="L92" i="40" s="1"/>
  <c r="A99" i="28"/>
  <c r="P100" i="28"/>
  <c r="V101" i="28"/>
  <c r="L101" i="28"/>
  <c r="M101" i="28" s="1"/>
  <c r="N101" i="28" s="1"/>
  <c r="O101" i="28" s="1"/>
  <c r="C110" i="28" l="1"/>
  <c r="E109" i="28"/>
  <c r="F109" i="28"/>
  <c r="K109" i="28"/>
  <c r="I109" i="28"/>
  <c r="J109" i="28"/>
  <c r="G109" i="28"/>
  <c r="H109" i="28"/>
  <c r="Q93" i="40"/>
  <c r="Y93" i="40" s="1"/>
  <c r="S92" i="40"/>
  <c r="T84" i="40"/>
  <c r="Y34" i="40"/>
  <c r="V84" i="40"/>
  <c r="W84" i="40" s="1"/>
  <c r="M86" i="40"/>
  <c r="O86" i="40"/>
  <c r="P85" i="40"/>
  <c r="K93" i="40"/>
  <c r="L93" i="40" s="1"/>
  <c r="A100" i="28"/>
  <c r="V102" i="28"/>
  <c r="L102" i="28"/>
  <c r="M102" i="28" s="1"/>
  <c r="N102" i="28" s="1"/>
  <c r="O102" i="28" s="1"/>
  <c r="P101" i="28"/>
  <c r="C111" i="28" l="1"/>
  <c r="F110" i="28"/>
  <c r="E110" i="28"/>
  <c r="H110" i="28"/>
  <c r="I110" i="28"/>
  <c r="G110" i="28"/>
  <c r="J110" i="28"/>
  <c r="K110" i="28"/>
  <c r="Q94" i="40"/>
  <c r="Y94" i="40" s="1"/>
  <c r="Q40" i="40"/>
  <c r="V54" i="28"/>
  <c r="S93" i="40"/>
  <c r="T85" i="40"/>
  <c r="W35" i="40"/>
  <c r="T34" i="40"/>
  <c r="V85" i="40"/>
  <c r="W85" i="40" s="1"/>
  <c r="P86" i="40"/>
  <c r="M87" i="40"/>
  <c r="O87" i="40"/>
  <c r="K94" i="40"/>
  <c r="L94" i="40" s="1"/>
  <c r="A101" i="28"/>
  <c r="V47" i="28"/>
  <c r="P102" i="28"/>
  <c r="V103" i="28"/>
  <c r="L103" i="28"/>
  <c r="M103" i="28" s="1"/>
  <c r="N103" i="28" s="1"/>
  <c r="O103" i="28" s="1"/>
  <c r="C112" i="28" l="1"/>
  <c r="G111" i="28"/>
  <c r="F111" i="28"/>
  <c r="K111" i="28"/>
  <c r="I111" i="28"/>
  <c r="H111" i="28"/>
  <c r="E111" i="28"/>
  <c r="J111" i="28"/>
  <c r="Q95" i="40"/>
  <c r="Y95" i="40" s="1"/>
  <c r="Y40" i="40"/>
  <c r="S40" i="40"/>
  <c r="S94" i="40"/>
  <c r="T86" i="40"/>
  <c r="Q35" i="40"/>
  <c r="S35" i="40" s="1"/>
  <c r="V86" i="40"/>
  <c r="W86" i="40" s="1"/>
  <c r="M88" i="40"/>
  <c r="O88" i="40"/>
  <c r="P87" i="40"/>
  <c r="K95" i="40"/>
  <c r="L95" i="40" s="1"/>
  <c r="A102" i="28"/>
  <c r="P103" i="28"/>
  <c r="V104" i="28"/>
  <c r="L104" i="28"/>
  <c r="M104" i="28" s="1"/>
  <c r="N104" i="28" s="1"/>
  <c r="O104" i="28" s="1"/>
  <c r="C113" i="28" l="1"/>
  <c r="H112" i="28"/>
  <c r="G112" i="28"/>
  <c r="J112" i="28"/>
  <c r="F112" i="28"/>
  <c r="K112" i="28"/>
  <c r="I112" i="28"/>
  <c r="E112" i="28"/>
  <c r="Q96" i="40"/>
  <c r="Y96" i="40" s="1"/>
  <c r="Q41" i="40"/>
  <c r="V55" i="28"/>
  <c r="W42" i="40"/>
  <c r="W43" i="40"/>
  <c r="W44" i="40"/>
  <c r="W45" i="40"/>
  <c r="W46" i="40"/>
  <c r="W47" i="40"/>
  <c r="W36" i="40"/>
  <c r="W37" i="40"/>
  <c r="W38" i="40"/>
  <c r="W40" i="40"/>
  <c r="W41" i="40"/>
  <c r="W39" i="40"/>
  <c r="S95" i="40"/>
  <c r="T87" i="40"/>
  <c r="Y35" i="40"/>
  <c r="T35" i="40"/>
  <c r="T36" i="40" s="1"/>
  <c r="T37" i="40" s="1"/>
  <c r="T38" i="40" s="1"/>
  <c r="T39" i="40" s="1"/>
  <c r="T40" i="40" s="1"/>
  <c r="V87" i="40"/>
  <c r="W87" i="40" s="1"/>
  <c r="M89" i="40"/>
  <c r="O89" i="40"/>
  <c r="P88" i="40"/>
  <c r="K96" i="40"/>
  <c r="L96" i="40" s="1"/>
  <c r="A103" i="28"/>
  <c r="V105" i="28"/>
  <c r="L105" i="28"/>
  <c r="M105" i="28" s="1"/>
  <c r="N105" i="28" s="1"/>
  <c r="O105" i="28" s="1"/>
  <c r="P104" i="28"/>
  <c r="C114" i="28" l="1"/>
  <c r="I113" i="28"/>
  <c r="K113" i="28"/>
  <c r="H113" i="28"/>
  <c r="G113" i="28"/>
  <c r="E113" i="28"/>
  <c r="J113" i="28"/>
  <c r="F113" i="28"/>
  <c r="Q97" i="40"/>
  <c r="Y97" i="40" s="1"/>
  <c r="Y41" i="40"/>
  <c r="S41" i="40"/>
  <c r="T41" i="40" s="1"/>
  <c r="T42" i="40" s="1"/>
  <c r="T43" i="40" s="1"/>
  <c r="T44" i="40" s="1"/>
  <c r="T45" i="40" s="1"/>
  <c r="T46" i="40" s="1"/>
  <c r="T47" i="40" s="1"/>
  <c r="S96" i="40"/>
  <c r="T88" i="40"/>
  <c r="V88" i="40"/>
  <c r="W88" i="40" s="1"/>
  <c r="P89" i="40"/>
  <c r="M90" i="40"/>
  <c r="O90" i="40"/>
  <c r="K97" i="40"/>
  <c r="L97" i="40" s="1"/>
  <c r="A104" i="28"/>
  <c r="V48" i="28"/>
  <c r="P105" i="28"/>
  <c r="V106" i="28"/>
  <c r="L106" i="28"/>
  <c r="M106" i="28" s="1"/>
  <c r="N106" i="28" s="1"/>
  <c r="O106" i="28" s="1"/>
  <c r="C115" i="28" l="1"/>
  <c r="J114" i="28"/>
  <c r="I114" i="28"/>
  <c r="F114" i="28"/>
  <c r="H114" i="28"/>
  <c r="G114" i="28"/>
  <c r="E114" i="28"/>
  <c r="K114" i="28"/>
  <c r="Q98" i="40"/>
  <c r="Y98" i="40" s="1"/>
  <c r="S97" i="40"/>
  <c r="T89" i="40"/>
  <c r="V89" i="40"/>
  <c r="W89" i="40" s="1"/>
  <c r="M91" i="40"/>
  <c r="O91" i="40"/>
  <c r="P90" i="40"/>
  <c r="K98" i="40"/>
  <c r="L98" i="40" s="1"/>
  <c r="A105" i="28"/>
  <c r="V107" i="28"/>
  <c r="L107" i="28"/>
  <c r="M107" i="28" s="1"/>
  <c r="N107" i="28" s="1"/>
  <c r="O107" i="28" s="1"/>
  <c r="P106" i="28"/>
  <c r="C116" i="28" l="1"/>
  <c r="K115" i="28"/>
  <c r="E115" i="28"/>
  <c r="J115" i="28"/>
  <c r="I115" i="28"/>
  <c r="G115" i="28"/>
  <c r="H115" i="28"/>
  <c r="F115" i="28"/>
  <c r="Q99" i="40"/>
  <c r="Y99" i="40" s="1"/>
  <c r="S98" i="40"/>
  <c r="T90" i="40"/>
  <c r="P91" i="40"/>
  <c r="M92" i="40"/>
  <c r="O92" i="40"/>
  <c r="V90" i="40"/>
  <c r="W90" i="40" s="1"/>
  <c r="A106" i="28"/>
  <c r="K99" i="40"/>
  <c r="L99" i="40" s="1"/>
  <c r="V108" i="28"/>
  <c r="L108" i="28"/>
  <c r="M108" i="28" s="1"/>
  <c r="N108" i="28" s="1"/>
  <c r="O108" i="28" s="1"/>
  <c r="P107" i="28"/>
  <c r="C117" i="28" l="1"/>
  <c r="K116" i="28"/>
  <c r="H116" i="28"/>
  <c r="G116" i="28"/>
  <c r="F116" i="28"/>
  <c r="E116" i="28"/>
  <c r="J116" i="28"/>
  <c r="I116" i="28"/>
  <c r="Q100" i="40"/>
  <c r="Y100" i="40" s="1"/>
  <c r="S99" i="40"/>
  <c r="T91" i="40"/>
  <c r="V91" i="40"/>
  <c r="W91" i="40" s="1"/>
  <c r="P92" i="40"/>
  <c r="M93" i="40"/>
  <c r="O93" i="40"/>
  <c r="K100" i="40"/>
  <c r="L100" i="40" s="1"/>
  <c r="A107" i="28"/>
  <c r="V49" i="28"/>
  <c r="V109" i="28"/>
  <c r="L109" i="28"/>
  <c r="M109" i="28" s="1"/>
  <c r="N109" i="28" s="1"/>
  <c r="O109" i="28" s="1"/>
  <c r="P108" i="28"/>
  <c r="C118" i="28" l="1"/>
  <c r="E117" i="28"/>
  <c r="F117" i="28"/>
  <c r="K117" i="28"/>
  <c r="J117" i="28"/>
  <c r="I117" i="28"/>
  <c r="G117" i="28"/>
  <c r="H117" i="28"/>
  <c r="Q101" i="40"/>
  <c r="Y101" i="40" s="1"/>
  <c r="S100" i="40"/>
  <c r="T92" i="40"/>
  <c r="V92" i="40"/>
  <c r="W92" i="40" s="1"/>
  <c r="P93" i="40"/>
  <c r="M94" i="40"/>
  <c r="O94" i="40"/>
  <c r="K101" i="40"/>
  <c r="L101" i="40" s="1"/>
  <c r="A108" i="28"/>
  <c r="V110" i="28"/>
  <c r="L110" i="28"/>
  <c r="M110" i="28" s="1"/>
  <c r="N110" i="28" s="1"/>
  <c r="O110" i="28" s="1"/>
  <c r="P109" i="28"/>
  <c r="C119" i="28" l="1"/>
  <c r="F118" i="28"/>
  <c r="E118" i="28"/>
  <c r="I118" i="28"/>
  <c r="H118" i="28"/>
  <c r="K118" i="28"/>
  <c r="J118" i="28"/>
  <c r="G118" i="28"/>
  <c r="Q102" i="40"/>
  <c r="Y102" i="40" s="1"/>
  <c r="S101" i="40"/>
  <c r="T93" i="40"/>
  <c r="V93" i="40"/>
  <c r="W93" i="40" s="1"/>
  <c r="P94" i="40"/>
  <c r="M95" i="40"/>
  <c r="O95" i="40"/>
  <c r="K102" i="40"/>
  <c r="L102" i="40" s="1"/>
  <c r="A109" i="28"/>
  <c r="P110" i="28"/>
  <c r="V111" i="28"/>
  <c r="L111" i="28"/>
  <c r="M111" i="28" s="1"/>
  <c r="N111" i="28" s="1"/>
  <c r="O111" i="28" s="1"/>
  <c r="C120" i="28" l="1"/>
  <c r="G119" i="28"/>
  <c r="F119" i="28"/>
  <c r="I119" i="28"/>
  <c r="H119" i="28"/>
  <c r="E119" i="28"/>
  <c r="K119" i="28"/>
  <c r="J119" i="28"/>
  <c r="Q103" i="40"/>
  <c r="Y103" i="40" s="1"/>
  <c r="S102" i="40"/>
  <c r="T94" i="40"/>
  <c r="V94" i="40"/>
  <c r="W94" i="40" s="1"/>
  <c r="P95" i="40"/>
  <c r="M96" i="40"/>
  <c r="O96" i="40"/>
  <c r="K103" i="40"/>
  <c r="L103" i="40" s="1"/>
  <c r="A110" i="28"/>
  <c r="V112" i="28"/>
  <c r="L112" i="28"/>
  <c r="M112" i="28" s="1"/>
  <c r="N112" i="28" s="1"/>
  <c r="O112" i="28" s="1"/>
  <c r="P111" i="28"/>
  <c r="C121" i="28" l="1"/>
  <c r="H120" i="28"/>
  <c r="G120" i="28"/>
  <c r="E120" i="28"/>
  <c r="K120" i="28"/>
  <c r="J120" i="28"/>
  <c r="F120" i="28"/>
  <c r="I120" i="28"/>
  <c r="Q104" i="40"/>
  <c r="Y104" i="40" s="1"/>
  <c r="S103" i="40"/>
  <c r="T95" i="40"/>
  <c r="V95" i="40"/>
  <c r="W95" i="40" s="1"/>
  <c r="P96" i="40"/>
  <c r="M97" i="40"/>
  <c r="O97" i="40"/>
  <c r="K104" i="40"/>
  <c r="L104" i="40" s="1"/>
  <c r="A111" i="28"/>
  <c r="P112" i="28"/>
  <c r="V113" i="28"/>
  <c r="L113" i="28"/>
  <c r="M113" i="28" s="1"/>
  <c r="N113" i="28" s="1"/>
  <c r="O113" i="28" s="1"/>
  <c r="C122" i="28" l="1"/>
  <c r="I121" i="28"/>
  <c r="H121" i="28"/>
  <c r="J121" i="28"/>
  <c r="G121" i="28"/>
  <c r="E121" i="28"/>
  <c r="K121" i="28"/>
  <c r="F121" i="28"/>
  <c r="Q105" i="40"/>
  <c r="Y105" i="40" s="1"/>
  <c r="S104" i="40"/>
  <c r="T96" i="40"/>
  <c r="V96" i="40"/>
  <c r="W96" i="40" s="1"/>
  <c r="P97" i="40"/>
  <c r="M98" i="40"/>
  <c r="O98" i="40"/>
  <c r="K105" i="40"/>
  <c r="L105" i="40" s="1"/>
  <c r="A112" i="28"/>
  <c r="V114" i="28"/>
  <c r="L114" i="28"/>
  <c r="M114" i="28" s="1"/>
  <c r="N114" i="28" s="1"/>
  <c r="O114" i="28" s="1"/>
  <c r="P113" i="28"/>
  <c r="C123" i="28" l="1"/>
  <c r="J122" i="28"/>
  <c r="I122" i="28"/>
  <c r="H122" i="28"/>
  <c r="E122" i="28"/>
  <c r="G122" i="28"/>
  <c r="F122" i="28"/>
  <c r="K122" i="28"/>
  <c r="Q106" i="40"/>
  <c r="Y106" i="40" s="1"/>
  <c r="S105" i="40"/>
  <c r="T97" i="40"/>
  <c r="V97" i="40"/>
  <c r="W97" i="40" s="1"/>
  <c r="P98" i="40"/>
  <c r="M99" i="40"/>
  <c r="O99" i="40"/>
  <c r="K106" i="40"/>
  <c r="L106" i="40" s="1"/>
  <c r="A113" i="28"/>
  <c r="V115" i="28"/>
  <c r="L115" i="28"/>
  <c r="M115" i="28" s="1"/>
  <c r="N115" i="28" s="1"/>
  <c r="O115" i="28" s="1"/>
  <c r="P114" i="28"/>
  <c r="C124" i="28" l="1"/>
  <c r="K123" i="28"/>
  <c r="H123" i="28"/>
  <c r="J123" i="28"/>
  <c r="F123" i="28"/>
  <c r="I123" i="28"/>
  <c r="G123" i="28"/>
  <c r="E123" i="28"/>
  <c r="Q107" i="40"/>
  <c r="Y107" i="40" s="1"/>
  <c r="S106" i="40"/>
  <c r="T98" i="40"/>
  <c r="V98" i="40"/>
  <c r="W98" i="40" s="1"/>
  <c r="P99" i="40"/>
  <c r="M100" i="40"/>
  <c r="O100" i="40"/>
  <c r="K107" i="40"/>
  <c r="L107" i="40" s="1"/>
  <c r="A114" i="28"/>
  <c r="V116" i="28"/>
  <c r="L116" i="28"/>
  <c r="M116" i="28" s="1"/>
  <c r="N116" i="28" s="1"/>
  <c r="O116" i="28" s="1"/>
  <c r="P115" i="28"/>
  <c r="C125" i="28" l="1"/>
  <c r="K124" i="28"/>
  <c r="J124" i="28"/>
  <c r="G124" i="28"/>
  <c r="I124" i="28"/>
  <c r="H124" i="28"/>
  <c r="F124" i="28"/>
  <c r="E124" i="28"/>
  <c r="Q108" i="40"/>
  <c r="Y108" i="40" s="1"/>
  <c r="S107" i="40"/>
  <c r="T99" i="40"/>
  <c r="V99" i="40"/>
  <c r="W99" i="40" s="1"/>
  <c r="P100" i="40"/>
  <c r="M101" i="40"/>
  <c r="O101" i="40"/>
  <c r="K108" i="40"/>
  <c r="L108" i="40" s="1"/>
  <c r="A115" i="28"/>
  <c r="V117" i="28"/>
  <c r="L117" i="28"/>
  <c r="M117" i="28" s="1"/>
  <c r="N117" i="28" s="1"/>
  <c r="O117" i="28" s="1"/>
  <c r="P116" i="28"/>
  <c r="C126" i="28" l="1"/>
  <c r="E125" i="28"/>
  <c r="F125" i="28"/>
  <c r="K125" i="28"/>
  <c r="H125" i="28"/>
  <c r="G125" i="28"/>
  <c r="J125" i="28"/>
  <c r="I125" i="28"/>
  <c r="Q109" i="40"/>
  <c r="Y109" i="40" s="1"/>
  <c r="S108" i="40"/>
  <c r="T100" i="40"/>
  <c r="V100" i="40"/>
  <c r="W100" i="40" s="1"/>
  <c r="P101" i="40"/>
  <c r="M102" i="40"/>
  <c r="O102" i="40"/>
  <c r="K109" i="40"/>
  <c r="L109" i="40" s="1"/>
  <c r="A116" i="28"/>
  <c r="P117" i="28"/>
  <c r="V118" i="28"/>
  <c r="L118" i="28"/>
  <c r="M118" i="28" s="1"/>
  <c r="N118" i="28" s="1"/>
  <c r="O118" i="28" s="1"/>
  <c r="C127" i="28" l="1"/>
  <c r="F126" i="28"/>
  <c r="E126" i="28"/>
  <c r="I126" i="28"/>
  <c r="G126" i="28"/>
  <c r="K126" i="28"/>
  <c r="J126" i="28"/>
  <c r="H126" i="28"/>
  <c r="Q110" i="40"/>
  <c r="Y110" i="40" s="1"/>
  <c r="S109" i="40"/>
  <c r="T101" i="40"/>
  <c r="V101" i="40"/>
  <c r="W101" i="40" s="1"/>
  <c r="P102" i="40"/>
  <c r="M103" i="40"/>
  <c r="O103" i="40"/>
  <c r="K110" i="40"/>
  <c r="L110" i="40" s="1"/>
  <c r="A117" i="28"/>
  <c r="P118" i="28"/>
  <c r="V119" i="28"/>
  <c r="L119" i="28"/>
  <c r="M119" i="28" s="1"/>
  <c r="N119" i="28" s="1"/>
  <c r="O119" i="28" s="1"/>
  <c r="C128" i="28" l="1"/>
  <c r="G127" i="28"/>
  <c r="F127" i="28"/>
  <c r="J127" i="28"/>
  <c r="I127" i="28"/>
  <c r="H127" i="28"/>
  <c r="E127" i="28"/>
  <c r="K127" i="28"/>
  <c r="Q111" i="40"/>
  <c r="Y111" i="40" s="1"/>
  <c r="S110" i="40"/>
  <c r="T102" i="40"/>
  <c r="V102" i="40"/>
  <c r="W102" i="40" s="1"/>
  <c r="P103" i="40"/>
  <c r="M104" i="40"/>
  <c r="O104" i="40"/>
  <c r="K111" i="40"/>
  <c r="L111" i="40" s="1"/>
  <c r="A118" i="28"/>
  <c r="P119" i="28"/>
  <c r="V120" i="28"/>
  <c r="L120" i="28"/>
  <c r="M120" i="28" s="1"/>
  <c r="N120" i="28" s="1"/>
  <c r="O120" i="28" s="1"/>
  <c r="C129" i="28" l="1"/>
  <c r="H128" i="28"/>
  <c r="F128" i="28"/>
  <c r="G128" i="28"/>
  <c r="K128" i="28"/>
  <c r="J128" i="28"/>
  <c r="I128" i="28"/>
  <c r="E128" i="28"/>
  <c r="Q112" i="40"/>
  <c r="Y112" i="40" s="1"/>
  <c r="S111" i="40"/>
  <c r="T103" i="40"/>
  <c r="V103" i="40"/>
  <c r="W103" i="40" s="1"/>
  <c r="M105" i="40"/>
  <c r="O105" i="40"/>
  <c r="P104" i="40"/>
  <c r="K112" i="40"/>
  <c r="L112" i="40" s="1"/>
  <c r="A119" i="28"/>
  <c r="P120" i="28"/>
  <c r="V121" i="28"/>
  <c r="L121" i="28"/>
  <c r="M121" i="28" s="1"/>
  <c r="N121" i="28" s="1"/>
  <c r="O121" i="28" s="1"/>
  <c r="C130" i="28" l="1"/>
  <c r="I129" i="28"/>
  <c r="H129" i="28"/>
  <c r="F129" i="28"/>
  <c r="E129" i="28"/>
  <c r="J129" i="28"/>
  <c r="K129" i="28"/>
  <c r="G129" i="28"/>
  <c r="Q113" i="40"/>
  <c r="Y113" i="40" s="1"/>
  <c r="S112" i="40"/>
  <c r="T104" i="40"/>
  <c r="V104" i="40"/>
  <c r="W104" i="40" s="1"/>
  <c r="P105" i="40"/>
  <c r="M106" i="40"/>
  <c r="O106" i="40"/>
  <c r="K113" i="40"/>
  <c r="L113" i="40" s="1"/>
  <c r="A120" i="28"/>
  <c r="P121" i="28"/>
  <c r="V122" i="28"/>
  <c r="L122" i="28"/>
  <c r="M122" i="28" s="1"/>
  <c r="N122" i="28" s="1"/>
  <c r="O122" i="28" s="1"/>
  <c r="C131" i="28" l="1"/>
  <c r="J130" i="28"/>
  <c r="I130" i="28"/>
  <c r="K130" i="28"/>
  <c r="H130" i="28"/>
  <c r="G130" i="28"/>
  <c r="F130" i="28"/>
  <c r="E130" i="28"/>
  <c r="Q114" i="40"/>
  <c r="Y114" i="40" s="1"/>
  <c r="S113" i="40"/>
  <c r="T105" i="40"/>
  <c r="V105" i="40"/>
  <c r="W105" i="40" s="1"/>
  <c r="P106" i="40"/>
  <c r="M107" i="40"/>
  <c r="O107" i="40"/>
  <c r="K114" i="40"/>
  <c r="L114" i="40" s="1"/>
  <c r="A121" i="28"/>
  <c r="P122" i="28"/>
  <c r="V123" i="28"/>
  <c r="L123" i="28"/>
  <c r="M123" i="28" s="1"/>
  <c r="N123" i="28" s="1"/>
  <c r="O123" i="28" s="1"/>
  <c r="C132" i="28" l="1"/>
  <c r="K131" i="28"/>
  <c r="J131" i="28"/>
  <c r="G131" i="28"/>
  <c r="E131" i="28"/>
  <c r="I131" i="28"/>
  <c r="H131" i="28"/>
  <c r="F131" i="28"/>
  <c r="Q115" i="40"/>
  <c r="Y115" i="40" s="1"/>
  <c r="S114" i="40"/>
  <c r="T106" i="40"/>
  <c r="M108" i="40"/>
  <c r="O108" i="40"/>
  <c r="P107" i="40"/>
  <c r="V106" i="40"/>
  <c r="W106" i="40" s="1"/>
  <c r="K115" i="40"/>
  <c r="L115" i="40" s="1"/>
  <c r="A122" i="28"/>
  <c r="P123" i="28"/>
  <c r="V124" i="28"/>
  <c r="L124" i="28"/>
  <c r="M124" i="28" s="1"/>
  <c r="N124" i="28" s="1"/>
  <c r="O124" i="28" s="1"/>
  <c r="C133" i="28" l="1"/>
  <c r="K132" i="28"/>
  <c r="F132" i="28"/>
  <c r="G132" i="28"/>
  <c r="E132" i="28"/>
  <c r="I132" i="28"/>
  <c r="J132" i="28"/>
  <c r="H132" i="28"/>
  <c r="Q116" i="40"/>
  <c r="Y116" i="40" s="1"/>
  <c r="S115" i="40"/>
  <c r="T107" i="40"/>
  <c r="V107" i="40"/>
  <c r="W107" i="40" s="1"/>
  <c r="P108" i="40"/>
  <c r="M109" i="40"/>
  <c r="O109" i="40"/>
  <c r="K116" i="40"/>
  <c r="L116" i="40" s="1"/>
  <c r="A123" i="28"/>
  <c r="P124" i="28"/>
  <c r="V125" i="28"/>
  <c r="L125" i="28"/>
  <c r="M125" i="28" s="1"/>
  <c r="N125" i="28" s="1"/>
  <c r="O125" i="28" s="1"/>
  <c r="C134" i="28" l="1"/>
  <c r="E133" i="28"/>
  <c r="K133" i="28"/>
  <c r="J133" i="28"/>
  <c r="I133" i="28"/>
  <c r="H133" i="28"/>
  <c r="G133" i="28"/>
  <c r="F133" i="28"/>
  <c r="Q117" i="40"/>
  <c r="Y117" i="40" s="1"/>
  <c r="S116" i="40"/>
  <c r="T108" i="40"/>
  <c r="V108" i="40"/>
  <c r="W108" i="40" s="1"/>
  <c r="M110" i="40"/>
  <c r="O110" i="40"/>
  <c r="P109" i="40"/>
  <c r="K117" i="40"/>
  <c r="L117" i="40" s="1"/>
  <c r="A124" i="28"/>
  <c r="V126" i="28"/>
  <c r="L126" i="28"/>
  <c r="M126" i="28" s="1"/>
  <c r="N126" i="28" s="1"/>
  <c r="O126" i="28" s="1"/>
  <c r="P125" i="28"/>
  <c r="C135" i="28" l="1"/>
  <c r="F134" i="28"/>
  <c r="E134" i="28"/>
  <c r="K134" i="28"/>
  <c r="J134" i="28"/>
  <c r="I134" i="28"/>
  <c r="H134" i="28"/>
  <c r="G134" i="28"/>
  <c r="Q118" i="40"/>
  <c r="Y118" i="40" s="1"/>
  <c r="S117" i="40"/>
  <c r="T109" i="40"/>
  <c r="V109" i="40"/>
  <c r="W109" i="40" s="1"/>
  <c r="M111" i="40"/>
  <c r="O111" i="40"/>
  <c r="P110" i="40"/>
  <c r="K118" i="40"/>
  <c r="L118" i="40" s="1"/>
  <c r="A125" i="28"/>
  <c r="V127" i="28"/>
  <c r="L127" i="28"/>
  <c r="M127" i="28" s="1"/>
  <c r="N127" i="28" s="1"/>
  <c r="O127" i="28" s="1"/>
  <c r="P126" i="28"/>
  <c r="C136" i="28" l="1"/>
  <c r="G135" i="28"/>
  <c r="I135" i="28"/>
  <c r="F135" i="28"/>
  <c r="K135" i="28"/>
  <c r="J135" i="28"/>
  <c r="H135" i="28"/>
  <c r="E135" i="28"/>
  <c r="Q119" i="40"/>
  <c r="Y119" i="40" s="1"/>
  <c r="S118" i="40"/>
  <c r="T110" i="40"/>
  <c r="M112" i="40"/>
  <c r="O112" i="40"/>
  <c r="P111" i="40"/>
  <c r="V110" i="40"/>
  <c r="W110" i="40" s="1"/>
  <c r="K119" i="40"/>
  <c r="L119" i="40" s="1"/>
  <c r="A126" i="28"/>
  <c r="P127" i="28"/>
  <c r="V128" i="28"/>
  <c r="L128" i="28"/>
  <c r="M128" i="28" s="1"/>
  <c r="N128" i="28" s="1"/>
  <c r="O128" i="28" s="1"/>
  <c r="C137" i="28" l="1"/>
  <c r="H136" i="28"/>
  <c r="G136" i="28"/>
  <c r="K136" i="28"/>
  <c r="J136" i="28"/>
  <c r="F136" i="28"/>
  <c r="I136" i="28"/>
  <c r="E136" i="28"/>
  <c r="Q120" i="40"/>
  <c r="Y120" i="40" s="1"/>
  <c r="S119" i="40"/>
  <c r="T111" i="40"/>
  <c r="V111" i="40"/>
  <c r="W111" i="40" s="1"/>
  <c r="M113" i="40"/>
  <c r="O113" i="40"/>
  <c r="P112" i="40"/>
  <c r="K120" i="40"/>
  <c r="L120" i="40" s="1"/>
  <c r="A127" i="28"/>
  <c r="V129" i="28"/>
  <c r="L129" i="28"/>
  <c r="M129" i="28" s="1"/>
  <c r="N129" i="28" s="1"/>
  <c r="O129" i="28" s="1"/>
  <c r="P128" i="28"/>
  <c r="C138" i="28" l="1"/>
  <c r="I137" i="28"/>
  <c r="H137" i="28"/>
  <c r="K137" i="28"/>
  <c r="J137" i="28"/>
  <c r="G137" i="28"/>
  <c r="E137" i="28"/>
  <c r="F137" i="28"/>
  <c r="Q121" i="40"/>
  <c r="Y121" i="40" s="1"/>
  <c r="S120" i="40"/>
  <c r="T112" i="40"/>
  <c r="M114" i="40"/>
  <c r="O114" i="40"/>
  <c r="P113" i="40"/>
  <c r="V112" i="40"/>
  <c r="W112" i="40" s="1"/>
  <c r="K121" i="40"/>
  <c r="L121" i="40" s="1"/>
  <c r="A128" i="28"/>
  <c r="V130" i="28"/>
  <c r="L130" i="28"/>
  <c r="M130" i="28" s="1"/>
  <c r="N130" i="28" s="1"/>
  <c r="O130" i="28" s="1"/>
  <c r="P129" i="28"/>
  <c r="C139" i="28" l="1"/>
  <c r="J138" i="28"/>
  <c r="F138" i="28"/>
  <c r="E138" i="28"/>
  <c r="I138" i="28"/>
  <c r="H138" i="28"/>
  <c r="G138" i="28"/>
  <c r="K138" i="28"/>
  <c r="Q122" i="40"/>
  <c r="Y122" i="40" s="1"/>
  <c r="S121" i="40"/>
  <c r="T113" i="40"/>
  <c r="V113" i="40"/>
  <c r="W113" i="40" s="1"/>
  <c r="M115" i="40"/>
  <c r="O115" i="40"/>
  <c r="P114" i="40"/>
  <c r="K122" i="40"/>
  <c r="L122" i="40" s="1"/>
  <c r="A129" i="28"/>
  <c r="P130" i="28"/>
  <c r="V131" i="28"/>
  <c r="L131" i="28"/>
  <c r="M131" i="28" s="1"/>
  <c r="N131" i="28" s="1"/>
  <c r="O131" i="28" s="1"/>
  <c r="C140" i="28" l="1"/>
  <c r="K139" i="28"/>
  <c r="G139" i="28"/>
  <c r="F139" i="28"/>
  <c r="J139" i="28"/>
  <c r="I139" i="28"/>
  <c r="H139" i="28"/>
  <c r="E139" i="28"/>
  <c r="Q123" i="40"/>
  <c r="Y123" i="40" s="1"/>
  <c r="S122" i="40"/>
  <c r="T114" i="40"/>
  <c r="P115" i="40"/>
  <c r="M116" i="40"/>
  <c r="O116" i="40"/>
  <c r="V114" i="40"/>
  <c r="W114" i="40" s="1"/>
  <c r="K123" i="40"/>
  <c r="L123" i="40" s="1"/>
  <c r="A130" i="28"/>
  <c r="P131" i="28"/>
  <c r="V132" i="28"/>
  <c r="L132" i="28"/>
  <c r="M132" i="28" s="1"/>
  <c r="N132" i="28" s="1"/>
  <c r="O132" i="28" s="1"/>
  <c r="C141" i="28" l="1"/>
  <c r="K140" i="28"/>
  <c r="F140" i="28"/>
  <c r="E140" i="28"/>
  <c r="J140" i="28"/>
  <c r="H140" i="28"/>
  <c r="I140" i="28"/>
  <c r="G140" i="28"/>
  <c r="Q124" i="40"/>
  <c r="Y124" i="40" s="1"/>
  <c r="S123" i="40"/>
  <c r="T115" i="40"/>
  <c r="V115" i="40"/>
  <c r="W115" i="40" s="1"/>
  <c r="P116" i="40"/>
  <c r="M117" i="40"/>
  <c r="O117" i="40"/>
  <c r="K124" i="40"/>
  <c r="L124" i="40" s="1"/>
  <c r="A131" i="28"/>
  <c r="V133" i="28"/>
  <c r="L133" i="28"/>
  <c r="M133" i="28" s="1"/>
  <c r="N133" i="28" s="1"/>
  <c r="O133" i="28" s="1"/>
  <c r="P132" i="28"/>
  <c r="C142" i="28" l="1"/>
  <c r="E141" i="28"/>
  <c r="I141" i="28"/>
  <c r="H141" i="28"/>
  <c r="G141" i="28"/>
  <c r="K141" i="28"/>
  <c r="F141" i="28"/>
  <c r="J141" i="28"/>
  <c r="Q125" i="40"/>
  <c r="Y125" i="40" s="1"/>
  <c r="S124" i="40"/>
  <c r="T116" i="40"/>
  <c r="V116" i="40"/>
  <c r="W116" i="40" s="1"/>
  <c r="P117" i="40"/>
  <c r="M118" i="40"/>
  <c r="O118" i="40"/>
  <c r="K125" i="40"/>
  <c r="L125" i="40" s="1"/>
  <c r="A132" i="28"/>
  <c r="P133" i="28"/>
  <c r="V134" i="28"/>
  <c r="L134" i="28"/>
  <c r="M134" i="28" s="1"/>
  <c r="N134" i="28" s="1"/>
  <c r="O134" i="28" s="1"/>
  <c r="C143" i="28" l="1"/>
  <c r="F142" i="28"/>
  <c r="E142" i="28"/>
  <c r="K142" i="28"/>
  <c r="I142" i="28"/>
  <c r="H142" i="28"/>
  <c r="J142" i="28"/>
  <c r="G142" i="28"/>
  <c r="Q126" i="40"/>
  <c r="Y126" i="40" s="1"/>
  <c r="S125" i="40"/>
  <c r="T117" i="40"/>
  <c r="V117" i="40"/>
  <c r="W117" i="40" s="1"/>
  <c r="M119" i="40"/>
  <c r="O119" i="40"/>
  <c r="P118" i="40"/>
  <c r="K126" i="40"/>
  <c r="L126" i="40" s="1"/>
  <c r="A133" i="28"/>
  <c r="P134" i="28"/>
  <c r="V135" i="28"/>
  <c r="L135" i="28"/>
  <c r="M135" i="28" s="1"/>
  <c r="N135" i="28" s="1"/>
  <c r="O135" i="28" s="1"/>
  <c r="C144" i="28" l="1"/>
  <c r="G143" i="28"/>
  <c r="F143" i="28"/>
  <c r="E143" i="28"/>
  <c r="K143" i="28"/>
  <c r="J143" i="28"/>
  <c r="H143" i="28"/>
  <c r="I143" i="28"/>
  <c r="Q127" i="40"/>
  <c r="Y127" i="40" s="1"/>
  <c r="S126" i="40"/>
  <c r="T118" i="40"/>
  <c r="V118" i="40"/>
  <c r="W118" i="40" s="1"/>
  <c r="P119" i="40"/>
  <c r="M120" i="40"/>
  <c r="O120" i="40"/>
  <c r="K127" i="40"/>
  <c r="L127" i="40" s="1"/>
  <c r="A134" i="28"/>
  <c r="P135" i="28"/>
  <c r="V136" i="28"/>
  <c r="L136" i="28"/>
  <c r="M136" i="28" s="1"/>
  <c r="N136" i="28" s="1"/>
  <c r="O136" i="28" s="1"/>
  <c r="C145" i="28" l="1"/>
  <c r="H144" i="28"/>
  <c r="G144" i="28"/>
  <c r="I144" i="28"/>
  <c r="F144" i="28"/>
  <c r="E144" i="28"/>
  <c r="J144" i="28"/>
  <c r="K144" i="28"/>
  <c r="Q128" i="40"/>
  <c r="Y128" i="40" s="1"/>
  <c r="S127" i="40"/>
  <c r="T119" i="40"/>
  <c r="V119" i="40"/>
  <c r="W119" i="40" s="1"/>
  <c r="P120" i="40"/>
  <c r="M121" i="40"/>
  <c r="O121" i="40"/>
  <c r="K128" i="40"/>
  <c r="L128" i="40" s="1"/>
  <c r="A135" i="28"/>
  <c r="V137" i="28"/>
  <c r="L137" i="28"/>
  <c r="M137" i="28" s="1"/>
  <c r="N137" i="28" s="1"/>
  <c r="O137" i="28" s="1"/>
  <c r="P136" i="28"/>
  <c r="C146" i="28" l="1"/>
  <c r="I145" i="28"/>
  <c r="H145" i="28"/>
  <c r="K145" i="28"/>
  <c r="J145" i="28"/>
  <c r="G145" i="28"/>
  <c r="F145" i="28"/>
  <c r="E145" i="28"/>
  <c r="Q129" i="40"/>
  <c r="Y129" i="40" s="1"/>
  <c r="S128" i="40"/>
  <c r="T120" i="40"/>
  <c r="V120" i="40"/>
  <c r="W120" i="40" s="1"/>
  <c r="P121" i="40"/>
  <c r="M122" i="40"/>
  <c r="O122" i="40"/>
  <c r="K129" i="40"/>
  <c r="L129" i="40" s="1"/>
  <c r="A136" i="28"/>
  <c r="P137" i="28"/>
  <c r="V138" i="28"/>
  <c r="L138" i="28"/>
  <c r="M138" i="28" s="1"/>
  <c r="N138" i="28" s="1"/>
  <c r="O138" i="28" s="1"/>
  <c r="C147" i="28" l="1"/>
  <c r="J146" i="28"/>
  <c r="I146" i="28"/>
  <c r="H146" i="28"/>
  <c r="F146" i="28"/>
  <c r="G146" i="28"/>
  <c r="E146" i="28"/>
  <c r="K146" i="28"/>
  <c r="Q130" i="40"/>
  <c r="Y130" i="40" s="1"/>
  <c r="S129" i="40"/>
  <c r="T121" i="40"/>
  <c r="V121" i="40"/>
  <c r="W121" i="40" s="1"/>
  <c r="M123" i="40"/>
  <c r="O123" i="40"/>
  <c r="P122" i="40"/>
  <c r="K130" i="40"/>
  <c r="L130" i="40" s="1"/>
  <c r="A137" i="28"/>
  <c r="P138" i="28"/>
  <c r="V139" i="28"/>
  <c r="L139" i="28"/>
  <c r="M139" i="28" s="1"/>
  <c r="N139" i="28" s="1"/>
  <c r="O139" i="28" s="1"/>
  <c r="C148" i="28" l="1"/>
  <c r="K147" i="28"/>
  <c r="J147" i="28"/>
  <c r="F147" i="28"/>
  <c r="E147" i="28"/>
  <c r="I147" i="28"/>
  <c r="H147" i="28"/>
  <c r="G147" i="28"/>
  <c r="Q131" i="40"/>
  <c r="Y131" i="40" s="1"/>
  <c r="S130" i="40"/>
  <c r="T122" i="40"/>
  <c r="V122" i="40"/>
  <c r="W122" i="40" s="1"/>
  <c r="M124" i="40"/>
  <c r="O124" i="40"/>
  <c r="P123" i="40"/>
  <c r="K131" i="40"/>
  <c r="L131" i="40" s="1"/>
  <c r="A138" i="28"/>
  <c r="V140" i="28"/>
  <c r="L140" i="28"/>
  <c r="M140" i="28" s="1"/>
  <c r="N140" i="28" s="1"/>
  <c r="O140" i="28" s="1"/>
  <c r="P139" i="28"/>
  <c r="C149" i="28" l="1"/>
  <c r="K148" i="28"/>
  <c r="J148" i="28"/>
  <c r="I148" i="28"/>
  <c r="G148" i="28"/>
  <c r="F148" i="28"/>
  <c r="H148" i="28"/>
  <c r="E148" i="28"/>
  <c r="Q132" i="40"/>
  <c r="Y132" i="40" s="1"/>
  <c r="S131" i="40"/>
  <c r="T123" i="40"/>
  <c r="V123" i="40"/>
  <c r="W123" i="40" s="1"/>
  <c r="P124" i="40"/>
  <c r="M125" i="40"/>
  <c r="O125" i="40"/>
  <c r="K132" i="40"/>
  <c r="L132" i="40" s="1"/>
  <c r="A139" i="28"/>
  <c r="V141" i="28"/>
  <c r="L141" i="28"/>
  <c r="M141" i="28" s="1"/>
  <c r="N141" i="28" s="1"/>
  <c r="O141" i="28" s="1"/>
  <c r="P140" i="28"/>
  <c r="C150" i="28" l="1"/>
  <c r="E149" i="28"/>
  <c r="G149" i="28"/>
  <c r="F149" i="28"/>
  <c r="J149" i="28"/>
  <c r="I149" i="28"/>
  <c r="K149" i="28"/>
  <c r="H149" i="28"/>
  <c r="Q133" i="40"/>
  <c r="Y133" i="40" s="1"/>
  <c r="S132" i="40"/>
  <c r="T124" i="40"/>
  <c r="V124" i="40"/>
  <c r="W124" i="40" s="1"/>
  <c r="P125" i="40"/>
  <c r="M126" i="40"/>
  <c r="O126" i="40"/>
  <c r="K133" i="40"/>
  <c r="L133" i="40" s="1"/>
  <c r="A140" i="28"/>
  <c r="P141" i="28"/>
  <c r="V142" i="28"/>
  <c r="L142" i="28"/>
  <c r="M142" i="28" s="1"/>
  <c r="N142" i="28" s="1"/>
  <c r="O142" i="28" s="1"/>
  <c r="C151" i="28" l="1"/>
  <c r="F150" i="28"/>
  <c r="G150" i="28"/>
  <c r="K150" i="28"/>
  <c r="E150" i="28"/>
  <c r="J150" i="28"/>
  <c r="I150" i="28"/>
  <c r="H150" i="28"/>
  <c r="Q134" i="40"/>
  <c r="Y134" i="40" s="1"/>
  <c r="S133" i="40"/>
  <c r="T125" i="40"/>
  <c r="V125" i="40"/>
  <c r="W125" i="40" s="1"/>
  <c r="P126" i="40"/>
  <c r="M127" i="40"/>
  <c r="O127" i="40"/>
  <c r="K134" i="40"/>
  <c r="L134" i="40" s="1"/>
  <c r="A141" i="28"/>
  <c r="P142" i="28"/>
  <c r="V143" i="28"/>
  <c r="L143" i="28"/>
  <c r="M143" i="28" s="1"/>
  <c r="N143" i="28" s="1"/>
  <c r="O143" i="28" s="1"/>
  <c r="C152" i="28" l="1"/>
  <c r="G151" i="28"/>
  <c r="F151" i="28"/>
  <c r="H151" i="28"/>
  <c r="K151" i="28"/>
  <c r="J151" i="28"/>
  <c r="I151" i="28"/>
  <c r="E151" i="28"/>
  <c r="Q135" i="40"/>
  <c r="Y135" i="40" s="1"/>
  <c r="S134" i="40"/>
  <c r="T126" i="40"/>
  <c r="V126" i="40"/>
  <c r="W126" i="40" s="1"/>
  <c r="P127" i="40"/>
  <c r="M128" i="40"/>
  <c r="O128" i="40"/>
  <c r="K135" i="40"/>
  <c r="L135" i="40" s="1"/>
  <c r="A142" i="28"/>
  <c r="V144" i="28"/>
  <c r="L144" i="28"/>
  <c r="M144" i="28" s="1"/>
  <c r="N144" i="28" s="1"/>
  <c r="O144" i="28" s="1"/>
  <c r="P143" i="28"/>
  <c r="C153" i="28" l="1"/>
  <c r="H152" i="28"/>
  <c r="K152" i="28"/>
  <c r="J152" i="28"/>
  <c r="G152" i="28"/>
  <c r="F152" i="28"/>
  <c r="E152" i="28"/>
  <c r="I152" i="28"/>
  <c r="Q136" i="40"/>
  <c r="Y136" i="40" s="1"/>
  <c r="S135" i="40"/>
  <c r="T127" i="40"/>
  <c r="V127" i="40"/>
  <c r="W127" i="40" s="1"/>
  <c r="P128" i="40"/>
  <c r="M129" i="40"/>
  <c r="O129" i="40"/>
  <c r="K136" i="40"/>
  <c r="L136" i="40" s="1"/>
  <c r="A143" i="28"/>
  <c r="P144" i="28"/>
  <c r="V145" i="28"/>
  <c r="L145" i="28"/>
  <c r="M145" i="28" s="1"/>
  <c r="N145" i="28" s="1"/>
  <c r="O145" i="28" s="1"/>
  <c r="C154" i="28" l="1"/>
  <c r="I153" i="28"/>
  <c r="H153" i="28"/>
  <c r="K153" i="28"/>
  <c r="J153" i="28"/>
  <c r="F153" i="28"/>
  <c r="G153" i="28"/>
  <c r="E153" i="28"/>
  <c r="Q137" i="40"/>
  <c r="Y137" i="40" s="1"/>
  <c r="S136" i="40"/>
  <c r="T128" i="40"/>
  <c r="V128" i="40"/>
  <c r="W128" i="40" s="1"/>
  <c r="M130" i="40"/>
  <c r="O130" i="40"/>
  <c r="P129" i="40"/>
  <c r="K137" i="40"/>
  <c r="L137" i="40" s="1"/>
  <c r="A144" i="28"/>
  <c r="P145" i="28"/>
  <c r="V146" i="28"/>
  <c r="L146" i="28"/>
  <c r="M146" i="28" s="1"/>
  <c r="N146" i="28" s="1"/>
  <c r="O146" i="28" s="1"/>
  <c r="C155" i="28" l="1"/>
  <c r="J154" i="28"/>
  <c r="I154" i="28"/>
  <c r="F154" i="28"/>
  <c r="K154" i="28"/>
  <c r="H154" i="28"/>
  <c r="G154" i="28"/>
  <c r="E154" i="28"/>
  <c r="Q138" i="40"/>
  <c r="Y138" i="40" s="1"/>
  <c r="S137" i="40"/>
  <c r="T129" i="40"/>
  <c r="V129" i="40"/>
  <c r="W129" i="40" s="1"/>
  <c r="P130" i="40"/>
  <c r="M131" i="40"/>
  <c r="O131" i="40"/>
  <c r="K138" i="40"/>
  <c r="L138" i="40" s="1"/>
  <c r="A145" i="28"/>
  <c r="V147" i="28"/>
  <c r="L147" i="28"/>
  <c r="M147" i="28" s="1"/>
  <c r="N147" i="28" s="1"/>
  <c r="O147" i="28" s="1"/>
  <c r="P146" i="28"/>
  <c r="C156" i="28" l="1"/>
  <c r="K155" i="28"/>
  <c r="G155" i="28"/>
  <c r="J155" i="28"/>
  <c r="F155" i="28"/>
  <c r="I155" i="28"/>
  <c r="E155" i="28"/>
  <c r="H155" i="28"/>
  <c r="Q139" i="40"/>
  <c r="Y139" i="40" s="1"/>
  <c r="S138" i="40"/>
  <c r="T130" i="40"/>
  <c r="V130" i="40"/>
  <c r="W130" i="40" s="1"/>
  <c r="P131" i="40"/>
  <c r="M132" i="40"/>
  <c r="O132" i="40"/>
  <c r="K139" i="40"/>
  <c r="L139" i="40" s="1"/>
  <c r="A146" i="28"/>
  <c r="P147" i="28"/>
  <c r="V148" i="28"/>
  <c r="L148" i="28"/>
  <c r="M148" i="28" s="1"/>
  <c r="N148" i="28" s="1"/>
  <c r="O148" i="28" s="1"/>
  <c r="C157" i="28" l="1"/>
  <c r="K156" i="28"/>
  <c r="E156" i="28"/>
  <c r="J156" i="28"/>
  <c r="I156" i="28"/>
  <c r="H156" i="28"/>
  <c r="F156" i="28"/>
  <c r="G156" i="28"/>
  <c r="Q140" i="40"/>
  <c r="Y140" i="40" s="1"/>
  <c r="S139" i="40"/>
  <c r="T131" i="40"/>
  <c r="V131" i="40"/>
  <c r="W131" i="40" s="1"/>
  <c r="M133" i="40"/>
  <c r="O133" i="40"/>
  <c r="P132" i="40"/>
  <c r="K140" i="40"/>
  <c r="L140" i="40" s="1"/>
  <c r="A147" i="28"/>
  <c r="P148" i="28"/>
  <c r="V149" i="28"/>
  <c r="L149" i="28"/>
  <c r="M149" i="28" s="1"/>
  <c r="N149" i="28" s="1"/>
  <c r="O149" i="28" s="1"/>
  <c r="C158" i="28" l="1"/>
  <c r="E157" i="28"/>
  <c r="K157" i="28"/>
  <c r="J157" i="28"/>
  <c r="I157" i="28"/>
  <c r="H157" i="28"/>
  <c r="G157" i="28"/>
  <c r="F157" i="28"/>
  <c r="Q141" i="40"/>
  <c r="Y141" i="40" s="1"/>
  <c r="S140" i="40"/>
  <c r="T132" i="40"/>
  <c r="V132" i="40"/>
  <c r="W132" i="40" s="1"/>
  <c r="M134" i="40"/>
  <c r="O134" i="40"/>
  <c r="P133" i="40"/>
  <c r="K141" i="40"/>
  <c r="L141" i="40" s="1"/>
  <c r="A148" i="28"/>
  <c r="V150" i="28"/>
  <c r="L150" i="28"/>
  <c r="M150" i="28" s="1"/>
  <c r="N150" i="28" s="1"/>
  <c r="O150" i="28" s="1"/>
  <c r="P149" i="28"/>
  <c r="C159" i="28" l="1"/>
  <c r="F158" i="28"/>
  <c r="E158" i="28"/>
  <c r="H158" i="28"/>
  <c r="G158" i="28"/>
  <c r="J158" i="28"/>
  <c r="K158" i="28"/>
  <c r="I158" i="28"/>
  <c r="Q142" i="40"/>
  <c r="Y142" i="40" s="1"/>
  <c r="S141" i="40"/>
  <c r="T133" i="40"/>
  <c r="P134" i="40"/>
  <c r="M135" i="40"/>
  <c r="O135" i="40"/>
  <c r="V133" i="40"/>
  <c r="W133" i="40" s="1"/>
  <c r="K142" i="40"/>
  <c r="L142" i="40" s="1"/>
  <c r="A149" i="28"/>
  <c r="V151" i="28"/>
  <c r="L151" i="28"/>
  <c r="M151" i="28" s="1"/>
  <c r="N151" i="28" s="1"/>
  <c r="O151" i="28" s="1"/>
  <c r="P150" i="28"/>
  <c r="C160" i="28" l="1"/>
  <c r="G159" i="28"/>
  <c r="F159" i="28"/>
  <c r="K159" i="28"/>
  <c r="J159" i="28"/>
  <c r="I159" i="28"/>
  <c r="H159" i="28"/>
  <c r="E159" i="28"/>
  <c r="Q143" i="40"/>
  <c r="Y143" i="40" s="1"/>
  <c r="S142" i="40"/>
  <c r="T134" i="40"/>
  <c r="V134" i="40"/>
  <c r="W134" i="40" s="1"/>
  <c r="P135" i="40"/>
  <c r="M136" i="40"/>
  <c r="O136" i="40"/>
  <c r="K143" i="40"/>
  <c r="L143" i="40" s="1"/>
  <c r="A150" i="28"/>
  <c r="P151" i="28"/>
  <c r="V152" i="28"/>
  <c r="L152" i="28"/>
  <c r="M152" i="28" s="1"/>
  <c r="N152" i="28" s="1"/>
  <c r="O152" i="28" s="1"/>
  <c r="C161" i="28" l="1"/>
  <c r="H160" i="28"/>
  <c r="G160" i="28"/>
  <c r="I160" i="28"/>
  <c r="F160" i="28"/>
  <c r="K160" i="28"/>
  <c r="J160" i="28"/>
  <c r="E160" i="28"/>
  <c r="Q144" i="40"/>
  <c r="Y144" i="40" s="1"/>
  <c r="S143" i="40"/>
  <c r="T135" i="40"/>
  <c r="V135" i="40"/>
  <c r="W135" i="40" s="1"/>
  <c r="P136" i="40"/>
  <c r="M137" i="40"/>
  <c r="O137" i="40"/>
  <c r="K144" i="40"/>
  <c r="L144" i="40" s="1"/>
  <c r="A151" i="28"/>
  <c r="P152" i="28"/>
  <c r="V153" i="28"/>
  <c r="L153" i="28"/>
  <c r="M153" i="28" s="1"/>
  <c r="N153" i="28" s="1"/>
  <c r="O153" i="28" s="1"/>
  <c r="C162" i="28" l="1"/>
  <c r="I161" i="28"/>
  <c r="H161" i="28"/>
  <c r="G161" i="28"/>
  <c r="F161" i="28"/>
  <c r="E161" i="28"/>
  <c r="K161" i="28"/>
  <c r="J161" i="28"/>
  <c r="Q145" i="40"/>
  <c r="Y145" i="40" s="1"/>
  <c r="S144" i="40"/>
  <c r="T136" i="40"/>
  <c r="V136" i="40"/>
  <c r="W136" i="40" s="1"/>
  <c r="M138" i="40"/>
  <c r="O138" i="40"/>
  <c r="P137" i="40"/>
  <c r="K145" i="40"/>
  <c r="L145" i="40" s="1"/>
  <c r="A152" i="28"/>
  <c r="P153" i="28"/>
  <c r="V154" i="28"/>
  <c r="L154" i="28"/>
  <c r="M154" i="28" s="1"/>
  <c r="N154" i="28" s="1"/>
  <c r="O154" i="28" s="1"/>
  <c r="C163" i="28" l="1"/>
  <c r="J162" i="28"/>
  <c r="I162" i="28"/>
  <c r="K162" i="28"/>
  <c r="H162" i="28"/>
  <c r="E162" i="28"/>
  <c r="G162" i="28"/>
  <c r="F162" i="28"/>
  <c r="Q146" i="40"/>
  <c r="Y146" i="40" s="1"/>
  <c r="S145" i="40"/>
  <c r="T137" i="40"/>
  <c r="V137" i="40"/>
  <c r="W137" i="40" s="1"/>
  <c r="M139" i="40"/>
  <c r="O139" i="40"/>
  <c r="P138" i="40"/>
  <c r="K146" i="40"/>
  <c r="L146" i="40" s="1"/>
  <c r="A153" i="28"/>
  <c r="V155" i="28"/>
  <c r="L155" i="28"/>
  <c r="M155" i="28" s="1"/>
  <c r="N155" i="28" s="1"/>
  <c r="O155" i="28" s="1"/>
  <c r="P154" i="28"/>
  <c r="C164" i="28" l="1"/>
  <c r="K163" i="28"/>
  <c r="F163" i="28"/>
  <c r="J163" i="28"/>
  <c r="E163" i="28"/>
  <c r="I163" i="28"/>
  <c r="H163" i="28"/>
  <c r="G163" i="28"/>
  <c r="Q147" i="40"/>
  <c r="Y147" i="40" s="1"/>
  <c r="S146" i="40"/>
  <c r="T138" i="40"/>
  <c r="V138" i="40"/>
  <c r="W138" i="40" s="1"/>
  <c r="O140" i="40"/>
  <c r="P139" i="40"/>
  <c r="K147" i="40"/>
  <c r="L147" i="40" s="1"/>
  <c r="V156" i="28"/>
  <c r="L156" i="28"/>
  <c r="M156" i="28" s="1"/>
  <c r="N156" i="28" s="1"/>
  <c r="O156" i="28" s="1"/>
  <c r="P155" i="28"/>
  <c r="C165" i="28" l="1"/>
  <c r="K164" i="28"/>
  <c r="H164" i="28"/>
  <c r="J164" i="28"/>
  <c r="G164" i="28"/>
  <c r="F164" i="28"/>
  <c r="E164" i="28"/>
  <c r="I164" i="28"/>
  <c r="Q148" i="40"/>
  <c r="Y148" i="40" s="1"/>
  <c r="S147" i="40"/>
  <c r="T139" i="40"/>
  <c r="M140" i="40"/>
  <c r="V139" i="40"/>
  <c r="W139" i="40" s="1"/>
  <c r="A154" i="28"/>
  <c r="M141" i="40"/>
  <c r="O141" i="40"/>
  <c r="P140" i="40"/>
  <c r="K148" i="40"/>
  <c r="L148" i="40" s="1"/>
  <c r="A155" i="28"/>
  <c r="V157" i="28"/>
  <c r="L157" i="28"/>
  <c r="M157" i="28" s="1"/>
  <c r="N157" i="28" s="1"/>
  <c r="O157" i="28" s="1"/>
  <c r="P156" i="28"/>
  <c r="C166" i="28" l="1"/>
  <c r="E165" i="28"/>
  <c r="K165" i="28"/>
  <c r="G165" i="28"/>
  <c r="J165" i="28"/>
  <c r="I165" i="28"/>
  <c r="H165" i="28"/>
  <c r="F165" i="28"/>
  <c r="Q149" i="40"/>
  <c r="Y149" i="40" s="1"/>
  <c r="S148" i="40"/>
  <c r="T140" i="40"/>
  <c r="O142" i="40"/>
  <c r="P141" i="40"/>
  <c r="M142" i="40"/>
  <c r="V140" i="40"/>
  <c r="W140" i="40" s="1"/>
  <c r="K149" i="40"/>
  <c r="L149" i="40" s="1"/>
  <c r="V158" i="28"/>
  <c r="L158" i="28"/>
  <c r="M158" i="28" s="1"/>
  <c r="N158" i="28" s="1"/>
  <c r="O158" i="28" s="1"/>
  <c r="P157" i="28"/>
  <c r="C167" i="28" l="1"/>
  <c r="F166" i="28"/>
  <c r="H166" i="28"/>
  <c r="E166" i="28"/>
  <c r="K166" i="28"/>
  <c r="J166" i="28"/>
  <c r="I166" i="28"/>
  <c r="G166" i="28"/>
  <c r="Q150" i="40"/>
  <c r="Y150" i="40" s="1"/>
  <c r="S149" i="40"/>
  <c r="T141" i="40"/>
  <c r="A156" i="28"/>
  <c r="V141" i="40"/>
  <c r="W141" i="40" s="1"/>
  <c r="M143" i="40"/>
  <c r="O143" i="40"/>
  <c r="P142" i="40"/>
  <c r="K150" i="40"/>
  <c r="L150" i="40" s="1"/>
  <c r="A157" i="28"/>
  <c r="V159" i="28"/>
  <c r="L159" i="28"/>
  <c r="M159" i="28" s="1"/>
  <c r="N159" i="28" s="1"/>
  <c r="O159" i="28" s="1"/>
  <c r="P158" i="28"/>
  <c r="C168" i="28" l="1"/>
  <c r="G167" i="28"/>
  <c r="F167" i="28"/>
  <c r="E167" i="28"/>
  <c r="K167" i="28"/>
  <c r="I167" i="28"/>
  <c r="H167" i="28"/>
  <c r="J167" i="28"/>
  <c r="Q151" i="40"/>
  <c r="Y151" i="40" s="1"/>
  <c r="S150" i="40"/>
  <c r="T142" i="40"/>
  <c r="V142" i="40"/>
  <c r="W142" i="40" s="1"/>
  <c r="P143" i="40"/>
  <c r="M144" i="40"/>
  <c r="O144" i="40"/>
  <c r="K151" i="40"/>
  <c r="L151" i="40" s="1"/>
  <c r="A158" i="28"/>
  <c r="V160" i="28"/>
  <c r="L160" i="28"/>
  <c r="M160" i="28" s="1"/>
  <c r="N160" i="28" s="1"/>
  <c r="O160" i="28" s="1"/>
  <c r="P159" i="28"/>
  <c r="C169" i="28" l="1"/>
  <c r="H168" i="28"/>
  <c r="G168" i="28"/>
  <c r="I168" i="28"/>
  <c r="F168" i="28"/>
  <c r="K168" i="28"/>
  <c r="J168" i="28"/>
  <c r="E168" i="28"/>
  <c r="Q152" i="40"/>
  <c r="Y152" i="40" s="1"/>
  <c r="S151" i="40"/>
  <c r="T143" i="40"/>
  <c r="V143" i="40"/>
  <c r="W143" i="40" s="1"/>
  <c r="P144" i="40"/>
  <c r="M145" i="40"/>
  <c r="O145" i="40"/>
  <c r="K152" i="40"/>
  <c r="L152" i="40" s="1"/>
  <c r="A159" i="28"/>
  <c r="P160" i="28"/>
  <c r="V161" i="28"/>
  <c r="L161" i="28"/>
  <c r="M161" i="28" s="1"/>
  <c r="N161" i="28" s="1"/>
  <c r="O161" i="28" s="1"/>
  <c r="C170" i="28" l="1"/>
  <c r="I169" i="28"/>
  <c r="H169" i="28"/>
  <c r="G169" i="28"/>
  <c r="E169" i="28"/>
  <c r="K169" i="28"/>
  <c r="J169" i="28"/>
  <c r="F169" i="28"/>
  <c r="Q153" i="40"/>
  <c r="Y153" i="40" s="1"/>
  <c r="S152" i="40"/>
  <c r="T144" i="40"/>
  <c r="V144" i="40"/>
  <c r="W144" i="40" s="1"/>
  <c r="P145" i="40"/>
  <c r="M146" i="40"/>
  <c r="O146" i="40"/>
  <c r="K153" i="40"/>
  <c r="L153" i="40" s="1"/>
  <c r="A160" i="28"/>
  <c r="V162" i="28"/>
  <c r="L162" i="28"/>
  <c r="M162" i="28" s="1"/>
  <c r="N162" i="28" s="1"/>
  <c r="O162" i="28" s="1"/>
  <c r="P161" i="28"/>
  <c r="C171" i="28" l="1"/>
  <c r="J170" i="28"/>
  <c r="G170" i="28"/>
  <c r="I170" i="28"/>
  <c r="E170" i="28"/>
  <c r="K170" i="28"/>
  <c r="F170" i="28"/>
  <c r="H170" i="28"/>
  <c r="Q154" i="40"/>
  <c r="Y154" i="40" s="1"/>
  <c r="S153" i="40"/>
  <c r="T145" i="40"/>
  <c r="V145" i="40"/>
  <c r="W145" i="40" s="1"/>
  <c r="M147" i="40"/>
  <c r="O147" i="40"/>
  <c r="P146" i="40"/>
  <c r="K154" i="40"/>
  <c r="L154" i="40" s="1"/>
  <c r="A161" i="28"/>
  <c r="V163" i="28"/>
  <c r="L163" i="28"/>
  <c r="M163" i="28" s="1"/>
  <c r="N163" i="28" s="1"/>
  <c r="O163" i="28" s="1"/>
  <c r="P162" i="28"/>
  <c r="C172" i="28" l="1"/>
  <c r="K171" i="28"/>
  <c r="J171" i="28"/>
  <c r="I171" i="28"/>
  <c r="H171" i="28"/>
  <c r="G171" i="28"/>
  <c r="F171" i="28"/>
  <c r="E171" i="28"/>
  <c r="Q155" i="40"/>
  <c r="Y155" i="40" s="1"/>
  <c r="S154" i="40"/>
  <c r="T146" i="40"/>
  <c r="M148" i="40"/>
  <c r="O148" i="40"/>
  <c r="V146" i="40"/>
  <c r="W146" i="40" s="1"/>
  <c r="P147" i="40"/>
  <c r="K155" i="40"/>
  <c r="L155" i="40" s="1"/>
  <c r="A162" i="28"/>
  <c r="P163" i="28"/>
  <c r="V164" i="28"/>
  <c r="L164" i="28"/>
  <c r="M164" i="28" s="1"/>
  <c r="N164" i="28" s="1"/>
  <c r="O164" i="28" s="1"/>
  <c r="C173" i="28" l="1"/>
  <c r="K172" i="28"/>
  <c r="E172" i="28"/>
  <c r="J172" i="28"/>
  <c r="I172" i="28"/>
  <c r="H172" i="28"/>
  <c r="G172" i="28"/>
  <c r="F172" i="28"/>
  <c r="Q156" i="40"/>
  <c r="Y156" i="40" s="1"/>
  <c r="S155" i="40"/>
  <c r="T147" i="40"/>
  <c r="M149" i="40"/>
  <c r="O149" i="40"/>
  <c r="V147" i="40"/>
  <c r="W147" i="40" s="1"/>
  <c r="P148" i="40"/>
  <c r="K156" i="40"/>
  <c r="L156" i="40" s="1"/>
  <c r="A163" i="28"/>
  <c r="P164" i="28"/>
  <c r="V165" i="28"/>
  <c r="L165" i="28"/>
  <c r="M165" i="28" s="1"/>
  <c r="N165" i="28" s="1"/>
  <c r="O165" i="28" s="1"/>
  <c r="C174" i="28" l="1"/>
  <c r="E173" i="28"/>
  <c r="H173" i="28"/>
  <c r="I173" i="28"/>
  <c r="K173" i="28"/>
  <c r="G173" i="28"/>
  <c r="F173" i="28"/>
  <c r="J173" i="28"/>
  <c r="Q157" i="40"/>
  <c r="Y157" i="40" s="1"/>
  <c r="S156" i="40"/>
  <c r="T148" i="40"/>
  <c r="V148" i="40"/>
  <c r="W148" i="40" s="1"/>
  <c r="P149" i="40"/>
  <c r="M150" i="40"/>
  <c r="O150" i="40"/>
  <c r="K157" i="40"/>
  <c r="L157" i="40" s="1"/>
  <c r="A164" i="28"/>
  <c r="V166" i="28"/>
  <c r="L166" i="28"/>
  <c r="M166" i="28" s="1"/>
  <c r="N166" i="28" s="1"/>
  <c r="O166" i="28" s="1"/>
  <c r="P165" i="28"/>
  <c r="C175" i="28" l="1"/>
  <c r="F174" i="28"/>
  <c r="E174" i="28"/>
  <c r="H174" i="28"/>
  <c r="K174" i="28"/>
  <c r="G174" i="28"/>
  <c r="J174" i="28"/>
  <c r="I174" i="28"/>
  <c r="Q158" i="40"/>
  <c r="Y158" i="40" s="1"/>
  <c r="S157" i="40"/>
  <c r="T149" i="40"/>
  <c r="V149" i="40"/>
  <c r="W149" i="40" s="1"/>
  <c r="P150" i="40"/>
  <c r="M151" i="40"/>
  <c r="O151" i="40"/>
  <c r="K158" i="40"/>
  <c r="L158" i="40" s="1"/>
  <c r="A165" i="28"/>
  <c r="P166" i="28"/>
  <c r="V167" i="28"/>
  <c r="L167" i="28"/>
  <c r="M167" i="28" s="1"/>
  <c r="N167" i="28" s="1"/>
  <c r="O167" i="28" s="1"/>
  <c r="C176" i="28" l="1"/>
  <c r="G175" i="28"/>
  <c r="J175" i="28"/>
  <c r="I175" i="28"/>
  <c r="F175" i="28"/>
  <c r="E175" i="28"/>
  <c r="K175" i="28"/>
  <c r="H175" i="28"/>
  <c r="Q159" i="40"/>
  <c r="Y159" i="40" s="1"/>
  <c r="S158" i="40"/>
  <c r="T150" i="40"/>
  <c r="V150" i="40"/>
  <c r="W150" i="40" s="1"/>
  <c r="M152" i="40"/>
  <c r="O152" i="40"/>
  <c r="P151" i="40"/>
  <c r="K159" i="40"/>
  <c r="L159" i="40" s="1"/>
  <c r="A166" i="28"/>
  <c r="V168" i="28"/>
  <c r="L168" i="28"/>
  <c r="M168" i="28" s="1"/>
  <c r="N168" i="28" s="1"/>
  <c r="O168" i="28" s="1"/>
  <c r="P167" i="28"/>
  <c r="C177" i="28" l="1"/>
  <c r="H176" i="28"/>
  <c r="G176" i="28"/>
  <c r="J176" i="28"/>
  <c r="I176" i="28"/>
  <c r="F176" i="28"/>
  <c r="E176" i="28"/>
  <c r="K176" i="28"/>
  <c r="Q160" i="40"/>
  <c r="Y160" i="40" s="1"/>
  <c r="S159" i="40"/>
  <c r="T151" i="40"/>
  <c r="M153" i="40"/>
  <c r="O153" i="40"/>
  <c r="P152" i="40"/>
  <c r="V151" i="40"/>
  <c r="W151" i="40" s="1"/>
  <c r="K160" i="40"/>
  <c r="L160" i="40" s="1"/>
  <c r="A167" i="28"/>
  <c r="P168" i="28"/>
  <c r="V169" i="28"/>
  <c r="L169" i="28"/>
  <c r="M169" i="28" s="1"/>
  <c r="N169" i="28" s="1"/>
  <c r="O169" i="28" s="1"/>
  <c r="C178" i="28" l="1"/>
  <c r="I177" i="28"/>
  <c r="K177" i="28"/>
  <c r="H177" i="28"/>
  <c r="J177" i="28"/>
  <c r="G177" i="28"/>
  <c r="F177" i="28"/>
  <c r="E177" i="28"/>
  <c r="Q161" i="40"/>
  <c r="Y161" i="40" s="1"/>
  <c r="S160" i="40"/>
  <c r="T152" i="40"/>
  <c r="V152" i="40"/>
  <c r="W152" i="40" s="1"/>
  <c r="P153" i="40"/>
  <c r="M154" i="40"/>
  <c r="O154" i="40"/>
  <c r="K161" i="40"/>
  <c r="L161" i="40" s="1"/>
  <c r="A168" i="28"/>
  <c r="P169" i="28"/>
  <c r="V170" i="28"/>
  <c r="L170" i="28"/>
  <c r="M170" i="28" s="1"/>
  <c r="N170" i="28" s="1"/>
  <c r="O170" i="28" s="1"/>
  <c r="C179" i="28" l="1"/>
  <c r="J178" i="28"/>
  <c r="I178" i="28"/>
  <c r="K178" i="28"/>
  <c r="F178" i="28"/>
  <c r="E178" i="28"/>
  <c r="H178" i="28"/>
  <c r="G178" i="28"/>
  <c r="Q162" i="40"/>
  <c r="Y162" i="40" s="1"/>
  <c r="S161" i="40"/>
  <c r="T153" i="40"/>
  <c r="V153" i="40"/>
  <c r="W153" i="40" s="1"/>
  <c r="P154" i="40"/>
  <c r="M155" i="40"/>
  <c r="O155" i="40"/>
  <c r="K162" i="40"/>
  <c r="L162" i="40" s="1"/>
  <c r="A169" i="28"/>
  <c r="V171" i="28"/>
  <c r="L171" i="28"/>
  <c r="M171" i="28" s="1"/>
  <c r="N171" i="28" s="1"/>
  <c r="O171" i="28" s="1"/>
  <c r="P170" i="28"/>
  <c r="C180" i="28" l="1"/>
  <c r="K179" i="28"/>
  <c r="J179" i="28"/>
  <c r="I179" i="28"/>
  <c r="H179" i="28"/>
  <c r="G179" i="28"/>
  <c r="F179" i="28"/>
  <c r="E179" i="28"/>
  <c r="Q163" i="40"/>
  <c r="Y163" i="40" s="1"/>
  <c r="S162" i="40"/>
  <c r="T154" i="40"/>
  <c r="V154" i="40"/>
  <c r="W154" i="40" s="1"/>
  <c r="M156" i="40"/>
  <c r="O156" i="40"/>
  <c r="P155" i="40"/>
  <c r="K163" i="40"/>
  <c r="L163" i="40" s="1"/>
  <c r="A170" i="28"/>
  <c r="V172" i="28"/>
  <c r="L172" i="28"/>
  <c r="M172" i="28" s="1"/>
  <c r="N172" i="28" s="1"/>
  <c r="O172" i="28" s="1"/>
  <c r="P171" i="28"/>
  <c r="C181" i="28" l="1"/>
  <c r="K180" i="28"/>
  <c r="J180" i="28"/>
  <c r="I180" i="28"/>
  <c r="H180" i="28"/>
  <c r="F180" i="28"/>
  <c r="G180" i="28"/>
  <c r="E180" i="28"/>
  <c r="Q164" i="40"/>
  <c r="Y164" i="40" s="1"/>
  <c r="S163" i="40"/>
  <c r="T155" i="40"/>
  <c r="M157" i="40"/>
  <c r="O157" i="40"/>
  <c r="V155" i="40"/>
  <c r="W155" i="40" s="1"/>
  <c r="P156" i="40"/>
  <c r="K164" i="40"/>
  <c r="L164" i="40" s="1"/>
  <c r="A171" i="28"/>
  <c r="V173" i="28"/>
  <c r="L173" i="28"/>
  <c r="M173" i="28" s="1"/>
  <c r="N173" i="28" s="1"/>
  <c r="O173" i="28" s="1"/>
  <c r="P172" i="28"/>
  <c r="C182" i="28" l="1"/>
  <c r="E181" i="28"/>
  <c r="G181" i="28"/>
  <c r="F181" i="28"/>
  <c r="J181" i="28"/>
  <c r="I181" i="28"/>
  <c r="K181" i="28"/>
  <c r="H181" i="28"/>
  <c r="Q165" i="40"/>
  <c r="Y165" i="40" s="1"/>
  <c r="S164" i="40"/>
  <c r="T156" i="40"/>
  <c r="V156" i="40"/>
  <c r="W156" i="40" s="1"/>
  <c r="P157" i="40"/>
  <c r="M158" i="40"/>
  <c r="O158" i="40"/>
  <c r="K165" i="40"/>
  <c r="L165" i="40" s="1"/>
  <c r="A172" i="28"/>
  <c r="P173" i="28"/>
  <c r="V174" i="28"/>
  <c r="L174" i="28"/>
  <c r="M174" i="28" s="1"/>
  <c r="N174" i="28" s="1"/>
  <c r="O174" i="28" s="1"/>
  <c r="C183" i="28" l="1"/>
  <c r="F182" i="28"/>
  <c r="E182" i="28"/>
  <c r="G182" i="28"/>
  <c r="J182" i="28"/>
  <c r="K182" i="28"/>
  <c r="I182" i="28"/>
  <c r="H182" i="28"/>
  <c r="Q166" i="40"/>
  <c r="Y166" i="40" s="1"/>
  <c r="S165" i="40"/>
  <c r="T157" i="40"/>
  <c r="V157" i="40"/>
  <c r="W157" i="40" s="1"/>
  <c r="M159" i="40"/>
  <c r="O159" i="40"/>
  <c r="P158" i="40"/>
  <c r="K166" i="40"/>
  <c r="L166" i="40" s="1"/>
  <c r="A173" i="28"/>
  <c r="P174" i="28"/>
  <c r="V175" i="28"/>
  <c r="L175" i="28"/>
  <c r="M175" i="28" s="1"/>
  <c r="N175" i="28" s="1"/>
  <c r="O175" i="28" s="1"/>
  <c r="C184" i="28" l="1"/>
  <c r="G183" i="28"/>
  <c r="F183" i="28"/>
  <c r="K183" i="28"/>
  <c r="J183" i="28"/>
  <c r="I183" i="28"/>
  <c r="H183" i="28"/>
  <c r="E183" i="28"/>
  <c r="Q167" i="40"/>
  <c r="Y167" i="40" s="1"/>
  <c r="S166" i="40"/>
  <c r="T158" i="40"/>
  <c r="V158" i="40"/>
  <c r="W158" i="40" s="1"/>
  <c r="P159" i="40"/>
  <c r="M160" i="40"/>
  <c r="O160" i="40"/>
  <c r="K167" i="40"/>
  <c r="L167" i="40" s="1"/>
  <c r="A174" i="28"/>
  <c r="V176" i="28"/>
  <c r="L176" i="28"/>
  <c r="M176" i="28" s="1"/>
  <c r="N176" i="28" s="1"/>
  <c r="O176" i="28" s="1"/>
  <c r="P175" i="28"/>
  <c r="C185" i="28" l="1"/>
  <c r="H184" i="28"/>
  <c r="G184" i="28"/>
  <c r="F184" i="28"/>
  <c r="E184" i="28"/>
  <c r="K184" i="28"/>
  <c r="J184" i="28"/>
  <c r="I184" i="28"/>
  <c r="Q168" i="40"/>
  <c r="Y168" i="40" s="1"/>
  <c r="S167" i="40"/>
  <c r="T159" i="40"/>
  <c r="V159" i="40"/>
  <c r="W159" i="40" s="1"/>
  <c r="P160" i="40"/>
  <c r="M161" i="40"/>
  <c r="O161" i="40"/>
  <c r="K168" i="40"/>
  <c r="L168" i="40" s="1"/>
  <c r="A175" i="28"/>
  <c r="P176" i="28"/>
  <c r="V177" i="28"/>
  <c r="L177" i="28"/>
  <c r="M177" i="28" s="1"/>
  <c r="N177" i="28" s="1"/>
  <c r="O177" i="28" s="1"/>
  <c r="C186" i="28" l="1"/>
  <c r="I185" i="28"/>
  <c r="H185" i="28"/>
  <c r="E185" i="28"/>
  <c r="K185" i="28"/>
  <c r="J185" i="28"/>
  <c r="F185" i="28"/>
  <c r="G185" i="28"/>
  <c r="Q169" i="40"/>
  <c r="Y169" i="40" s="1"/>
  <c r="S168" i="40"/>
  <c r="T160" i="40"/>
  <c r="P161" i="40"/>
  <c r="V160" i="40"/>
  <c r="W160" i="40" s="1"/>
  <c r="M162" i="40"/>
  <c r="O162" i="40"/>
  <c r="K169" i="40"/>
  <c r="L169" i="40" s="1"/>
  <c r="A176" i="28"/>
  <c r="P177" i="28"/>
  <c r="V178" i="28"/>
  <c r="L178" i="28"/>
  <c r="M178" i="28" s="1"/>
  <c r="N178" i="28" s="1"/>
  <c r="O178" i="28" s="1"/>
  <c r="C187" i="28" l="1"/>
  <c r="J186" i="28"/>
  <c r="I186" i="28"/>
  <c r="K186" i="28"/>
  <c r="E186" i="28"/>
  <c r="H186" i="28"/>
  <c r="F186" i="28"/>
  <c r="G186" i="28"/>
  <c r="Q170" i="40"/>
  <c r="Y170" i="40" s="1"/>
  <c r="S169" i="40"/>
  <c r="T161" i="40"/>
  <c r="V161" i="40"/>
  <c r="W161" i="40" s="1"/>
  <c r="O163" i="40"/>
  <c r="P162" i="40"/>
  <c r="K170" i="40"/>
  <c r="L170" i="40" s="1"/>
  <c r="V179" i="28"/>
  <c r="L179" i="28"/>
  <c r="M179" i="28" s="1"/>
  <c r="N179" i="28" s="1"/>
  <c r="O179" i="28" s="1"/>
  <c r="P178" i="28"/>
  <c r="C188" i="28" l="1"/>
  <c r="K187" i="28"/>
  <c r="J187" i="28"/>
  <c r="I187" i="28"/>
  <c r="G187" i="28"/>
  <c r="H187" i="28"/>
  <c r="F187" i="28"/>
  <c r="E187" i="28"/>
  <c r="Q171" i="40"/>
  <c r="Y171" i="40" s="1"/>
  <c r="S170" i="40"/>
  <c r="T162" i="40"/>
  <c r="V162" i="40"/>
  <c r="W162" i="40" s="1"/>
  <c r="A177" i="28"/>
  <c r="M163" i="40"/>
  <c r="M164" i="40"/>
  <c r="O164" i="40"/>
  <c r="P163" i="40"/>
  <c r="K171" i="40"/>
  <c r="L171" i="40" s="1"/>
  <c r="A178" i="28"/>
  <c r="V180" i="28"/>
  <c r="L180" i="28"/>
  <c r="M180" i="28" s="1"/>
  <c r="N180" i="28" s="1"/>
  <c r="O180" i="28" s="1"/>
  <c r="P179" i="28"/>
  <c r="C189" i="28" l="1"/>
  <c r="K188" i="28"/>
  <c r="J188" i="28"/>
  <c r="I188" i="28"/>
  <c r="H188" i="28"/>
  <c r="G188" i="28"/>
  <c r="F188" i="28"/>
  <c r="E188" i="28"/>
  <c r="Q172" i="40"/>
  <c r="Y172" i="40" s="1"/>
  <c r="S171" i="40"/>
  <c r="T163" i="40"/>
  <c r="V163" i="40"/>
  <c r="W163" i="40" s="1"/>
  <c r="P164" i="40"/>
  <c r="M165" i="40"/>
  <c r="O165" i="40"/>
  <c r="K172" i="40"/>
  <c r="L172" i="40" s="1"/>
  <c r="A179" i="28"/>
  <c r="P180" i="28"/>
  <c r="V181" i="28"/>
  <c r="L181" i="28"/>
  <c r="M181" i="28" s="1"/>
  <c r="N181" i="28" s="1"/>
  <c r="O181" i="28" s="1"/>
  <c r="C190" i="28" l="1"/>
  <c r="E189" i="28"/>
  <c r="F189" i="28"/>
  <c r="K189" i="28"/>
  <c r="H189" i="28"/>
  <c r="G189" i="28"/>
  <c r="J189" i="28"/>
  <c r="I189" i="28"/>
  <c r="Q173" i="40"/>
  <c r="Y173" i="40" s="1"/>
  <c r="S172" i="40"/>
  <c r="T164" i="40"/>
  <c r="V164" i="40"/>
  <c r="W164" i="40" s="1"/>
  <c r="M166" i="40"/>
  <c r="O166" i="40"/>
  <c r="P165" i="40"/>
  <c r="K173" i="40"/>
  <c r="L173" i="40" s="1"/>
  <c r="A180" i="28"/>
  <c r="V182" i="28"/>
  <c r="L182" i="28"/>
  <c r="M182" i="28" s="1"/>
  <c r="N182" i="28" s="1"/>
  <c r="O182" i="28" s="1"/>
  <c r="P181" i="28"/>
  <c r="C191" i="28" l="1"/>
  <c r="F190" i="28"/>
  <c r="E190" i="28"/>
  <c r="J190" i="28"/>
  <c r="H190" i="28"/>
  <c r="G190" i="28"/>
  <c r="K190" i="28"/>
  <c r="I190" i="28"/>
  <c r="Q174" i="40"/>
  <c r="Y174" i="40" s="1"/>
  <c r="S173" i="40"/>
  <c r="T165" i="40"/>
  <c r="V165" i="40"/>
  <c r="W165" i="40" s="1"/>
  <c r="P166" i="40"/>
  <c r="M167" i="40"/>
  <c r="O167" i="40"/>
  <c r="K174" i="40"/>
  <c r="L174" i="40" s="1"/>
  <c r="A181" i="28"/>
  <c r="V183" i="28"/>
  <c r="L183" i="28"/>
  <c r="M183" i="28" s="1"/>
  <c r="N183" i="28" s="1"/>
  <c r="O183" i="28" s="1"/>
  <c r="P182" i="28"/>
  <c r="C192" i="28" l="1"/>
  <c r="K191" i="28"/>
  <c r="J191" i="28"/>
  <c r="I191" i="28"/>
  <c r="H191" i="28"/>
  <c r="G191" i="28"/>
  <c r="F191" i="28"/>
  <c r="E191" i="28"/>
  <c r="Q175" i="40"/>
  <c r="Y175" i="40" s="1"/>
  <c r="S174" i="40"/>
  <c r="T166" i="40"/>
  <c r="V166" i="40"/>
  <c r="W166" i="40" s="1"/>
  <c r="M168" i="40"/>
  <c r="P167" i="40"/>
  <c r="K175" i="40"/>
  <c r="L175" i="40" s="1"/>
  <c r="V184" i="28"/>
  <c r="L184" i="28"/>
  <c r="M184" i="28" s="1"/>
  <c r="N184" i="28" s="1"/>
  <c r="O184" i="28" s="1"/>
  <c r="P183" i="28"/>
  <c r="C193" i="28" l="1"/>
  <c r="K192" i="28"/>
  <c r="J192" i="28"/>
  <c r="E192" i="28"/>
  <c r="H192" i="28"/>
  <c r="G192" i="28"/>
  <c r="I192" i="28"/>
  <c r="F192" i="28"/>
  <c r="Q176" i="40"/>
  <c r="Y176" i="40" s="1"/>
  <c r="S175" i="40"/>
  <c r="T167" i="40"/>
  <c r="V167" i="40"/>
  <c r="W167" i="40" s="1"/>
  <c r="O168" i="40"/>
  <c r="A182" i="28"/>
  <c r="M169" i="40"/>
  <c r="O169" i="40"/>
  <c r="K176" i="40"/>
  <c r="L176" i="40" s="1"/>
  <c r="A183" i="28"/>
  <c r="V185" i="28"/>
  <c r="L185" i="28"/>
  <c r="M185" i="28" s="1"/>
  <c r="N185" i="28" s="1"/>
  <c r="O185" i="28" s="1"/>
  <c r="P184" i="28"/>
  <c r="C194" i="28" l="1"/>
  <c r="E193" i="28"/>
  <c r="K193" i="28"/>
  <c r="F193" i="28"/>
  <c r="J193" i="28"/>
  <c r="G193" i="28"/>
  <c r="I193" i="28"/>
  <c r="H193" i="28"/>
  <c r="Q177" i="40"/>
  <c r="Y177" i="40" s="1"/>
  <c r="S176" i="40"/>
  <c r="P168" i="40"/>
  <c r="V168" i="40"/>
  <c r="W168" i="40" s="1"/>
  <c r="P169" i="40"/>
  <c r="M170" i="40"/>
  <c r="O170" i="40"/>
  <c r="K177" i="40"/>
  <c r="L177" i="40" s="1"/>
  <c r="A184" i="28"/>
  <c r="P185" i="28"/>
  <c r="V186" i="28"/>
  <c r="L186" i="28"/>
  <c r="M186" i="28" s="1"/>
  <c r="N186" i="28" s="1"/>
  <c r="O186" i="28" s="1"/>
  <c r="C195" i="28" l="1"/>
  <c r="F194" i="28"/>
  <c r="E194" i="28"/>
  <c r="H194" i="28"/>
  <c r="G194" i="28"/>
  <c r="K194" i="28"/>
  <c r="J194" i="28"/>
  <c r="I194" i="28"/>
  <c r="Q178" i="40"/>
  <c r="Y178" i="40" s="1"/>
  <c r="S177" i="40"/>
  <c r="T169" i="40"/>
  <c r="T168" i="40"/>
  <c r="V169" i="40"/>
  <c r="W169" i="40" s="1"/>
  <c r="M171" i="40"/>
  <c r="O171" i="40"/>
  <c r="P170" i="40"/>
  <c r="K178" i="40"/>
  <c r="L178" i="40" s="1"/>
  <c r="A185" i="28"/>
  <c r="V187" i="28"/>
  <c r="L187" i="28"/>
  <c r="M187" i="28" s="1"/>
  <c r="N187" i="28" s="1"/>
  <c r="O187" i="28" s="1"/>
  <c r="P186" i="28"/>
  <c r="C196" i="28" l="1"/>
  <c r="G195" i="28"/>
  <c r="E195" i="28"/>
  <c r="F195" i="28"/>
  <c r="I195" i="28"/>
  <c r="K195" i="28"/>
  <c r="J195" i="28"/>
  <c r="H195" i="28"/>
  <c r="Q179" i="40"/>
  <c r="Y179" i="40" s="1"/>
  <c r="S178" i="40"/>
  <c r="T170" i="40"/>
  <c r="V170" i="40"/>
  <c r="W170" i="40" s="1"/>
  <c r="M172" i="40"/>
  <c r="O172" i="40"/>
  <c r="P171" i="40"/>
  <c r="K179" i="40"/>
  <c r="L179" i="40" s="1"/>
  <c r="A186" i="28"/>
  <c r="P187" i="28"/>
  <c r="V188" i="28"/>
  <c r="L188" i="28"/>
  <c r="M188" i="28" s="1"/>
  <c r="N188" i="28" s="1"/>
  <c r="O188" i="28" s="1"/>
  <c r="C197" i="28" l="1"/>
  <c r="H196" i="28"/>
  <c r="G196" i="28"/>
  <c r="J196" i="28"/>
  <c r="F196" i="28"/>
  <c r="I196" i="28"/>
  <c r="E196" i="28"/>
  <c r="K196" i="28"/>
  <c r="Q180" i="40"/>
  <c r="Y180" i="40" s="1"/>
  <c r="S179" i="40"/>
  <c r="T171" i="40"/>
  <c r="V171" i="40"/>
  <c r="W171" i="40" s="1"/>
  <c r="P172" i="40"/>
  <c r="M173" i="40"/>
  <c r="O173" i="40"/>
  <c r="K180" i="40"/>
  <c r="L180" i="40" s="1"/>
  <c r="A187" i="28"/>
  <c r="P188" i="28"/>
  <c r="V189" i="28"/>
  <c r="L189" i="28"/>
  <c r="M189" i="28" s="1"/>
  <c r="N189" i="28" s="1"/>
  <c r="O189" i="28" s="1"/>
  <c r="C198" i="28" l="1"/>
  <c r="I197" i="28"/>
  <c r="H197" i="28"/>
  <c r="J197" i="28"/>
  <c r="G197" i="28"/>
  <c r="F197" i="28"/>
  <c r="K197" i="28"/>
  <c r="E197" i="28"/>
  <c r="Q181" i="40"/>
  <c r="Y181" i="40" s="1"/>
  <c r="S180" i="40"/>
  <c r="T172" i="40"/>
  <c r="M174" i="40"/>
  <c r="O174" i="40"/>
  <c r="P173" i="40"/>
  <c r="V172" i="40"/>
  <c r="W172" i="40" s="1"/>
  <c r="K181" i="40"/>
  <c r="L181" i="40" s="1"/>
  <c r="A188" i="28"/>
  <c r="P189" i="28"/>
  <c r="V190" i="28"/>
  <c r="L190" i="28"/>
  <c r="M190" i="28" s="1"/>
  <c r="N190" i="28" s="1"/>
  <c r="O190" i="28" s="1"/>
  <c r="C199" i="28" l="1"/>
  <c r="J198" i="28"/>
  <c r="G198" i="28"/>
  <c r="I198" i="28"/>
  <c r="K198" i="28"/>
  <c r="E198" i="28"/>
  <c r="H198" i="28"/>
  <c r="F198" i="28"/>
  <c r="Q182" i="40"/>
  <c r="Y182" i="40" s="1"/>
  <c r="S181" i="40"/>
  <c r="T173" i="40"/>
  <c r="V173" i="40"/>
  <c r="W173" i="40" s="1"/>
  <c r="M175" i="40"/>
  <c r="O175" i="40"/>
  <c r="P174" i="40"/>
  <c r="K182" i="40"/>
  <c r="L182" i="40" s="1"/>
  <c r="A189" i="28"/>
  <c r="P190" i="28"/>
  <c r="V191" i="28"/>
  <c r="L191" i="28"/>
  <c r="M191" i="28" s="1"/>
  <c r="N191" i="28" s="1"/>
  <c r="O191" i="28" s="1"/>
  <c r="C200" i="28" l="1"/>
  <c r="K199" i="28"/>
  <c r="J199" i="28"/>
  <c r="G199" i="28"/>
  <c r="E199" i="28"/>
  <c r="I199" i="28"/>
  <c r="H199" i="28"/>
  <c r="F199" i="28"/>
  <c r="Q183" i="40"/>
  <c r="Y183" i="40" s="1"/>
  <c r="S182" i="40"/>
  <c r="T174" i="40"/>
  <c r="V174" i="40"/>
  <c r="W174" i="40" s="1"/>
  <c r="M176" i="40"/>
  <c r="O176" i="40"/>
  <c r="P175" i="40"/>
  <c r="K183" i="40"/>
  <c r="L183" i="40" s="1"/>
  <c r="A190" i="28"/>
  <c r="P191" i="28"/>
  <c r="V192" i="28"/>
  <c r="L192" i="28"/>
  <c r="M192" i="28" s="1"/>
  <c r="N192" i="28" s="1"/>
  <c r="O192" i="28" s="1"/>
  <c r="C201" i="28" l="1"/>
  <c r="K200" i="28"/>
  <c r="H200" i="28"/>
  <c r="E200" i="28"/>
  <c r="G200" i="28"/>
  <c r="F200" i="28"/>
  <c r="J200" i="28"/>
  <c r="I200" i="28"/>
  <c r="Q184" i="40"/>
  <c r="Y184" i="40" s="1"/>
  <c r="S183" i="40"/>
  <c r="T175" i="40"/>
  <c r="V175" i="40"/>
  <c r="W175" i="40" s="1"/>
  <c r="M177" i="40"/>
  <c r="O177" i="40"/>
  <c r="P176" i="40"/>
  <c r="K184" i="40"/>
  <c r="L184" i="40" s="1"/>
  <c r="A191" i="28"/>
  <c r="V193" i="28"/>
  <c r="L193" i="28"/>
  <c r="M193" i="28" s="1"/>
  <c r="N193" i="28" s="1"/>
  <c r="O193" i="28" s="1"/>
  <c r="P192" i="28"/>
  <c r="C202" i="28" l="1"/>
  <c r="E201" i="28"/>
  <c r="J201" i="28"/>
  <c r="K201" i="28"/>
  <c r="G201" i="28"/>
  <c r="I201" i="28"/>
  <c r="H201" i="28"/>
  <c r="F201" i="28"/>
  <c r="Q185" i="40"/>
  <c r="Y185" i="40" s="1"/>
  <c r="S184" i="40"/>
  <c r="T176" i="40"/>
  <c r="P177" i="40"/>
  <c r="M178" i="40"/>
  <c r="O178" i="40"/>
  <c r="V176" i="40"/>
  <c r="W176" i="40" s="1"/>
  <c r="K185" i="40"/>
  <c r="L185" i="40" s="1"/>
  <c r="A192" i="28"/>
  <c r="V194" i="28"/>
  <c r="L194" i="28"/>
  <c r="M194" i="28" s="1"/>
  <c r="N194" i="28" s="1"/>
  <c r="O194" i="28" s="1"/>
  <c r="P193" i="28"/>
  <c r="C203" i="28" l="1"/>
  <c r="F202" i="28"/>
  <c r="K202" i="28"/>
  <c r="J202" i="28"/>
  <c r="E202" i="28"/>
  <c r="H202" i="28"/>
  <c r="G202" i="28"/>
  <c r="I202" i="28"/>
  <c r="Q186" i="40"/>
  <c r="Y186" i="40" s="1"/>
  <c r="S185" i="40"/>
  <c r="T177" i="40"/>
  <c r="P178" i="40"/>
  <c r="V177" i="40"/>
  <c r="W177" i="40" s="1"/>
  <c r="M179" i="40"/>
  <c r="O179" i="40"/>
  <c r="K186" i="40"/>
  <c r="L186" i="40" s="1"/>
  <c r="A193" i="28"/>
  <c r="V195" i="28"/>
  <c r="L195" i="28"/>
  <c r="M195" i="28" s="1"/>
  <c r="N195" i="28" s="1"/>
  <c r="O195" i="28" s="1"/>
  <c r="P194" i="28"/>
  <c r="C204" i="28" l="1"/>
  <c r="G203" i="28"/>
  <c r="F203" i="28"/>
  <c r="K203" i="28"/>
  <c r="J203" i="28"/>
  <c r="I203" i="28"/>
  <c r="H203" i="28"/>
  <c r="E203" i="28"/>
  <c r="Q187" i="40"/>
  <c r="Y187" i="40" s="1"/>
  <c r="S186" i="40"/>
  <c r="T178" i="40"/>
  <c r="V178" i="40"/>
  <c r="W178" i="40" s="1"/>
  <c r="M180" i="40"/>
  <c r="O180" i="40"/>
  <c r="P179" i="40"/>
  <c r="K187" i="40"/>
  <c r="L187" i="40" s="1"/>
  <c r="A194" i="28"/>
  <c r="V196" i="28"/>
  <c r="L196" i="28"/>
  <c r="M196" i="28" s="1"/>
  <c r="N196" i="28" s="1"/>
  <c r="O196" i="28" s="1"/>
  <c r="P195" i="28"/>
  <c r="C205" i="28" l="1"/>
  <c r="H204" i="28"/>
  <c r="G204" i="28"/>
  <c r="E204" i="28"/>
  <c r="J204" i="28"/>
  <c r="K204" i="28"/>
  <c r="F204" i="28"/>
  <c r="I204" i="28"/>
  <c r="Q188" i="40"/>
  <c r="Y188" i="40" s="1"/>
  <c r="S187" i="40"/>
  <c r="T179" i="40"/>
  <c r="V179" i="40"/>
  <c r="W179" i="40" s="1"/>
  <c r="M181" i="40"/>
  <c r="O181" i="40"/>
  <c r="P180" i="40"/>
  <c r="K188" i="40"/>
  <c r="L188" i="40" s="1"/>
  <c r="A195" i="28"/>
  <c r="P196" i="28"/>
  <c r="V197" i="28"/>
  <c r="L197" i="28"/>
  <c r="M197" i="28" s="1"/>
  <c r="N197" i="28" s="1"/>
  <c r="O197" i="28" s="1"/>
  <c r="C206" i="28" l="1"/>
  <c r="I205" i="28"/>
  <c r="H205" i="28"/>
  <c r="E205" i="28"/>
  <c r="K205" i="28"/>
  <c r="J205" i="28"/>
  <c r="G205" i="28"/>
  <c r="F205" i="28"/>
  <c r="Q189" i="40"/>
  <c r="Y189" i="40" s="1"/>
  <c r="S188" i="40"/>
  <c r="T180" i="40"/>
  <c r="V180" i="40"/>
  <c r="W180" i="40" s="1"/>
  <c r="P181" i="40"/>
  <c r="M182" i="40"/>
  <c r="O182" i="40"/>
  <c r="K189" i="40"/>
  <c r="L189" i="40" s="1"/>
  <c r="A196" i="28"/>
  <c r="V198" i="28"/>
  <c r="L198" i="28"/>
  <c r="M198" i="28" s="1"/>
  <c r="N198" i="28" s="1"/>
  <c r="O198" i="28" s="1"/>
  <c r="P197" i="28"/>
  <c r="C207" i="28" l="1"/>
  <c r="J206" i="28"/>
  <c r="I206" i="28"/>
  <c r="F206" i="28"/>
  <c r="E206" i="28"/>
  <c r="H206" i="28"/>
  <c r="G206" i="28"/>
  <c r="K206" i="28"/>
  <c r="Q190" i="40"/>
  <c r="Y190" i="40" s="1"/>
  <c r="S189" i="40"/>
  <c r="T181" i="40"/>
  <c r="V181" i="40"/>
  <c r="W181" i="40" s="1"/>
  <c r="P182" i="40"/>
  <c r="M183" i="40"/>
  <c r="O183" i="40"/>
  <c r="K190" i="40"/>
  <c r="L190" i="40" s="1"/>
  <c r="A197" i="28"/>
  <c r="P198" i="28"/>
  <c r="V199" i="28"/>
  <c r="L199" i="28"/>
  <c r="M199" i="28" s="1"/>
  <c r="N199" i="28" s="1"/>
  <c r="O199" i="28" s="1"/>
  <c r="C208" i="28" l="1"/>
  <c r="K207" i="28"/>
  <c r="J207" i="28"/>
  <c r="F207" i="28"/>
  <c r="I207" i="28"/>
  <c r="H207" i="28"/>
  <c r="E207" i="28"/>
  <c r="G207" i="28"/>
  <c r="Q191" i="40"/>
  <c r="Y191" i="40" s="1"/>
  <c r="S190" i="40"/>
  <c r="T182" i="40"/>
  <c r="V182" i="40"/>
  <c r="W182" i="40" s="1"/>
  <c r="M184" i="40"/>
  <c r="O184" i="40"/>
  <c r="P183" i="40"/>
  <c r="K191" i="40"/>
  <c r="L191" i="40" s="1"/>
  <c r="A198" i="28"/>
  <c r="V200" i="28"/>
  <c r="L200" i="28"/>
  <c r="M200" i="28" s="1"/>
  <c r="N200" i="28" s="1"/>
  <c r="O200" i="28" s="1"/>
  <c r="P199" i="28"/>
  <c r="C209" i="28" l="1"/>
  <c r="K208" i="28"/>
  <c r="F208" i="28"/>
  <c r="E208" i="28"/>
  <c r="H208" i="28"/>
  <c r="J208" i="28"/>
  <c r="G208" i="28"/>
  <c r="I208" i="28"/>
  <c r="Q192" i="40"/>
  <c r="Y192" i="40" s="1"/>
  <c r="S191" i="40"/>
  <c r="T183" i="40"/>
  <c r="V183" i="40"/>
  <c r="W183" i="40" s="1"/>
  <c r="M185" i="40"/>
  <c r="O185" i="40"/>
  <c r="P184" i="40"/>
  <c r="K192" i="40"/>
  <c r="L192" i="40" s="1"/>
  <c r="A199" i="28"/>
  <c r="V201" i="28"/>
  <c r="L201" i="28"/>
  <c r="M201" i="28" s="1"/>
  <c r="N201" i="28" s="1"/>
  <c r="O201" i="28" s="1"/>
  <c r="P200" i="28"/>
  <c r="C210" i="28" l="1"/>
  <c r="E209" i="28"/>
  <c r="I209" i="28"/>
  <c r="H209" i="28"/>
  <c r="F209" i="28"/>
  <c r="K209" i="28"/>
  <c r="J209" i="28"/>
  <c r="G209" i="28"/>
  <c r="Q193" i="40"/>
  <c r="Y193" i="40" s="1"/>
  <c r="S192" i="40"/>
  <c r="T184" i="40"/>
  <c r="V184" i="40"/>
  <c r="W184" i="40" s="1"/>
  <c r="P185" i="40"/>
  <c r="M186" i="40"/>
  <c r="O186" i="40"/>
  <c r="K193" i="40"/>
  <c r="L193" i="40" s="1"/>
  <c r="A200" i="28"/>
  <c r="V202" i="28"/>
  <c r="L202" i="28"/>
  <c r="M202" i="28" s="1"/>
  <c r="N202" i="28" s="1"/>
  <c r="O202" i="28" s="1"/>
  <c r="P201" i="28"/>
  <c r="C211" i="28" l="1"/>
  <c r="F210" i="28"/>
  <c r="E210" i="28"/>
  <c r="K210" i="28"/>
  <c r="I210" i="28"/>
  <c r="H210" i="28"/>
  <c r="G210" i="28"/>
  <c r="J210" i="28"/>
  <c r="Q194" i="40"/>
  <c r="Y194" i="40" s="1"/>
  <c r="S193" i="40"/>
  <c r="T185" i="40"/>
  <c r="V185" i="40"/>
  <c r="W185" i="40" s="1"/>
  <c r="P186" i="40"/>
  <c r="M187" i="40"/>
  <c r="O187" i="40"/>
  <c r="K194" i="40"/>
  <c r="L194" i="40" s="1"/>
  <c r="A201" i="28"/>
  <c r="V203" i="28"/>
  <c r="L203" i="28"/>
  <c r="M203" i="28" s="1"/>
  <c r="N203" i="28" s="1"/>
  <c r="O203" i="28" s="1"/>
  <c r="P202" i="28"/>
  <c r="C212" i="28" l="1"/>
  <c r="G211" i="28"/>
  <c r="F211" i="28"/>
  <c r="I211" i="28"/>
  <c r="E211" i="28"/>
  <c r="K211" i="28"/>
  <c r="J211" i="28"/>
  <c r="H211" i="28"/>
  <c r="Q195" i="40"/>
  <c r="Y195" i="40" s="1"/>
  <c r="S194" i="40"/>
  <c r="T186" i="40"/>
  <c r="V186" i="40"/>
  <c r="W186" i="40" s="1"/>
  <c r="M188" i="40"/>
  <c r="O188" i="40"/>
  <c r="P187" i="40"/>
  <c r="K195" i="40"/>
  <c r="L195" i="40" s="1"/>
  <c r="A202" i="28"/>
  <c r="V204" i="28"/>
  <c r="L204" i="28"/>
  <c r="M204" i="28" s="1"/>
  <c r="N204" i="28" s="1"/>
  <c r="O204" i="28" s="1"/>
  <c r="P203" i="28"/>
  <c r="C213" i="28" l="1"/>
  <c r="H212" i="28"/>
  <c r="G212" i="28"/>
  <c r="J212" i="28"/>
  <c r="K212" i="28"/>
  <c r="I212" i="28"/>
  <c r="F212" i="28"/>
  <c r="E212" i="28"/>
  <c r="Q196" i="40"/>
  <c r="Y196" i="40" s="1"/>
  <c r="S195" i="40"/>
  <c r="T187" i="40"/>
  <c r="V187" i="40"/>
  <c r="W187" i="40" s="1"/>
  <c r="M189" i="40"/>
  <c r="O189" i="40"/>
  <c r="P188" i="40"/>
  <c r="K196" i="40"/>
  <c r="L196" i="40" s="1"/>
  <c r="A203" i="28"/>
  <c r="P204" i="28"/>
  <c r="V205" i="28"/>
  <c r="L205" i="28"/>
  <c r="M205" i="28" s="1"/>
  <c r="N205" i="28" s="1"/>
  <c r="O205" i="28" s="1"/>
  <c r="C214" i="28" l="1"/>
  <c r="I213" i="28"/>
  <c r="E213" i="28"/>
  <c r="H213" i="28"/>
  <c r="K213" i="28"/>
  <c r="J213" i="28"/>
  <c r="F213" i="28"/>
  <c r="G213" i="28"/>
  <c r="Q197" i="40"/>
  <c r="Y197" i="40" s="1"/>
  <c r="S196" i="40"/>
  <c r="T188" i="40"/>
  <c r="V188" i="40"/>
  <c r="W188" i="40" s="1"/>
  <c r="M190" i="40"/>
  <c r="O190" i="40"/>
  <c r="P189" i="40"/>
  <c r="K197" i="40"/>
  <c r="L197" i="40" s="1"/>
  <c r="A204" i="28"/>
  <c r="P205" i="28"/>
  <c r="V206" i="28"/>
  <c r="L206" i="28"/>
  <c r="M206" i="28" s="1"/>
  <c r="N206" i="28" s="1"/>
  <c r="O206" i="28" s="1"/>
  <c r="C215" i="28" l="1"/>
  <c r="J214" i="28"/>
  <c r="I214" i="28"/>
  <c r="G214" i="28"/>
  <c r="F214" i="28"/>
  <c r="E214" i="28"/>
  <c r="K214" i="28"/>
  <c r="H214" i="28"/>
  <c r="Q198" i="40"/>
  <c r="Y198" i="40" s="1"/>
  <c r="S197" i="40"/>
  <c r="T189" i="40"/>
  <c r="V189" i="40"/>
  <c r="W189" i="40" s="1"/>
  <c r="M191" i="40"/>
  <c r="O191" i="40"/>
  <c r="P190" i="40"/>
  <c r="K198" i="40"/>
  <c r="L198" i="40" s="1"/>
  <c r="A205" i="28"/>
  <c r="P206" i="28"/>
  <c r="V207" i="28"/>
  <c r="L207" i="28"/>
  <c r="M207" i="28" s="1"/>
  <c r="N207" i="28" s="1"/>
  <c r="O207" i="28" s="1"/>
  <c r="C216" i="28" l="1"/>
  <c r="K215" i="28"/>
  <c r="J215" i="28"/>
  <c r="I215" i="28"/>
  <c r="F215" i="28"/>
  <c r="H215" i="28"/>
  <c r="G215" i="28"/>
  <c r="E215" i="28"/>
  <c r="Q199" i="40"/>
  <c r="Y199" i="40" s="1"/>
  <c r="S198" i="40"/>
  <c r="T190" i="40"/>
  <c r="V190" i="40"/>
  <c r="W190" i="40" s="1"/>
  <c r="M192" i="40"/>
  <c r="O192" i="40"/>
  <c r="P191" i="40"/>
  <c r="K199" i="40"/>
  <c r="L199" i="40" s="1"/>
  <c r="A206" i="28"/>
  <c r="P207" i="28"/>
  <c r="V208" i="28"/>
  <c r="L208" i="28"/>
  <c r="M208" i="28" s="1"/>
  <c r="N208" i="28" s="1"/>
  <c r="O208" i="28" s="1"/>
  <c r="C217" i="28" l="1"/>
  <c r="K216" i="28"/>
  <c r="H216" i="28"/>
  <c r="G216" i="28"/>
  <c r="F216" i="28"/>
  <c r="J216" i="28"/>
  <c r="I216" i="28"/>
  <c r="E216" i="28"/>
  <c r="Q200" i="40"/>
  <c r="Y200" i="40" s="1"/>
  <c r="S199" i="40"/>
  <c r="T191" i="40"/>
  <c r="P192" i="40"/>
  <c r="M193" i="40"/>
  <c r="O193" i="40"/>
  <c r="V191" i="40"/>
  <c r="W191" i="40" s="1"/>
  <c r="K200" i="40"/>
  <c r="L200" i="40" s="1"/>
  <c r="A207" i="28"/>
  <c r="P208" i="28"/>
  <c r="V209" i="28"/>
  <c r="L209" i="28"/>
  <c r="M209" i="28" s="1"/>
  <c r="N209" i="28" s="1"/>
  <c r="O209" i="28" s="1"/>
  <c r="C218" i="28" l="1"/>
  <c r="E217" i="28"/>
  <c r="G217" i="28"/>
  <c r="J217" i="28"/>
  <c r="F217" i="28"/>
  <c r="I217" i="28"/>
  <c r="H217" i="28"/>
  <c r="K217" i="28"/>
  <c r="Q201" i="40"/>
  <c r="Y201" i="40" s="1"/>
  <c r="S200" i="40"/>
  <c r="T192" i="40"/>
  <c r="V192" i="40"/>
  <c r="W192" i="40" s="1"/>
  <c r="M194" i="40"/>
  <c r="O194" i="40"/>
  <c r="P193" i="40"/>
  <c r="K201" i="40"/>
  <c r="L201" i="40" s="1"/>
  <c r="A208" i="28"/>
  <c r="P209" i="28"/>
  <c r="V210" i="28"/>
  <c r="L210" i="28"/>
  <c r="M210" i="28" s="1"/>
  <c r="N210" i="28" s="1"/>
  <c r="O210" i="28" s="1"/>
  <c r="C219" i="28" l="1"/>
  <c r="F218" i="28"/>
  <c r="J218" i="28"/>
  <c r="E218" i="28"/>
  <c r="I218" i="28"/>
  <c r="H218" i="28"/>
  <c r="G218" i="28"/>
  <c r="K218" i="28"/>
  <c r="Q202" i="40"/>
  <c r="Y202" i="40" s="1"/>
  <c r="S201" i="40"/>
  <c r="T193" i="40"/>
  <c r="P194" i="40"/>
  <c r="M195" i="40"/>
  <c r="O195" i="40"/>
  <c r="V193" i="40"/>
  <c r="W193" i="40" s="1"/>
  <c r="K202" i="40"/>
  <c r="L202" i="40" s="1"/>
  <c r="A209" i="28"/>
  <c r="V211" i="28"/>
  <c r="L211" i="28"/>
  <c r="M211" i="28" s="1"/>
  <c r="N211" i="28" s="1"/>
  <c r="O211" i="28" s="1"/>
  <c r="P210" i="28"/>
  <c r="C220" i="28" l="1"/>
  <c r="G219" i="28"/>
  <c r="F219" i="28"/>
  <c r="K219" i="28"/>
  <c r="J219" i="28"/>
  <c r="I219" i="28"/>
  <c r="H219" i="28"/>
  <c r="E219" i="28"/>
  <c r="Q203" i="40"/>
  <c r="Y203" i="40" s="1"/>
  <c r="S202" i="40"/>
  <c r="T194" i="40"/>
  <c r="V194" i="40"/>
  <c r="W194" i="40" s="1"/>
  <c r="P195" i="40"/>
  <c r="M196" i="40"/>
  <c r="O196" i="40"/>
  <c r="K203" i="40"/>
  <c r="L203" i="40" s="1"/>
  <c r="A210" i="28"/>
  <c r="P211" i="28"/>
  <c r="V212" i="28"/>
  <c r="L212" i="28"/>
  <c r="M212" i="28" s="1"/>
  <c r="N212" i="28" s="1"/>
  <c r="O212" i="28" s="1"/>
  <c r="C221" i="28" l="1"/>
  <c r="H220" i="28"/>
  <c r="G220" i="28"/>
  <c r="J220" i="28"/>
  <c r="I220" i="28"/>
  <c r="F220" i="28"/>
  <c r="E220" i="28"/>
  <c r="K220" i="28"/>
  <c r="Q204" i="40"/>
  <c r="Y204" i="40" s="1"/>
  <c r="S203" i="40"/>
  <c r="T195" i="40"/>
  <c r="V195" i="40"/>
  <c r="W195" i="40" s="1"/>
  <c r="P196" i="40"/>
  <c r="M197" i="40"/>
  <c r="O197" i="40"/>
  <c r="K204" i="40"/>
  <c r="L204" i="40" s="1"/>
  <c r="A211" i="28"/>
  <c r="V213" i="28"/>
  <c r="L213" i="28"/>
  <c r="M213" i="28" s="1"/>
  <c r="N213" i="28" s="1"/>
  <c r="O213" i="28" s="1"/>
  <c r="P212" i="28"/>
  <c r="C222" i="28" l="1"/>
  <c r="I221" i="28"/>
  <c r="H221" i="28"/>
  <c r="K221" i="28"/>
  <c r="J221" i="28"/>
  <c r="G221" i="28"/>
  <c r="F221" i="28"/>
  <c r="E221" i="28"/>
  <c r="Q205" i="40"/>
  <c r="Y205" i="40" s="1"/>
  <c r="S204" i="40"/>
  <c r="T196" i="40"/>
  <c r="V196" i="40"/>
  <c r="W196" i="40" s="1"/>
  <c r="P197" i="40"/>
  <c r="M198" i="40"/>
  <c r="O198" i="40"/>
  <c r="K205" i="40"/>
  <c r="L205" i="40" s="1"/>
  <c r="A212" i="28"/>
  <c r="P213" i="28"/>
  <c r="V214" i="28"/>
  <c r="L214" i="28"/>
  <c r="M214" i="28" s="1"/>
  <c r="N214" i="28" s="1"/>
  <c r="O214" i="28" s="1"/>
  <c r="C223" i="28" l="1"/>
  <c r="J222" i="28"/>
  <c r="I222" i="28"/>
  <c r="H222" i="28"/>
  <c r="G222" i="28"/>
  <c r="F222" i="28"/>
  <c r="E222" i="28"/>
  <c r="K222" i="28"/>
  <c r="Q206" i="40"/>
  <c r="Y206" i="40" s="1"/>
  <c r="S205" i="40"/>
  <c r="T197" i="40"/>
  <c r="V197" i="40"/>
  <c r="W197" i="40" s="1"/>
  <c r="P198" i="40"/>
  <c r="M199" i="40"/>
  <c r="O199" i="40"/>
  <c r="K206" i="40"/>
  <c r="L206" i="40" s="1"/>
  <c r="A213" i="28"/>
  <c r="V215" i="28"/>
  <c r="L215" i="28"/>
  <c r="M215" i="28" s="1"/>
  <c r="N215" i="28" s="1"/>
  <c r="O215" i="28" s="1"/>
  <c r="P214" i="28"/>
  <c r="C224" i="28" l="1"/>
  <c r="K223" i="28"/>
  <c r="H223" i="28"/>
  <c r="J223" i="28"/>
  <c r="I223" i="28"/>
  <c r="G223" i="28"/>
  <c r="F223" i="28"/>
  <c r="E223" i="28"/>
  <c r="Q207" i="40"/>
  <c r="Y207" i="40" s="1"/>
  <c r="S206" i="40"/>
  <c r="T198" i="40"/>
  <c r="V198" i="40"/>
  <c r="W198" i="40" s="1"/>
  <c r="M200" i="40"/>
  <c r="O200" i="40"/>
  <c r="P199" i="40"/>
  <c r="K207" i="40"/>
  <c r="L207" i="40" s="1"/>
  <c r="A214" i="28"/>
  <c r="V216" i="28"/>
  <c r="L216" i="28"/>
  <c r="M216" i="28" s="1"/>
  <c r="N216" i="28" s="1"/>
  <c r="O216" i="28" s="1"/>
  <c r="P215" i="28"/>
  <c r="C225" i="28" l="1"/>
  <c r="K224" i="28"/>
  <c r="E224" i="28"/>
  <c r="J224" i="28"/>
  <c r="G224" i="28"/>
  <c r="F224" i="28"/>
  <c r="I224" i="28"/>
  <c r="H224" i="28"/>
  <c r="Q208" i="40"/>
  <c r="Y208" i="40" s="1"/>
  <c r="S207" i="40"/>
  <c r="T199" i="40"/>
  <c r="V199" i="40"/>
  <c r="W199" i="40" s="1"/>
  <c r="P200" i="40"/>
  <c r="M201" i="40"/>
  <c r="O201" i="40"/>
  <c r="K208" i="40"/>
  <c r="L208" i="40" s="1"/>
  <c r="A215" i="28"/>
  <c r="V217" i="28"/>
  <c r="L217" i="28"/>
  <c r="M217" i="28" s="1"/>
  <c r="N217" i="28" s="1"/>
  <c r="O217" i="28" s="1"/>
  <c r="P216" i="28"/>
  <c r="C226" i="28" l="1"/>
  <c r="E225" i="28"/>
  <c r="K225" i="28"/>
  <c r="J225" i="28"/>
  <c r="G225" i="28"/>
  <c r="I225" i="28"/>
  <c r="H225" i="28"/>
  <c r="F225" i="28"/>
  <c r="Q209" i="40"/>
  <c r="Y209" i="40" s="1"/>
  <c r="S208" i="40"/>
  <c r="T200" i="40"/>
  <c r="V200" i="40"/>
  <c r="W200" i="40" s="1"/>
  <c r="P201" i="40"/>
  <c r="M202" i="40"/>
  <c r="O202" i="40"/>
  <c r="K209" i="40"/>
  <c r="L209" i="40" s="1"/>
  <c r="A216" i="28"/>
  <c r="V218" i="28"/>
  <c r="L218" i="28"/>
  <c r="M218" i="28" s="1"/>
  <c r="N218" i="28" s="1"/>
  <c r="O218" i="28" s="1"/>
  <c r="P217" i="28"/>
  <c r="C227" i="28" l="1"/>
  <c r="F226" i="28"/>
  <c r="E226" i="28"/>
  <c r="H226" i="28"/>
  <c r="G226" i="28"/>
  <c r="J226" i="28"/>
  <c r="I226" i="28"/>
  <c r="K226" i="28"/>
  <c r="Q210" i="40"/>
  <c r="Y210" i="40" s="1"/>
  <c r="S209" i="40"/>
  <c r="T201" i="40"/>
  <c r="V201" i="40"/>
  <c r="W201" i="40" s="1"/>
  <c r="P202" i="40"/>
  <c r="M203" i="40"/>
  <c r="O203" i="40"/>
  <c r="K210" i="40"/>
  <c r="L210" i="40" s="1"/>
  <c r="A217" i="28"/>
  <c r="V219" i="28"/>
  <c r="L219" i="28"/>
  <c r="M219" i="28" s="1"/>
  <c r="N219" i="28" s="1"/>
  <c r="O219" i="28" s="1"/>
  <c r="P218" i="28"/>
  <c r="C228" i="28" l="1"/>
  <c r="G227" i="28"/>
  <c r="K227" i="28"/>
  <c r="F227" i="28"/>
  <c r="J227" i="28"/>
  <c r="I227" i="28"/>
  <c r="H227" i="28"/>
  <c r="E227" i="28"/>
  <c r="Q211" i="40"/>
  <c r="Y211" i="40" s="1"/>
  <c r="S210" i="40"/>
  <c r="T202" i="40"/>
  <c r="V202" i="40"/>
  <c r="W202" i="40" s="1"/>
  <c r="P203" i="40"/>
  <c r="M204" i="40"/>
  <c r="O204" i="40"/>
  <c r="K211" i="40"/>
  <c r="L211" i="40" s="1"/>
  <c r="A218" i="28"/>
  <c r="P219" i="28"/>
  <c r="V220" i="28"/>
  <c r="L220" i="28"/>
  <c r="M220" i="28" s="1"/>
  <c r="N220" i="28" s="1"/>
  <c r="O220" i="28" s="1"/>
  <c r="C229" i="28" l="1"/>
  <c r="H228" i="28"/>
  <c r="G228" i="28"/>
  <c r="J228" i="28"/>
  <c r="I228" i="28"/>
  <c r="F228" i="28"/>
  <c r="E228" i="28"/>
  <c r="K228" i="28"/>
  <c r="Q212" i="40"/>
  <c r="Y212" i="40" s="1"/>
  <c r="S211" i="40"/>
  <c r="T203" i="40"/>
  <c r="V203" i="40"/>
  <c r="W203" i="40" s="1"/>
  <c r="M205" i="40"/>
  <c r="O205" i="40"/>
  <c r="P204" i="40"/>
  <c r="K212" i="40"/>
  <c r="L212" i="40" s="1"/>
  <c r="A219" i="28"/>
  <c r="V221" i="28"/>
  <c r="L221" i="28"/>
  <c r="M221" i="28" s="1"/>
  <c r="N221" i="28" s="1"/>
  <c r="O221" i="28" s="1"/>
  <c r="P220" i="28"/>
  <c r="C230" i="28" l="1"/>
  <c r="I229" i="28"/>
  <c r="H229" i="28"/>
  <c r="G229" i="28"/>
  <c r="F229" i="28"/>
  <c r="J229" i="28"/>
  <c r="E229" i="28"/>
  <c r="K229" i="28"/>
  <c r="Q213" i="40"/>
  <c r="Y213" i="40" s="1"/>
  <c r="S212" i="40"/>
  <c r="T204" i="40"/>
  <c r="V204" i="40"/>
  <c r="W204" i="40" s="1"/>
  <c r="P205" i="40"/>
  <c r="M206" i="40"/>
  <c r="O206" i="40"/>
  <c r="K213" i="40"/>
  <c r="L213" i="40" s="1"/>
  <c r="A220" i="28"/>
  <c r="P221" i="28"/>
  <c r="V222" i="28"/>
  <c r="L222" i="28"/>
  <c r="M222" i="28" s="1"/>
  <c r="N222" i="28" s="1"/>
  <c r="O222" i="28" s="1"/>
  <c r="C231" i="28" l="1"/>
  <c r="J230" i="28"/>
  <c r="I230" i="28"/>
  <c r="K230" i="28"/>
  <c r="H230" i="28"/>
  <c r="E230" i="28"/>
  <c r="G230" i="28"/>
  <c r="F230" i="28"/>
  <c r="Q214" i="40"/>
  <c r="Y214" i="40" s="1"/>
  <c r="S213" i="40"/>
  <c r="T205" i="40"/>
  <c r="V205" i="40"/>
  <c r="W205" i="40" s="1"/>
  <c r="M207" i="40"/>
  <c r="O207" i="40"/>
  <c r="P206" i="40"/>
  <c r="K214" i="40"/>
  <c r="L214" i="40" s="1"/>
  <c r="A221" i="28"/>
  <c r="V223" i="28"/>
  <c r="L223" i="28"/>
  <c r="M223" i="28" s="1"/>
  <c r="N223" i="28" s="1"/>
  <c r="O223" i="28" s="1"/>
  <c r="P222" i="28"/>
  <c r="C232" i="28" l="1"/>
  <c r="K231" i="28"/>
  <c r="J231" i="28"/>
  <c r="G231" i="28"/>
  <c r="F231" i="28"/>
  <c r="E231" i="28"/>
  <c r="I231" i="28"/>
  <c r="H231" i="28"/>
  <c r="Q215" i="40"/>
  <c r="Y215" i="40" s="1"/>
  <c r="S214" i="40"/>
  <c r="T206" i="40"/>
  <c r="V206" i="40"/>
  <c r="W206" i="40" s="1"/>
  <c r="P207" i="40"/>
  <c r="M208" i="40"/>
  <c r="O208" i="40"/>
  <c r="K215" i="40"/>
  <c r="L215" i="40" s="1"/>
  <c r="A222" i="28"/>
  <c r="V224" i="28"/>
  <c r="L224" i="28"/>
  <c r="M224" i="28" s="1"/>
  <c r="N224" i="28" s="1"/>
  <c r="O224" i="28" s="1"/>
  <c r="P223" i="28"/>
  <c r="C233" i="28" l="1"/>
  <c r="K232" i="28"/>
  <c r="G232" i="28"/>
  <c r="F232" i="28"/>
  <c r="H232" i="28"/>
  <c r="J232" i="28"/>
  <c r="E232" i="28"/>
  <c r="I232" i="28"/>
  <c r="Q216" i="40"/>
  <c r="Y216" i="40" s="1"/>
  <c r="S215" i="40"/>
  <c r="T207" i="40"/>
  <c r="V207" i="40"/>
  <c r="W207" i="40" s="1"/>
  <c r="P208" i="40"/>
  <c r="M209" i="40"/>
  <c r="O209" i="40"/>
  <c r="K216" i="40"/>
  <c r="L216" i="40" s="1"/>
  <c r="A223" i="28"/>
  <c r="P224" i="28"/>
  <c r="V225" i="28"/>
  <c r="L225" i="28"/>
  <c r="M225" i="28" s="1"/>
  <c r="N225" i="28" s="1"/>
  <c r="O225" i="28" s="1"/>
  <c r="C234" i="28" l="1"/>
  <c r="E233" i="28"/>
  <c r="K233" i="28"/>
  <c r="G233" i="28"/>
  <c r="J233" i="28"/>
  <c r="I233" i="28"/>
  <c r="F233" i="28"/>
  <c r="H233" i="28"/>
  <c r="Q217" i="40"/>
  <c r="Y217" i="40" s="1"/>
  <c r="S216" i="40"/>
  <c r="T208" i="40"/>
  <c r="M210" i="40"/>
  <c r="O210" i="40"/>
  <c r="P209" i="40"/>
  <c r="V208" i="40"/>
  <c r="W208" i="40" s="1"/>
  <c r="K217" i="40"/>
  <c r="L217" i="40" s="1"/>
  <c r="A224" i="28"/>
  <c r="V226" i="28"/>
  <c r="L226" i="28"/>
  <c r="M226" i="28" s="1"/>
  <c r="N226" i="28" s="1"/>
  <c r="O226" i="28" s="1"/>
  <c r="P225" i="28"/>
  <c r="C235" i="28" l="1"/>
  <c r="F234" i="28"/>
  <c r="H234" i="28"/>
  <c r="G234" i="28"/>
  <c r="K234" i="28"/>
  <c r="E234" i="28"/>
  <c r="J234" i="28"/>
  <c r="I234" i="28"/>
  <c r="Q218" i="40"/>
  <c r="Y218" i="40" s="1"/>
  <c r="S217" i="40"/>
  <c r="T209" i="40"/>
  <c r="V209" i="40"/>
  <c r="W209" i="40" s="1"/>
  <c r="P210" i="40"/>
  <c r="M211" i="40"/>
  <c r="O211" i="40"/>
  <c r="K218" i="40"/>
  <c r="L218" i="40" s="1"/>
  <c r="A225" i="28"/>
  <c r="V227" i="28"/>
  <c r="L227" i="28"/>
  <c r="M227" i="28" s="1"/>
  <c r="N227" i="28" s="1"/>
  <c r="O227" i="28" s="1"/>
  <c r="P226" i="28"/>
  <c r="C236" i="28" l="1"/>
  <c r="G235" i="28"/>
  <c r="J235" i="28"/>
  <c r="F235" i="28"/>
  <c r="I235" i="28"/>
  <c r="H235" i="28"/>
  <c r="K235" i="28"/>
  <c r="E235" i="28"/>
  <c r="Q219" i="40"/>
  <c r="Y219" i="40" s="1"/>
  <c r="S218" i="40"/>
  <c r="T210" i="40"/>
  <c r="M212" i="40"/>
  <c r="O212" i="40"/>
  <c r="P211" i="40"/>
  <c r="V210" i="40"/>
  <c r="W210" i="40" s="1"/>
  <c r="K219" i="40"/>
  <c r="L219" i="40" s="1"/>
  <c r="A226" i="28"/>
  <c r="V228" i="28"/>
  <c r="L228" i="28"/>
  <c r="M228" i="28" s="1"/>
  <c r="N228" i="28" s="1"/>
  <c r="O228" i="28" s="1"/>
  <c r="P227" i="28"/>
  <c r="C237" i="28" l="1"/>
  <c r="H236" i="28"/>
  <c r="G236" i="28"/>
  <c r="I236" i="28"/>
  <c r="K236" i="28"/>
  <c r="J236" i="28"/>
  <c r="F236" i="28"/>
  <c r="E236" i="28"/>
  <c r="Q220" i="40"/>
  <c r="Y220" i="40" s="1"/>
  <c r="S219" i="40"/>
  <c r="T211" i="40"/>
  <c r="V211" i="40"/>
  <c r="W211" i="40" s="1"/>
  <c r="P212" i="40"/>
  <c r="M213" i="40"/>
  <c r="O213" i="40"/>
  <c r="K220" i="40"/>
  <c r="L220" i="40" s="1"/>
  <c r="A227" i="28"/>
  <c r="P228" i="28"/>
  <c r="V229" i="28"/>
  <c r="L229" i="28"/>
  <c r="M229" i="28" s="1"/>
  <c r="N229" i="28" s="1"/>
  <c r="O229" i="28" s="1"/>
  <c r="C238" i="28" l="1"/>
  <c r="I237" i="28"/>
  <c r="H237" i="28"/>
  <c r="E237" i="28"/>
  <c r="K237" i="28"/>
  <c r="J237" i="28"/>
  <c r="G237" i="28"/>
  <c r="F237" i="28"/>
  <c r="Q221" i="40"/>
  <c r="Y221" i="40" s="1"/>
  <c r="S220" i="40"/>
  <c r="T212" i="40"/>
  <c r="V212" i="40"/>
  <c r="W212" i="40" s="1"/>
  <c r="P213" i="40"/>
  <c r="M214" i="40"/>
  <c r="O214" i="40"/>
  <c r="K221" i="40"/>
  <c r="L221" i="40" s="1"/>
  <c r="A228" i="28"/>
  <c r="V230" i="28"/>
  <c r="L230" i="28"/>
  <c r="M230" i="28" s="1"/>
  <c r="N230" i="28" s="1"/>
  <c r="O230" i="28" s="1"/>
  <c r="P229" i="28"/>
  <c r="C239" i="28" l="1"/>
  <c r="J238" i="28"/>
  <c r="I238" i="28"/>
  <c r="H238" i="28"/>
  <c r="G238" i="28"/>
  <c r="K238" i="28"/>
  <c r="F238" i="28"/>
  <c r="E238" i="28"/>
  <c r="Q222" i="40"/>
  <c r="Y222" i="40" s="1"/>
  <c r="S221" i="40"/>
  <c r="T213" i="40"/>
  <c r="V213" i="40"/>
  <c r="W213" i="40" s="1"/>
  <c r="M215" i="40"/>
  <c r="O215" i="40"/>
  <c r="P214" i="40"/>
  <c r="K222" i="40"/>
  <c r="L222" i="40" s="1"/>
  <c r="A229" i="28"/>
  <c r="V231" i="28"/>
  <c r="L231" i="28"/>
  <c r="M231" i="28" s="1"/>
  <c r="N231" i="28" s="1"/>
  <c r="O231" i="28" s="1"/>
  <c r="P230" i="28"/>
  <c r="C240" i="28" l="1"/>
  <c r="K239" i="28"/>
  <c r="F239" i="28"/>
  <c r="J239" i="28"/>
  <c r="E239" i="28"/>
  <c r="I239" i="28"/>
  <c r="H239" i="28"/>
  <c r="G239" i="28"/>
  <c r="Q223" i="40"/>
  <c r="Y223" i="40" s="1"/>
  <c r="S222" i="40"/>
  <c r="T214" i="40"/>
  <c r="V214" i="40"/>
  <c r="W214" i="40" s="1"/>
  <c r="M216" i="40"/>
  <c r="O216" i="40"/>
  <c r="P215" i="40"/>
  <c r="K223" i="40"/>
  <c r="L223" i="40" s="1"/>
  <c r="A230" i="28"/>
  <c r="V232" i="28"/>
  <c r="L232" i="28"/>
  <c r="M232" i="28" s="1"/>
  <c r="N232" i="28" s="1"/>
  <c r="O232" i="28" s="1"/>
  <c r="P231" i="28"/>
  <c r="C241" i="28" l="1"/>
  <c r="K240" i="28"/>
  <c r="F240" i="28"/>
  <c r="E240" i="28"/>
  <c r="J240" i="28"/>
  <c r="G240" i="28"/>
  <c r="I240" i="28"/>
  <c r="H240" i="28"/>
  <c r="Q224" i="40"/>
  <c r="Y224" i="40" s="1"/>
  <c r="S223" i="40"/>
  <c r="T215" i="40"/>
  <c r="V215" i="40"/>
  <c r="W215" i="40" s="1"/>
  <c r="M217" i="40"/>
  <c r="O217" i="40"/>
  <c r="P216" i="40"/>
  <c r="K224" i="40"/>
  <c r="L224" i="40" s="1"/>
  <c r="A231" i="28"/>
  <c r="V233" i="28"/>
  <c r="L233" i="28"/>
  <c r="M233" i="28" s="1"/>
  <c r="N233" i="28" s="1"/>
  <c r="O233" i="28" s="1"/>
  <c r="P232" i="28"/>
  <c r="C242" i="28" l="1"/>
  <c r="E241" i="28"/>
  <c r="I241" i="28"/>
  <c r="H241" i="28"/>
  <c r="K241" i="28"/>
  <c r="G241" i="28"/>
  <c r="J241" i="28"/>
  <c r="F241" i="28"/>
  <c r="Q225" i="40"/>
  <c r="Y225" i="40" s="1"/>
  <c r="S224" i="40"/>
  <c r="T216" i="40"/>
  <c r="V216" i="40"/>
  <c r="W216" i="40" s="1"/>
  <c r="P217" i="40"/>
  <c r="M218" i="40"/>
  <c r="O218" i="40"/>
  <c r="K225" i="40"/>
  <c r="L225" i="40" s="1"/>
  <c r="A232" i="28"/>
  <c r="P233" i="28"/>
  <c r="V234" i="28"/>
  <c r="L234" i="28"/>
  <c r="M234" i="28" s="1"/>
  <c r="N234" i="28" s="1"/>
  <c r="O234" i="28" s="1"/>
  <c r="C243" i="28" l="1"/>
  <c r="F242" i="28"/>
  <c r="K242" i="28"/>
  <c r="H242" i="28"/>
  <c r="E242" i="28"/>
  <c r="G242" i="28"/>
  <c r="J242" i="28"/>
  <c r="I242" i="28"/>
  <c r="Q226" i="40"/>
  <c r="Y226" i="40" s="1"/>
  <c r="S225" i="40"/>
  <c r="T217" i="40"/>
  <c r="V217" i="40"/>
  <c r="W217" i="40" s="1"/>
  <c r="P218" i="40"/>
  <c r="M219" i="40"/>
  <c r="O219" i="40"/>
  <c r="K226" i="40"/>
  <c r="L226" i="40" s="1"/>
  <c r="A233" i="28"/>
  <c r="P234" i="28"/>
  <c r="V235" i="28"/>
  <c r="L235" i="28"/>
  <c r="M235" i="28" s="1"/>
  <c r="N235" i="28" s="1"/>
  <c r="O235" i="28" s="1"/>
  <c r="C244" i="28" l="1"/>
  <c r="G243" i="28"/>
  <c r="F243" i="28"/>
  <c r="J243" i="28"/>
  <c r="I243" i="28"/>
  <c r="E243" i="28"/>
  <c r="K243" i="28"/>
  <c r="H243" i="28"/>
  <c r="Q227" i="40"/>
  <c r="Y227" i="40" s="1"/>
  <c r="S226" i="40"/>
  <c r="T218" i="40"/>
  <c r="V218" i="40"/>
  <c r="W218" i="40" s="1"/>
  <c r="P219" i="40"/>
  <c r="M220" i="40"/>
  <c r="O220" i="40"/>
  <c r="K227" i="40"/>
  <c r="L227" i="40" s="1"/>
  <c r="A234" i="28"/>
  <c r="V236" i="28"/>
  <c r="L236" i="28"/>
  <c r="M236" i="28" s="1"/>
  <c r="N236" i="28" s="1"/>
  <c r="O236" i="28" s="1"/>
  <c r="P235" i="28"/>
  <c r="C245" i="28" l="1"/>
  <c r="H244" i="28"/>
  <c r="G244" i="28"/>
  <c r="F244" i="28"/>
  <c r="J244" i="28"/>
  <c r="I244" i="28"/>
  <c r="K244" i="28"/>
  <c r="E244" i="28"/>
  <c r="Q228" i="40"/>
  <c r="Y228" i="40" s="1"/>
  <c r="S227" i="40"/>
  <c r="T219" i="40"/>
  <c r="V219" i="40"/>
  <c r="W219" i="40" s="1"/>
  <c r="M221" i="40"/>
  <c r="O221" i="40"/>
  <c r="P220" i="40"/>
  <c r="K228" i="40"/>
  <c r="L228" i="40" s="1"/>
  <c r="A235" i="28"/>
  <c r="V237" i="28"/>
  <c r="L237" i="28"/>
  <c r="M237" i="28" s="1"/>
  <c r="N237" i="28" s="1"/>
  <c r="O237" i="28" s="1"/>
  <c r="P236" i="28"/>
  <c r="C246" i="28" l="1"/>
  <c r="I245" i="28"/>
  <c r="H245" i="28"/>
  <c r="G245" i="28"/>
  <c r="E245" i="28"/>
  <c r="K245" i="28"/>
  <c r="F245" i="28"/>
  <c r="J245" i="28"/>
  <c r="Q229" i="40"/>
  <c r="Y229" i="40" s="1"/>
  <c r="S228" i="40"/>
  <c r="T220" i="40"/>
  <c r="V220" i="40"/>
  <c r="W220" i="40" s="1"/>
  <c r="M222" i="40"/>
  <c r="O222" i="40"/>
  <c r="P221" i="40"/>
  <c r="K229" i="40"/>
  <c r="L229" i="40" s="1"/>
  <c r="A236" i="28"/>
  <c r="V238" i="28"/>
  <c r="L238" i="28"/>
  <c r="M238" i="28" s="1"/>
  <c r="N238" i="28" s="1"/>
  <c r="O238" i="28" s="1"/>
  <c r="P237" i="28"/>
  <c r="C247" i="28" l="1"/>
  <c r="J246" i="28"/>
  <c r="I246" i="28"/>
  <c r="K246" i="28"/>
  <c r="H246" i="28"/>
  <c r="F246" i="28"/>
  <c r="E246" i="28"/>
  <c r="G246" i="28"/>
  <c r="Q230" i="40"/>
  <c r="Y230" i="40" s="1"/>
  <c r="S229" i="40"/>
  <c r="T221" i="40"/>
  <c r="M223" i="40"/>
  <c r="O223" i="40"/>
  <c r="P222" i="40"/>
  <c r="V221" i="40"/>
  <c r="W221" i="40" s="1"/>
  <c r="K230" i="40"/>
  <c r="L230" i="40" s="1"/>
  <c r="A237" i="28"/>
  <c r="V239" i="28"/>
  <c r="L239" i="28"/>
  <c r="M239" i="28" s="1"/>
  <c r="N239" i="28" s="1"/>
  <c r="O239" i="28" s="1"/>
  <c r="P238" i="28"/>
  <c r="C248" i="28" l="1"/>
  <c r="K247" i="28"/>
  <c r="J247" i="28"/>
  <c r="G247" i="28"/>
  <c r="I247" i="28"/>
  <c r="H247" i="28"/>
  <c r="F247" i="28"/>
  <c r="E247" i="28"/>
  <c r="Q231" i="40"/>
  <c r="Y231" i="40" s="1"/>
  <c r="S230" i="40"/>
  <c r="T222" i="40"/>
  <c r="V222" i="40"/>
  <c r="W222" i="40" s="1"/>
  <c r="P223" i="40"/>
  <c r="M224" i="40"/>
  <c r="O224" i="40"/>
  <c r="K231" i="40"/>
  <c r="L231" i="40" s="1"/>
  <c r="A238" i="28"/>
  <c r="P239" i="28"/>
  <c r="V240" i="28"/>
  <c r="L240" i="28"/>
  <c r="M240" i="28" s="1"/>
  <c r="N240" i="28" s="1"/>
  <c r="O240" i="28" s="1"/>
  <c r="C249" i="28" l="1"/>
  <c r="K248" i="28"/>
  <c r="J248" i="28"/>
  <c r="F248" i="28"/>
  <c r="I248" i="28"/>
  <c r="H248" i="28"/>
  <c r="G248" i="28"/>
  <c r="E248" i="28"/>
  <c r="Q232" i="40"/>
  <c r="Y232" i="40" s="1"/>
  <c r="S231" i="40"/>
  <c r="T223" i="40"/>
  <c r="V223" i="40"/>
  <c r="W223" i="40" s="1"/>
  <c r="M225" i="40"/>
  <c r="O225" i="40"/>
  <c r="P224" i="40"/>
  <c r="K232" i="40"/>
  <c r="L232" i="40" s="1"/>
  <c r="A239" i="28"/>
  <c r="V241" i="28"/>
  <c r="L241" i="28"/>
  <c r="M241" i="28" s="1"/>
  <c r="N241" i="28" s="1"/>
  <c r="O241" i="28" s="1"/>
  <c r="P240" i="28"/>
  <c r="C250" i="28" l="1"/>
  <c r="E249" i="28"/>
  <c r="I249" i="28"/>
  <c r="G249" i="28"/>
  <c r="F249" i="28"/>
  <c r="K249" i="28"/>
  <c r="J249" i="28"/>
  <c r="H249" i="28"/>
  <c r="Q233" i="40"/>
  <c r="Y233" i="40" s="1"/>
  <c r="S232" i="40"/>
  <c r="T224" i="40"/>
  <c r="V224" i="40"/>
  <c r="W224" i="40" s="1"/>
  <c r="M226" i="40"/>
  <c r="O226" i="40"/>
  <c r="P225" i="40"/>
  <c r="K233" i="40"/>
  <c r="L233" i="40" s="1"/>
  <c r="A240" i="28"/>
  <c r="P241" i="28"/>
  <c r="V242" i="28"/>
  <c r="L242" i="28"/>
  <c r="M242" i="28" s="1"/>
  <c r="N242" i="28" s="1"/>
  <c r="O242" i="28" s="1"/>
  <c r="C251" i="28" l="1"/>
  <c r="F250" i="28"/>
  <c r="E250" i="28"/>
  <c r="H250" i="28"/>
  <c r="K250" i="28"/>
  <c r="I250" i="28"/>
  <c r="J250" i="28"/>
  <c r="G250" i="28"/>
  <c r="Q234" i="40"/>
  <c r="Y234" i="40" s="1"/>
  <c r="S233" i="40"/>
  <c r="T225" i="40"/>
  <c r="V225" i="40"/>
  <c r="W225" i="40" s="1"/>
  <c r="M227" i="40"/>
  <c r="O227" i="40"/>
  <c r="P226" i="40"/>
  <c r="K234" i="40"/>
  <c r="L234" i="40" s="1"/>
  <c r="A241" i="28"/>
  <c r="P242" i="28"/>
  <c r="V243" i="28"/>
  <c r="L243" i="28"/>
  <c r="M243" i="28" s="1"/>
  <c r="N243" i="28" s="1"/>
  <c r="O243" i="28" s="1"/>
  <c r="C252" i="28" l="1"/>
  <c r="G251" i="28"/>
  <c r="F251" i="28"/>
  <c r="K251" i="28"/>
  <c r="J251" i="28"/>
  <c r="H251" i="28"/>
  <c r="E251" i="28"/>
  <c r="I251" i="28"/>
  <c r="Q235" i="40"/>
  <c r="Y235" i="40" s="1"/>
  <c r="S234" i="40"/>
  <c r="T226" i="40"/>
  <c r="V226" i="40"/>
  <c r="W226" i="40" s="1"/>
  <c r="P227" i="40"/>
  <c r="M228" i="40"/>
  <c r="O228" i="40"/>
  <c r="K235" i="40"/>
  <c r="L235" i="40" s="1"/>
  <c r="A242" i="28"/>
  <c r="P243" i="28"/>
  <c r="V244" i="28"/>
  <c r="L244" i="28"/>
  <c r="M244" i="28" s="1"/>
  <c r="N244" i="28" s="1"/>
  <c r="O244" i="28" s="1"/>
  <c r="C253" i="28" l="1"/>
  <c r="H252" i="28"/>
  <c r="G252" i="28"/>
  <c r="E252" i="28"/>
  <c r="K252" i="28"/>
  <c r="J252" i="28"/>
  <c r="I252" i="28"/>
  <c r="F252" i="28"/>
  <c r="Q236" i="40"/>
  <c r="Y236" i="40" s="1"/>
  <c r="S235" i="40"/>
  <c r="T227" i="40"/>
  <c r="V227" i="40"/>
  <c r="W227" i="40" s="1"/>
  <c r="P228" i="40"/>
  <c r="M229" i="40"/>
  <c r="O229" i="40"/>
  <c r="K236" i="40"/>
  <c r="L236" i="40" s="1"/>
  <c r="A243" i="28"/>
  <c r="V245" i="28"/>
  <c r="L245" i="28"/>
  <c r="M245" i="28" s="1"/>
  <c r="N245" i="28" s="1"/>
  <c r="O245" i="28" s="1"/>
  <c r="P244" i="28"/>
  <c r="C254" i="28" l="1"/>
  <c r="I253" i="28"/>
  <c r="H253" i="28"/>
  <c r="G253" i="28"/>
  <c r="J253" i="28"/>
  <c r="F253" i="28"/>
  <c r="K253" i="28"/>
  <c r="E253" i="28"/>
  <c r="Q237" i="40"/>
  <c r="Y237" i="40" s="1"/>
  <c r="S236" i="40"/>
  <c r="T228" i="40"/>
  <c r="M230" i="40"/>
  <c r="O230" i="40"/>
  <c r="P229" i="40"/>
  <c r="V228" i="40"/>
  <c r="W228" i="40" s="1"/>
  <c r="K237" i="40"/>
  <c r="L237" i="40" s="1"/>
  <c r="A244" i="28"/>
  <c r="V246" i="28"/>
  <c r="L246" i="28"/>
  <c r="M246" i="28" s="1"/>
  <c r="N246" i="28" s="1"/>
  <c r="O246" i="28" s="1"/>
  <c r="P245" i="28"/>
  <c r="C255" i="28" l="1"/>
  <c r="J254" i="28"/>
  <c r="K254" i="28"/>
  <c r="I254" i="28"/>
  <c r="E254" i="28"/>
  <c r="H254" i="28"/>
  <c r="F254" i="28"/>
  <c r="G254" i="28"/>
  <c r="Q238" i="40"/>
  <c r="Y238" i="40" s="1"/>
  <c r="S237" i="40"/>
  <c r="T229" i="40"/>
  <c r="P230" i="40"/>
  <c r="M231" i="40"/>
  <c r="O231" i="40"/>
  <c r="V229" i="40"/>
  <c r="W229" i="40" s="1"/>
  <c r="K238" i="40"/>
  <c r="L238" i="40" s="1"/>
  <c r="A245" i="28"/>
  <c r="V247" i="28"/>
  <c r="L247" i="28"/>
  <c r="M247" i="28" s="1"/>
  <c r="N247" i="28" s="1"/>
  <c r="O247" i="28" s="1"/>
  <c r="P246" i="28"/>
  <c r="C256" i="28" l="1"/>
  <c r="K255" i="28"/>
  <c r="J255" i="28"/>
  <c r="G255" i="28"/>
  <c r="E255" i="28"/>
  <c r="I255" i="28"/>
  <c r="F255" i="28"/>
  <c r="H255" i="28"/>
  <c r="Q239" i="40"/>
  <c r="Y239" i="40" s="1"/>
  <c r="S238" i="40"/>
  <c r="T230" i="40"/>
  <c r="V230" i="40"/>
  <c r="W230" i="40" s="1"/>
  <c r="P231" i="40"/>
  <c r="M232" i="40"/>
  <c r="O232" i="40"/>
  <c r="K239" i="40"/>
  <c r="L239" i="40" s="1"/>
  <c r="A246" i="28"/>
  <c r="P247" i="28"/>
  <c r="V248" i="28"/>
  <c r="L248" i="28"/>
  <c r="M248" i="28" s="1"/>
  <c r="N248" i="28" s="1"/>
  <c r="O248" i="28" s="1"/>
  <c r="C257" i="28" l="1"/>
  <c r="K256" i="28"/>
  <c r="I256" i="28"/>
  <c r="F256" i="28"/>
  <c r="H256" i="28"/>
  <c r="G256" i="28"/>
  <c r="J256" i="28"/>
  <c r="E256" i="28"/>
  <c r="Q240" i="40"/>
  <c r="Y240" i="40" s="1"/>
  <c r="S239" i="40"/>
  <c r="T231" i="40"/>
  <c r="V231" i="40"/>
  <c r="W231" i="40" s="1"/>
  <c r="P232" i="40"/>
  <c r="M233" i="40"/>
  <c r="O233" i="40"/>
  <c r="K240" i="40"/>
  <c r="L240" i="40" s="1"/>
  <c r="A247" i="28"/>
  <c r="V249" i="28"/>
  <c r="L249" i="28"/>
  <c r="M249" i="28" s="1"/>
  <c r="N249" i="28" s="1"/>
  <c r="O249" i="28" s="1"/>
  <c r="P248" i="28"/>
  <c r="C258" i="28" l="1"/>
  <c r="E257" i="28"/>
  <c r="F257" i="28"/>
  <c r="K257" i="28"/>
  <c r="H257" i="28"/>
  <c r="J257" i="28"/>
  <c r="I257" i="28"/>
  <c r="G257" i="28"/>
  <c r="Q241" i="40"/>
  <c r="Y241" i="40" s="1"/>
  <c r="S240" i="40"/>
  <c r="T232" i="40"/>
  <c r="V232" i="40"/>
  <c r="W232" i="40" s="1"/>
  <c r="M234" i="40"/>
  <c r="O234" i="40"/>
  <c r="P233" i="40"/>
  <c r="K241" i="40"/>
  <c r="L241" i="40" s="1"/>
  <c r="A248" i="28"/>
  <c r="V250" i="28"/>
  <c r="L250" i="28"/>
  <c r="M250" i="28" s="1"/>
  <c r="N250" i="28" s="1"/>
  <c r="O250" i="28" s="1"/>
  <c r="P249" i="28"/>
  <c r="C259" i="28" l="1"/>
  <c r="F258" i="28"/>
  <c r="I258" i="28"/>
  <c r="H258" i="28"/>
  <c r="E258" i="28"/>
  <c r="G258" i="28"/>
  <c r="K258" i="28"/>
  <c r="J258" i="28"/>
  <c r="Q242" i="40"/>
  <c r="Y242" i="40" s="1"/>
  <c r="S241" i="40"/>
  <c r="T233" i="40"/>
  <c r="V233" i="40"/>
  <c r="W233" i="40" s="1"/>
  <c r="M235" i="40"/>
  <c r="O235" i="40"/>
  <c r="P234" i="40"/>
  <c r="K242" i="40"/>
  <c r="L242" i="40" s="1"/>
  <c r="A249" i="28"/>
  <c r="P250" i="28"/>
  <c r="V251" i="28"/>
  <c r="L251" i="28"/>
  <c r="M251" i="28" s="1"/>
  <c r="N251" i="28" s="1"/>
  <c r="O251" i="28" s="1"/>
  <c r="C260" i="28" l="1"/>
  <c r="G259" i="28"/>
  <c r="K259" i="28"/>
  <c r="F259" i="28"/>
  <c r="I259" i="28"/>
  <c r="H259" i="28"/>
  <c r="E259" i="28"/>
  <c r="J259" i="28"/>
  <c r="Q243" i="40"/>
  <c r="Y243" i="40" s="1"/>
  <c r="S242" i="40"/>
  <c r="T234" i="40"/>
  <c r="M236" i="40"/>
  <c r="O236" i="40"/>
  <c r="P235" i="40"/>
  <c r="V234" i="40"/>
  <c r="W234" i="40" s="1"/>
  <c r="K243" i="40"/>
  <c r="L243" i="40" s="1"/>
  <c r="A250" i="28"/>
  <c r="V252" i="28"/>
  <c r="L252" i="28"/>
  <c r="M252" i="28" s="1"/>
  <c r="N252" i="28" s="1"/>
  <c r="O252" i="28" s="1"/>
  <c r="P251" i="28"/>
  <c r="C261" i="28" l="1"/>
  <c r="H260" i="28"/>
  <c r="G260" i="28"/>
  <c r="F260" i="28"/>
  <c r="K260" i="28"/>
  <c r="J260" i="28"/>
  <c r="I260" i="28"/>
  <c r="E260" i="28"/>
  <c r="Q244" i="40"/>
  <c r="Y244" i="40" s="1"/>
  <c r="S243" i="40"/>
  <c r="T235" i="40"/>
  <c r="V235" i="40"/>
  <c r="W235" i="40" s="1"/>
  <c r="P236" i="40"/>
  <c r="M237" i="40"/>
  <c r="O237" i="40"/>
  <c r="K244" i="40"/>
  <c r="L244" i="40" s="1"/>
  <c r="A251" i="28"/>
  <c r="P252" i="28"/>
  <c r="V253" i="28"/>
  <c r="L253" i="28"/>
  <c r="M253" i="28" s="1"/>
  <c r="N253" i="28" s="1"/>
  <c r="O253" i="28" s="1"/>
  <c r="C262" i="28" l="1"/>
  <c r="I261" i="28"/>
  <c r="E261" i="28"/>
  <c r="F261" i="28"/>
  <c r="H261" i="28"/>
  <c r="K261" i="28"/>
  <c r="G261" i="28"/>
  <c r="J261" i="28"/>
  <c r="Q245" i="40"/>
  <c r="Y245" i="40" s="1"/>
  <c r="S244" i="40"/>
  <c r="T236" i="40"/>
  <c r="M238" i="40"/>
  <c r="O238" i="40"/>
  <c r="V236" i="40"/>
  <c r="W236" i="40" s="1"/>
  <c r="P237" i="40"/>
  <c r="K245" i="40"/>
  <c r="L245" i="40" s="1"/>
  <c r="A252" i="28"/>
  <c r="V254" i="28"/>
  <c r="L254" i="28"/>
  <c r="M254" i="28" s="1"/>
  <c r="N254" i="28" s="1"/>
  <c r="O254" i="28" s="1"/>
  <c r="P253" i="28"/>
  <c r="C263" i="28" l="1"/>
  <c r="J262" i="28"/>
  <c r="I262" i="28"/>
  <c r="H262" i="28"/>
  <c r="G262" i="28"/>
  <c r="K262" i="28"/>
  <c r="F262" i="28"/>
  <c r="E262" i="28"/>
  <c r="Q246" i="40"/>
  <c r="Y246" i="40" s="1"/>
  <c r="S245" i="40"/>
  <c r="T237" i="40"/>
  <c r="V237" i="40"/>
  <c r="W237" i="40" s="1"/>
  <c r="M239" i="40"/>
  <c r="O239" i="40"/>
  <c r="P238" i="40"/>
  <c r="K246" i="40"/>
  <c r="L246" i="40" s="1"/>
  <c r="A253" i="28"/>
  <c r="V255" i="28"/>
  <c r="L255" i="28"/>
  <c r="M255" i="28" s="1"/>
  <c r="N255" i="28" s="1"/>
  <c r="O255" i="28" s="1"/>
  <c r="P254" i="28"/>
  <c r="C264" i="28" l="1"/>
  <c r="K263" i="28"/>
  <c r="J263" i="28"/>
  <c r="I263" i="28"/>
  <c r="H263" i="28"/>
  <c r="F263" i="28"/>
  <c r="G263" i="28"/>
  <c r="E263" i="28"/>
  <c r="Q247" i="40"/>
  <c r="Y247" i="40" s="1"/>
  <c r="S246" i="40"/>
  <c r="T238" i="40"/>
  <c r="P239" i="40"/>
  <c r="V238" i="40"/>
  <c r="W238" i="40" s="1"/>
  <c r="M240" i="40"/>
  <c r="O240" i="40"/>
  <c r="K247" i="40"/>
  <c r="L247" i="40" s="1"/>
  <c r="A254" i="28"/>
  <c r="V256" i="28"/>
  <c r="L256" i="28"/>
  <c r="M256" i="28" s="1"/>
  <c r="N256" i="28" s="1"/>
  <c r="O256" i="28" s="1"/>
  <c r="P255" i="28"/>
  <c r="C265" i="28" l="1"/>
  <c r="K264" i="28"/>
  <c r="F264" i="28"/>
  <c r="E264" i="28"/>
  <c r="J264" i="28"/>
  <c r="H264" i="28"/>
  <c r="I264" i="28"/>
  <c r="G264" i="28"/>
  <c r="Q248" i="40"/>
  <c r="Y248" i="40" s="1"/>
  <c r="S247" i="40"/>
  <c r="T239" i="40"/>
  <c r="V239" i="40"/>
  <c r="W239" i="40" s="1"/>
  <c r="M241" i="40"/>
  <c r="O241" i="40"/>
  <c r="P240" i="40"/>
  <c r="K248" i="40"/>
  <c r="L248" i="40" s="1"/>
  <c r="A255" i="28"/>
  <c r="P256" i="28"/>
  <c r="V257" i="28"/>
  <c r="L257" i="28"/>
  <c r="M257" i="28" s="1"/>
  <c r="N257" i="28" s="1"/>
  <c r="O257" i="28" s="1"/>
  <c r="C266" i="28" l="1"/>
  <c r="E265" i="28"/>
  <c r="I265" i="28"/>
  <c r="H265" i="28"/>
  <c r="G265" i="28"/>
  <c r="F265" i="28"/>
  <c r="K265" i="28"/>
  <c r="J265" i="28"/>
  <c r="Q249" i="40"/>
  <c r="Y249" i="40" s="1"/>
  <c r="S248" i="40"/>
  <c r="T240" i="40"/>
  <c r="V240" i="40"/>
  <c r="W240" i="40" s="1"/>
  <c r="M242" i="40"/>
  <c r="O242" i="40"/>
  <c r="P241" i="40"/>
  <c r="K249" i="40"/>
  <c r="L249" i="40" s="1"/>
  <c r="A256" i="28"/>
  <c r="P257" i="28"/>
  <c r="V258" i="28"/>
  <c r="L258" i="28"/>
  <c r="M258" i="28" s="1"/>
  <c r="N258" i="28" s="1"/>
  <c r="O258" i="28" s="1"/>
  <c r="C267" i="28" l="1"/>
  <c r="F266" i="28"/>
  <c r="K266" i="28"/>
  <c r="E266" i="28"/>
  <c r="H266" i="28"/>
  <c r="J266" i="28"/>
  <c r="I266" i="28"/>
  <c r="G266" i="28"/>
  <c r="Q250" i="40"/>
  <c r="Y250" i="40" s="1"/>
  <c r="S249" i="40"/>
  <c r="T241" i="40"/>
  <c r="V241" i="40"/>
  <c r="W241" i="40" s="1"/>
  <c r="P242" i="40"/>
  <c r="M243" i="40"/>
  <c r="O243" i="40"/>
  <c r="K250" i="40"/>
  <c r="L250" i="40" s="1"/>
  <c r="A257" i="28"/>
  <c r="V259" i="28"/>
  <c r="L259" i="28"/>
  <c r="M259" i="28" s="1"/>
  <c r="N259" i="28" s="1"/>
  <c r="O259" i="28" s="1"/>
  <c r="P258" i="28"/>
  <c r="C268" i="28" l="1"/>
  <c r="G267" i="28"/>
  <c r="F267" i="28"/>
  <c r="J267" i="28"/>
  <c r="I267" i="28"/>
  <c r="E267" i="28"/>
  <c r="K267" i="28"/>
  <c r="H267" i="28"/>
  <c r="Q251" i="40"/>
  <c r="Y251" i="40" s="1"/>
  <c r="S250" i="40"/>
  <c r="T242" i="40"/>
  <c r="V242" i="40"/>
  <c r="W242" i="40" s="1"/>
  <c r="M244" i="40"/>
  <c r="O244" i="40"/>
  <c r="P243" i="40"/>
  <c r="K251" i="40"/>
  <c r="L251" i="40" s="1"/>
  <c r="A258" i="28"/>
  <c r="V260" i="28"/>
  <c r="L260" i="28"/>
  <c r="M260" i="28" s="1"/>
  <c r="N260" i="28" s="1"/>
  <c r="O260" i="28" s="1"/>
  <c r="P259" i="28"/>
  <c r="C269" i="28" l="1"/>
  <c r="H268" i="28"/>
  <c r="G268" i="28"/>
  <c r="J268" i="28"/>
  <c r="I268" i="28"/>
  <c r="K268" i="28"/>
  <c r="F268" i="28"/>
  <c r="E268" i="28"/>
  <c r="Q252" i="40"/>
  <c r="Y252" i="40" s="1"/>
  <c r="S251" i="40"/>
  <c r="T243" i="40"/>
  <c r="V243" i="40"/>
  <c r="W243" i="40" s="1"/>
  <c r="P244" i="40"/>
  <c r="M245" i="40"/>
  <c r="O245" i="40"/>
  <c r="K252" i="40"/>
  <c r="L252" i="40" s="1"/>
  <c r="A259" i="28"/>
  <c r="V261" i="28"/>
  <c r="L261" i="28"/>
  <c r="M261" i="28" s="1"/>
  <c r="N261" i="28" s="1"/>
  <c r="O261" i="28" s="1"/>
  <c r="P260" i="28"/>
  <c r="C270" i="28" l="1"/>
  <c r="I269" i="28"/>
  <c r="H269" i="28"/>
  <c r="K269" i="28"/>
  <c r="J269" i="28"/>
  <c r="F269" i="28"/>
  <c r="G269" i="28"/>
  <c r="E269" i="28"/>
  <c r="Q253" i="40"/>
  <c r="Y253" i="40" s="1"/>
  <c r="S252" i="40"/>
  <c r="T244" i="40"/>
  <c r="V244" i="40"/>
  <c r="W244" i="40" s="1"/>
  <c r="P245" i="40"/>
  <c r="M246" i="40"/>
  <c r="O246" i="40"/>
  <c r="K253" i="40"/>
  <c r="L253" i="40" s="1"/>
  <c r="A260" i="28"/>
  <c r="V262" i="28"/>
  <c r="L262" i="28"/>
  <c r="M262" i="28" s="1"/>
  <c r="N262" i="28" s="1"/>
  <c r="O262" i="28" s="1"/>
  <c r="P261" i="28"/>
  <c r="C271" i="28" l="1"/>
  <c r="J270" i="28"/>
  <c r="I270" i="28"/>
  <c r="F270" i="28"/>
  <c r="G270" i="28"/>
  <c r="E270" i="28"/>
  <c r="K270" i="28"/>
  <c r="H270" i="28"/>
  <c r="Q254" i="40"/>
  <c r="Y254" i="40" s="1"/>
  <c r="S253" i="40"/>
  <c r="T245" i="40"/>
  <c r="V245" i="40"/>
  <c r="W245" i="40" s="1"/>
  <c r="P246" i="40"/>
  <c r="M247" i="40"/>
  <c r="O247" i="40"/>
  <c r="K254" i="40"/>
  <c r="L254" i="40" s="1"/>
  <c r="A261" i="28"/>
  <c r="P262" i="28"/>
  <c r="V263" i="28"/>
  <c r="L263" i="28"/>
  <c r="M263" i="28" s="1"/>
  <c r="N263" i="28" s="1"/>
  <c r="O263" i="28" s="1"/>
  <c r="C272" i="28" l="1"/>
  <c r="K271" i="28"/>
  <c r="G271" i="28"/>
  <c r="J271" i="28"/>
  <c r="I271" i="28"/>
  <c r="H271" i="28"/>
  <c r="E271" i="28"/>
  <c r="F271" i="28"/>
  <c r="Q255" i="40"/>
  <c r="Y255" i="40" s="1"/>
  <c r="S254" i="40"/>
  <c r="T246" i="40"/>
  <c r="V246" i="40"/>
  <c r="W246" i="40" s="1"/>
  <c r="P247" i="40"/>
  <c r="M248" i="40"/>
  <c r="O248" i="40"/>
  <c r="K255" i="40"/>
  <c r="L255" i="40" s="1"/>
  <c r="A262" i="28"/>
  <c r="V264" i="28"/>
  <c r="L264" i="28"/>
  <c r="M264" i="28" s="1"/>
  <c r="N264" i="28" s="1"/>
  <c r="O264" i="28" s="1"/>
  <c r="P263" i="28"/>
  <c r="C273" i="28" l="1"/>
  <c r="K272" i="28"/>
  <c r="E272" i="28"/>
  <c r="J272" i="28"/>
  <c r="I272" i="28"/>
  <c r="H272" i="28"/>
  <c r="F272" i="28"/>
  <c r="G272" i="28"/>
  <c r="Q256" i="40"/>
  <c r="Y256" i="40" s="1"/>
  <c r="S255" i="40"/>
  <c r="T247" i="40"/>
  <c r="V247" i="40"/>
  <c r="W247" i="40" s="1"/>
  <c r="M249" i="40"/>
  <c r="O249" i="40"/>
  <c r="P248" i="40"/>
  <c r="K256" i="40"/>
  <c r="L256" i="40" s="1"/>
  <c r="A263" i="28"/>
  <c r="V265" i="28"/>
  <c r="L265" i="28"/>
  <c r="M265" i="28" s="1"/>
  <c r="N265" i="28" s="1"/>
  <c r="O265" i="28" s="1"/>
  <c r="P264" i="28"/>
  <c r="C274" i="28" l="1"/>
  <c r="E273" i="28"/>
  <c r="G273" i="28"/>
  <c r="I273" i="28"/>
  <c r="F273" i="28"/>
  <c r="K273" i="28"/>
  <c r="J273" i="28"/>
  <c r="H273" i="28"/>
  <c r="Q257" i="40"/>
  <c r="Y257" i="40" s="1"/>
  <c r="S256" i="40"/>
  <c r="T248" i="40"/>
  <c r="M250" i="40"/>
  <c r="O250" i="40"/>
  <c r="V248" i="40"/>
  <c r="W248" i="40" s="1"/>
  <c r="P249" i="40"/>
  <c r="K257" i="40"/>
  <c r="L257" i="40" s="1"/>
  <c r="A264" i="28"/>
  <c r="P265" i="28"/>
  <c r="V266" i="28"/>
  <c r="L266" i="28"/>
  <c r="M266" i="28" s="1"/>
  <c r="N266" i="28" s="1"/>
  <c r="O266" i="28" s="1"/>
  <c r="C275" i="28" l="1"/>
  <c r="F274" i="28"/>
  <c r="E274" i="28"/>
  <c r="J274" i="28"/>
  <c r="G274" i="28"/>
  <c r="I274" i="28"/>
  <c r="H274" i="28"/>
  <c r="K274" i="28"/>
  <c r="Q258" i="40"/>
  <c r="Y258" i="40" s="1"/>
  <c r="S257" i="40"/>
  <c r="T249" i="40"/>
  <c r="V249" i="40"/>
  <c r="W249" i="40" s="1"/>
  <c r="M251" i="40"/>
  <c r="O251" i="40"/>
  <c r="P250" i="40"/>
  <c r="K258" i="40"/>
  <c r="L258" i="40" s="1"/>
  <c r="A265" i="28"/>
  <c r="V267" i="28"/>
  <c r="L267" i="28"/>
  <c r="M267" i="28" s="1"/>
  <c r="N267" i="28" s="1"/>
  <c r="O267" i="28" s="1"/>
  <c r="P266" i="28"/>
  <c r="C276" i="28" l="1"/>
  <c r="G275" i="28"/>
  <c r="F275" i="28"/>
  <c r="K275" i="28"/>
  <c r="J275" i="28"/>
  <c r="H275" i="28"/>
  <c r="I275" i="28"/>
  <c r="E275" i="28"/>
  <c r="Q259" i="40"/>
  <c r="Y259" i="40" s="1"/>
  <c r="S258" i="40"/>
  <c r="T250" i="40"/>
  <c r="V250" i="40"/>
  <c r="W250" i="40" s="1"/>
  <c r="M252" i="40"/>
  <c r="O252" i="40"/>
  <c r="P251" i="40"/>
  <c r="K259" i="40"/>
  <c r="L259" i="40" s="1"/>
  <c r="A266" i="28"/>
  <c r="P267" i="28"/>
  <c r="V268" i="28"/>
  <c r="L268" i="28"/>
  <c r="M268" i="28" s="1"/>
  <c r="N268" i="28" s="1"/>
  <c r="O268" i="28" s="1"/>
  <c r="C277" i="28" l="1"/>
  <c r="H276" i="28"/>
  <c r="G276" i="28"/>
  <c r="F276" i="28"/>
  <c r="J276" i="28"/>
  <c r="E276" i="28"/>
  <c r="K276" i="28"/>
  <c r="I276" i="28"/>
  <c r="Q260" i="40"/>
  <c r="Y260" i="40" s="1"/>
  <c r="S259" i="40"/>
  <c r="T251" i="40"/>
  <c r="V251" i="40"/>
  <c r="W251" i="40" s="1"/>
  <c r="M253" i="40"/>
  <c r="O253" i="40"/>
  <c r="P252" i="40"/>
  <c r="K260" i="40"/>
  <c r="L260" i="40" s="1"/>
  <c r="A267" i="28"/>
  <c r="V269" i="28"/>
  <c r="L269" i="28"/>
  <c r="M269" i="28" s="1"/>
  <c r="N269" i="28" s="1"/>
  <c r="O269" i="28" s="1"/>
  <c r="P268" i="28"/>
  <c r="C278" i="28" l="1"/>
  <c r="I277" i="28"/>
  <c r="E277" i="28"/>
  <c r="H277" i="28"/>
  <c r="K277" i="28"/>
  <c r="J277" i="28"/>
  <c r="G277" i="28"/>
  <c r="F277" i="28"/>
  <c r="Q261" i="40"/>
  <c r="Y261" i="40" s="1"/>
  <c r="S260" i="40"/>
  <c r="T252" i="40"/>
  <c r="V252" i="40"/>
  <c r="W252" i="40" s="1"/>
  <c r="P253" i="40"/>
  <c r="M254" i="40"/>
  <c r="O254" i="40"/>
  <c r="K261" i="40"/>
  <c r="L261" i="40" s="1"/>
  <c r="A268" i="28"/>
  <c r="V270" i="28"/>
  <c r="L270" i="28"/>
  <c r="M270" i="28" s="1"/>
  <c r="N270" i="28" s="1"/>
  <c r="O270" i="28" s="1"/>
  <c r="P269" i="28"/>
  <c r="C279" i="28" l="1"/>
  <c r="J278" i="28"/>
  <c r="I278" i="28"/>
  <c r="F278" i="28"/>
  <c r="K278" i="28"/>
  <c r="H278" i="28"/>
  <c r="G278" i="28"/>
  <c r="E278" i="28"/>
  <c r="Q262" i="40"/>
  <c r="Y262" i="40" s="1"/>
  <c r="S261" i="40"/>
  <c r="T253" i="40"/>
  <c r="V253" i="40"/>
  <c r="W253" i="40" s="1"/>
  <c r="P254" i="40"/>
  <c r="M255" i="40"/>
  <c r="O255" i="40"/>
  <c r="K262" i="40"/>
  <c r="L262" i="40" s="1"/>
  <c r="A269" i="28"/>
  <c r="V271" i="28"/>
  <c r="L271" i="28"/>
  <c r="M271" i="28" s="1"/>
  <c r="N271" i="28" s="1"/>
  <c r="O271" i="28" s="1"/>
  <c r="P270" i="28"/>
  <c r="C280" i="28" l="1"/>
  <c r="K279" i="28"/>
  <c r="J279" i="28"/>
  <c r="G279" i="28"/>
  <c r="I279" i="28"/>
  <c r="F279" i="28"/>
  <c r="E279" i="28"/>
  <c r="H279" i="28"/>
  <c r="Q263" i="40"/>
  <c r="Y263" i="40" s="1"/>
  <c r="S262" i="40"/>
  <c r="T254" i="40"/>
  <c r="V254" i="40"/>
  <c r="W254" i="40" s="1"/>
  <c r="P255" i="40"/>
  <c r="M256" i="40"/>
  <c r="O256" i="40"/>
  <c r="K263" i="40"/>
  <c r="L263" i="40" s="1"/>
  <c r="A270" i="28"/>
  <c r="V272" i="28"/>
  <c r="L272" i="28"/>
  <c r="M272" i="28" s="1"/>
  <c r="N272" i="28" s="1"/>
  <c r="O272" i="28" s="1"/>
  <c r="P271" i="28"/>
  <c r="C281" i="28" l="1"/>
  <c r="K280" i="28"/>
  <c r="J280" i="28"/>
  <c r="G280" i="28"/>
  <c r="I280" i="28"/>
  <c r="H280" i="28"/>
  <c r="F280" i="28"/>
  <c r="E280" i="28"/>
  <c r="Q264" i="40"/>
  <c r="Y264" i="40" s="1"/>
  <c r="S263" i="40"/>
  <c r="T255" i="40"/>
  <c r="V255" i="40"/>
  <c r="W255" i="40" s="1"/>
  <c r="P256" i="40"/>
  <c r="M257" i="40"/>
  <c r="O257" i="40"/>
  <c r="K264" i="40"/>
  <c r="L264" i="40" s="1"/>
  <c r="A271" i="28"/>
  <c r="V273" i="28"/>
  <c r="L273" i="28"/>
  <c r="M273" i="28" s="1"/>
  <c r="N273" i="28" s="1"/>
  <c r="O273" i="28" s="1"/>
  <c r="P272" i="28"/>
  <c r="C282" i="28" l="1"/>
  <c r="E281" i="28"/>
  <c r="K281" i="28"/>
  <c r="G281" i="28"/>
  <c r="J281" i="28"/>
  <c r="F281" i="28"/>
  <c r="I281" i="28"/>
  <c r="H281" i="28"/>
  <c r="Q265" i="40"/>
  <c r="Y265" i="40" s="1"/>
  <c r="S264" i="40"/>
  <c r="T256" i="40"/>
  <c r="V256" i="40"/>
  <c r="W256" i="40" s="1"/>
  <c r="P257" i="40"/>
  <c r="M258" i="40"/>
  <c r="O258" i="40"/>
  <c r="K265" i="40"/>
  <c r="L265" i="40" s="1"/>
  <c r="A272" i="28"/>
  <c r="V274" i="28"/>
  <c r="L274" i="28"/>
  <c r="M274" i="28" s="1"/>
  <c r="N274" i="28" s="1"/>
  <c r="O274" i="28" s="1"/>
  <c r="P273" i="28"/>
  <c r="C283" i="28" l="1"/>
  <c r="F282" i="28"/>
  <c r="E282" i="28"/>
  <c r="H282" i="28"/>
  <c r="G282" i="28"/>
  <c r="K282" i="28"/>
  <c r="J282" i="28"/>
  <c r="I282" i="28"/>
  <c r="Q266" i="40"/>
  <c r="Y266" i="40" s="1"/>
  <c r="S265" i="40"/>
  <c r="T257" i="40"/>
  <c r="V257" i="40"/>
  <c r="W257" i="40" s="1"/>
  <c r="P258" i="40"/>
  <c r="M259" i="40"/>
  <c r="O259" i="40"/>
  <c r="K266" i="40"/>
  <c r="L266" i="40" s="1"/>
  <c r="A273" i="28"/>
  <c r="P274" i="28"/>
  <c r="V275" i="28"/>
  <c r="L275" i="28"/>
  <c r="M275" i="28" s="1"/>
  <c r="N275" i="28" s="1"/>
  <c r="O275" i="28" s="1"/>
  <c r="C284" i="28" l="1"/>
  <c r="G283" i="28"/>
  <c r="K283" i="28"/>
  <c r="H283" i="28"/>
  <c r="E283" i="28"/>
  <c r="F283" i="28"/>
  <c r="J283" i="28"/>
  <c r="I283" i="28"/>
  <c r="Q267" i="40"/>
  <c r="Y267" i="40" s="1"/>
  <c r="S266" i="40"/>
  <c r="T258" i="40"/>
  <c r="M260" i="40"/>
  <c r="O260" i="40"/>
  <c r="V258" i="40"/>
  <c r="W258" i="40" s="1"/>
  <c r="P259" i="40"/>
  <c r="K267" i="40"/>
  <c r="L267" i="40" s="1"/>
  <c r="A274" i="28"/>
  <c r="V276" i="28"/>
  <c r="L276" i="28"/>
  <c r="M276" i="28" s="1"/>
  <c r="N276" i="28" s="1"/>
  <c r="O276" i="28" s="1"/>
  <c r="P275" i="28"/>
  <c r="C285" i="28" l="1"/>
  <c r="H284" i="28"/>
  <c r="G284" i="28"/>
  <c r="F284" i="28"/>
  <c r="K284" i="28"/>
  <c r="J284" i="28"/>
  <c r="I284" i="28"/>
  <c r="E284" i="28"/>
  <c r="Q268" i="40"/>
  <c r="Y268" i="40" s="1"/>
  <c r="S267" i="40"/>
  <c r="T259" i="40"/>
  <c r="V259" i="40"/>
  <c r="W259" i="40" s="1"/>
  <c r="M261" i="40"/>
  <c r="O261" i="40"/>
  <c r="P260" i="40"/>
  <c r="K268" i="40"/>
  <c r="L268" i="40" s="1"/>
  <c r="A275" i="28"/>
  <c r="P276" i="28"/>
  <c r="V277" i="28"/>
  <c r="L277" i="28"/>
  <c r="M277" i="28" s="1"/>
  <c r="N277" i="28" s="1"/>
  <c r="O277" i="28" s="1"/>
  <c r="C286" i="28" l="1"/>
  <c r="I285" i="28"/>
  <c r="K285" i="28"/>
  <c r="H285" i="28"/>
  <c r="G285" i="28"/>
  <c r="F285" i="28"/>
  <c r="E285" i="28"/>
  <c r="J285" i="28"/>
  <c r="Q269" i="40"/>
  <c r="Y269" i="40" s="1"/>
  <c r="S268" i="40"/>
  <c r="T260" i="40"/>
  <c r="V260" i="40"/>
  <c r="W260" i="40" s="1"/>
  <c r="P261" i="40"/>
  <c r="M262" i="40"/>
  <c r="O262" i="40"/>
  <c r="K269" i="40"/>
  <c r="L269" i="40" s="1"/>
  <c r="A276" i="28"/>
  <c r="V278" i="28"/>
  <c r="L278" i="28"/>
  <c r="M278" i="28" s="1"/>
  <c r="N278" i="28" s="1"/>
  <c r="O278" i="28" s="1"/>
  <c r="P277" i="28"/>
  <c r="C287" i="28" l="1"/>
  <c r="J286" i="28"/>
  <c r="I286" i="28"/>
  <c r="F286" i="28"/>
  <c r="K286" i="28"/>
  <c r="H286" i="28"/>
  <c r="G286" i="28"/>
  <c r="E286" i="28"/>
  <c r="Q270" i="40"/>
  <c r="Y270" i="40" s="1"/>
  <c r="S269" i="40"/>
  <c r="T261" i="40"/>
  <c r="V261" i="40"/>
  <c r="W261" i="40" s="1"/>
  <c r="M263" i="40"/>
  <c r="O263" i="40"/>
  <c r="P262" i="40"/>
  <c r="K270" i="40"/>
  <c r="L270" i="40" s="1"/>
  <c r="A277" i="28"/>
  <c r="V279" i="28"/>
  <c r="L279" i="28"/>
  <c r="M279" i="28" s="1"/>
  <c r="N279" i="28" s="1"/>
  <c r="O279" i="28" s="1"/>
  <c r="P278" i="28"/>
  <c r="C288" i="28" l="1"/>
  <c r="K287" i="28"/>
  <c r="G287" i="28"/>
  <c r="J287" i="28"/>
  <c r="E287" i="28"/>
  <c r="I287" i="28"/>
  <c r="H287" i="28"/>
  <c r="F287" i="28"/>
  <c r="Q271" i="40"/>
  <c r="Y271" i="40" s="1"/>
  <c r="S270" i="40"/>
  <c r="T262" i="40"/>
  <c r="V262" i="40"/>
  <c r="W262" i="40" s="1"/>
  <c r="P263" i="40"/>
  <c r="M264" i="40"/>
  <c r="O264" i="40"/>
  <c r="K271" i="40"/>
  <c r="L271" i="40" s="1"/>
  <c r="A278" i="28"/>
  <c r="P279" i="28"/>
  <c r="V280" i="28"/>
  <c r="L280" i="28"/>
  <c r="M280" i="28" s="1"/>
  <c r="N280" i="28" s="1"/>
  <c r="O280" i="28" s="1"/>
  <c r="C289" i="28" l="1"/>
  <c r="K288" i="28"/>
  <c r="G288" i="28"/>
  <c r="H288" i="28"/>
  <c r="I288" i="28"/>
  <c r="F288" i="28"/>
  <c r="J288" i="28"/>
  <c r="E288" i="28"/>
  <c r="Q272" i="40"/>
  <c r="Y272" i="40" s="1"/>
  <c r="S271" i="40"/>
  <c r="T263" i="40"/>
  <c r="P264" i="40"/>
  <c r="V263" i="40"/>
  <c r="W263" i="40" s="1"/>
  <c r="M265" i="40"/>
  <c r="O265" i="40"/>
  <c r="K272" i="40"/>
  <c r="L272" i="40" s="1"/>
  <c r="A279" i="28"/>
  <c r="P280" i="28"/>
  <c r="V281" i="28"/>
  <c r="L281" i="28"/>
  <c r="M281" i="28" s="1"/>
  <c r="N281" i="28" s="1"/>
  <c r="O281" i="28" s="1"/>
  <c r="C290" i="28" l="1"/>
  <c r="E289" i="28"/>
  <c r="K289" i="28"/>
  <c r="J289" i="28"/>
  <c r="I289" i="28"/>
  <c r="G289" i="28"/>
  <c r="F289" i="28"/>
  <c r="H289" i="28"/>
  <c r="Q273" i="40"/>
  <c r="Y273" i="40" s="1"/>
  <c r="S272" i="40"/>
  <c r="T264" i="40"/>
  <c r="V264" i="40"/>
  <c r="W264" i="40" s="1"/>
  <c r="M266" i="40"/>
  <c r="O266" i="40"/>
  <c r="P265" i="40"/>
  <c r="K273" i="40"/>
  <c r="L273" i="40" s="1"/>
  <c r="A280" i="28"/>
  <c r="P281" i="28"/>
  <c r="V282" i="28"/>
  <c r="L282" i="28"/>
  <c r="M282" i="28" s="1"/>
  <c r="N282" i="28" s="1"/>
  <c r="O282" i="28" s="1"/>
  <c r="C291" i="28" l="1"/>
  <c r="F290" i="28"/>
  <c r="E290" i="28"/>
  <c r="K290" i="28"/>
  <c r="J290" i="28"/>
  <c r="H290" i="28"/>
  <c r="I290" i="28"/>
  <c r="G290" i="28"/>
  <c r="Q274" i="40"/>
  <c r="Y274" i="40" s="1"/>
  <c r="S273" i="40"/>
  <c r="T265" i="40"/>
  <c r="V265" i="40"/>
  <c r="W265" i="40" s="1"/>
  <c r="M267" i="40"/>
  <c r="O267" i="40"/>
  <c r="P266" i="40"/>
  <c r="K274" i="40"/>
  <c r="L274" i="40" s="1"/>
  <c r="A281" i="28"/>
  <c r="V283" i="28"/>
  <c r="L283" i="28"/>
  <c r="M283" i="28" s="1"/>
  <c r="N283" i="28" s="1"/>
  <c r="O283" i="28" s="1"/>
  <c r="P282" i="28"/>
  <c r="C292" i="28" l="1"/>
  <c r="G291" i="28"/>
  <c r="K291" i="28"/>
  <c r="J291" i="28"/>
  <c r="F291" i="28"/>
  <c r="E291" i="28"/>
  <c r="I291" i="28"/>
  <c r="H291" i="28"/>
  <c r="Q275" i="40"/>
  <c r="Y275" i="40" s="1"/>
  <c r="S274" i="40"/>
  <c r="T266" i="40"/>
  <c r="P267" i="40"/>
  <c r="M268" i="40"/>
  <c r="O268" i="40"/>
  <c r="V266" i="40"/>
  <c r="W266" i="40" s="1"/>
  <c r="K275" i="40"/>
  <c r="L275" i="40" s="1"/>
  <c r="A282" i="28"/>
  <c r="V284" i="28"/>
  <c r="L284" i="28"/>
  <c r="M284" i="28" s="1"/>
  <c r="N284" i="28" s="1"/>
  <c r="O284" i="28" s="1"/>
  <c r="P283" i="28"/>
  <c r="C293" i="28" l="1"/>
  <c r="H292" i="28"/>
  <c r="G292" i="28"/>
  <c r="F292" i="28"/>
  <c r="K292" i="28"/>
  <c r="J292" i="28"/>
  <c r="I292" i="28"/>
  <c r="E292" i="28"/>
  <c r="Q276" i="40"/>
  <c r="Y276" i="40" s="1"/>
  <c r="S275" i="40"/>
  <c r="T267" i="40"/>
  <c r="V267" i="40"/>
  <c r="W267" i="40" s="1"/>
  <c r="P268" i="40"/>
  <c r="M269" i="40"/>
  <c r="O269" i="40"/>
  <c r="K276" i="40"/>
  <c r="L276" i="40" s="1"/>
  <c r="A283" i="28"/>
  <c r="V285" i="28"/>
  <c r="L285" i="28"/>
  <c r="M285" i="28" s="1"/>
  <c r="N285" i="28" s="1"/>
  <c r="O285" i="28" s="1"/>
  <c r="P284" i="28"/>
  <c r="C294" i="28" l="1"/>
  <c r="I293" i="28"/>
  <c r="E293" i="28"/>
  <c r="H293" i="28"/>
  <c r="K293" i="28"/>
  <c r="J293" i="28"/>
  <c r="G293" i="28"/>
  <c r="F293" i="28"/>
  <c r="Q277" i="40"/>
  <c r="Y277" i="40" s="1"/>
  <c r="S276" i="40"/>
  <c r="T268" i="40"/>
  <c r="V268" i="40"/>
  <c r="W268" i="40" s="1"/>
  <c r="P269" i="40"/>
  <c r="M270" i="40"/>
  <c r="O270" i="40"/>
  <c r="K277" i="40"/>
  <c r="L277" i="40" s="1"/>
  <c r="A284" i="28"/>
  <c r="P285" i="28"/>
  <c r="V286" i="28"/>
  <c r="L286" i="28"/>
  <c r="M286" i="28" s="1"/>
  <c r="N286" i="28" s="1"/>
  <c r="O286" i="28" s="1"/>
  <c r="C295" i="28" l="1"/>
  <c r="J294" i="28"/>
  <c r="H294" i="28"/>
  <c r="I294" i="28"/>
  <c r="F294" i="28"/>
  <c r="E294" i="28"/>
  <c r="G294" i="28"/>
  <c r="K294" i="28"/>
  <c r="Q278" i="40"/>
  <c r="Y278" i="40" s="1"/>
  <c r="S277" i="40"/>
  <c r="T269" i="40"/>
  <c r="V269" i="40"/>
  <c r="W269" i="40" s="1"/>
  <c r="M271" i="40"/>
  <c r="O271" i="40"/>
  <c r="P270" i="40"/>
  <c r="K278" i="40"/>
  <c r="L278" i="40" s="1"/>
  <c r="A285" i="28"/>
  <c r="P286" i="28"/>
  <c r="V287" i="28"/>
  <c r="L287" i="28"/>
  <c r="M287" i="28" s="1"/>
  <c r="N287" i="28" s="1"/>
  <c r="O287" i="28" s="1"/>
  <c r="C296" i="28" l="1"/>
  <c r="K295" i="28"/>
  <c r="J295" i="28"/>
  <c r="G295" i="28"/>
  <c r="I295" i="28"/>
  <c r="H295" i="28"/>
  <c r="F295" i="28"/>
  <c r="E295" i="28"/>
  <c r="Q279" i="40"/>
  <c r="Y279" i="40" s="1"/>
  <c r="S278" i="40"/>
  <c r="T270" i="40"/>
  <c r="V270" i="40"/>
  <c r="W270" i="40" s="1"/>
  <c r="P271" i="40"/>
  <c r="M272" i="40"/>
  <c r="O272" i="40"/>
  <c r="K279" i="40"/>
  <c r="L279" i="40" s="1"/>
  <c r="A286" i="28"/>
  <c r="V288" i="28"/>
  <c r="L288" i="28"/>
  <c r="M288" i="28" s="1"/>
  <c r="N288" i="28" s="1"/>
  <c r="O288" i="28" s="1"/>
  <c r="P287" i="28"/>
  <c r="C297" i="28" l="1"/>
  <c r="K296" i="28"/>
  <c r="E296" i="28"/>
  <c r="F296" i="28"/>
  <c r="J296" i="28"/>
  <c r="I296" i="28"/>
  <c r="H296" i="28"/>
  <c r="G296" i="28"/>
  <c r="Q280" i="40"/>
  <c r="Y280" i="40" s="1"/>
  <c r="S279" i="40"/>
  <c r="T271" i="40"/>
  <c r="V271" i="40"/>
  <c r="W271" i="40" s="1"/>
  <c r="P272" i="40"/>
  <c r="M273" i="40"/>
  <c r="O273" i="40"/>
  <c r="K280" i="40"/>
  <c r="L280" i="40" s="1"/>
  <c r="A287" i="28"/>
  <c r="P288" i="28"/>
  <c r="V289" i="28"/>
  <c r="L289" i="28"/>
  <c r="M289" i="28" s="1"/>
  <c r="N289" i="28" s="1"/>
  <c r="O289" i="28" s="1"/>
  <c r="C298" i="28" l="1"/>
  <c r="E297" i="28"/>
  <c r="I297" i="28"/>
  <c r="K297" i="28"/>
  <c r="H297" i="28"/>
  <c r="J297" i="28"/>
  <c r="G297" i="28"/>
  <c r="F297" i="28"/>
  <c r="Q281" i="40"/>
  <c r="Y281" i="40" s="1"/>
  <c r="S280" i="40"/>
  <c r="T272" i="40"/>
  <c r="V272" i="40"/>
  <c r="W272" i="40" s="1"/>
  <c r="M274" i="40"/>
  <c r="O274" i="40"/>
  <c r="P273" i="40"/>
  <c r="K281" i="40"/>
  <c r="L281" i="40" s="1"/>
  <c r="A288" i="28"/>
  <c r="V290" i="28"/>
  <c r="L290" i="28"/>
  <c r="M290" i="28" s="1"/>
  <c r="N290" i="28" s="1"/>
  <c r="O290" i="28" s="1"/>
  <c r="P289" i="28"/>
  <c r="C299" i="28" l="1"/>
  <c r="F298" i="28"/>
  <c r="E298" i="28"/>
  <c r="I298" i="28"/>
  <c r="H298" i="28"/>
  <c r="K298" i="28"/>
  <c r="G298" i="28"/>
  <c r="J298" i="28"/>
  <c r="Q282" i="40"/>
  <c r="Y282" i="40" s="1"/>
  <c r="S281" i="40"/>
  <c r="T273" i="40"/>
  <c r="V273" i="40"/>
  <c r="W273" i="40" s="1"/>
  <c r="M275" i="40"/>
  <c r="O275" i="40"/>
  <c r="P274" i="40"/>
  <c r="K282" i="40"/>
  <c r="L282" i="40" s="1"/>
  <c r="A289" i="28"/>
  <c r="P290" i="28"/>
  <c r="V291" i="28"/>
  <c r="L291" i="28"/>
  <c r="M291" i="28" s="1"/>
  <c r="N291" i="28" s="1"/>
  <c r="O291" i="28" s="1"/>
  <c r="C300" i="28" l="1"/>
  <c r="G299" i="28"/>
  <c r="F299" i="28"/>
  <c r="E299" i="28"/>
  <c r="K299" i="28"/>
  <c r="J299" i="28"/>
  <c r="I299" i="28"/>
  <c r="H299" i="28"/>
  <c r="Q283" i="40"/>
  <c r="Y283" i="40" s="1"/>
  <c r="S282" i="40"/>
  <c r="T274" i="40"/>
  <c r="V274" i="40"/>
  <c r="W274" i="40" s="1"/>
  <c r="P275" i="40"/>
  <c r="M276" i="40"/>
  <c r="O276" i="40"/>
  <c r="K283" i="40"/>
  <c r="L283" i="40" s="1"/>
  <c r="A290" i="28"/>
  <c r="V292" i="28"/>
  <c r="L292" i="28"/>
  <c r="M292" i="28" s="1"/>
  <c r="N292" i="28" s="1"/>
  <c r="O292" i="28" s="1"/>
  <c r="P291" i="28"/>
  <c r="C301" i="28" l="1"/>
  <c r="H300" i="28"/>
  <c r="G300" i="28"/>
  <c r="J300" i="28"/>
  <c r="K300" i="28"/>
  <c r="I300" i="28"/>
  <c r="E300" i="28"/>
  <c r="F300" i="28"/>
  <c r="Q284" i="40"/>
  <c r="Y284" i="40" s="1"/>
  <c r="S283" i="40"/>
  <c r="T275" i="40"/>
  <c r="V275" i="40"/>
  <c r="W275" i="40" s="1"/>
  <c r="M277" i="40"/>
  <c r="O277" i="40"/>
  <c r="P276" i="40"/>
  <c r="K284" i="40"/>
  <c r="L284" i="40" s="1"/>
  <c r="A291" i="28"/>
  <c r="V293" i="28"/>
  <c r="L293" i="28"/>
  <c r="M293" i="28" s="1"/>
  <c r="N293" i="28" s="1"/>
  <c r="O293" i="28" s="1"/>
  <c r="P292" i="28"/>
  <c r="C302" i="28" l="1"/>
  <c r="I301" i="28"/>
  <c r="H301" i="28"/>
  <c r="K301" i="28"/>
  <c r="J301" i="28"/>
  <c r="E301" i="28"/>
  <c r="G301" i="28"/>
  <c r="F301" i="28"/>
  <c r="Q285" i="40"/>
  <c r="Y285" i="40" s="1"/>
  <c r="S284" i="40"/>
  <c r="T276" i="40"/>
  <c r="P277" i="40"/>
  <c r="M278" i="40"/>
  <c r="O278" i="40"/>
  <c r="V276" i="40"/>
  <c r="W276" i="40" s="1"/>
  <c r="K285" i="40"/>
  <c r="L285" i="40" s="1"/>
  <c r="A292" i="28"/>
  <c r="V294" i="28"/>
  <c r="L294" i="28"/>
  <c r="M294" i="28" s="1"/>
  <c r="N294" i="28" s="1"/>
  <c r="O294" i="28" s="1"/>
  <c r="P293" i="28"/>
  <c r="C303" i="28" l="1"/>
  <c r="J302" i="28"/>
  <c r="F302" i="28"/>
  <c r="I302" i="28"/>
  <c r="E302" i="28"/>
  <c r="H302" i="28"/>
  <c r="K302" i="28"/>
  <c r="G302" i="28"/>
  <c r="Q286" i="40"/>
  <c r="Y286" i="40" s="1"/>
  <c r="S285" i="40"/>
  <c r="T277" i="40"/>
  <c r="P278" i="40"/>
  <c r="V277" i="40"/>
  <c r="W277" i="40" s="1"/>
  <c r="M279" i="40"/>
  <c r="O279" i="40"/>
  <c r="K286" i="40"/>
  <c r="L286" i="40" s="1"/>
  <c r="A293" i="28"/>
  <c r="P294" i="28"/>
  <c r="V295" i="28"/>
  <c r="L295" i="28"/>
  <c r="M295" i="28" s="1"/>
  <c r="N295" i="28" s="1"/>
  <c r="O295" i="28" s="1"/>
  <c r="C304" i="28" l="1"/>
  <c r="K303" i="28"/>
  <c r="I303" i="28"/>
  <c r="J303" i="28"/>
  <c r="H303" i="28"/>
  <c r="G303" i="28"/>
  <c r="F303" i="28"/>
  <c r="E303" i="28"/>
  <c r="Q287" i="40"/>
  <c r="Y287" i="40" s="1"/>
  <c r="S286" i="40"/>
  <c r="T278" i="40"/>
  <c r="V278" i="40"/>
  <c r="W278" i="40" s="1"/>
  <c r="M280" i="40"/>
  <c r="O280" i="40"/>
  <c r="P279" i="40"/>
  <c r="K287" i="40"/>
  <c r="L287" i="40" s="1"/>
  <c r="A294" i="28"/>
  <c r="P295" i="28"/>
  <c r="V296" i="28"/>
  <c r="L296" i="28"/>
  <c r="M296" i="28" s="1"/>
  <c r="N296" i="28" s="1"/>
  <c r="O296" i="28" s="1"/>
  <c r="C305" i="28" l="1"/>
  <c r="K304" i="28"/>
  <c r="J304" i="28"/>
  <c r="F304" i="28"/>
  <c r="I304" i="28"/>
  <c r="H304" i="28"/>
  <c r="E304" i="28"/>
  <c r="G304" i="28"/>
  <c r="Q288" i="40"/>
  <c r="Y288" i="40" s="1"/>
  <c r="S287" i="40"/>
  <c r="T279" i="40"/>
  <c r="V279" i="40"/>
  <c r="W279" i="40" s="1"/>
  <c r="M281" i="40"/>
  <c r="O281" i="40"/>
  <c r="P280" i="40"/>
  <c r="K288" i="40"/>
  <c r="L288" i="40" s="1"/>
  <c r="A295" i="28"/>
  <c r="V297" i="28"/>
  <c r="L297" i="28"/>
  <c r="M297" i="28" s="1"/>
  <c r="N297" i="28" s="1"/>
  <c r="O297" i="28" s="1"/>
  <c r="P296" i="28"/>
  <c r="C306" i="28" l="1"/>
  <c r="E305" i="28"/>
  <c r="G305" i="28"/>
  <c r="J305" i="28"/>
  <c r="F305" i="28"/>
  <c r="K305" i="28"/>
  <c r="I305" i="28"/>
  <c r="H305" i="28"/>
  <c r="Q289" i="40"/>
  <c r="Y289" i="40" s="1"/>
  <c r="S288" i="40"/>
  <c r="T280" i="40"/>
  <c r="V280" i="40"/>
  <c r="W280" i="40" s="1"/>
  <c r="M282" i="40"/>
  <c r="O282" i="40"/>
  <c r="P281" i="40"/>
  <c r="K289" i="40"/>
  <c r="L289" i="40" s="1"/>
  <c r="A296" i="28"/>
  <c r="V298" i="28"/>
  <c r="L298" i="28"/>
  <c r="M298" i="28" s="1"/>
  <c r="N298" i="28" s="1"/>
  <c r="O298" i="28" s="1"/>
  <c r="P297" i="28"/>
  <c r="C307" i="28" l="1"/>
  <c r="F306" i="28"/>
  <c r="E306" i="28"/>
  <c r="G306" i="28"/>
  <c r="J306" i="28"/>
  <c r="I306" i="28"/>
  <c r="H306" i="28"/>
  <c r="K306" i="28"/>
  <c r="Q290" i="40"/>
  <c r="Y290" i="40" s="1"/>
  <c r="S289" i="40"/>
  <c r="T281" i="40"/>
  <c r="P282" i="40"/>
  <c r="M283" i="40"/>
  <c r="O283" i="40"/>
  <c r="V281" i="40"/>
  <c r="W281" i="40" s="1"/>
  <c r="K290" i="40"/>
  <c r="L290" i="40" s="1"/>
  <c r="A297" i="28"/>
  <c r="V299" i="28"/>
  <c r="L299" i="28"/>
  <c r="M299" i="28" s="1"/>
  <c r="N299" i="28" s="1"/>
  <c r="O299" i="28" s="1"/>
  <c r="P298" i="28"/>
  <c r="C308" i="28" l="1"/>
  <c r="G307" i="28"/>
  <c r="F307" i="28"/>
  <c r="H307" i="28"/>
  <c r="K307" i="28"/>
  <c r="J307" i="28"/>
  <c r="I307" i="28"/>
  <c r="E307" i="28"/>
  <c r="Q291" i="40"/>
  <c r="Y291" i="40" s="1"/>
  <c r="S290" i="40"/>
  <c r="T282" i="40"/>
  <c r="V282" i="40"/>
  <c r="W282" i="40" s="1"/>
  <c r="P283" i="40"/>
  <c r="M284" i="40"/>
  <c r="O284" i="40"/>
  <c r="K291" i="40"/>
  <c r="L291" i="40" s="1"/>
  <c r="A298" i="28"/>
  <c r="V300" i="28"/>
  <c r="L300" i="28"/>
  <c r="M300" i="28" s="1"/>
  <c r="N300" i="28" s="1"/>
  <c r="O300" i="28" s="1"/>
  <c r="P299" i="28"/>
  <c r="C309" i="28" l="1"/>
  <c r="H308" i="28"/>
  <c r="K308" i="28"/>
  <c r="J308" i="28"/>
  <c r="G308" i="28"/>
  <c r="F308" i="28"/>
  <c r="I308" i="28"/>
  <c r="E308" i="28"/>
  <c r="Q292" i="40"/>
  <c r="Y292" i="40" s="1"/>
  <c r="S291" i="40"/>
  <c r="T283" i="40"/>
  <c r="V283" i="40"/>
  <c r="W283" i="40" s="1"/>
  <c r="P284" i="40"/>
  <c r="M285" i="40"/>
  <c r="O285" i="40"/>
  <c r="K292" i="40"/>
  <c r="L292" i="40" s="1"/>
  <c r="A299" i="28"/>
  <c r="V301" i="28"/>
  <c r="L301" i="28"/>
  <c r="M301" i="28" s="1"/>
  <c r="N301" i="28" s="1"/>
  <c r="O301" i="28" s="1"/>
  <c r="P300" i="28"/>
  <c r="C310" i="28" l="1"/>
  <c r="I309" i="28"/>
  <c r="H309" i="28"/>
  <c r="G309" i="28"/>
  <c r="F309" i="28"/>
  <c r="K309" i="28"/>
  <c r="E309" i="28"/>
  <c r="J309" i="28"/>
  <c r="Q293" i="40"/>
  <c r="Y293" i="40" s="1"/>
  <c r="S292" i="40"/>
  <c r="T284" i="40"/>
  <c r="V284" i="40"/>
  <c r="W284" i="40" s="1"/>
  <c r="P285" i="40"/>
  <c r="M286" i="40"/>
  <c r="O286" i="40"/>
  <c r="K293" i="40"/>
  <c r="L293" i="40" s="1"/>
  <c r="A300" i="28"/>
  <c r="P301" i="28"/>
  <c r="V302" i="28"/>
  <c r="L302" i="28"/>
  <c r="M302" i="28" s="1"/>
  <c r="N302" i="28" s="1"/>
  <c r="O302" i="28" s="1"/>
  <c r="C311" i="28" l="1"/>
  <c r="J310" i="28"/>
  <c r="E310" i="28"/>
  <c r="I310" i="28"/>
  <c r="K310" i="28"/>
  <c r="H310" i="28"/>
  <c r="G310" i="28"/>
  <c r="F310" i="28"/>
  <c r="Q294" i="40"/>
  <c r="Y294" i="40" s="1"/>
  <c r="S293" i="40"/>
  <c r="T285" i="40"/>
  <c r="V285" i="40"/>
  <c r="W285" i="40" s="1"/>
  <c r="M287" i="40"/>
  <c r="O287" i="40"/>
  <c r="P286" i="40"/>
  <c r="K294" i="40"/>
  <c r="L294" i="40" s="1"/>
  <c r="A301" i="28"/>
  <c r="V303" i="28"/>
  <c r="L303" i="28"/>
  <c r="M303" i="28" s="1"/>
  <c r="N303" i="28" s="1"/>
  <c r="O303" i="28" s="1"/>
  <c r="P302" i="28"/>
  <c r="C312" i="28" l="1"/>
  <c r="K311" i="28"/>
  <c r="J311" i="28"/>
  <c r="G311" i="28"/>
  <c r="F311" i="28"/>
  <c r="I311" i="28"/>
  <c r="E311" i="28"/>
  <c r="H311" i="28"/>
  <c r="Q295" i="40"/>
  <c r="Y295" i="40" s="1"/>
  <c r="S294" i="40"/>
  <c r="T286" i="40"/>
  <c r="V286" i="40"/>
  <c r="W286" i="40" s="1"/>
  <c r="M288" i="40"/>
  <c r="O288" i="40"/>
  <c r="P287" i="40"/>
  <c r="K295" i="40"/>
  <c r="L295" i="40" s="1"/>
  <c r="A302" i="28"/>
  <c r="V304" i="28"/>
  <c r="L304" i="28"/>
  <c r="M304" i="28" s="1"/>
  <c r="N304" i="28" s="1"/>
  <c r="O304" i="28" s="1"/>
  <c r="P303" i="28"/>
  <c r="C313" i="28" l="1"/>
  <c r="K312" i="28"/>
  <c r="J312" i="28"/>
  <c r="F312" i="28"/>
  <c r="I312" i="28"/>
  <c r="H312" i="28"/>
  <c r="G312" i="28"/>
  <c r="E312" i="28"/>
  <c r="Q296" i="40"/>
  <c r="Y296" i="40" s="1"/>
  <c r="S295" i="40"/>
  <c r="T287" i="40"/>
  <c r="V287" i="40"/>
  <c r="W287" i="40" s="1"/>
  <c r="P288" i="40"/>
  <c r="M289" i="40"/>
  <c r="O289" i="40"/>
  <c r="K296" i="40"/>
  <c r="L296" i="40" s="1"/>
  <c r="A303" i="28"/>
  <c r="P304" i="28"/>
  <c r="V305" i="28"/>
  <c r="L305" i="28"/>
  <c r="M305" i="28" s="1"/>
  <c r="N305" i="28" s="1"/>
  <c r="O305" i="28" s="1"/>
  <c r="C314" i="28" l="1"/>
  <c r="G313" i="28"/>
  <c r="F313" i="28"/>
  <c r="E313" i="28"/>
  <c r="K313" i="28"/>
  <c r="J313" i="28"/>
  <c r="I313" i="28"/>
  <c r="H313" i="28"/>
  <c r="Q297" i="40"/>
  <c r="Y297" i="40" s="1"/>
  <c r="S296" i="40"/>
  <c r="T288" i="40"/>
  <c r="V288" i="40"/>
  <c r="W288" i="40" s="1"/>
  <c r="M290" i="40"/>
  <c r="O290" i="40"/>
  <c r="P289" i="40"/>
  <c r="K297" i="40"/>
  <c r="L297" i="40" s="1"/>
  <c r="A304" i="28"/>
  <c r="V306" i="28"/>
  <c r="L306" i="28"/>
  <c r="M306" i="28" s="1"/>
  <c r="N306" i="28" s="1"/>
  <c r="O306" i="28" s="1"/>
  <c r="P305" i="28"/>
  <c r="C315" i="28" l="1"/>
  <c r="H314" i="28"/>
  <c r="G314" i="28"/>
  <c r="F314" i="28"/>
  <c r="J314" i="28"/>
  <c r="I314" i="28"/>
  <c r="E314" i="28"/>
  <c r="K314" i="28"/>
  <c r="Q298" i="40"/>
  <c r="Y298" i="40" s="1"/>
  <c r="S297" i="40"/>
  <c r="T289" i="40"/>
  <c r="P290" i="40"/>
  <c r="M291" i="40"/>
  <c r="O291" i="40"/>
  <c r="V289" i="40"/>
  <c r="W289" i="40" s="1"/>
  <c r="K298" i="40"/>
  <c r="L298" i="40" s="1"/>
  <c r="A305" i="28"/>
  <c r="V307" i="28"/>
  <c r="L307" i="28"/>
  <c r="M307" i="28" s="1"/>
  <c r="N307" i="28" s="1"/>
  <c r="O307" i="28" s="1"/>
  <c r="P306" i="28"/>
  <c r="C316" i="28" l="1"/>
  <c r="I315" i="28"/>
  <c r="H315" i="28"/>
  <c r="E315" i="28"/>
  <c r="F315" i="28"/>
  <c r="K315" i="28"/>
  <c r="G315" i="28"/>
  <c r="J315" i="28"/>
  <c r="Q299" i="40"/>
  <c r="Y299" i="40" s="1"/>
  <c r="S298" i="40"/>
  <c r="T290" i="40"/>
  <c r="V290" i="40"/>
  <c r="W290" i="40" s="1"/>
  <c r="P291" i="40"/>
  <c r="M292" i="40"/>
  <c r="O292" i="40"/>
  <c r="K299" i="40"/>
  <c r="L299" i="40" s="1"/>
  <c r="A306" i="28"/>
  <c r="P307" i="28"/>
  <c r="V308" i="28"/>
  <c r="L308" i="28"/>
  <c r="M308" i="28" s="1"/>
  <c r="N308" i="28" s="1"/>
  <c r="O308" i="28" s="1"/>
  <c r="C317" i="28" l="1"/>
  <c r="J316" i="28"/>
  <c r="K316" i="28"/>
  <c r="H316" i="28"/>
  <c r="I316" i="28"/>
  <c r="F316" i="28"/>
  <c r="E316" i="28"/>
  <c r="G316" i="28"/>
  <c r="Q300" i="40"/>
  <c r="Y300" i="40" s="1"/>
  <c r="S299" i="40"/>
  <c r="T291" i="40"/>
  <c r="V291" i="40"/>
  <c r="W291" i="40" s="1"/>
  <c r="P292" i="40"/>
  <c r="M293" i="40"/>
  <c r="O293" i="40"/>
  <c r="K300" i="40"/>
  <c r="L300" i="40" s="1"/>
  <c r="A307" i="28"/>
  <c r="P308" i="28"/>
  <c r="V309" i="28"/>
  <c r="L309" i="28"/>
  <c r="M309" i="28" s="1"/>
  <c r="N309" i="28" s="1"/>
  <c r="O309" i="28" s="1"/>
  <c r="C318" i="28" l="1"/>
  <c r="K317" i="28"/>
  <c r="I317" i="28"/>
  <c r="G317" i="28"/>
  <c r="F317" i="28"/>
  <c r="J317" i="28"/>
  <c r="H317" i="28"/>
  <c r="E317" i="28"/>
  <c r="Q301" i="40"/>
  <c r="Y301" i="40" s="1"/>
  <c r="S300" i="40"/>
  <c r="T292" i="40"/>
  <c r="V292" i="40"/>
  <c r="W292" i="40" s="1"/>
  <c r="M294" i="40"/>
  <c r="O294" i="40"/>
  <c r="P293" i="40"/>
  <c r="K301" i="40"/>
  <c r="L301" i="40" s="1"/>
  <c r="A308" i="28"/>
  <c r="P309" i="28"/>
  <c r="V310" i="28"/>
  <c r="L310" i="28"/>
  <c r="M310" i="28" s="1"/>
  <c r="N310" i="28" s="1"/>
  <c r="O310" i="28" s="1"/>
  <c r="C319" i="28" l="1"/>
  <c r="K318" i="28"/>
  <c r="J318" i="28"/>
  <c r="I318" i="28"/>
  <c r="H318" i="28"/>
  <c r="F318" i="28"/>
  <c r="G318" i="28"/>
  <c r="E318" i="28"/>
  <c r="Q302" i="40"/>
  <c r="Y302" i="40" s="1"/>
  <c r="S301" i="40"/>
  <c r="T293" i="40"/>
  <c r="V293" i="40"/>
  <c r="W293" i="40" s="1"/>
  <c r="P294" i="40"/>
  <c r="M295" i="40"/>
  <c r="O295" i="40"/>
  <c r="K302" i="40"/>
  <c r="L302" i="40" s="1"/>
  <c r="A309" i="28"/>
  <c r="V311" i="28"/>
  <c r="L311" i="28"/>
  <c r="M311" i="28" s="1"/>
  <c r="N311" i="28" s="1"/>
  <c r="O311" i="28" s="1"/>
  <c r="P310" i="28"/>
  <c r="C320" i="28" l="1"/>
  <c r="E319" i="28"/>
  <c r="H319" i="28"/>
  <c r="G319" i="28"/>
  <c r="F319" i="28"/>
  <c r="J319" i="28"/>
  <c r="I319" i="28"/>
  <c r="K319" i="28"/>
  <c r="Q303" i="40"/>
  <c r="Y303" i="40" s="1"/>
  <c r="S302" i="40"/>
  <c r="T294" i="40"/>
  <c r="V294" i="40"/>
  <c r="W294" i="40" s="1"/>
  <c r="P295" i="40"/>
  <c r="M296" i="40"/>
  <c r="O296" i="40"/>
  <c r="K303" i="40"/>
  <c r="L303" i="40" s="1"/>
  <c r="A310" i="28"/>
  <c r="P311" i="28"/>
  <c r="V312" i="28"/>
  <c r="L312" i="28"/>
  <c r="M312" i="28" s="1"/>
  <c r="N312" i="28" s="1"/>
  <c r="O312" i="28" s="1"/>
  <c r="C321" i="28" l="1"/>
  <c r="F320" i="28"/>
  <c r="J320" i="28"/>
  <c r="E320" i="28"/>
  <c r="I320" i="28"/>
  <c r="K320" i="28"/>
  <c r="H320" i="28"/>
  <c r="G320" i="28"/>
  <c r="Q304" i="40"/>
  <c r="Y304" i="40" s="1"/>
  <c r="S303" i="40"/>
  <c r="T295" i="40"/>
  <c r="V295" i="40"/>
  <c r="W295" i="40" s="1"/>
  <c r="M297" i="40"/>
  <c r="O297" i="40"/>
  <c r="P296" i="40"/>
  <c r="K304" i="40"/>
  <c r="L304" i="40" s="1"/>
  <c r="P312" i="28"/>
  <c r="V313" i="28"/>
  <c r="L313" i="28"/>
  <c r="M313" i="28" s="1"/>
  <c r="N313" i="28" s="1"/>
  <c r="O313" i="28" s="1"/>
  <c r="C322" i="28" l="1"/>
  <c r="G321" i="28"/>
  <c r="E321" i="28"/>
  <c r="F321" i="28"/>
  <c r="K321" i="28"/>
  <c r="I321" i="28"/>
  <c r="J321" i="28"/>
  <c r="H321" i="28"/>
  <c r="Q305" i="40"/>
  <c r="Y305" i="40" s="1"/>
  <c r="S304" i="40"/>
  <c r="T296" i="40"/>
  <c r="A311" i="28"/>
  <c r="V296" i="40"/>
  <c r="W296" i="40" s="1"/>
  <c r="P297" i="40"/>
  <c r="M298" i="40"/>
  <c r="O298" i="40"/>
  <c r="K305" i="40"/>
  <c r="L305" i="40" s="1"/>
  <c r="A312" i="28"/>
  <c r="V314" i="28"/>
  <c r="L314" i="28"/>
  <c r="M314" i="28" s="1"/>
  <c r="N314" i="28" s="1"/>
  <c r="O314" i="28" s="1"/>
  <c r="P313" i="28"/>
  <c r="C323" i="28" l="1"/>
  <c r="H322" i="28"/>
  <c r="G322" i="28"/>
  <c r="I322" i="28"/>
  <c r="F322" i="28"/>
  <c r="E322" i="28"/>
  <c r="K322" i="28"/>
  <c r="J322" i="28"/>
  <c r="Q306" i="40"/>
  <c r="Y306" i="40" s="1"/>
  <c r="S305" i="40"/>
  <c r="T297" i="40"/>
  <c r="V297" i="40"/>
  <c r="W297" i="40" s="1"/>
  <c r="P298" i="40"/>
  <c r="M299" i="40"/>
  <c r="O299" i="40"/>
  <c r="K306" i="40"/>
  <c r="L306" i="40" s="1"/>
  <c r="A313" i="28"/>
  <c r="V315" i="28"/>
  <c r="L315" i="28"/>
  <c r="M315" i="28" s="1"/>
  <c r="N315" i="28" s="1"/>
  <c r="O315" i="28" s="1"/>
  <c r="P314" i="28"/>
  <c r="C324" i="28" l="1"/>
  <c r="I323" i="28"/>
  <c r="H323" i="28"/>
  <c r="K323" i="28"/>
  <c r="J323" i="28"/>
  <c r="E323" i="28"/>
  <c r="G323" i="28"/>
  <c r="F323" i="28"/>
  <c r="Q307" i="40"/>
  <c r="Y307" i="40" s="1"/>
  <c r="S306" i="40"/>
  <c r="T298" i="40"/>
  <c r="V298" i="40"/>
  <c r="W298" i="40" s="1"/>
  <c r="P299" i="40"/>
  <c r="M300" i="40"/>
  <c r="O300" i="40"/>
  <c r="K307" i="40"/>
  <c r="L307" i="40" s="1"/>
  <c r="A314" i="28"/>
  <c r="V316" i="28"/>
  <c r="L316" i="28"/>
  <c r="M316" i="28" s="1"/>
  <c r="N316" i="28" s="1"/>
  <c r="O316" i="28" s="1"/>
  <c r="P315" i="28"/>
  <c r="C325" i="28" l="1"/>
  <c r="J324" i="28"/>
  <c r="I324" i="28"/>
  <c r="F324" i="28"/>
  <c r="K324" i="28"/>
  <c r="H324" i="28"/>
  <c r="G324" i="28"/>
  <c r="E324" i="28"/>
  <c r="Q308" i="40"/>
  <c r="Y308" i="40" s="1"/>
  <c r="S307" i="40"/>
  <c r="T299" i="40"/>
  <c r="V299" i="40"/>
  <c r="W299" i="40" s="1"/>
  <c r="M301" i="40"/>
  <c r="O301" i="40"/>
  <c r="P300" i="40"/>
  <c r="K308" i="40"/>
  <c r="L308" i="40" s="1"/>
  <c r="A315" i="28"/>
  <c r="V317" i="28"/>
  <c r="L317" i="28"/>
  <c r="M317" i="28" s="1"/>
  <c r="N317" i="28" s="1"/>
  <c r="O317" i="28" s="1"/>
  <c r="P316" i="28"/>
  <c r="C326" i="28" l="1"/>
  <c r="K325" i="28"/>
  <c r="J325" i="28"/>
  <c r="I325" i="28"/>
  <c r="G325" i="28"/>
  <c r="F325" i="28"/>
  <c r="E325" i="28"/>
  <c r="H325" i="28"/>
  <c r="Q309" i="40"/>
  <c r="Y309" i="40" s="1"/>
  <c r="S308" i="40"/>
  <c r="T300" i="40"/>
  <c r="V300" i="40"/>
  <c r="W300" i="40" s="1"/>
  <c r="M302" i="40"/>
  <c r="O302" i="40"/>
  <c r="P301" i="40"/>
  <c r="K309" i="40"/>
  <c r="L309" i="40" s="1"/>
  <c r="A316" i="28"/>
  <c r="V318" i="28"/>
  <c r="L318" i="28"/>
  <c r="M318" i="28" s="1"/>
  <c r="N318" i="28" s="1"/>
  <c r="O318" i="28" s="1"/>
  <c r="P317" i="28"/>
  <c r="C327" i="28" l="1"/>
  <c r="K326" i="28"/>
  <c r="J326" i="28"/>
  <c r="I326" i="28"/>
  <c r="H326" i="28"/>
  <c r="G326" i="28"/>
  <c r="F326" i="28"/>
  <c r="E326" i="28"/>
  <c r="Q310" i="40"/>
  <c r="Y310" i="40" s="1"/>
  <c r="S309" i="40"/>
  <c r="T301" i="40"/>
  <c r="P302" i="40"/>
  <c r="M303" i="40"/>
  <c r="O303" i="40"/>
  <c r="V301" i="40"/>
  <c r="W301" i="40" s="1"/>
  <c r="K310" i="40"/>
  <c r="L310" i="40" s="1"/>
  <c r="A317" i="28"/>
  <c r="V319" i="28"/>
  <c r="L319" i="28"/>
  <c r="M319" i="28" s="1"/>
  <c r="N319" i="28" s="1"/>
  <c r="O319" i="28" s="1"/>
  <c r="P318" i="28"/>
  <c r="C328" i="28" l="1"/>
  <c r="E327" i="28"/>
  <c r="K327" i="28"/>
  <c r="G327" i="28"/>
  <c r="J327" i="28"/>
  <c r="F327" i="28"/>
  <c r="I327" i="28"/>
  <c r="H327" i="28"/>
  <c r="Q311" i="40"/>
  <c r="Y311" i="40" s="1"/>
  <c r="S310" i="40"/>
  <c r="T302" i="40"/>
  <c r="V302" i="40"/>
  <c r="W302" i="40" s="1"/>
  <c r="M304" i="40"/>
  <c r="O304" i="40"/>
  <c r="P303" i="40"/>
  <c r="K311" i="40"/>
  <c r="L311" i="40" s="1"/>
  <c r="A318" i="28"/>
  <c r="V320" i="28"/>
  <c r="L320" i="28"/>
  <c r="M320" i="28" s="1"/>
  <c r="N320" i="28" s="1"/>
  <c r="O320" i="28" s="1"/>
  <c r="P319" i="28"/>
  <c r="C329" i="28" l="1"/>
  <c r="F328" i="28"/>
  <c r="E328" i="28"/>
  <c r="K328" i="28"/>
  <c r="J328" i="28"/>
  <c r="I328" i="28"/>
  <c r="H328" i="28"/>
  <c r="G328" i="28"/>
  <c r="Q312" i="40"/>
  <c r="Y312" i="40" s="1"/>
  <c r="S311" i="40"/>
  <c r="T303" i="40"/>
  <c r="V303" i="40"/>
  <c r="W303" i="40" s="1"/>
  <c r="P304" i="40"/>
  <c r="M305" i="40"/>
  <c r="O305" i="40"/>
  <c r="K312" i="40"/>
  <c r="L312" i="40" s="1"/>
  <c r="A319" i="28"/>
  <c r="P320" i="28"/>
  <c r="V321" i="28"/>
  <c r="L321" i="28"/>
  <c r="M321" i="28" s="1"/>
  <c r="N321" i="28" s="1"/>
  <c r="O321" i="28" s="1"/>
  <c r="C330" i="28" l="1"/>
  <c r="G329" i="28"/>
  <c r="F329" i="28"/>
  <c r="I329" i="28"/>
  <c r="H329" i="28"/>
  <c r="J329" i="28"/>
  <c r="E329" i="28"/>
  <c r="K329" i="28"/>
  <c r="Q313" i="40"/>
  <c r="Y313" i="40" s="1"/>
  <c r="S312" i="40"/>
  <c r="T304" i="40"/>
  <c r="P305" i="40"/>
  <c r="M306" i="40"/>
  <c r="O306" i="40"/>
  <c r="V304" i="40"/>
  <c r="W304" i="40" s="1"/>
  <c r="K313" i="40"/>
  <c r="L313" i="40" s="1"/>
  <c r="A320" i="28"/>
  <c r="P321" i="28"/>
  <c r="V322" i="28"/>
  <c r="L322" i="28"/>
  <c r="M322" i="28" s="1"/>
  <c r="N322" i="28" s="1"/>
  <c r="O322" i="28" s="1"/>
  <c r="C331" i="28" l="1"/>
  <c r="H330" i="28"/>
  <c r="G330" i="28"/>
  <c r="E330" i="28"/>
  <c r="K330" i="28"/>
  <c r="J330" i="28"/>
  <c r="I330" i="28"/>
  <c r="F330" i="28"/>
  <c r="Q314" i="40"/>
  <c r="Y314" i="40" s="1"/>
  <c r="S313" i="40"/>
  <c r="T305" i="40"/>
  <c r="V305" i="40"/>
  <c r="W305" i="40" s="1"/>
  <c r="M307" i="40"/>
  <c r="O307" i="40"/>
  <c r="P306" i="40"/>
  <c r="K314" i="40"/>
  <c r="L314" i="40" s="1"/>
  <c r="A321" i="28"/>
  <c r="P322" i="28"/>
  <c r="V323" i="28"/>
  <c r="L323" i="28"/>
  <c r="M323" i="28" s="1"/>
  <c r="N323" i="28" s="1"/>
  <c r="O323" i="28" s="1"/>
  <c r="C332" i="28" l="1"/>
  <c r="I331" i="28"/>
  <c r="H331" i="28"/>
  <c r="F331" i="28"/>
  <c r="E331" i="28"/>
  <c r="J331" i="28"/>
  <c r="K331" i="28"/>
  <c r="G331" i="28"/>
  <c r="Q315" i="40"/>
  <c r="Y315" i="40" s="1"/>
  <c r="S314" i="40"/>
  <c r="T306" i="40"/>
  <c r="V306" i="40"/>
  <c r="W306" i="40" s="1"/>
  <c r="P307" i="40"/>
  <c r="M308" i="40"/>
  <c r="O308" i="40"/>
  <c r="K315" i="40"/>
  <c r="L315" i="40" s="1"/>
  <c r="A322" i="28"/>
  <c r="V324" i="28"/>
  <c r="L324" i="28"/>
  <c r="M324" i="28" s="1"/>
  <c r="N324" i="28" s="1"/>
  <c r="O324" i="28" s="1"/>
  <c r="P323" i="28"/>
  <c r="C333" i="28" l="1"/>
  <c r="J332" i="28"/>
  <c r="I332" i="28"/>
  <c r="H332" i="28"/>
  <c r="G332" i="28"/>
  <c r="E332" i="28"/>
  <c r="F332" i="28"/>
  <c r="K332" i="28"/>
  <c r="Q316" i="40"/>
  <c r="Y316" i="40" s="1"/>
  <c r="S315" i="40"/>
  <c r="T307" i="40"/>
  <c r="V307" i="40"/>
  <c r="W307" i="40" s="1"/>
  <c r="P308" i="40"/>
  <c r="M309" i="40"/>
  <c r="O309" i="40"/>
  <c r="K316" i="40"/>
  <c r="L316" i="40" s="1"/>
  <c r="A323" i="28"/>
  <c r="V325" i="28"/>
  <c r="L325" i="28"/>
  <c r="M325" i="28" s="1"/>
  <c r="N325" i="28" s="1"/>
  <c r="O325" i="28" s="1"/>
  <c r="P324" i="28"/>
  <c r="C334" i="28" l="1"/>
  <c r="K333" i="28"/>
  <c r="J333" i="28"/>
  <c r="I333" i="28"/>
  <c r="H333" i="28"/>
  <c r="G333" i="28"/>
  <c r="F333" i="28"/>
  <c r="E333" i="28"/>
  <c r="Q317" i="40"/>
  <c r="Y317" i="40" s="1"/>
  <c r="S316" i="40"/>
  <c r="T308" i="40"/>
  <c r="P309" i="40"/>
  <c r="M310" i="40"/>
  <c r="O310" i="40"/>
  <c r="V308" i="40"/>
  <c r="W308" i="40" s="1"/>
  <c r="K317" i="40"/>
  <c r="L317" i="40" s="1"/>
  <c r="A324" i="28"/>
  <c r="V326" i="28"/>
  <c r="L326" i="28"/>
  <c r="M326" i="28" s="1"/>
  <c r="N326" i="28" s="1"/>
  <c r="O326" i="28" s="1"/>
  <c r="P325" i="28"/>
  <c r="C335" i="28" l="1"/>
  <c r="K334" i="28"/>
  <c r="F334" i="28"/>
  <c r="H334" i="28"/>
  <c r="E334" i="28"/>
  <c r="J334" i="28"/>
  <c r="I334" i="28"/>
  <c r="G334" i="28"/>
  <c r="Q318" i="40"/>
  <c r="Y318" i="40" s="1"/>
  <c r="S317" i="40"/>
  <c r="T309" i="40"/>
  <c r="V309" i="40"/>
  <c r="W309" i="40" s="1"/>
  <c r="P310" i="40"/>
  <c r="M311" i="40"/>
  <c r="O311" i="40"/>
  <c r="K318" i="40"/>
  <c r="L318" i="40" s="1"/>
  <c r="A325" i="28"/>
  <c r="P326" i="28"/>
  <c r="V327" i="28"/>
  <c r="L327" i="28"/>
  <c r="M327" i="28" s="1"/>
  <c r="N327" i="28" s="1"/>
  <c r="O327" i="28" s="1"/>
  <c r="C336" i="28" l="1"/>
  <c r="E335" i="28"/>
  <c r="I335" i="28"/>
  <c r="H335" i="28"/>
  <c r="F335" i="28"/>
  <c r="K335" i="28"/>
  <c r="G335" i="28"/>
  <c r="J335" i="28"/>
  <c r="Q319" i="40"/>
  <c r="Y319" i="40" s="1"/>
  <c r="S318" i="40"/>
  <c r="T310" i="40"/>
  <c r="V310" i="40"/>
  <c r="W310" i="40" s="1"/>
  <c r="P311" i="40"/>
  <c r="M312" i="40"/>
  <c r="O312" i="40"/>
  <c r="K319" i="40"/>
  <c r="L319" i="40" s="1"/>
  <c r="A326" i="28"/>
  <c r="P327" i="28"/>
  <c r="V328" i="28"/>
  <c r="L328" i="28"/>
  <c r="M328" i="28" s="1"/>
  <c r="N328" i="28" s="1"/>
  <c r="O328" i="28" s="1"/>
  <c r="C337" i="28" l="1"/>
  <c r="F336" i="28"/>
  <c r="E336" i="28"/>
  <c r="H336" i="28"/>
  <c r="K336" i="28"/>
  <c r="J336" i="28"/>
  <c r="I336" i="28"/>
  <c r="G336" i="28"/>
  <c r="Q320" i="40"/>
  <c r="Y320" i="40" s="1"/>
  <c r="S319" i="40"/>
  <c r="T311" i="40"/>
  <c r="V311" i="40"/>
  <c r="W311" i="40" s="1"/>
  <c r="P312" i="40"/>
  <c r="M313" i="40"/>
  <c r="O313" i="40"/>
  <c r="K320" i="40"/>
  <c r="L320" i="40" s="1"/>
  <c r="A327" i="28"/>
  <c r="V329" i="28"/>
  <c r="L329" i="28"/>
  <c r="M329" i="28" s="1"/>
  <c r="N329" i="28" s="1"/>
  <c r="O329" i="28" s="1"/>
  <c r="P328" i="28"/>
  <c r="C338" i="28" l="1"/>
  <c r="G337" i="28"/>
  <c r="F337" i="28"/>
  <c r="E337" i="28"/>
  <c r="K337" i="28"/>
  <c r="J337" i="28"/>
  <c r="I337" i="28"/>
  <c r="H337" i="28"/>
  <c r="Q321" i="40"/>
  <c r="Y321" i="40" s="1"/>
  <c r="S320" i="40"/>
  <c r="T312" i="40"/>
  <c r="V312" i="40"/>
  <c r="W312" i="40" s="1"/>
  <c r="P313" i="40"/>
  <c r="M314" i="40"/>
  <c r="O314" i="40"/>
  <c r="K321" i="40"/>
  <c r="L321" i="40" s="1"/>
  <c r="A328" i="28"/>
  <c r="P329" i="28"/>
  <c r="V330" i="28"/>
  <c r="L330" i="28"/>
  <c r="M330" i="28" s="1"/>
  <c r="N330" i="28" s="1"/>
  <c r="O330" i="28" s="1"/>
  <c r="C339" i="28" l="1"/>
  <c r="H338" i="28"/>
  <c r="G338" i="28"/>
  <c r="E338" i="28"/>
  <c r="J338" i="28"/>
  <c r="K338" i="28"/>
  <c r="I338" i="28"/>
  <c r="F338" i="28"/>
  <c r="Q322" i="40"/>
  <c r="Y322" i="40" s="1"/>
  <c r="S321" i="40"/>
  <c r="T313" i="40"/>
  <c r="V313" i="40"/>
  <c r="W313" i="40" s="1"/>
  <c r="P314" i="40"/>
  <c r="M315" i="40"/>
  <c r="O315" i="40"/>
  <c r="K322" i="40"/>
  <c r="L322" i="40" s="1"/>
  <c r="A329" i="28"/>
  <c r="V331" i="28"/>
  <c r="L331" i="28"/>
  <c r="M331" i="28" s="1"/>
  <c r="N331" i="28" s="1"/>
  <c r="O331" i="28" s="1"/>
  <c r="P330" i="28"/>
  <c r="C340" i="28" l="1"/>
  <c r="I339" i="28"/>
  <c r="E339" i="28"/>
  <c r="H339" i="28"/>
  <c r="F339" i="28"/>
  <c r="K339" i="28"/>
  <c r="J339" i="28"/>
  <c r="G339" i="28"/>
  <c r="Q323" i="40"/>
  <c r="Y323" i="40" s="1"/>
  <c r="S322" i="40"/>
  <c r="T314" i="40"/>
  <c r="V314" i="40"/>
  <c r="W314" i="40" s="1"/>
  <c r="M316" i="40"/>
  <c r="O316" i="40"/>
  <c r="P315" i="40"/>
  <c r="K323" i="40"/>
  <c r="L323" i="40" s="1"/>
  <c r="A330" i="28"/>
  <c r="P331" i="28"/>
  <c r="V332" i="28"/>
  <c r="L332" i="28"/>
  <c r="M332" i="28" s="1"/>
  <c r="N332" i="28" s="1"/>
  <c r="O332" i="28" s="1"/>
  <c r="C341" i="28" l="1"/>
  <c r="J340" i="28"/>
  <c r="I340" i="28"/>
  <c r="F340" i="28"/>
  <c r="H340" i="28"/>
  <c r="E340" i="28"/>
  <c r="K340" i="28"/>
  <c r="G340" i="28"/>
  <c r="Q324" i="40"/>
  <c r="Y324" i="40" s="1"/>
  <c r="S323" i="40"/>
  <c r="T315" i="40"/>
  <c r="M317" i="40"/>
  <c r="O317" i="40"/>
  <c r="V315" i="40"/>
  <c r="W315" i="40" s="1"/>
  <c r="P316" i="40"/>
  <c r="K324" i="40"/>
  <c r="L324" i="40" s="1"/>
  <c r="A331" i="28"/>
  <c r="V333" i="28"/>
  <c r="L333" i="28"/>
  <c r="M333" i="28" s="1"/>
  <c r="N333" i="28" s="1"/>
  <c r="O333" i="28" s="1"/>
  <c r="P332" i="28"/>
  <c r="C342" i="28" l="1"/>
  <c r="K341" i="28"/>
  <c r="F341" i="28"/>
  <c r="J341" i="28"/>
  <c r="I341" i="28"/>
  <c r="H341" i="28"/>
  <c r="G341" i="28"/>
  <c r="E341" i="28"/>
  <c r="Q325" i="40"/>
  <c r="Y325" i="40" s="1"/>
  <c r="S324" i="40"/>
  <c r="T316" i="40"/>
  <c r="V316" i="40"/>
  <c r="W316" i="40" s="1"/>
  <c r="M318" i="40"/>
  <c r="O318" i="40"/>
  <c r="P317" i="40"/>
  <c r="K325" i="40"/>
  <c r="L325" i="40" s="1"/>
  <c r="A332" i="28"/>
  <c r="P333" i="28"/>
  <c r="V334" i="28"/>
  <c r="L334" i="28"/>
  <c r="M334" i="28" s="1"/>
  <c r="N334" i="28" s="1"/>
  <c r="O334" i="28" s="1"/>
  <c r="C343" i="28" l="1"/>
  <c r="K342" i="28"/>
  <c r="E342" i="28"/>
  <c r="J342" i="28"/>
  <c r="I342" i="28"/>
  <c r="H342" i="28"/>
  <c r="G342" i="28"/>
  <c r="F342" i="28"/>
  <c r="Q326" i="40"/>
  <c r="Y326" i="40" s="1"/>
  <c r="S325" i="40"/>
  <c r="T317" i="40"/>
  <c r="V317" i="40"/>
  <c r="W317" i="40" s="1"/>
  <c r="P318" i="40"/>
  <c r="M319" i="40"/>
  <c r="O319" i="40"/>
  <c r="K326" i="40"/>
  <c r="L326" i="40" s="1"/>
  <c r="A333" i="28"/>
  <c r="P334" i="28"/>
  <c r="V335" i="28"/>
  <c r="L335" i="28"/>
  <c r="M335" i="28" s="1"/>
  <c r="N335" i="28" s="1"/>
  <c r="O335" i="28" s="1"/>
  <c r="C344" i="28" l="1"/>
  <c r="E343" i="28"/>
  <c r="G343" i="28"/>
  <c r="I343" i="28"/>
  <c r="F343" i="28"/>
  <c r="K343" i="28"/>
  <c r="J343" i="28"/>
  <c r="H343" i="28"/>
  <c r="Q327" i="40"/>
  <c r="Y327" i="40" s="1"/>
  <c r="S326" i="40"/>
  <c r="T318" i="40"/>
  <c r="V318" i="40"/>
  <c r="W318" i="40" s="1"/>
  <c r="P319" i="40"/>
  <c r="M320" i="40"/>
  <c r="O320" i="40"/>
  <c r="K327" i="40"/>
  <c r="L327" i="40" s="1"/>
  <c r="A334" i="28"/>
  <c r="V336" i="28"/>
  <c r="L336" i="28"/>
  <c r="M336" i="28" s="1"/>
  <c r="N336" i="28" s="1"/>
  <c r="O336" i="28" s="1"/>
  <c r="P335" i="28"/>
  <c r="C345" i="28" l="1"/>
  <c r="F344" i="28"/>
  <c r="E344" i="28"/>
  <c r="J344" i="28"/>
  <c r="I344" i="28"/>
  <c r="H344" i="28"/>
  <c r="G344" i="28"/>
  <c r="K344" i="28"/>
  <c r="Q328" i="40"/>
  <c r="Y328" i="40" s="1"/>
  <c r="S327" i="40"/>
  <c r="T319" i="40"/>
  <c r="V319" i="40"/>
  <c r="W319" i="40" s="1"/>
  <c r="M321" i="40"/>
  <c r="O321" i="40"/>
  <c r="P320" i="40"/>
  <c r="K328" i="40"/>
  <c r="L328" i="40" s="1"/>
  <c r="A335" i="28"/>
  <c r="P336" i="28"/>
  <c r="V337" i="28"/>
  <c r="L337" i="28"/>
  <c r="M337" i="28" s="1"/>
  <c r="N337" i="28" s="1"/>
  <c r="O337" i="28" s="1"/>
  <c r="C346" i="28" l="1"/>
  <c r="G345" i="28"/>
  <c r="F345" i="28"/>
  <c r="K345" i="28"/>
  <c r="H345" i="28"/>
  <c r="J345" i="28"/>
  <c r="E345" i="28"/>
  <c r="I345" i="28"/>
  <c r="Q329" i="40"/>
  <c r="Y329" i="40" s="1"/>
  <c r="S328" i="40"/>
  <c r="T320" i="40"/>
  <c r="V320" i="40"/>
  <c r="W320" i="40" s="1"/>
  <c r="P321" i="40"/>
  <c r="M322" i="40"/>
  <c r="O322" i="40"/>
  <c r="K329" i="40"/>
  <c r="L329" i="40" s="1"/>
  <c r="A336" i="28"/>
  <c r="V338" i="28"/>
  <c r="L338" i="28"/>
  <c r="M338" i="28" s="1"/>
  <c r="N338" i="28" s="1"/>
  <c r="O338" i="28" s="1"/>
  <c r="P337" i="28"/>
  <c r="C347" i="28" l="1"/>
  <c r="H346" i="28"/>
  <c r="K346" i="28"/>
  <c r="J346" i="28"/>
  <c r="G346" i="28"/>
  <c r="F346" i="28"/>
  <c r="E346" i="28"/>
  <c r="I346" i="28"/>
  <c r="Q330" i="40"/>
  <c r="Y330" i="40" s="1"/>
  <c r="S329" i="40"/>
  <c r="T321" i="40"/>
  <c r="M323" i="40"/>
  <c r="O323" i="40"/>
  <c r="P322" i="40"/>
  <c r="V321" i="40"/>
  <c r="W321" i="40" s="1"/>
  <c r="K330" i="40"/>
  <c r="L330" i="40" s="1"/>
  <c r="A337" i="28"/>
  <c r="V339" i="28"/>
  <c r="L339" i="28"/>
  <c r="M339" i="28" s="1"/>
  <c r="N339" i="28" s="1"/>
  <c r="O339" i="28" s="1"/>
  <c r="P338" i="28"/>
  <c r="C348" i="28" l="1"/>
  <c r="I347" i="28"/>
  <c r="K347" i="28"/>
  <c r="H347" i="28"/>
  <c r="J347" i="28"/>
  <c r="G347" i="28"/>
  <c r="F347" i="28"/>
  <c r="E347" i="28"/>
  <c r="Q331" i="40"/>
  <c r="Y331" i="40" s="1"/>
  <c r="S330" i="40"/>
  <c r="T322" i="40"/>
  <c r="V322" i="40"/>
  <c r="W322" i="40" s="1"/>
  <c r="P323" i="40"/>
  <c r="M324" i="40"/>
  <c r="O324" i="40"/>
  <c r="K331" i="40"/>
  <c r="L331" i="40" s="1"/>
  <c r="A338" i="28"/>
  <c r="V340" i="28"/>
  <c r="L340" i="28"/>
  <c r="M340" i="28" s="1"/>
  <c r="N340" i="28" s="1"/>
  <c r="O340" i="28" s="1"/>
  <c r="P339" i="28"/>
  <c r="C349" i="28" l="1"/>
  <c r="J348" i="28"/>
  <c r="I348" i="28"/>
  <c r="F348" i="28"/>
  <c r="K348" i="28"/>
  <c r="H348" i="28"/>
  <c r="G348" i="28"/>
  <c r="E348" i="28"/>
  <c r="Q332" i="40"/>
  <c r="Y332" i="40" s="1"/>
  <c r="S331" i="40"/>
  <c r="T323" i="40"/>
  <c r="V323" i="40"/>
  <c r="W323" i="40" s="1"/>
  <c r="M325" i="40"/>
  <c r="O325" i="40"/>
  <c r="P324" i="40"/>
  <c r="K332" i="40"/>
  <c r="L332" i="40" s="1"/>
  <c r="A339" i="28"/>
  <c r="P340" i="28"/>
  <c r="V341" i="28"/>
  <c r="L341" i="28"/>
  <c r="M341" i="28" s="1"/>
  <c r="N341" i="28" s="1"/>
  <c r="O341" i="28" s="1"/>
  <c r="C350" i="28" l="1"/>
  <c r="K349" i="28"/>
  <c r="E349" i="28"/>
  <c r="I349" i="28"/>
  <c r="J349" i="28"/>
  <c r="G349" i="28"/>
  <c r="F349" i="28"/>
  <c r="H349" i="28"/>
  <c r="Q333" i="40"/>
  <c r="Y333" i="40" s="1"/>
  <c r="S332" i="40"/>
  <c r="T324" i="40"/>
  <c r="V324" i="40"/>
  <c r="W324" i="40" s="1"/>
  <c r="P325" i="40"/>
  <c r="M326" i="40"/>
  <c r="O326" i="40"/>
  <c r="K333" i="40"/>
  <c r="L333" i="40" s="1"/>
  <c r="A340" i="28"/>
  <c r="V342" i="28"/>
  <c r="L342" i="28"/>
  <c r="M342" i="28" s="1"/>
  <c r="N342" i="28" s="1"/>
  <c r="O342" i="28" s="1"/>
  <c r="P341" i="28"/>
  <c r="C351" i="28" l="1"/>
  <c r="K350" i="28"/>
  <c r="I350" i="28"/>
  <c r="J350" i="28"/>
  <c r="H350" i="28"/>
  <c r="G350" i="28"/>
  <c r="F350" i="28"/>
  <c r="E350" i="28"/>
  <c r="Q334" i="40"/>
  <c r="Y334" i="40" s="1"/>
  <c r="S333" i="40"/>
  <c r="T325" i="40"/>
  <c r="V325" i="40"/>
  <c r="W325" i="40" s="1"/>
  <c r="P326" i="40"/>
  <c r="M327" i="40"/>
  <c r="O327" i="40"/>
  <c r="K334" i="40"/>
  <c r="L334" i="40" s="1"/>
  <c r="A341" i="28"/>
  <c r="V343" i="28"/>
  <c r="L343" i="28"/>
  <c r="M343" i="28" s="1"/>
  <c r="N343" i="28" s="1"/>
  <c r="O343" i="28" s="1"/>
  <c r="P342" i="28"/>
  <c r="C352" i="28" l="1"/>
  <c r="E351" i="28"/>
  <c r="H351" i="28"/>
  <c r="G351" i="28"/>
  <c r="K351" i="28"/>
  <c r="J351" i="28"/>
  <c r="I351" i="28"/>
  <c r="F351" i="28"/>
  <c r="Q335" i="40"/>
  <c r="Y335" i="40" s="1"/>
  <c r="S334" i="40"/>
  <c r="T326" i="40"/>
  <c r="V326" i="40"/>
  <c r="W326" i="40" s="1"/>
  <c r="P327" i="40"/>
  <c r="M328" i="40"/>
  <c r="O328" i="40"/>
  <c r="K335" i="40"/>
  <c r="L335" i="40" s="1"/>
  <c r="A342" i="28"/>
  <c r="V344" i="28"/>
  <c r="L344" i="28"/>
  <c r="M344" i="28" s="1"/>
  <c r="N344" i="28" s="1"/>
  <c r="O344" i="28" s="1"/>
  <c r="P343" i="28"/>
  <c r="C353" i="28" l="1"/>
  <c r="F352" i="28"/>
  <c r="E352" i="28"/>
  <c r="H352" i="28"/>
  <c r="G352" i="28"/>
  <c r="K352" i="28"/>
  <c r="J352" i="28"/>
  <c r="I352" i="28"/>
  <c r="Q336" i="40"/>
  <c r="Y336" i="40" s="1"/>
  <c r="S335" i="40"/>
  <c r="T327" i="40"/>
  <c r="V327" i="40"/>
  <c r="W327" i="40" s="1"/>
  <c r="P328" i="40"/>
  <c r="M329" i="40"/>
  <c r="O329" i="40"/>
  <c r="K336" i="40"/>
  <c r="L336" i="40" s="1"/>
  <c r="A343" i="28"/>
  <c r="P344" i="28"/>
  <c r="V345" i="28"/>
  <c r="L345" i="28"/>
  <c r="M345" i="28" s="1"/>
  <c r="N345" i="28" s="1"/>
  <c r="O345" i="28" s="1"/>
  <c r="C354" i="28" l="1"/>
  <c r="G353" i="28"/>
  <c r="K353" i="28"/>
  <c r="F353" i="28"/>
  <c r="H353" i="28"/>
  <c r="J353" i="28"/>
  <c r="I353" i="28"/>
  <c r="E353" i="28"/>
  <c r="Q337" i="40"/>
  <c r="Y337" i="40" s="1"/>
  <c r="S336" i="40"/>
  <c r="T328" i="40"/>
  <c r="V328" i="40"/>
  <c r="W328" i="40" s="1"/>
  <c r="M330" i="40"/>
  <c r="O330" i="40"/>
  <c r="P329" i="40"/>
  <c r="K337" i="40"/>
  <c r="L337" i="40" s="1"/>
  <c r="A344" i="28"/>
  <c r="P345" i="28"/>
  <c r="V346" i="28"/>
  <c r="L346" i="28"/>
  <c r="M346" i="28" s="1"/>
  <c r="N346" i="28" s="1"/>
  <c r="O346" i="28" s="1"/>
  <c r="C355" i="28" l="1"/>
  <c r="H354" i="28"/>
  <c r="F354" i="28"/>
  <c r="G354" i="28"/>
  <c r="K354" i="28"/>
  <c r="E354" i="28"/>
  <c r="J354" i="28"/>
  <c r="I354" i="28"/>
  <c r="Q338" i="40"/>
  <c r="Y338" i="40" s="1"/>
  <c r="S337" i="40"/>
  <c r="T329" i="40"/>
  <c r="V329" i="40"/>
  <c r="W329" i="40" s="1"/>
  <c r="P330" i="40"/>
  <c r="M331" i="40"/>
  <c r="O331" i="40"/>
  <c r="K338" i="40"/>
  <c r="L338" i="40" s="1"/>
  <c r="A345" i="28"/>
  <c r="P346" i="28"/>
  <c r="V347" i="28"/>
  <c r="L347" i="28"/>
  <c r="M347" i="28" s="1"/>
  <c r="N347" i="28" s="1"/>
  <c r="O347" i="28" s="1"/>
  <c r="C356" i="28" l="1"/>
  <c r="I355" i="28"/>
  <c r="J355" i="28"/>
  <c r="H355" i="28"/>
  <c r="G355" i="28"/>
  <c r="F355" i="28"/>
  <c r="E355" i="28"/>
  <c r="K355" i="28"/>
  <c r="Q339" i="40"/>
  <c r="Y339" i="40" s="1"/>
  <c r="S338" i="40"/>
  <c r="T330" i="40"/>
  <c r="V330" i="40"/>
  <c r="W330" i="40" s="1"/>
  <c r="P331" i="40"/>
  <c r="M332" i="40"/>
  <c r="O332" i="40"/>
  <c r="K339" i="40"/>
  <c r="L339" i="40" s="1"/>
  <c r="A346" i="28"/>
  <c r="V348" i="28"/>
  <c r="L348" i="28"/>
  <c r="M348" i="28" s="1"/>
  <c r="N348" i="28" s="1"/>
  <c r="O348" i="28" s="1"/>
  <c r="P347" i="28"/>
  <c r="C357" i="28" l="1"/>
  <c r="G356" i="28"/>
  <c r="K356" i="28"/>
  <c r="F356" i="28"/>
  <c r="J356" i="28"/>
  <c r="I356" i="28"/>
  <c r="H356" i="28"/>
  <c r="E356" i="28"/>
  <c r="Q340" i="40"/>
  <c r="Y340" i="40" s="1"/>
  <c r="S339" i="40"/>
  <c r="T331" i="40"/>
  <c r="V331" i="40"/>
  <c r="W331" i="40" s="1"/>
  <c r="M333" i="40"/>
  <c r="O333" i="40"/>
  <c r="P332" i="40"/>
  <c r="K340" i="40"/>
  <c r="L340" i="40" s="1"/>
  <c r="A347" i="28"/>
  <c r="P348" i="28"/>
  <c r="V349" i="28"/>
  <c r="L349" i="28"/>
  <c r="M349" i="28" s="1"/>
  <c r="N349" i="28" s="1"/>
  <c r="O349" i="28" s="1"/>
  <c r="C358" i="28" l="1"/>
  <c r="H357" i="28"/>
  <c r="E357" i="28"/>
  <c r="G357" i="28"/>
  <c r="J357" i="28"/>
  <c r="F357" i="28"/>
  <c r="K357" i="28"/>
  <c r="I357" i="28"/>
  <c r="Q341" i="40"/>
  <c r="Y341" i="40" s="1"/>
  <c r="S340" i="40"/>
  <c r="T332" i="40"/>
  <c r="V332" i="40"/>
  <c r="W332" i="40" s="1"/>
  <c r="M334" i="40"/>
  <c r="O334" i="40"/>
  <c r="P333" i="40"/>
  <c r="K341" i="40"/>
  <c r="L341" i="40" s="1"/>
  <c r="A348" i="28"/>
  <c r="V350" i="28"/>
  <c r="L350" i="28"/>
  <c r="M350" i="28" s="1"/>
  <c r="N350" i="28" s="1"/>
  <c r="O350" i="28" s="1"/>
  <c r="P349" i="28"/>
  <c r="C359" i="28" l="1"/>
  <c r="I358" i="28"/>
  <c r="E358" i="28"/>
  <c r="H358" i="28"/>
  <c r="G358" i="28"/>
  <c r="K358" i="28"/>
  <c r="J358" i="28"/>
  <c r="F358" i="28"/>
  <c r="Q342" i="40"/>
  <c r="Y342" i="40" s="1"/>
  <c r="S341" i="40"/>
  <c r="T333" i="40"/>
  <c r="V333" i="40"/>
  <c r="W333" i="40" s="1"/>
  <c r="M335" i="40"/>
  <c r="O335" i="40"/>
  <c r="P334" i="40"/>
  <c r="K342" i="40"/>
  <c r="L342" i="40" s="1"/>
  <c r="A349" i="28"/>
  <c r="P350" i="28"/>
  <c r="V351" i="28"/>
  <c r="L351" i="28"/>
  <c r="M351" i="28" s="1"/>
  <c r="N351" i="28" s="1"/>
  <c r="O351" i="28" s="1"/>
  <c r="C360" i="28" l="1"/>
  <c r="J359" i="28"/>
  <c r="F359" i="28"/>
  <c r="K359" i="28"/>
  <c r="G359" i="28"/>
  <c r="E359" i="28"/>
  <c r="I359" i="28"/>
  <c r="H359" i="28"/>
  <c r="Q343" i="40"/>
  <c r="Y343" i="40" s="1"/>
  <c r="S342" i="40"/>
  <c r="T334" i="40"/>
  <c r="V334" i="40"/>
  <c r="W334" i="40" s="1"/>
  <c r="P335" i="40"/>
  <c r="V335" i="40"/>
  <c r="W335" i="40" s="1"/>
  <c r="M336" i="40"/>
  <c r="O336" i="40"/>
  <c r="K343" i="40"/>
  <c r="L343" i="40" s="1"/>
  <c r="A350" i="28"/>
  <c r="P351" i="28"/>
  <c r="V352" i="28"/>
  <c r="L352" i="28"/>
  <c r="M352" i="28" s="1"/>
  <c r="N352" i="28" s="1"/>
  <c r="O352" i="28" s="1"/>
  <c r="C361" i="28" l="1"/>
  <c r="K360" i="28"/>
  <c r="G360" i="28"/>
  <c r="E360" i="28"/>
  <c r="J360" i="28"/>
  <c r="I360" i="28"/>
  <c r="H360" i="28"/>
  <c r="F360" i="28"/>
  <c r="Q344" i="40"/>
  <c r="Y344" i="40" s="1"/>
  <c r="S343" i="40"/>
  <c r="T335" i="40"/>
  <c r="M337" i="40"/>
  <c r="O337" i="40"/>
  <c r="P336" i="40"/>
  <c r="K344" i="40"/>
  <c r="L344" i="40" s="1"/>
  <c r="A351" i="28"/>
  <c r="V353" i="28"/>
  <c r="L353" i="28"/>
  <c r="M353" i="28" s="1"/>
  <c r="N353" i="28" s="1"/>
  <c r="O353" i="28" s="1"/>
  <c r="P352" i="28"/>
  <c r="C362" i="28" l="1"/>
  <c r="H361" i="28"/>
  <c r="I361" i="28"/>
  <c r="G361" i="28"/>
  <c r="F361" i="28"/>
  <c r="E361" i="28"/>
  <c r="K361" i="28"/>
  <c r="J361" i="28"/>
  <c r="Q345" i="40"/>
  <c r="Y345" i="40" s="1"/>
  <c r="S344" i="40"/>
  <c r="T336" i="40"/>
  <c r="V336" i="40"/>
  <c r="W336" i="40" s="1"/>
  <c r="M338" i="40"/>
  <c r="O338" i="40"/>
  <c r="P337" i="40"/>
  <c r="K345" i="40"/>
  <c r="L345" i="40" s="1"/>
  <c r="A352" i="28"/>
  <c r="P353" i="28"/>
  <c r="V354" i="28"/>
  <c r="L354" i="28"/>
  <c r="M354" i="28" s="1"/>
  <c r="N354" i="28" s="1"/>
  <c r="O354" i="28" s="1"/>
  <c r="C363" i="28" l="1"/>
  <c r="E362" i="28"/>
  <c r="I362" i="28"/>
  <c r="G362" i="28"/>
  <c r="K362" i="28"/>
  <c r="J362" i="28"/>
  <c r="F362" i="28"/>
  <c r="H362" i="28"/>
  <c r="Q346" i="40"/>
  <c r="Y346" i="40" s="1"/>
  <c r="S345" i="40"/>
  <c r="T337" i="40"/>
  <c r="P338" i="40"/>
  <c r="M339" i="40"/>
  <c r="O339" i="40"/>
  <c r="V337" i="40"/>
  <c r="W337" i="40" s="1"/>
  <c r="K346" i="40"/>
  <c r="L346" i="40" s="1"/>
  <c r="A353" i="28"/>
  <c r="V355" i="28"/>
  <c r="L355" i="28"/>
  <c r="M355" i="28" s="1"/>
  <c r="N355" i="28" s="1"/>
  <c r="O355" i="28" s="1"/>
  <c r="P354" i="28"/>
  <c r="C364" i="28" l="1"/>
  <c r="F363" i="28"/>
  <c r="J363" i="28"/>
  <c r="E363" i="28"/>
  <c r="H363" i="28"/>
  <c r="G363" i="28"/>
  <c r="K363" i="28"/>
  <c r="I363" i="28"/>
  <c r="Q347" i="40"/>
  <c r="Y347" i="40" s="1"/>
  <c r="S346" i="40"/>
  <c r="T338" i="40"/>
  <c r="V338" i="40"/>
  <c r="W338" i="40" s="1"/>
  <c r="M340" i="40"/>
  <c r="O340" i="40"/>
  <c r="P339" i="40"/>
  <c r="K347" i="40"/>
  <c r="L347" i="40" s="1"/>
  <c r="A354" i="28"/>
  <c r="P355" i="28"/>
  <c r="V356" i="28"/>
  <c r="L356" i="28"/>
  <c r="M356" i="28" s="1"/>
  <c r="N356" i="28" s="1"/>
  <c r="O356" i="28" s="1"/>
  <c r="C365" i="28" l="1"/>
  <c r="G364" i="28"/>
  <c r="K364" i="28"/>
  <c r="I364" i="28"/>
  <c r="F364" i="28"/>
  <c r="H364" i="28"/>
  <c r="J364" i="28"/>
  <c r="E364" i="28"/>
  <c r="Q348" i="40"/>
  <c r="Y348" i="40" s="1"/>
  <c r="S347" i="40"/>
  <c r="T339" i="40"/>
  <c r="V339" i="40"/>
  <c r="W339" i="40" s="1"/>
  <c r="M341" i="40"/>
  <c r="O341" i="40"/>
  <c r="P340" i="40"/>
  <c r="K348" i="40"/>
  <c r="L348" i="40" s="1"/>
  <c r="A355" i="28"/>
  <c r="V357" i="28"/>
  <c r="L357" i="28"/>
  <c r="M357" i="28" s="1"/>
  <c r="N357" i="28" s="1"/>
  <c r="O357" i="28" s="1"/>
  <c r="P356" i="28"/>
  <c r="C366" i="28" l="1"/>
  <c r="H365" i="28"/>
  <c r="G365" i="28"/>
  <c r="K365" i="28"/>
  <c r="E365" i="28"/>
  <c r="J365" i="28"/>
  <c r="F365" i="28"/>
  <c r="I365" i="28"/>
  <c r="Q349" i="40"/>
  <c r="Y349" i="40" s="1"/>
  <c r="S348" i="40"/>
  <c r="T340" i="40"/>
  <c r="V340" i="40"/>
  <c r="W340" i="40" s="1"/>
  <c r="P341" i="40"/>
  <c r="M342" i="40"/>
  <c r="K349" i="40"/>
  <c r="L349" i="40" s="1"/>
  <c r="P357" i="28"/>
  <c r="V358" i="28"/>
  <c r="L358" i="28"/>
  <c r="M358" i="28" s="1"/>
  <c r="N358" i="28" s="1"/>
  <c r="O358" i="28" s="1"/>
  <c r="C367" i="28" l="1"/>
  <c r="I366" i="28"/>
  <c r="F366" i="28"/>
  <c r="E366" i="28"/>
  <c r="H366" i="28"/>
  <c r="K366" i="28"/>
  <c r="J366" i="28"/>
  <c r="G366" i="28"/>
  <c r="Q350" i="40"/>
  <c r="Y350" i="40" s="1"/>
  <c r="S349" i="40"/>
  <c r="T341" i="40"/>
  <c r="V341" i="40"/>
  <c r="W341" i="40" s="1"/>
  <c r="O342" i="40"/>
  <c r="A356" i="28"/>
  <c r="M343" i="40"/>
  <c r="O343" i="40"/>
  <c r="K350" i="40"/>
  <c r="L350" i="40" s="1"/>
  <c r="A357" i="28"/>
  <c r="V359" i="28"/>
  <c r="L359" i="28"/>
  <c r="M359" i="28" s="1"/>
  <c r="N359" i="28" s="1"/>
  <c r="O359" i="28" s="1"/>
  <c r="P358" i="28"/>
  <c r="C368" i="28" l="1"/>
  <c r="J367" i="28"/>
  <c r="F367" i="28"/>
  <c r="I367" i="28"/>
  <c r="H367" i="28"/>
  <c r="K367" i="28"/>
  <c r="G367" i="28"/>
  <c r="E367" i="28"/>
  <c r="Q351" i="40"/>
  <c r="Y351" i="40" s="1"/>
  <c r="S350" i="40"/>
  <c r="P342" i="40"/>
  <c r="V342" i="40"/>
  <c r="W342" i="40" s="1"/>
  <c r="P343" i="40"/>
  <c r="M344" i="40"/>
  <c r="O344" i="40"/>
  <c r="K351" i="40"/>
  <c r="L351" i="40" s="1"/>
  <c r="A358" i="28"/>
  <c r="V360" i="28"/>
  <c r="L360" i="28"/>
  <c r="M360" i="28" s="1"/>
  <c r="N360" i="28" s="1"/>
  <c r="O360" i="28" s="1"/>
  <c r="P359" i="28"/>
  <c r="C369" i="28" l="1"/>
  <c r="K368" i="28"/>
  <c r="H368" i="28"/>
  <c r="F368" i="28"/>
  <c r="G368" i="28"/>
  <c r="J368" i="28"/>
  <c r="I368" i="28"/>
  <c r="E368" i="28"/>
  <c r="Q352" i="40"/>
  <c r="Y352" i="40" s="1"/>
  <c r="S351" i="40"/>
  <c r="T343" i="40"/>
  <c r="T342" i="40"/>
  <c r="V343" i="40"/>
  <c r="W343" i="40" s="1"/>
  <c r="M345" i="40"/>
  <c r="O345" i="40"/>
  <c r="P344" i="40"/>
  <c r="A359" i="28"/>
  <c r="K352" i="40"/>
  <c r="L352" i="40" s="1"/>
  <c r="P360" i="28"/>
  <c r="V361" i="28"/>
  <c r="L361" i="28"/>
  <c r="M361" i="28" s="1"/>
  <c r="N361" i="28" s="1"/>
  <c r="O361" i="28" s="1"/>
  <c r="C370" i="28" l="1"/>
  <c r="H369" i="28"/>
  <c r="F369" i="28"/>
  <c r="G369" i="28"/>
  <c r="E369" i="28"/>
  <c r="J369" i="28"/>
  <c r="I369" i="28"/>
  <c r="K369" i="28"/>
  <c r="Q353" i="40"/>
  <c r="Y353" i="40" s="1"/>
  <c r="S352" i="40"/>
  <c r="T344" i="40"/>
  <c r="V344" i="40"/>
  <c r="W344" i="40" s="1"/>
  <c r="P345" i="40"/>
  <c r="M346" i="40"/>
  <c r="O346" i="40"/>
  <c r="K353" i="40"/>
  <c r="L353" i="40" s="1"/>
  <c r="A360" i="28"/>
  <c r="V362" i="28"/>
  <c r="L362" i="28"/>
  <c r="M362" i="28" s="1"/>
  <c r="N362" i="28" s="1"/>
  <c r="O362" i="28" s="1"/>
  <c r="P361" i="28"/>
  <c r="C371" i="28" l="1"/>
  <c r="E370" i="28"/>
  <c r="K370" i="28"/>
  <c r="G370" i="28"/>
  <c r="I370" i="28"/>
  <c r="J370" i="28"/>
  <c r="H370" i="28"/>
  <c r="F370" i="28"/>
  <c r="Q354" i="40"/>
  <c r="Y354" i="40" s="1"/>
  <c r="S353" i="40"/>
  <c r="T345" i="40"/>
  <c r="V345" i="40"/>
  <c r="W345" i="40" s="1"/>
  <c r="P346" i="40"/>
  <c r="M347" i="40"/>
  <c r="O347" i="40"/>
  <c r="K354" i="40"/>
  <c r="L354" i="40" s="1"/>
  <c r="A361" i="28"/>
  <c r="P362" i="28"/>
  <c r="V363" i="28"/>
  <c r="L363" i="28"/>
  <c r="M363" i="28" s="1"/>
  <c r="N363" i="28" s="1"/>
  <c r="O363" i="28" s="1"/>
  <c r="C372" i="28" l="1"/>
  <c r="F371" i="28"/>
  <c r="J371" i="28"/>
  <c r="H371" i="28"/>
  <c r="G371" i="28"/>
  <c r="E371" i="28"/>
  <c r="K371" i="28"/>
  <c r="I371" i="28"/>
  <c r="Q355" i="40"/>
  <c r="Y355" i="40" s="1"/>
  <c r="S354" i="40"/>
  <c r="T346" i="40"/>
  <c r="V346" i="40"/>
  <c r="W346" i="40" s="1"/>
  <c r="P347" i="40"/>
  <c r="M348" i="40"/>
  <c r="O348" i="40"/>
  <c r="K355" i="40"/>
  <c r="L355" i="40" s="1"/>
  <c r="A362" i="28"/>
  <c r="P363" i="28"/>
  <c r="V364" i="28"/>
  <c r="L364" i="28"/>
  <c r="M364" i="28" s="1"/>
  <c r="N364" i="28" s="1"/>
  <c r="O364" i="28" s="1"/>
  <c r="C373" i="28" l="1"/>
  <c r="G372" i="28"/>
  <c r="K372" i="28"/>
  <c r="F372" i="28"/>
  <c r="J372" i="28"/>
  <c r="I372" i="28"/>
  <c r="E372" i="28"/>
  <c r="H372" i="28"/>
  <c r="Q356" i="40"/>
  <c r="Y356" i="40" s="1"/>
  <c r="S355" i="40"/>
  <c r="T347" i="40"/>
  <c r="V347" i="40"/>
  <c r="W347" i="40" s="1"/>
  <c r="M349" i="40"/>
  <c r="O349" i="40"/>
  <c r="P348" i="40"/>
  <c r="K356" i="40"/>
  <c r="L356" i="40" s="1"/>
  <c r="A363" i="28"/>
  <c r="P364" i="28"/>
  <c r="V365" i="28"/>
  <c r="L365" i="28"/>
  <c r="M365" i="28" s="1"/>
  <c r="N365" i="28" s="1"/>
  <c r="O365" i="28" s="1"/>
  <c r="C374" i="28" l="1"/>
  <c r="H373" i="28"/>
  <c r="E373" i="28"/>
  <c r="J373" i="28"/>
  <c r="I373" i="28"/>
  <c r="G373" i="28"/>
  <c r="F373" i="28"/>
  <c r="K373" i="28"/>
  <c r="Q357" i="40"/>
  <c r="Y357" i="40" s="1"/>
  <c r="S356" i="40"/>
  <c r="T348" i="40"/>
  <c r="V348" i="40"/>
  <c r="W348" i="40" s="1"/>
  <c r="M350" i="40"/>
  <c r="O350" i="40"/>
  <c r="P349" i="40"/>
  <c r="K357" i="40"/>
  <c r="L357" i="40" s="1"/>
  <c r="A364" i="28"/>
  <c r="P365" i="28"/>
  <c r="V366" i="28"/>
  <c r="L366" i="28"/>
  <c r="M366" i="28" s="1"/>
  <c r="N366" i="28" s="1"/>
  <c r="O366" i="28" s="1"/>
  <c r="C375" i="28" l="1"/>
  <c r="I374" i="28"/>
  <c r="E374" i="28"/>
  <c r="F374" i="28"/>
  <c r="K374" i="28"/>
  <c r="J374" i="28"/>
  <c r="H374" i="28"/>
  <c r="G374" i="28"/>
  <c r="Q358" i="40"/>
  <c r="Y358" i="40" s="1"/>
  <c r="S357" i="40"/>
  <c r="T349" i="40"/>
  <c r="V349" i="40"/>
  <c r="W349" i="40" s="1"/>
  <c r="P350" i="40"/>
  <c r="M351" i="40"/>
  <c r="O351" i="40"/>
  <c r="K358" i="40"/>
  <c r="L358" i="40" s="1"/>
  <c r="A365" i="28"/>
  <c r="V367" i="28"/>
  <c r="L367" i="28"/>
  <c r="M367" i="28" s="1"/>
  <c r="N367" i="28" s="1"/>
  <c r="O367" i="28" s="1"/>
  <c r="P366" i="28"/>
  <c r="C376" i="28" l="1"/>
  <c r="J375" i="28"/>
  <c r="F375" i="28"/>
  <c r="G375" i="28"/>
  <c r="E375" i="28"/>
  <c r="I375" i="28"/>
  <c r="H375" i="28"/>
  <c r="K375" i="28"/>
  <c r="Q359" i="40"/>
  <c r="Y359" i="40" s="1"/>
  <c r="S358" i="40"/>
  <c r="T350" i="40"/>
  <c r="V350" i="40"/>
  <c r="W350" i="40" s="1"/>
  <c r="P351" i="40"/>
  <c r="M352" i="40"/>
  <c r="O352" i="40"/>
  <c r="K359" i="40"/>
  <c r="L359" i="40" s="1"/>
  <c r="A366" i="28"/>
  <c r="P367" i="28"/>
  <c r="V368" i="28"/>
  <c r="L368" i="28"/>
  <c r="M368" i="28" s="1"/>
  <c r="N368" i="28" s="1"/>
  <c r="O368" i="28" s="1"/>
  <c r="C377" i="28" l="1"/>
  <c r="K376" i="28"/>
  <c r="J376" i="28"/>
  <c r="G376" i="28"/>
  <c r="I376" i="28"/>
  <c r="F376" i="28"/>
  <c r="H376" i="28"/>
  <c r="E376" i="28"/>
  <c r="Q360" i="40"/>
  <c r="Y360" i="40" s="1"/>
  <c r="S359" i="40"/>
  <c r="T351" i="40"/>
  <c r="V351" i="40"/>
  <c r="W351" i="40" s="1"/>
  <c r="M353" i="40"/>
  <c r="O353" i="40"/>
  <c r="P352" i="40"/>
  <c r="K360" i="40"/>
  <c r="L360" i="40" s="1"/>
  <c r="A367" i="28"/>
  <c r="P368" i="28"/>
  <c r="V369" i="28"/>
  <c r="L369" i="28"/>
  <c r="M369" i="28" s="1"/>
  <c r="N369" i="28" s="1"/>
  <c r="O369" i="28" s="1"/>
  <c r="C378" i="28" l="1"/>
  <c r="E377" i="28"/>
  <c r="I377" i="28"/>
  <c r="J377" i="28"/>
  <c r="H377" i="28"/>
  <c r="K377" i="28"/>
  <c r="G377" i="28"/>
  <c r="F377" i="28"/>
  <c r="Q361" i="40"/>
  <c r="Y361" i="40" s="1"/>
  <c r="S360" i="40"/>
  <c r="T352" i="40"/>
  <c r="V352" i="40"/>
  <c r="W352" i="40" s="1"/>
  <c r="P353" i="40"/>
  <c r="M354" i="40"/>
  <c r="O354" i="40"/>
  <c r="K361" i="40"/>
  <c r="L361" i="40" s="1"/>
  <c r="A368" i="28"/>
  <c r="P369" i="28"/>
  <c r="V370" i="28"/>
  <c r="L370" i="28"/>
  <c r="M370" i="28" s="1"/>
  <c r="N370" i="28" s="1"/>
  <c r="O370" i="28" s="1"/>
  <c r="C379" i="28" l="1"/>
  <c r="F378" i="28"/>
  <c r="E378" i="28"/>
  <c r="H378" i="28"/>
  <c r="G378" i="28"/>
  <c r="J378" i="28"/>
  <c r="I378" i="28"/>
  <c r="K378" i="28"/>
  <c r="Q362" i="40"/>
  <c r="Y362" i="40" s="1"/>
  <c r="S361" i="40"/>
  <c r="T353" i="40"/>
  <c r="M355" i="40"/>
  <c r="O355" i="40"/>
  <c r="P354" i="40"/>
  <c r="V353" i="40"/>
  <c r="W353" i="40" s="1"/>
  <c r="K362" i="40"/>
  <c r="L362" i="40" s="1"/>
  <c r="A369" i="28"/>
  <c r="V371" i="28"/>
  <c r="L371" i="28"/>
  <c r="M371" i="28" s="1"/>
  <c r="N371" i="28" s="1"/>
  <c r="O371" i="28" s="1"/>
  <c r="P370" i="28"/>
  <c r="C380" i="28" l="1"/>
  <c r="G379" i="28"/>
  <c r="F379" i="28"/>
  <c r="E379" i="28"/>
  <c r="I379" i="28"/>
  <c r="H379" i="28"/>
  <c r="K379" i="28"/>
  <c r="J379" i="28"/>
  <c r="Q363" i="40"/>
  <c r="Y363" i="40" s="1"/>
  <c r="S362" i="40"/>
  <c r="T354" i="40"/>
  <c r="V354" i="40"/>
  <c r="W354" i="40" s="1"/>
  <c r="M356" i="40"/>
  <c r="O356" i="40"/>
  <c r="P355" i="40"/>
  <c r="K363" i="40"/>
  <c r="L363" i="40" s="1"/>
  <c r="A370" i="28"/>
  <c r="P371" i="28"/>
  <c r="V372" i="28"/>
  <c r="L372" i="28"/>
  <c r="M372" i="28" s="1"/>
  <c r="N372" i="28" s="1"/>
  <c r="O372" i="28" s="1"/>
  <c r="C381" i="28" l="1"/>
  <c r="H380" i="28"/>
  <c r="E380" i="28"/>
  <c r="G380" i="28"/>
  <c r="K380" i="28"/>
  <c r="J380" i="28"/>
  <c r="I380" i="28"/>
  <c r="F380" i="28"/>
  <c r="Q364" i="40"/>
  <c r="Y364" i="40" s="1"/>
  <c r="S363" i="40"/>
  <c r="T355" i="40"/>
  <c r="V355" i="40"/>
  <c r="W355" i="40" s="1"/>
  <c r="M357" i="40"/>
  <c r="O357" i="40"/>
  <c r="P356" i="40"/>
  <c r="K364" i="40"/>
  <c r="L364" i="40" s="1"/>
  <c r="A371" i="28"/>
  <c r="P372" i="28"/>
  <c r="V373" i="28"/>
  <c r="L373" i="28"/>
  <c r="M373" i="28" s="1"/>
  <c r="N373" i="28" s="1"/>
  <c r="O373" i="28" s="1"/>
  <c r="C382" i="28" l="1"/>
  <c r="I381" i="28"/>
  <c r="H381" i="28"/>
  <c r="K381" i="28"/>
  <c r="E381" i="28"/>
  <c r="G381" i="28"/>
  <c r="F381" i="28"/>
  <c r="J381" i="28"/>
  <c r="Q365" i="40"/>
  <c r="S364" i="40"/>
  <c r="T356" i="40"/>
  <c r="P357" i="40"/>
  <c r="M358" i="40"/>
  <c r="O358" i="40"/>
  <c r="V356" i="40"/>
  <c r="W356" i="40" s="1"/>
  <c r="K365" i="40"/>
  <c r="L365" i="40" s="1"/>
  <c r="A372" i="28"/>
  <c r="V374" i="28"/>
  <c r="L374" i="28"/>
  <c r="M374" i="28" s="1"/>
  <c r="N374" i="28" s="1"/>
  <c r="O374" i="28" s="1"/>
  <c r="P373" i="28"/>
  <c r="C383" i="28" l="1"/>
  <c r="J382" i="28"/>
  <c r="K382" i="28"/>
  <c r="I382" i="28"/>
  <c r="G382" i="28"/>
  <c r="F382" i="28"/>
  <c r="E382" i="28"/>
  <c r="H382" i="28"/>
  <c r="Q366" i="40"/>
  <c r="Y366" i="40" s="1"/>
  <c r="M366" i="40"/>
  <c r="O366" i="40"/>
  <c r="S365" i="40"/>
  <c r="T357" i="40"/>
  <c r="Y365" i="40"/>
  <c r="V357" i="40"/>
  <c r="W357" i="40" s="1"/>
  <c r="P358" i="40"/>
  <c r="M359" i="40"/>
  <c r="O359" i="40"/>
  <c r="K366" i="40"/>
  <c r="L366" i="40" s="1"/>
  <c r="A373" i="28"/>
  <c r="V375" i="28"/>
  <c r="L375" i="28"/>
  <c r="M375" i="28" s="1"/>
  <c r="N375" i="28" s="1"/>
  <c r="O375" i="28" s="1"/>
  <c r="P374" i="28"/>
  <c r="C384" i="28" l="1"/>
  <c r="K383" i="28"/>
  <c r="I383" i="28"/>
  <c r="H383" i="28"/>
  <c r="J383" i="28"/>
  <c r="G383" i="28"/>
  <c r="F383" i="28"/>
  <c r="E383" i="28"/>
  <c r="O367" i="40"/>
  <c r="Q367" i="40"/>
  <c r="Y367" i="40" s="1"/>
  <c r="M367" i="40"/>
  <c r="S366" i="40"/>
  <c r="T358" i="40"/>
  <c r="P366" i="40"/>
  <c r="W366" i="40"/>
  <c r="T366" i="40"/>
  <c r="V358" i="40"/>
  <c r="W358" i="40" s="1"/>
  <c r="P359" i="40"/>
  <c r="M360" i="40"/>
  <c r="O360" i="40"/>
  <c r="K367" i="40"/>
  <c r="L367" i="40" s="1"/>
  <c r="V366" i="40"/>
  <c r="A374" i="28"/>
  <c r="V376" i="28"/>
  <c r="L376" i="28"/>
  <c r="M376" i="28" s="1"/>
  <c r="N376" i="28" s="1"/>
  <c r="O376" i="28" s="1"/>
  <c r="P375" i="28"/>
  <c r="C385" i="28" l="1"/>
  <c r="K384" i="28"/>
  <c r="H384" i="28"/>
  <c r="E384" i="28"/>
  <c r="G384" i="28"/>
  <c r="F384" i="28"/>
  <c r="J384" i="28"/>
  <c r="I384" i="28"/>
  <c r="O368" i="40"/>
  <c r="Q368" i="40"/>
  <c r="Y368" i="40" s="1"/>
  <c r="M368" i="40"/>
  <c r="S367" i="40"/>
  <c r="T359" i="40"/>
  <c r="P367" i="40"/>
  <c r="W367" i="40"/>
  <c r="T367" i="40"/>
  <c r="V359" i="40"/>
  <c r="W359" i="40" s="1"/>
  <c r="P360" i="40"/>
  <c r="M361" i="40"/>
  <c r="O361" i="40"/>
  <c r="K368" i="40"/>
  <c r="L368" i="40" s="1"/>
  <c r="V367" i="40"/>
  <c r="A375" i="28"/>
  <c r="P376" i="28"/>
  <c r="V377" i="28"/>
  <c r="L377" i="28"/>
  <c r="M377" i="28" s="1"/>
  <c r="N377" i="28" s="1"/>
  <c r="O377" i="28" s="1"/>
  <c r="C386" i="28" l="1"/>
  <c r="E385" i="28"/>
  <c r="I385" i="28"/>
  <c r="G385" i="28"/>
  <c r="H385" i="28"/>
  <c r="K385" i="28"/>
  <c r="J385" i="28"/>
  <c r="F385" i="28"/>
  <c r="M369" i="40"/>
  <c r="Q369" i="40"/>
  <c r="Y369" i="40" s="1"/>
  <c r="O369" i="40"/>
  <c r="S368" i="40"/>
  <c r="T360" i="40"/>
  <c r="P368" i="40"/>
  <c r="W368" i="40"/>
  <c r="T368" i="40"/>
  <c r="V360" i="40"/>
  <c r="W360" i="40" s="1"/>
  <c r="M362" i="40"/>
  <c r="O362" i="40"/>
  <c r="P361" i="40"/>
  <c r="K369" i="40"/>
  <c r="L369" i="40" s="1"/>
  <c r="V368" i="40"/>
  <c r="A376" i="28"/>
  <c r="P377" i="28"/>
  <c r="V378" i="28"/>
  <c r="L378" i="28"/>
  <c r="M378" i="28" s="1"/>
  <c r="N378" i="28" s="1"/>
  <c r="O378" i="28" s="1"/>
  <c r="C387" i="28" l="1"/>
  <c r="F386" i="28"/>
  <c r="H386" i="28"/>
  <c r="E386" i="28"/>
  <c r="J386" i="28"/>
  <c r="I386" i="28"/>
  <c r="K386" i="28"/>
  <c r="G386" i="28"/>
  <c r="Q370" i="40"/>
  <c r="Y370" i="40" s="1"/>
  <c r="M370" i="40"/>
  <c r="O370" i="40"/>
  <c r="S369" i="40"/>
  <c r="T361" i="40"/>
  <c r="P369" i="40"/>
  <c r="W369" i="40"/>
  <c r="T369" i="40"/>
  <c r="V361" i="40"/>
  <c r="W361" i="40" s="1"/>
  <c r="P362" i="40"/>
  <c r="M363" i="40"/>
  <c r="O363" i="40"/>
  <c r="K370" i="40"/>
  <c r="L370" i="40" s="1"/>
  <c r="V369" i="40"/>
  <c r="A377" i="28"/>
  <c r="V379" i="28"/>
  <c r="L379" i="28"/>
  <c r="M379" i="28" s="1"/>
  <c r="N379" i="28" s="1"/>
  <c r="O379" i="28" s="1"/>
  <c r="P378" i="28"/>
  <c r="C388" i="28" l="1"/>
  <c r="G387" i="28"/>
  <c r="F387" i="28"/>
  <c r="E387" i="28"/>
  <c r="I387" i="28"/>
  <c r="K387" i="28"/>
  <c r="J387" i="28"/>
  <c r="H387" i="28"/>
  <c r="O371" i="40"/>
  <c r="M371" i="40"/>
  <c r="Q371" i="40"/>
  <c r="Y371" i="40" s="1"/>
  <c r="S370" i="40"/>
  <c r="T362" i="40"/>
  <c r="P370" i="40"/>
  <c r="W370" i="40"/>
  <c r="T370" i="40"/>
  <c r="P363" i="40"/>
  <c r="V362" i="40"/>
  <c r="W362" i="40" s="1"/>
  <c r="M364" i="40"/>
  <c r="O364" i="40"/>
  <c r="K371" i="40"/>
  <c r="L371" i="40" s="1"/>
  <c r="V370" i="40"/>
  <c r="A378" i="28"/>
  <c r="P379" i="28"/>
  <c r="V380" i="28"/>
  <c r="L380" i="28"/>
  <c r="M380" i="28" s="1"/>
  <c r="N380" i="28" s="1"/>
  <c r="O380" i="28" s="1"/>
  <c r="C389" i="28" l="1"/>
  <c r="H388" i="28"/>
  <c r="E388" i="28"/>
  <c r="J388" i="28"/>
  <c r="G388" i="28"/>
  <c r="K388" i="28"/>
  <c r="F388" i="28"/>
  <c r="I388" i="28"/>
  <c r="O372" i="40"/>
  <c r="Q372" i="40"/>
  <c r="Y372" i="40" s="1"/>
  <c r="M372" i="40"/>
  <c r="S371" i="40"/>
  <c r="T363" i="40"/>
  <c r="P371" i="40"/>
  <c r="W371" i="40"/>
  <c r="T371" i="40"/>
  <c r="V363" i="40"/>
  <c r="W363" i="40" s="1"/>
  <c r="M365" i="40"/>
  <c r="O365" i="40"/>
  <c r="P364" i="40"/>
  <c r="K372" i="40"/>
  <c r="L372" i="40" s="1"/>
  <c r="V371" i="40"/>
  <c r="A379" i="28"/>
  <c r="P380" i="28"/>
  <c r="V381" i="28"/>
  <c r="L381" i="28"/>
  <c r="M381" i="28" s="1"/>
  <c r="N381" i="28" s="1"/>
  <c r="O381" i="28" s="1"/>
  <c r="C390" i="28" l="1"/>
  <c r="I389" i="28"/>
  <c r="H389" i="28"/>
  <c r="E389" i="28"/>
  <c r="K389" i="28"/>
  <c r="J389" i="28"/>
  <c r="G389" i="28"/>
  <c r="F389" i="28"/>
  <c r="Q373" i="40"/>
  <c r="Y373" i="40" s="1"/>
  <c r="M373" i="40"/>
  <c r="O373" i="40"/>
  <c r="S372" i="40"/>
  <c r="T364" i="40"/>
  <c r="P372" i="40"/>
  <c r="W372" i="40"/>
  <c r="T372" i="40"/>
  <c r="V364" i="40"/>
  <c r="W364" i="40" s="1"/>
  <c r="P365" i="40"/>
  <c r="K373" i="40"/>
  <c r="L373" i="40" s="1"/>
  <c r="V372" i="40"/>
  <c r="A380" i="28"/>
  <c r="P381" i="28"/>
  <c r="V382" i="28"/>
  <c r="L382" i="28"/>
  <c r="M382" i="28" s="1"/>
  <c r="N382" i="28" s="1"/>
  <c r="O382" i="28" s="1"/>
  <c r="C391" i="28" l="1"/>
  <c r="J390" i="28"/>
  <c r="I390" i="28"/>
  <c r="F390" i="28"/>
  <c r="E390" i="28"/>
  <c r="H390" i="28"/>
  <c r="G390" i="28"/>
  <c r="K390" i="28"/>
  <c r="M374" i="40"/>
  <c r="O374" i="40"/>
  <c r="Q374" i="40"/>
  <c r="Y374" i="40" s="1"/>
  <c r="S373" i="40"/>
  <c r="T365" i="40"/>
  <c r="P373" i="40"/>
  <c r="W373" i="40"/>
  <c r="T373" i="40"/>
  <c r="V365" i="40"/>
  <c r="W365" i="40" s="1"/>
  <c r="K374" i="40"/>
  <c r="L374" i="40" s="1"/>
  <c r="V373" i="40"/>
  <c r="A381" i="28"/>
  <c r="P382" i="28"/>
  <c r="V383" i="28"/>
  <c r="L383" i="28"/>
  <c r="M383" i="28" s="1"/>
  <c r="N383" i="28" s="1"/>
  <c r="O383" i="28" s="1"/>
  <c r="C392" i="28" l="1"/>
  <c r="K391" i="28"/>
  <c r="J391" i="28"/>
  <c r="G391" i="28"/>
  <c r="F391" i="28"/>
  <c r="I391" i="28"/>
  <c r="H391" i="28"/>
  <c r="E391" i="28"/>
  <c r="O375" i="40"/>
  <c r="Q375" i="40"/>
  <c r="Y375" i="40" s="1"/>
  <c r="M375" i="40"/>
  <c r="S374" i="40"/>
  <c r="P374" i="40"/>
  <c r="W374" i="40"/>
  <c r="T374" i="40"/>
  <c r="K375" i="40"/>
  <c r="L375" i="40" s="1"/>
  <c r="V374" i="40"/>
  <c r="A382" i="28"/>
  <c r="P383" i="28"/>
  <c r="V384" i="28"/>
  <c r="L384" i="28"/>
  <c r="M384" i="28" s="1"/>
  <c r="N384" i="28" s="1"/>
  <c r="O384" i="28" s="1"/>
  <c r="C393" i="28" l="1"/>
  <c r="K392" i="28"/>
  <c r="H392" i="28"/>
  <c r="F392" i="28"/>
  <c r="G392" i="28"/>
  <c r="J392" i="28"/>
  <c r="I392" i="28"/>
  <c r="E392" i="28"/>
  <c r="O376" i="40"/>
  <c r="M376" i="40"/>
  <c r="Q376" i="40"/>
  <c r="Y376" i="40" s="1"/>
  <c r="S375" i="40"/>
  <c r="P375" i="40"/>
  <c r="W375" i="40"/>
  <c r="T375" i="40"/>
  <c r="K376" i="40"/>
  <c r="L376" i="40" s="1"/>
  <c r="V375" i="40"/>
  <c r="A383" i="28"/>
  <c r="V385" i="28"/>
  <c r="L385" i="28"/>
  <c r="M385" i="28" s="1"/>
  <c r="N385" i="28" s="1"/>
  <c r="O385" i="28" s="1"/>
  <c r="P384" i="28"/>
  <c r="C394" i="28" l="1"/>
  <c r="E393" i="28"/>
  <c r="I393" i="28"/>
  <c r="H393" i="28"/>
  <c r="K393" i="28"/>
  <c r="G393" i="28"/>
  <c r="F393" i="28"/>
  <c r="J393" i="28"/>
  <c r="M377" i="40"/>
  <c r="Q377" i="40"/>
  <c r="Y377" i="40" s="1"/>
  <c r="O377" i="40"/>
  <c r="S376" i="40"/>
  <c r="P376" i="40"/>
  <c r="W376" i="40"/>
  <c r="T376" i="40"/>
  <c r="K377" i="40"/>
  <c r="L377" i="40" s="1"/>
  <c r="V376" i="40"/>
  <c r="A384" i="28"/>
  <c r="P385" i="28"/>
  <c r="V386" i="28"/>
  <c r="L386" i="28"/>
  <c r="M386" i="28" s="1"/>
  <c r="N386" i="28" s="1"/>
  <c r="O386" i="28" s="1"/>
  <c r="C395" i="28" l="1"/>
  <c r="F394" i="28"/>
  <c r="E394" i="28"/>
  <c r="J394" i="28"/>
  <c r="I394" i="28"/>
  <c r="K394" i="28"/>
  <c r="H394" i="28"/>
  <c r="G394" i="28"/>
  <c r="Q378" i="40"/>
  <c r="Y378" i="40" s="1"/>
  <c r="O378" i="40"/>
  <c r="M378" i="40"/>
  <c r="S377" i="40"/>
  <c r="P377" i="40"/>
  <c r="W377" i="40"/>
  <c r="T377" i="40"/>
  <c r="K378" i="40"/>
  <c r="L378" i="40" s="1"/>
  <c r="V377" i="40"/>
  <c r="A385" i="28"/>
  <c r="V387" i="28"/>
  <c r="L387" i="28"/>
  <c r="M387" i="28" s="1"/>
  <c r="N387" i="28" s="1"/>
  <c r="O387" i="28" s="1"/>
  <c r="P386" i="28"/>
  <c r="C396" i="28" l="1"/>
  <c r="G395" i="28"/>
  <c r="F395" i="28"/>
  <c r="K395" i="28"/>
  <c r="J395" i="28"/>
  <c r="E395" i="28"/>
  <c r="I395" i="28"/>
  <c r="H395" i="28"/>
  <c r="O379" i="40"/>
  <c r="M379" i="40"/>
  <c r="Q379" i="40"/>
  <c r="Y379" i="40" s="1"/>
  <c r="S378" i="40"/>
  <c r="P378" i="40"/>
  <c r="W378" i="40"/>
  <c r="T378" i="40"/>
  <c r="K379" i="40"/>
  <c r="L379" i="40" s="1"/>
  <c r="V378" i="40"/>
  <c r="A386" i="28"/>
  <c r="P387" i="28"/>
  <c r="V388" i="28"/>
  <c r="L388" i="28"/>
  <c r="M388" i="28" s="1"/>
  <c r="N388" i="28" s="1"/>
  <c r="O388" i="28" s="1"/>
  <c r="C397" i="28" l="1"/>
  <c r="H396" i="28"/>
  <c r="G396" i="28"/>
  <c r="K396" i="28"/>
  <c r="F396" i="28"/>
  <c r="E396" i="28"/>
  <c r="J396" i="28"/>
  <c r="I396" i="28"/>
  <c r="M380" i="40"/>
  <c r="Q380" i="40"/>
  <c r="Y380" i="40" s="1"/>
  <c r="O380" i="40"/>
  <c r="S379" i="40"/>
  <c r="P379" i="40"/>
  <c r="W379" i="40"/>
  <c r="T379" i="40"/>
  <c r="K380" i="40"/>
  <c r="L380" i="40" s="1"/>
  <c r="V379" i="40"/>
  <c r="A387" i="28"/>
  <c r="V389" i="28"/>
  <c r="L389" i="28"/>
  <c r="M389" i="28" s="1"/>
  <c r="N389" i="28" s="1"/>
  <c r="O389" i="28" s="1"/>
  <c r="P388" i="28"/>
  <c r="C398" i="28" l="1"/>
  <c r="I397" i="28"/>
  <c r="H397" i="28"/>
  <c r="E397" i="28"/>
  <c r="K397" i="28"/>
  <c r="G397" i="28"/>
  <c r="F397" i="28"/>
  <c r="J397" i="28"/>
  <c r="Q381" i="40"/>
  <c r="Y381" i="40" s="1"/>
  <c r="O381" i="40"/>
  <c r="M381" i="40"/>
  <c r="S380" i="40"/>
  <c r="P380" i="40"/>
  <c r="W380" i="40"/>
  <c r="T380" i="40"/>
  <c r="K381" i="40"/>
  <c r="L381" i="40" s="1"/>
  <c r="V380" i="40"/>
  <c r="A388" i="28"/>
  <c r="V390" i="28"/>
  <c r="L390" i="28"/>
  <c r="M390" i="28" s="1"/>
  <c r="N390" i="28" s="1"/>
  <c r="O390" i="28" s="1"/>
  <c r="P389" i="28"/>
  <c r="C399" i="28" l="1"/>
  <c r="J398" i="28"/>
  <c r="H398" i="28"/>
  <c r="I398" i="28"/>
  <c r="F398" i="28"/>
  <c r="G398" i="28"/>
  <c r="E398" i="28"/>
  <c r="K398" i="28"/>
  <c r="Q382" i="40"/>
  <c r="Y382" i="40" s="1"/>
  <c r="O382" i="40"/>
  <c r="M382" i="40"/>
  <c r="S381" i="40"/>
  <c r="P381" i="40"/>
  <c r="W381" i="40"/>
  <c r="T381" i="40"/>
  <c r="K382" i="40"/>
  <c r="L382" i="40" s="1"/>
  <c r="V381" i="40"/>
  <c r="A389" i="28"/>
  <c r="P390" i="28"/>
  <c r="V391" i="28"/>
  <c r="L391" i="28"/>
  <c r="M391" i="28" s="1"/>
  <c r="N391" i="28" s="1"/>
  <c r="O391" i="28" s="1"/>
  <c r="C400" i="28" l="1"/>
  <c r="K399" i="28"/>
  <c r="J399" i="28"/>
  <c r="G399" i="28"/>
  <c r="F399" i="28"/>
  <c r="H399" i="28"/>
  <c r="I399" i="28"/>
  <c r="E399" i="28"/>
  <c r="M383" i="40"/>
  <c r="Q383" i="40"/>
  <c r="Y383" i="40" s="1"/>
  <c r="O383" i="40"/>
  <c r="S382" i="40"/>
  <c r="P382" i="40"/>
  <c r="W382" i="40"/>
  <c r="T382" i="40"/>
  <c r="K383" i="40"/>
  <c r="L383" i="40" s="1"/>
  <c r="V382" i="40"/>
  <c r="A390" i="28"/>
  <c r="V392" i="28"/>
  <c r="L392" i="28"/>
  <c r="M392" i="28" s="1"/>
  <c r="N392" i="28" s="1"/>
  <c r="O392" i="28" s="1"/>
  <c r="P391" i="28"/>
  <c r="C401" i="28" l="1"/>
  <c r="K400" i="28"/>
  <c r="F400" i="28"/>
  <c r="H400" i="28"/>
  <c r="G400" i="28"/>
  <c r="E400" i="28"/>
  <c r="J400" i="28"/>
  <c r="I400" i="28"/>
  <c r="O384" i="40"/>
  <c r="M384" i="40"/>
  <c r="Q384" i="40"/>
  <c r="Y384" i="40" s="1"/>
  <c r="S383" i="40"/>
  <c r="P383" i="40"/>
  <c r="W383" i="40"/>
  <c r="T383" i="40"/>
  <c r="K384" i="40"/>
  <c r="L384" i="40" s="1"/>
  <c r="V383" i="40"/>
  <c r="A391" i="28"/>
  <c r="V393" i="28"/>
  <c r="L393" i="28"/>
  <c r="M393" i="28" s="1"/>
  <c r="N393" i="28" s="1"/>
  <c r="O393" i="28" s="1"/>
  <c r="P392" i="28"/>
  <c r="C402" i="28" l="1"/>
  <c r="E401" i="28"/>
  <c r="I401" i="28"/>
  <c r="G401" i="28"/>
  <c r="H401" i="28"/>
  <c r="K401" i="28"/>
  <c r="J401" i="28"/>
  <c r="F401" i="28"/>
  <c r="O385" i="40"/>
  <c r="M385" i="40"/>
  <c r="Q385" i="40"/>
  <c r="Y385" i="40" s="1"/>
  <c r="S384" i="40"/>
  <c r="P384" i="40"/>
  <c r="W384" i="40"/>
  <c r="T384" i="40"/>
  <c r="K385" i="40"/>
  <c r="L385" i="40" s="1"/>
  <c r="V384" i="40"/>
  <c r="A392" i="28"/>
  <c r="V394" i="28"/>
  <c r="L394" i="28"/>
  <c r="M394" i="28" s="1"/>
  <c r="N394" i="28" s="1"/>
  <c r="O394" i="28" s="1"/>
  <c r="P393" i="28"/>
  <c r="C403" i="28" l="1"/>
  <c r="F402" i="28"/>
  <c r="E402" i="28"/>
  <c r="J402" i="28"/>
  <c r="K402" i="28"/>
  <c r="I402" i="28"/>
  <c r="G402" i="28"/>
  <c r="H402" i="28"/>
  <c r="Q386" i="40"/>
  <c r="Y386" i="40" s="1"/>
  <c r="O386" i="40"/>
  <c r="M386" i="40"/>
  <c r="S385" i="40"/>
  <c r="P385" i="40"/>
  <c r="W385" i="40"/>
  <c r="T385" i="40"/>
  <c r="K386" i="40"/>
  <c r="L386" i="40" s="1"/>
  <c r="V385" i="40"/>
  <c r="A393" i="28"/>
  <c r="V395" i="28"/>
  <c r="L395" i="28"/>
  <c r="M395" i="28" s="1"/>
  <c r="N395" i="28" s="1"/>
  <c r="O395" i="28" s="1"/>
  <c r="P394" i="28"/>
  <c r="C404" i="28" l="1"/>
  <c r="K403" i="28"/>
  <c r="G403" i="28"/>
  <c r="F403" i="28"/>
  <c r="J403" i="28"/>
  <c r="H403" i="28"/>
  <c r="I403" i="28"/>
  <c r="E403" i="28"/>
  <c r="Q387" i="40"/>
  <c r="Y387" i="40" s="1"/>
  <c r="M387" i="40"/>
  <c r="O387" i="40"/>
  <c r="S386" i="40"/>
  <c r="P386" i="40"/>
  <c r="W386" i="40"/>
  <c r="T386" i="40"/>
  <c r="K387" i="40"/>
  <c r="L387" i="40" s="1"/>
  <c r="V386" i="40"/>
  <c r="A394" i="28"/>
  <c r="P395" i="28"/>
  <c r="V396" i="28"/>
  <c r="L396" i="28"/>
  <c r="M396" i="28" s="1"/>
  <c r="N396" i="28" s="1"/>
  <c r="O396" i="28" s="1"/>
  <c r="C405" i="28" l="1"/>
  <c r="H404" i="28"/>
  <c r="J404" i="28"/>
  <c r="I404" i="28"/>
  <c r="F404" i="28"/>
  <c r="E404" i="28"/>
  <c r="G404" i="28"/>
  <c r="K404" i="28"/>
  <c r="M388" i="40"/>
  <c r="O388" i="40"/>
  <c r="Q388" i="40"/>
  <c r="Y388" i="40" s="1"/>
  <c r="S387" i="40"/>
  <c r="P387" i="40"/>
  <c r="W387" i="40"/>
  <c r="T387" i="40"/>
  <c r="K388" i="40"/>
  <c r="L388" i="40" s="1"/>
  <c r="V387" i="40"/>
  <c r="A395" i="28"/>
  <c r="V397" i="28"/>
  <c r="L397" i="28"/>
  <c r="M397" i="28" s="1"/>
  <c r="N397" i="28" s="1"/>
  <c r="O397" i="28" s="1"/>
  <c r="P396" i="28"/>
  <c r="C406" i="28" l="1"/>
  <c r="I405" i="28"/>
  <c r="E405" i="28"/>
  <c r="J405" i="28"/>
  <c r="H405" i="28"/>
  <c r="F405" i="28"/>
  <c r="G405" i="28"/>
  <c r="K405" i="28"/>
  <c r="O389" i="40"/>
  <c r="Q389" i="40"/>
  <c r="Y389" i="40" s="1"/>
  <c r="M389" i="40"/>
  <c r="S388" i="40"/>
  <c r="P388" i="40"/>
  <c r="W388" i="40"/>
  <c r="T388" i="40"/>
  <c r="K389" i="40"/>
  <c r="L389" i="40" s="1"/>
  <c r="V388" i="40"/>
  <c r="A396" i="28"/>
  <c r="P397" i="28"/>
  <c r="V398" i="28"/>
  <c r="L398" i="28"/>
  <c r="M398" i="28" s="1"/>
  <c r="N398" i="28" s="1"/>
  <c r="O398" i="28" s="1"/>
  <c r="C407" i="28" l="1"/>
  <c r="J406" i="28"/>
  <c r="F406" i="28"/>
  <c r="G406" i="28"/>
  <c r="H406" i="28"/>
  <c r="E406" i="28"/>
  <c r="K406" i="28"/>
  <c r="I406" i="28"/>
  <c r="M390" i="40"/>
  <c r="Q390" i="40"/>
  <c r="Y390" i="40" s="1"/>
  <c r="O390" i="40"/>
  <c r="S389" i="40"/>
  <c r="P389" i="40"/>
  <c r="W389" i="40"/>
  <c r="T389" i="40"/>
  <c r="K390" i="40"/>
  <c r="L390" i="40" s="1"/>
  <c r="V389" i="40"/>
  <c r="A397" i="28"/>
  <c r="V399" i="28"/>
  <c r="L399" i="28"/>
  <c r="M399" i="28" s="1"/>
  <c r="N399" i="28" s="1"/>
  <c r="O399" i="28" s="1"/>
  <c r="P398" i="28"/>
  <c r="C408" i="28" l="1"/>
  <c r="K407" i="28"/>
  <c r="G407" i="28"/>
  <c r="J407" i="28"/>
  <c r="I407" i="28"/>
  <c r="H407" i="28"/>
  <c r="E407" i="28"/>
  <c r="F407" i="28"/>
  <c r="O391" i="40"/>
  <c r="M391" i="40"/>
  <c r="Q391" i="40"/>
  <c r="Y391" i="40" s="1"/>
  <c r="S390" i="40"/>
  <c r="P390" i="40"/>
  <c r="W390" i="40"/>
  <c r="T390" i="40"/>
  <c r="K391" i="40"/>
  <c r="L391" i="40" s="1"/>
  <c r="V390" i="40"/>
  <c r="A398" i="28"/>
  <c r="V400" i="28"/>
  <c r="L400" i="28"/>
  <c r="M400" i="28" s="1"/>
  <c r="N400" i="28" s="1"/>
  <c r="O400" i="28" s="1"/>
  <c r="P399" i="28"/>
  <c r="C409" i="28" l="1"/>
  <c r="H408" i="28"/>
  <c r="F408" i="28"/>
  <c r="I408" i="28"/>
  <c r="E408" i="28"/>
  <c r="G408" i="28"/>
  <c r="K408" i="28"/>
  <c r="J408" i="28"/>
  <c r="O392" i="40"/>
  <c r="Q392" i="40"/>
  <c r="Y392" i="40" s="1"/>
  <c r="M392" i="40"/>
  <c r="S391" i="40"/>
  <c r="P391" i="40"/>
  <c r="W391" i="40"/>
  <c r="T391" i="40"/>
  <c r="K392" i="40"/>
  <c r="L392" i="40" s="1"/>
  <c r="V391" i="40"/>
  <c r="A399" i="28"/>
  <c r="V401" i="28"/>
  <c r="L401" i="28"/>
  <c r="M401" i="28" s="1"/>
  <c r="N401" i="28" s="1"/>
  <c r="O401" i="28" s="1"/>
  <c r="P400" i="28"/>
  <c r="C410" i="28" l="1"/>
  <c r="E409" i="28"/>
  <c r="I409" i="28"/>
  <c r="G409" i="28"/>
  <c r="F409" i="28"/>
  <c r="H409" i="28"/>
  <c r="K409" i="28"/>
  <c r="J409" i="28"/>
  <c r="O393" i="40"/>
  <c r="M393" i="40"/>
  <c r="Q393" i="40"/>
  <c r="Y393" i="40" s="1"/>
  <c r="S392" i="40"/>
  <c r="P392" i="40"/>
  <c r="W392" i="40"/>
  <c r="T392" i="40"/>
  <c r="K393" i="40"/>
  <c r="L393" i="40" s="1"/>
  <c r="V392" i="40"/>
  <c r="A400" i="28"/>
  <c r="P401" i="28"/>
  <c r="V402" i="28"/>
  <c r="L402" i="28"/>
  <c r="M402" i="28" s="1"/>
  <c r="N402" i="28" s="1"/>
  <c r="O402" i="28" s="1"/>
  <c r="C411" i="28" l="1"/>
  <c r="F410" i="28"/>
  <c r="J410" i="28"/>
  <c r="K410" i="28"/>
  <c r="I410" i="28"/>
  <c r="E410" i="28"/>
  <c r="H410" i="28"/>
  <c r="G410" i="28"/>
  <c r="M394" i="40"/>
  <c r="Q394" i="40"/>
  <c r="Y394" i="40" s="1"/>
  <c r="O394" i="40"/>
  <c r="S393" i="40"/>
  <c r="P393" i="40"/>
  <c r="W393" i="40"/>
  <c r="T393" i="40"/>
  <c r="K394" i="40"/>
  <c r="L394" i="40" s="1"/>
  <c r="V393" i="40"/>
  <c r="A401" i="28"/>
  <c r="P402" i="28"/>
  <c r="V403" i="28"/>
  <c r="L403" i="28"/>
  <c r="M403" i="28" s="1"/>
  <c r="N403" i="28" s="1"/>
  <c r="O403" i="28" s="1"/>
  <c r="C412" i="28" l="1"/>
  <c r="G411" i="28"/>
  <c r="F411" i="28"/>
  <c r="K411" i="28"/>
  <c r="I411" i="28"/>
  <c r="H411" i="28"/>
  <c r="J411" i="28"/>
  <c r="E411" i="28"/>
  <c r="Q395" i="40"/>
  <c r="Y395" i="40" s="1"/>
  <c r="O395" i="40"/>
  <c r="M395" i="40"/>
  <c r="S394" i="40"/>
  <c r="P394" i="40"/>
  <c r="W394" i="40"/>
  <c r="T394" i="40"/>
  <c r="K395" i="40"/>
  <c r="L395" i="40" s="1"/>
  <c r="V394" i="40"/>
  <c r="A402" i="28"/>
  <c r="P403" i="28"/>
  <c r="V404" i="28"/>
  <c r="O404" i="28"/>
  <c r="L404" i="28"/>
  <c r="M404" i="28" s="1"/>
  <c r="N404" i="28" s="1"/>
  <c r="C413" i="28" l="1"/>
  <c r="H412" i="28"/>
  <c r="G412" i="28"/>
  <c r="F412" i="28"/>
  <c r="E412" i="28"/>
  <c r="K412" i="28"/>
  <c r="J412" i="28"/>
  <c r="I412" i="28"/>
  <c r="Q396" i="40"/>
  <c r="Y396" i="40" s="1"/>
  <c r="M396" i="40"/>
  <c r="O396" i="40"/>
  <c r="S395" i="40"/>
  <c r="P395" i="40"/>
  <c r="W395" i="40"/>
  <c r="T395" i="40"/>
  <c r="K396" i="40"/>
  <c r="L396" i="40" s="1"/>
  <c r="V395" i="40"/>
  <c r="A403" i="28"/>
  <c r="P404" i="28"/>
  <c r="V405" i="28"/>
  <c r="L405" i="28"/>
  <c r="M405" i="28" s="1"/>
  <c r="N405" i="28" s="1"/>
  <c r="O405" i="28" s="1"/>
  <c r="C414" i="28" l="1"/>
  <c r="I413" i="28"/>
  <c r="E413" i="28"/>
  <c r="K413" i="28"/>
  <c r="J413" i="28"/>
  <c r="H413" i="28"/>
  <c r="F413" i="28"/>
  <c r="G413" i="28"/>
  <c r="Q397" i="40"/>
  <c r="Y397" i="40" s="1"/>
  <c r="M397" i="40"/>
  <c r="O397" i="40"/>
  <c r="S396" i="40"/>
  <c r="P396" i="40"/>
  <c r="W396" i="40"/>
  <c r="T396" i="40"/>
  <c r="K397" i="40"/>
  <c r="L397" i="40" s="1"/>
  <c r="V396" i="40"/>
  <c r="A404" i="28"/>
  <c r="V406" i="28"/>
  <c r="L406" i="28"/>
  <c r="M406" i="28" s="1"/>
  <c r="N406" i="28" s="1"/>
  <c r="O406" i="28" s="1"/>
  <c r="P405" i="28"/>
  <c r="C415" i="28" l="1"/>
  <c r="J414" i="28"/>
  <c r="F414" i="28"/>
  <c r="I414" i="28"/>
  <c r="H414" i="28"/>
  <c r="E414" i="28"/>
  <c r="G414" i="28"/>
  <c r="K414" i="28"/>
  <c r="Q398" i="40"/>
  <c r="Y398" i="40" s="1"/>
  <c r="O398" i="40"/>
  <c r="M398" i="40"/>
  <c r="S397" i="40"/>
  <c r="P397" i="40"/>
  <c r="W397" i="40"/>
  <c r="T397" i="40"/>
  <c r="K398" i="40"/>
  <c r="L398" i="40" s="1"/>
  <c r="V397" i="40"/>
  <c r="A405" i="28"/>
  <c r="P406" i="28"/>
  <c r="V407" i="28"/>
  <c r="L407" i="28"/>
  <c r="M407" i="28" s="1"/>
  <c r="N407" i="28" s="1"/>
  <c r="O407" i="28" s="1"/>
  <c r="C416" i="28" l="1"/>
  <c r="K415" i="28"/>
  <c r="G415" i="28"/>
  <c r="E415" i="28"/>
  <c r="H415" i="28"/>
  <c r="F415" i="28"/>
  <c r="I415" i="28"/>
  <c r="J415" i="28"/>
  <c r="M399" i="40"/>
  <c r="O399" i="40"/>
  <c r="Q399" i="40"/>
  <c r="Y399" i="40" s="1"/>
  <c r="S398" i="40"/>
  <c r="P398" i="40"/>
  <c r="W398" i="40"/>
  <c r="T398" i="40"/>
  <c r="K399" i="40"/>
  <c r="L399" i="40" s="1"/>
  <c r="V398" i="40"/>
  <c r="A406" i="28"/>
  <c r="V408" i="28"/>
  <c r="L408" i="28"/>
  <c r="M408" i="28" s="1"/>
  <c r="N408" i="28" s="1"/>
  <c r="O408" i="28" s="1"/>
  <c r="P407" i="28"/>
  <c r="C417" i="28" l="1"/>
  <c r="E416" i="28"/>
  <c r="I416" i="28"/>
  <c r="J416" i="28"/>
  <c r="H416" i="28"/>
  <c r="G416" i="28"/>
  <c r="F416" i="28"/>
  <c r="K416" i="28"/>
  <c r="O400" i="40"/>
  <c r="M400" i="40"/>
  <c r="Q400" i="40"/>
  <c r="Y400" i="40" s="1"/>
  <c r="S399" i="40"/>
  <c r="P399" i="40"/>
  <c r="W399" i="40"/>
  <c r="T399" i="40"/>
  <c r="K400" i="40"/>
  <c r="L400" i="40" s="1"/>
  <c r="V399" i="40"/>
  <c r="A407" i="28"/>
  <c r="P408" i="28"/>
  <c r="V409" i="28"/>
  <c r="L409" i="28"/>
  <c r="M409" i="28" s="1"/>
  <c r="N409" i="28" s="1"/>
  <c r="O409" i="28" s="1"/>
  <c r="C418" i="28" l="1"/>
  <c r="F417" i="28"/>
  <c r="G417" i="28"/>
  <c r="E417" i="28"/>
  <c r="J417" i="28"/>
  <c r="K417" i="28"/>
  <c r="I417" i="28"/>
  <c r="H417" i="28"/>
  <c r="Q401" i="40"/>
  <c r="Y401" i="40" s="1"/>
  <c r="M401" i="40"/>
  <c r="O401" i="40"/>
  <c r="S400" i="40"/>
  <c r="P400" i="40"/>
  <c r="W400" i="40"/>
  <c r="T400" i="40"/>
  <c r="K401" i="40"/>
  <c r="L401" i="40" s="1"/>
  <c r="V400" i="40"/>
  <c r="A408" i="28"/>
  <c r="P409" i="28"/>
  <c r="V410" i="28"/>
  <c r="L410" i="28"/>
  <c r="M410" i="28" s="1"/>
  <c r="N410" i="28" s="1"/>
  <c r="O410" i="28" s="1"/>
  <c r="C419" i="28" l="1"/>
  <c r="G418" i="28"/>
  <c r="E418" i="28"/>
  <c r="F418" i="28"/>
  <c r="K418" i="28"/>
  <c r="J418" i="28"/>
  <c r="H418" i="28"/>
  <c r="I418" i="28"/>
  <c r="O402" i="40"/>
  <c r="M402" i="40"/>
  <c r="Q402" i="40"/>
  <c r="Y402" i="40" s="1"/>
  <c r="S401" i="40"/>
  <c r="P401" i="40"/>
  <c r="W401" i="40"/>
  <c r="T401" i="40"/>
  <c r="K402" i="40"/>
  <c r="L402" i="40" s="1"/>
  <c r="V401" i="40"/>
  <c r="A409" i="28"/>
  <c r="V411" i="28"/>
  <c r="L411" i="28"/>
  <c r="M411" i="28" s="1"/>
  <c r="N411" i="28" s="1"/>
  <c r="O411" i="28" s="1"/>
  <c r="P410" i="28"/>
  <c r="C420" i="28" l="1"/>
  <c r="H419" i="28"/>
  <c r="G419" i="28"/>
  <c r="K419" i="28"/>
  <c r="J419" i="28"/>
  <c r="E419" i="28"/>
  <c r="I419" i="28"/>
  <c r="F419" i="28"/>
  <c r="O403" i="40"/>
  <c r="Q403" i="40"/>
  <c r="Y403" i="40" s="1"/>
  <c r="M403" i="40"/>
  <c r="S402" i="40"/>
  <c r="P402" i="40"/>
  <c r="W402" i="40"/>
  <c r="T402" i="40"/>
  <c r="K403" i="40"/>
  <c r="L403" i="40" s="1"/>
  <c r="V402" i="40"/>
  <c r="A410" i="28"/>
  <c r="V412" i="28"/>
  <c r="L412" i="28"/>
  <c r="M412" i="28" s="1"/>
  <c r="N412" i="28" s="1"/>
  <c r="O412" i="28" s="1"/>
  <c r="P411" i="28"/>
  <c r="C421" i="28" l="1"/>
  <c r="I420" i="28"/>
  <c r="H420" i="28"/>
  <c r="G420" i="28"/>
  <c r="E420" i="28"/>
  <c r="K420" i="28"/>
  <c r="J420" i="28"/>
  <c r="F420" i="28"/>
  <c r="M404" i="40"/>
  <c r="O404" i="40"/>
  <c r="Q404" i="40"/>
  <c r="Y404" i="40" s="1"/>
  <c r="S403" i="40"/>
  <c r="P403" i="40"/>
  <c r="W403" i="40"/>
  <c r="T403" i="40"/>
  <c r="K404" i="40"/>
  <c r="L404" i="40" s="1"/>
  <c r="V403" i="40"/>
  <c r="A411" i="28"/>
  <c r="V413" i="28"/>
  <c r="L413" i="28"/>
  <c r="M413" i="28" s="1"/>
  <c r="N413" i="28" s="1"/>
  <c r="O413" i="28" s="1"/>
  <c r="P412" i="28"/>
  <c r="C422" i="28" l="1"/>
  <c r="J421" i="28"/>
  <c r="I421" i="28"/>
  <c r="F421" i="28"/>
  <c r="G421" i="28"/>
  <c r="E421" i="28"/>
  <c r="H421" i="28"/>
  <c r="K421" i="28"/>
  <c r="Q405" i="40"/>
  <c r="Y405" i="40" s="1"/>
  <c r="M405" i="40"/>
  <c r="O405" i="40"/>
  <c r="S404" i="40"/>
  <c r="P404" i="40"/>
  <c r="W404" i="40"/>
  <c r="T404" i="40"/>
  <c r="K405" i="40"/>
  <c r="L405" i="40" s="1"/>
  <c r="V404" i="40"/>
  <c r="A412" i="28"/>
  <c r="V414" i="28"/>
  <c r="L414" i="28"/>
  <c r="M414" i="28" s="1"/>
  <c r="N414" i="28" s="1"/>
  <c r="O414" i="28" s="1"/>
  <c r="P413" i="28"/>
  <c r="C423" i="28" l="1"/>
  <c r="K422" i="28"/>
  <c r="J422" i="28"/>
  <c r="G422" i="28"/>
  <c r="F422" i="28"/>
  <c r="I422" i="28"/>
  <c r="E422" i="28"/>
  <c r="H422" i="28"/>
  <c r="M406" i="40"/>
  <c r="Q406" i="40"/>
  <c r="Y406" i="40" s="1"/>
  <c r="O406" i="40"/>
  <c r="S405" i="40"/>
  <c r="P405" i="40"/>
  <c r="W405" i="40"/>
  <c r="T405" i="40"/>
  <c r="K406" i="40"/>
  <c r="L406" i="40" s="1"/>
  <c r="V405" i="40"/>
  <c r="A413" i="28"/>
  <c r="V415" i="28"/>
  <c r="L415" i="28"/>
  <c r="M415" i="28" s="1"/>
  <c r="N415" i="28" s="1"/>
  <c r="O415" i="28" s="1"/>
  <c r="P414" i="28"/>
  <c r="C424" i="28" l="1"/>
  <c r="K423" i="28"/>
  <c r="H423" i="28"/>
  <c r="G423" i="28"/>
  <c r="F423" i="28"/>
  <c r="I423" i="28"/>
  <c r="E423" i="28"/>
  <c r="J423" i="28"/>
  <c r="O407" i="40"/>
  <c r="M407" i="40"/>
  <c r="Q407" i="40"/>
  <c r="Y407" i="40" s="1"/>
  <c r="S406" i="40"/>
  <c r="P406" i="40"/>
  <c r="W406" i="40"/>
  <c r="T406" i="40"/>
  <c r="K407" i="40"/>
  <c r="L407" i="40" s="1"/>
  <c r="V406" i="40"/>
  <c r="A414" i="28"/>
  <c r="V416" i="28"/>
  <c r="L416" i="28"/>
  <c r="M416" i="28" s="1"/>
  <c r="N416" i="28" s="1"/>
  <c r="O416" i="28" s="1"/>
  <c r="P415" i="28"/>
  <c r="C425" i="28" l="1"/>
  <c r="E424" i="28"/>
  <c r="I424" i="28"/>
  <c r="K424" i="28"/>
  <c r="H424" i="28"/>
  <c r="J424" i="28"/>
  <c r="G424" i="28"/>
  <c r="F424" i="28"/>
  <c r="Q408" i="40"/>
  <c r="Y408" i="40" s="1"/>
  <c r="O408" i="40"/>
  <c r="M408" i="40"/>
  <c r="S407" i="40"/>
  <c r="P407" i="40"/>
  <c r="W407" i="40"/>
  <c r="T407" i="40"/>
  <c r="K408" i="40"/>
  <c r="L408" i="40" s="1"/>
  <c r="V407" i="40"/>
  <c r="A415" i="28"/>
  <c r="V417" i="28"/>
  <c r="L417" i="28"/>
  <c r="M417" i="28" s="1"/>
  <c r="N417" i="28" s="1"/>
  <c r="O417" i="28" s="1"/>
  <c r="P416" i="28"/>
  <c r="C426" i="28" l="1"/>
  <c r="F425" i="28"/>
  <c r="E425" i="28"/>
  <c r="J425" i="28"/>
  <c r="K425" i="28"/>
  <c r="I425" i="28"/>
  <c r="H425" i="28"/>
  <c r="G425" i="28"/>
  <c r="M409" i="40"/>
  <c r="O409" i="40"/>
  <c r="Q409" i="40"/>
  <c r="Y409" i="40" s="1"/>
  <c r="S408" i="40"/>
  <c r="P408" i="40"/>
  <c r="W408" i="40"/>
  <c r="T408" i="40"/>
  <c r="K409" i="40"/>
  <c r="L409" i="40" s="1"/>
  <c r="V408" i="40"/>
  <c r="A416" i="28"/>
  <c r="V418" i="28"/>
  <c r="L418" i="28"/>
  <c r="M418" i="28" s="1"/>
  <c r="N418" i="28" s="1"/>
  <c r="O418" i="28" s="1"/>
  <c r="P417" i="28"/>
  <c r="C427" i="28" l="1"/>
  <c r="G426" i="28"/>
  <c r="F426" i="28"/>
  <c r="K426" i="28"/>
  <c r="H426" i="28"/>
  <c r="J426" i="28"/>
  <c r="I426" i="28"/>
  <c r="E426" i="28"/>
  <c r="M410" i="40"/>
  <c r="Q410" i="40"/>
  <c r="Y410" i="40" s="1"/>
  <c r="O410" i="40"/>
  <c r="S409" i="40"/>
  <c r="P409" i="40"/>
  <c r="W409" i="40"/>
  <c r="T409" i="40"/>
  <c r="K410" i="40"/>
  <c r="L410" i="40" s="1"/>
  <c r="V409" i="40"/>
  <c r="A417" i="28"/>
  <c r="P418" i="28"/>
  <c r="V419" i="28"/>
  <c r="L419" i="28"/>
  <c r="M419" i="28" s="1"/>
  <c r="N419" i="28" s="1"/>
  <c r="O419" i="28" s="1"/>
  <c r="C428" i="28" l="1"/>
  <c r="H427" i="28"/>
  <c r="G427" i="28"/>
  <c r="K427" i="28"/>
  <c r="F427" i="28"/>
  <c r="J427" i="28"/>
  <c r="I427" i="28"/>
  <c r="E427" i="28"/>
  <c r="Q411" i="40"/>
  <c r="Y411" i="40" s="1"/>
  <c r="O411" i="40"/>
  <c r="M411" i="40"/>
  <c r="S410" i="40"/>
  <c r="P410" i="40"/>
  <c r="W410" i="40"/>
  <c r="T410" i="40"/>
  <c r="K411" i="40"/>
  <c r="L411" i="40" s="1"/>
  <c r="V410" i="40"/>
  <c r="A418" i="28"/>
  <c r="V420" i="28"/>
  <c r="L420" i="28"/>
  <c r="M420" i="28" s="1"/>
  <c r="N420" i="28" s="1"/>
  <c r="O420" i="28" s="1"/>
  <c r="P419" i="28"/>
  <c r="C429" i="28" l="1"/>
  <c r="I428" i="28"/>
  <c r="G428" i="28"/>
  <c r="H428" i="28"/>
  <c r="E428" i="28"/>
  <c r="K428" i="28"/>
  <c r="J428" i="28"/>
  <c r="F428" i="28"/>
  <c r="O412" i="40"/>
  <c r="M412" i="40"/>
  <c r="Q412" i="40"/>
  <c r="Y412" i="40" s="1"/>
  <c r="S411" i="40"/>
  <c r="P411" i="40"/>
  <c r="W411" i="40"/>
  <c r="T411" i="40"/>
  <c r="K412" i="40"/>
  <c r="L412" i="40" s="1"/>
  <c r="V411" i="40"/>
  <c r="A419" i="28"/>
  <c r="V421" i="28"/>
  <c r="L421" i="28"/>
  <c r="M421" i="28" s="1"/>
  <c r="N421" i="28" s="1"/>
  <c r="O421" i="28" s="1"/>
  <c r="P420" i="28"/>
  <c r="C430" i="28" l="1"/>
  <c r="J429" i="28"/>
  <c r="I429" i="28"/>
  <c r="F429" i="28"/>
  <c r="E429" i="28"/>
  <c r="K429" i="28"/>
  <c r="H429" i="28"/>
  <c r="G429" i="28"/>
  <c r="M413" i="40"/>
  <c r="Q413" i="40"/>
  <c r="Y413" i="40" s="1"/>
  <c r="O413" i="40"/>
  <c r="S412" i="40"/>
  <c r="P412" i="40"/>
  <c r="W412" i="40"/>
  <c r="T412" i="40"/>
  <c r="K413" i="40"/>
  <c r="L413" i="40" s="1"/>
  <c r="V412" i="40"/>
  <c r="A420" i="28"/>
  <c r="V422" i="28"/>
  <c r="O422" i="28"/>
  <c r="L422" i="28"/>
  <c r="M422" i="28" s="1"/>
  <c r="N422" i="28" s="1"/>
  <c r="P421" i="28"/>
  <c r="C431" i="28" l="1"/>
  <c r="K430" i="28"/>
  <c r="G430" i="28"/>
  <c r="J430" i="28"/>
  <c r="F430" i="28"/>
  <c r="E430" i="28"/>
  <c r="I430" i="28"/>
  <c r="H430" i="28"/>
  <c r="Q414" i="40"/>
  <c r="Y414" i="40" s="1"/>
  <c r="M414" i="40"/>
  <c r="O414" i="40"/>
  <c r="S413" i="40"/>
  <c r="P413" i="40"/>
  <c r="W413" i="40"/>
  <c r="T413" i="40"/>
  <c r="K414" i="40"/>
  <c r="L414" i="40" s="1"/>
  <c r="V413" i="40"/>
  <c r="A421" i="28"/>
  <c r="P422" i="28"/>
  <c r="V423" i="28"/>
  <c r="L423" i="28"/>
  <c r="M423" i="28" s="1"/>
  <c r="N423" i="28" s="1"/>
  <c r="O423" i="28" s="1"/>
  <c r="C432" i="28" l="1"/>
  <c r="K431" i="28"/>
  <c r="J431" i="28"/>
  <c r="H431" i="28"/>
  <c r="G431" i="28"/>
  <c r="F431" i="28"/>
  <c r="E431" i="28"/>
  <c r="I431" i="28"/>
  <c r="M415" i="40"/>
  <c r="O415" i="40"/>
  <c r="Q415" i="40"/>
  <c r="Y415" i="40" s="1"/>
  <c r="S414" i="40"/>
  <c r="P414" i="40"/>
  <c r="W414" i="40"/>
  <c r="T414" i="40"/>
  <c r="K415" i="40"/>
  <c r="L415" i="40" s="1"/>
  <c r="V414" i="40"/>
  <c r="A422" i="28"/>
  <c r="V424" i="28"/>
  <c r="L424" i="28"/>
  <c r="M424" i="28" s="1"/>
  <c r="N424" i="28" s="1"/>
  <c r="O424" i="28" s="1"/>
  <c r="P423" i="28"/>
  <c r="C433" i="28" l="1"/>
  <c r="E432" i="28"/>
  <c r="I432" i="28"/>
  <c r="H432" i="28"/>
  <c r="J432" i="28"/>
  <c r="G432" i="28"/>
  <c r="F432" i="28"/>
  <c r="K432" i="28"/>
  <c r="M416" i="40"/>
  <c r="O416" i="40"/>
  <c r="Q416" i="40"/>
  <c r="Y416" i="40" s="1"/>
  <c r="S415" i="40"/>
  <c r="P415" i="40"/>
  <c r="W415" i="40"/>
  <c r="T415" i="40"/>
  <c r="K416" i="40"/>
  <c r="L416" i="40" s="1"/>
  <c r="V415" i="40"/>
  <c r="A423" i="28"/>
  <c r="V425" i="28"/>
  <c r="O425" i="28"/>
  <c r="L425" i="28"/>
  <c r="M425" i="28" s="1"/>
  <c r="N425" i="28" s="1"/>
  <c r="P424" i="28"/>
  <c r="C434" i="28" l="1"/>
  <c r="F433" i="28"/>
  <c r="E433" i="28"/>
  <c r="J433" i="28"/>
  <c r="I433" i="28"/>
  <c r="G433" i="28"/>
  <c r="H433" i="28"/>
  <c r="K433" i="28"/>
  <c r="Q417" i="40"/>
  <c r="Y417" i="40" s="1"/>
  <c r="M417" i="40"/>
  <c r="O417" i="40"/>
  <c r="S416" i="40"/>
  <c r="P416" i="40"/>
  <c r="W416" i="40"/>
  <c r="T416" i="40"/>
  <c r="K417" i="40"/>
  <c r="L417" i="40" s="1"/>
  <c r="V416" i="40"/>
  <c r="A424" i="28"/>
  <c r="V426" i="28"/>
  <c r="L426" i="28"/>
  <c r="M426" i="28" s="1"/>
  <c r="N426" i="28" s="1"/>
  <c r="O426" i="28" s="1"/>
  <c r="P425" i="28"/>
  <c r="C435" i="28" l="1"/>
  <c r="G434" i="28"/>
  <c r="F434" i="28"/>
  <c r="K434" i="28"/>
  <c r="J434" i="28"/>
  <c r="H434" i="28"/>
  <c r="I434" i="28"/>
  <c r="E434" i="28"/>
  <c r="Q418" i="40"/>
  <c r="Y418" i="40" s="1"/>
  <c r="O418" i="40"/>
  <c r="M418" i="40"/>
  <c r="S417" i="40"/>
  <c r="P417" i="40"/>
  <c r="W417" i="40"/>
  <c r="T417" i="40"/>
  <c r="K418" i="40"/>
  <c r="L418" i="40" s="1"/>
  <c r="V417" i="40"/>
  <c r="A425" i="28"/>
  <c r="P426" i="28"/>
  <c r="V427" i="28"/>
  <c r="L427" i="28"/>
  <c r="M427" i="28" s="1"/>
  <c r="N427" i="28" s="1"/>
  <c r="O427" i="28" s="1"/>
  <c r="C436" i="28" l="1"/>
  <c r="H435" i="28"/>
  <c r="G435" i="28"/>
  <c r="K435" i="28"/>
  <c r="J435" i="28"/>
  <c r="F435" i="28"/>
  <c r="I435" i="28"/>
  <c r="E435" i="28"/>
  <c r="Q419" i="40"/>
  <c r="Y419" i="40" s="1"/>
  <c r="O419" i="40"/>
  <c r="M419" i="40"/>
  <c r="S418" i="40"/>
  <c r="P418" i="40"/>
  <c r="W418" i="40"/>
  <c r="T418" i="40"/>
  <c r="K419" i="40"/>
  <c r="L419" i="40" s="1"/>
  <c r="V418" i="40"/>
  <c r="A426" i="28"/>
  <c r="V428" i="28"/>
  <c r="L428" i="28"/>
  <c r="M428" i="28" s="1"/>
  <c r="N428" i="28" s="1"/>
  <c r="O428" i="28" s="1"/>
  <c r="P427" i="28"/>
  <c r="C437" i="28" l="1"/>
  <c r="I436" i="28"/>
  <c r="G436" i="28"/>
  <c r="H436" i="28"/>
  <c r="E436" i="28"/>
  <c r="K436" i="28"/>
  <c r="J436" i="28"/>
  <c r="F436" i="28"/>
  <c r="Q420" i="40"/>
  <c r="Y420" i="40" s="1"/>
  <c r="M420" i="40"/>
  <c r="O420" i="40"/>
  <c r="S419" i="40"/>
  <c r="P419" i="40"/>
  <c r="W419" i="40"/>
  <c r="T419" i="40"/>
  <c r="K420" i="40"/>
  <c r="L420" i="40" s="1"/>
  <c r="V419" i="40"/>
  <c r="A427" i="28"/>
  <c r="P428" i="28"/>
  <c r="V429" i="28"/>
  <c r="L429" i="28"/>
  <c r="M429" i="28" s="1"/>
  <c r="N429" i="28" s="1"/>
  <c r="O429" i="28" s="1"/>
  <c r="C438" i="28" l="1"/>
  <c r="J437" i="28"/>
  <c r="I437" i="28"/>
  <c r="F437" i="28"/>
  <c r="G437" i="28"/>
  <c r="E437" i="28"/>
  <c r="H437" i="28"/>
  <c r="K437" i="28"/>
  <c r="Q421" i="40"/>
  <c r="Y421" i="40" s="1"/>
  <c r="M421" i="40"/>
  <c r="O421" i="40"/>
  <c r="S420" i="40"/>
  <c r="P420" i="40"/>
  <c r="W420" i="40"/>
  <c r="T420" i="40"/>
  <c r="K421" i="40"/>
  <c r="L421" i="40" s="1"/>
  <c r="V420" i="40"/>
  <c r="A428" i="28"/>
  <c r="P429" i="28"/>
  <c r="V430" i="28"/>
  <c r="O430" i="28"/>
  <c r="L430" i="28"/>
  <c r="M430" i="28" s="1"/>
  <c r="N430" i="28" s="1"/>
  <c r="C439" i="28" l="1"/>
  <c r="K438" i="28"/>
  <c r="J438" i="28"/>
  <c r="G438" i="28"/>
  <c r="I438" i="28"/>
  <c r="F438" i="28"/>
  <c r="E438" i="28"/>
  <c r="H438" i="28"/>
  <c r="M422" i="40"/>
  <c r="O422" i="40"/>
  <c r="Q422" i="40"/>
  <c r="Y422" i="40" s="1"/>
  <c r="S421" i="40"/>
  <c r="P421" i="40"/>
  <c r="W421" i="40"/>
  <c r="T421" i="40"/>
  <c r="K422" i="40"/>
  <c r="L422" i="40" s="1"/>
  <c r="V421" i="40"/>
  <c r="A429" i="28"/>
  <c r="P430" i="28"/>
  <c r="V431" i="28"/>
  <c r="L431" i="28"/>
  <c r="M431" i="28" s="1"/>
  <c r="N431" i="28" s="1"/>
  <c r="O431" i="28" s="1"/>
  <c r="C440" i="28" l="1"/>
  <c r="K439" i="28"/>
  <c r="H439" i="28"/>
  <c r="J439" i="28"/>
  <c r="G439" i="28"/>
  <c r="F439" i="28"/>
  <c r="E439" i="28"/>
  <c r="I439" i="28"/>
  <c r="M423" i="40"/>
  <c r="O423" i="40"/>
  <c r="Q423" i="40"/>
  <c r="Y423" i="40" s="1"/>
  <c r="S422" i="40"/>
  <c r="P422" i="40"/>
  <c r="W422" i="40"/>
  <c r="T422" i="40"/>
  <c r="K423" i="40"/>
  <c r="L423" i="40" s="1"/>
  <c r="V422" i="40"/>
  <c r="A430" i="28"/>
  <c r="V432" i="28"/>
  <c r="L432" i="28"/>
  <c r="M432" i="28" s="1"/>
  <c r="N432" i="28" s="1"/>
  <c r="O432" i="28" s="1"/>
  <c r="P431" i="28"/>
  <c r="C441" i="28" l="1"/>
  <c r="E440" i="28"/>
  <c r="I440" i="28"/>
  <c r="H440" i="28"/>
  <c r="G440" i="28"/>
  <c r="K440" i="28"/>
  <c r="F440" i="28"/>
  <c r="J440" i="28"/>
  <c r="O424" i="40"/>
  <c r="Q424" i="40"/>
  <c r="Y424" i="40" s="1"/>
  <c r="M424" i="40"/>
  <c r="S423" i="40"/>
  <c r="P423" i="40"/>
  <c r="W423" i="40"/>
  <c r="T423" i="40"/>
  <c r="K424" i="40"/>
  <c r="L424" i="40" s="1"/>
  <c r="V423" i="40"/>
  <c r="A431" i="28"/>
  <c r="P432" i="28"/>
  <c r="V433" i="28"/>
  <c r="L433" i="28"/>
  <c r="M433" i="28" s="1"/>
  <c r="N433" i="28" s="1"/>
  <c r="O433" i="28" s="1"/>
  <c r="C442" i="28" l="1"/>
  <c r="F441" i="28"/>
  <c r="E441" i="28"/>
  <c r="G441" i="28"/>
  <c r="J441" i="28"/>
  <c r="I441" i="28"/>
  <c r="H441" i="28"/>
  <c r="K441" i="28"/>
  <c r="M425" i="40"/>
  <c r="Q425" i="40"/>
  <c r="Y425" i="40" s="1"/>
  <c r="O425" i="40"/>
  <c r="S424" i="40"/>
  <c r="P424" i="40"/>
  <c r="W424" i="40"/>
  <c r="T424" i="40"/>
  <c r="K425" i="40"/>
  <c r="L425" i="40" s="1"/>
  <c r="V424" i="40"/>
  <c r="A432" i="28"/>
  <c r="V434" i="28"/>
  <c r="L434" i="28"/>
  <c r="M434" i="28" s="1"/>
  <c r="N434" i="28" s="1"/>
  <c r="O434" i="28" s="1"/>
  <c r="P433" i="28"/>
  <c r="C443" i="28" l="1"/>
  <c r="G442" i="28"/>
  <c r="F442" i="28"/>
  <c r="K442" i="28"/>
  <c r="J442" i="28"/>
  <c r="I442" i="28"/>
  <c r="H442" i="28"/>
  <c r="E442" i="28"/>
  <c r="Q426" i="40"/>
  <c r="Y426" i="40" s="1"/>
  <c r="M426" i="40"/>
  <c r="O426" i="40"/>
  <c r="S425" i="40"/>
  <c r="P425" i="40"/>
  <c r="W425" i="40"/>
  <c r="T425" i="40"/>
  <c r="K426" i="40"/>
  <c r="L426" i="40" s="1"/>
  <c r="V425" i="40"/>
  <c r="A433" i="28"/>
  <c r="V435" i="28"/>
  <c r="L435" i="28"/>
  <c r="M435" i="28" s="1"/>
  <c r="N435" i="28" s="1"/>
  <c r="O435" i="28" s="1"/>
  <c r="P434" i="28"/>
  <c r="C444" i="28" l="1"/>
  <c r="H443" i="28"/>
  <c r="G443" i="28"/>
  <c r="K443" i="28"/>
  <c r="J443" i="28"/>
  <c r="I443" i="28"/>
  <c r="F443" i="28"/>
  <c r="E443" i="28"/>
  <c r="Q427" i="40"/>
  <c r="Y427" i="40" s="1"/>
  <c r="O427" i="40"/>
  <c r="M427" i="40"/>
  <c r="S426" i="40"/>
  <c r="P426" i="40"/>
  <c r="W426" i="40"/>
  <c r="T426" i="40"/>
  <c r="K427" i="40"/>
  <c r="L427" i="40" s="1"/>
  <c r="V426" i="40"/>
  <c r="A434" i="28"/>
  <c r="V436" i="28"/>
  <c r="L436" i="28"/>
  <c r="M436" i="28" s="1"/>
  <c r="N436" i="28" s="1"/>
  <c r="O436" i="28" s="1"/>
  <c r="P435" i="28"/>
  <c r="C445" i="28" l="1"/>
  <c r="I444" i="28"/>
  <c r="H444" i="28"/>
  <c r="E444" i="28"/>
  <c r="G444" i="28"/>
  <c r="K444" i="28"/>
  <c r="F444" i="28"/>
  <c r="J444" i="28"/>
  <c r="Q428" i="40"/>
  <c r="Y428" i="40" s="1"/>
  <c r="M428" i="40"/>
  <c r="O428" i="40"/>
  <c r="S427" i="40"/>
  <c r="P427" i="40"/>
  <c r="W427" i="40"/>
  <c r="T427" i="40"/>
  <c r="K428" i="40"/>
  <c r="L428" i="40" s="1"/>
  <c r="V427" i="40"/>
  <c r="A435" i="28"/>
  <c r="V437" i="28"/>
  <c r="L437" i="28"/>
  <c r="M437" i="28" s="1"/>
  <c r="N437" i="28" s="1"/>
  <c r="O437" i="28" s="1"/>
  <c r="P436" i="28"/>
  <c r="C446" i="28" l="1"/>
  <c r="J445" i="28"/>
  <c r="I445" i="28"/>
  <c r="F445" i="28"/>
  <c r="E445" i="28"/>
  <c r="H445" i="28"/>
  <c r="G445" i="28"/>
  <c r="K445" i="28"/>
  <c r="Q429" i="40"/>
  <c r="Y429" i="40" s="1"/>
  <c r="M429" i="40"/>
  <c r="O429" i="40"/>
  <c r="S428" i="40"/>
  <c r="P428" i="40"/>
  <c r="W428" i="40"/>
  <c r="T428" i="40"/>
  <c r="K429" i="40"/>
  <c r="L429" i="40" s="1"/>
  <c r="V428" i="40"/>
  <c r="A436" i="28"/>
  <c r="V438" i="28"/>
  <c r="L438" i="28"/>
  <c r="M438" i="28" s="1"/>
  <c r="N438" i="28" s="1"/>
  <c r="O438" i="28" s="1"/>
  <c r="P437" i="28"/>
  <c r="C447" i="28" l="1"/>
  <c r="K446" i="28"/>
  <c r="J446" i="28"/>
  <c r="G446" i="28"/>
  <c r="I446" i="28"/>
  <c r="F446" i="28"/>
  <c r="E446" i="28"/>
  <c r="H446" i="28"/>
  <c r="M430" i="40"/>
  <c r="Q430" i="40"/>
  <c r="Y430" i="40" s="1"/>
  <c r="O430" i="40"/>
  <c r="S429" i="40"/>
  <c r="P429" i="40"/>
  <c r="W429" i="40"/>
  <c r="T429" i="40"/>
  <c r="K430" i="40"/>
  <c r="L430" i="40" s="1"/>
  <c r="V429" i="40"/>
  <c r="A437" i="28"/>
  <c r="P438" i="28"/>
  <c r="V439" i="28"/>
  <c r="L439" i="28"/>
  <c r="M439" i="28" s="1"/>
  <c r="N439" i="28" s="1"/>
  <c r="O439" i="28" s="1"/>
  <c r="C448" i="28" l="1"/>
  <c r="K447" i="28"/>
  <c r="H447" i="28"/>
  <c r="G447" i="28"/>
  <c r="J447" i="28"/>
  <c r="F447" i="28"/>
  <c r="I447" i="28"/>
  <c r="E447" i="28"/>
  <c r="O431" i="40"/>
  <c r="M431" i="40"/>
  <c r="Q431" i="40"/>
  <c r="Y431" i="40" s="1"/>
  <c r="S430" i="40"/>
  <c r="P430" i="40"/>
  <c r="W430" i="40"/>
  <c r="T430" i="40"/>
  <c r="K431" i="40"/>
  <c r="L431" i="40" s="1"/>
  <c r="V430" i="40"/>
  <c r="A438" i="28"/>
  <c r="V440" i="28"/>
  <c r="L440" i="28"/>
  <c r="M440" i="28" s="1"/>
  <c r="N440" i="28" s="1"/>
  <c r="O440" i="28" s="1"/>
  <c r="P439" i="28"/>
  <c r="C449" i="28" l="1"/>
  <c r="E448" i="28"/>
  <c r="I448" i="28"/>
  <c r="H448" i="28"/>
  <c r="G448" i="28"/>
  <c r="J448" i="28"/>
  <c r="F448" i="28"/>
  <c r="K448" i="28"/>
  <c r="O432" i="40"/>
  <c r="Q432" i="40"/>
  <c r="Y432" i="40" s="1"/>
  <c r="M432" i="40"/>
  <c r="S431" i="40"/>
  <c r="P431" i="40"/>
  <c r="W431" i="40"/>
  <c r="T431" i="40"/>
  <c r="K432" i="40"/>
  <c r="L432" i="40" s="1"/>
  <c r="V431" i="40"/>
  <c r="A439" i="28"/>
  <c r="P440" i="28"/>
  <c r="V441" i="28"/>
  <c r="L441" i="28"/>
  <c r="M441" i="28" s="1"/>
  <c r="N441" i="28" s="1"/>
  <c r="O441" i="28" s="1"/>
  <c r="C450" i="28" l="1"/>
  <c r="F449" i="28"/>
  <c r="E449" i="28"/>
  <c r="J449" i="28"/>
  <c r="I449" i="28"/>
  <c r="H449" i="28"/>
  <c r="G449" i="28"/>
  <c r="K449" i="28"/>
  <c r="Q433" i="40"/>
  <c r="Y433" i="40" s="1"/>
  <c r="M433" i="40"/>
  <c r="O433" i="40"/>
  <c r="S432" i="40"/>
  <c r="P432" i="40"/>
  <c r="W432" i="40"/>
  <c r="T432" i="40"/>
  <c r="K433" i="40"/>
  <c r="L433" i="40" s="1"/>
  <c r="V432" i="40"/>
  <c r="A440" i="28"/>
  <c r="V442" i="28"/>
  <c r="L442" i="28"/>
  <c r="M442" i="28" s="1"/>
  <c r="N442" i="28" s="1"/>
  <c r="O442" i="28" s="1"/>
  <c r="P441" i="28"/>
  <c r="C451" i="28" l="1"/>
  <c r="G450" i="28"/>
  <c r="F450" i="28"/>
  <c r="E450" i="28"/>
  <c r="K450" i="28"/>
  <c r="J450" i="28"/>
  <c r="I450" i="28"/>
  <c r="H450" i="28"/>
  <c r="M434" i="40"/>
  <c r="Q434" i="40"/>
  <c r="Y434" i="40" s="1"/>
  <c r="O434" i="40"/>
  <c r="S433" i="40"/>
  <c r="P433" i="40"/>
  <c r="W433" i="40"/>
  <c r="T433" i="40"/>
  <c r="K434" i="40"/>
  <c r="L434" i="40" s="1"/>
  <c r="V433" i="40"/>
  <c r="A441" i="28"/>
  <c r="P442" i="28"/>
  <c r="V443" i="28"/>
  <c r="L443" i="28"/>
  <c r="M443" i="28" s="1"/>
  <c r="N443" i="28" s="1"/>
  <c r="O443" i="28" s="1"/>
  <c r="C452" i="28" l="1"/>
  <c r="H451" i="28"/>
  <c r="G451" i="28"/>
  <c r="F451" i="28"/>
  <c r="K451" i="28"/>
  <c r="J451" i="28"/>
  <c r="I451" i="28"/>
  <c r="E451" i="28"/>
  <c r="Q435" i="40"/>
  <c r="Y435" i="40" s="1"/>
  <c r="O435" i="40"/>
  <c r="M435" i="40"/>
  <c r="S434" i="40"/>
  <c r="P434" i="40"/>
  <c r="W434" i="40"/>
  <c r="T434" i="40"/>
  <c r="K435" i="40"/>
  <c r="L435" i="40" s="1"/>
  <c r="V434" i="40"/>
  <c r="A442" i="28"/>
  <c r="P443" i="28"/>
  <c r="V444" i="28"/>
  <c r="L444" i="28"/>
  <c r="M444" i="28" s="1"/>
  <c r="N444" i="28" s="1"/>
  <c r="O444" i="28" s="1"/>
  <c r="C453" i="28" l="1"/>
  <c r="I452" i="28"/>
  <c r="H452" i="28"/>
  <c r="E452" i="28"/>
  <c r="F452" i="28"/>
  <c r="K452" i="28"/>
  <c r="G452" i="28"/>
  <c r="J452" i="28"/>
  <c r="M436" i="40"/>
  <c r="Q436" i="40"/>
  <c r="Y436" i="40" s="1"/>
  <c r="O436" i="40"/>
  <c r="S435" i="40"/>
  <c r="P435" i="40"/>
  <c r="W435" i="40"/>
  <c r="T435" i="40"/>
  <c r="K436" i="40"/>
  <c r="L436" i="40" s="1"/>
  <c r="V435" i="40"/>
  <c r="A443" i="28"/>
  <c r="P444" i="28"/>
  <c r="V445" i="28"/>
  <c r="L445" i="28"/>
  <c r="M445" i="28" s="1"/>
  <c r="N445" i="28" s="1"/>
  <c r="O445" i="28" s="1"/>
  <c r="C454" i="28" l="1"/>
  <c r="J453" i="28"/>
  <c r="I453" i="28"/>
  <c r="H453" i="28"/>
  <c r="F453" i="28"/>
  <c r="E453" i="28"/>
  <c r="G453" i="28"/>
  <c r="K453" i="28"/>
  <c r="M437" i="40"/>
  <c r="Q437" i="40"/>
  <c r="Y437" i="40" s="1"/>
  <c r="O437" i="40"/>
  <c r="S436" i="40"/>
  <c r="P436" i="40"/>
  <c r="W436" i="40"/>
  <c r="T436" i="40"/>
  <c r="K437" i="40"/>
  <c r="L437" i="40" s="1"/>
  <c r="V436" i="40"/>
  <c r="A444" i="28"/>
  <c r="P445" i="28"/>
  <c r="V446" i="28"/>
  <c r="L446" i="28"/>
  <c r="M446" i="28" s="1"/>
  <c r="N446" i="28" s="1"/>
  <c r="O446" i="28" s="1"/>
  <c r="C455" i="28" l="1"/>
  <c r="K454" i="28"/>
  <c r="J454" i="28"/>
  <c r="H454" i="28"/>
  <c r="G454" i="28"/>
  <c r="F454" i="28"/>
  <c r="E454" i="28"/>
  <c r="I454" i="28"/>
  <c r="Q438" i="40"/>
  <c r="Y438" i="40" s="1"/>
  <c r="O438" i="40"/>
  <c r="M438" i="40"/>
  <c r="S437" i="40"/>
  <c r="P437" i="40"/>
  <c r="W437" i="40"/>
  <c r="T437" i="40"/>
  <c r="K438" i="40"/>
  <c r="L438" i="40" s="1"/>
  <c r="V437" i="40"/>
  <c r="A445" i="28"/>
  <c r="P446" i="28"/>
  <c r="V447" i="28"/>
  <c r="L447" i="28"/>
  <c r="M447" i="28" s="1"/>
  <c r="N447" i="28" s="1"/>
  <c r="O447" i="28" s="1"/>
  <c r="C456" i="28" l="1"/>
  <c r="K455" i="28"/>
  <c r="J455" i="28"/>
  <c r="H455" i="28"/>
  <c r="G455" i="28"/>
  <c r="I455" i="28"/>
  <c r="F455" i="28"/>
  <c r="E455" i="28"/>
  <c r="O439" i="40"/>
  <c r="M439" i="40"/>
  <c r="Q439" i="40"/>
  <c r="Y439" i="40" s="1"/>
  <c r="S438" i="40"/>
  <c r="P438" i="40"/>
  <c r="W438" i="40"/>
  <c r="T438" i="40"/>
  <c r="K439" i="40"/>
  <c r="L439" i="40" s="1"/>
  <c r="V438" i="40"/>
  <c r="A446" i="28"/>
  <c r="V448" i="28"/>
  <c r="L448" i="28"/>
  <c r="M448" i="28" s="1"/>
  <c r="N448" i="28" s="1"/>
  <c r="O448" i="28" s="1"/>
  <c r="P447" i="28"/>
  <c r="C457" i="28" l="1"/>
  <c r="E456" i="28"/>
  <c r="I456" i="28"/>
  <c r="H456" i="28"/>
  <c r="K456" i="28"/>
  <c r="G456" i="28"/>
  <c r="F456" i="28"/>
  <c r="J456" i="28"/>
  <c r="M440" i="40"/>
  <c r="Q440" i="40"/>
  <c r="Y440" i="40" s="1"/>
  <c r="O440" i="40"/>
  <c r="S439" i="40"/>
  <c r="P439" i="40"/>
  <c r="W439" i="40"/>
  <c r="T439" i="40"/>
  <c r="K440" i="40"/>
  <c r="L440" i="40" s="1"/>
  <c r="V439" i="40"/>
  <c r="A447" i="28"/>
  <c r="V449" i="28"/>
  <c r="L449" i="28"/>
  <c r="M449" i="28" s="1"/>
  <c r="N449" i="28" s="1"/>
  <c r="O449" i="28" s="1"/>
  <c r="P448" i="28"/>
  <c r="C458" i="28" l="1"/>
  <c r="F457" i="28"/>
  <c r="E457" i="28"/>
  <c r="J457" i="28"/>
  <c r="I457" i="28"/>
  <c r="H457" i="28"/>
  <c r="G457" i="28"/>
  <c r="K457" i="28"/>
  <c r="Q441" i="40"/>
  <c r="Y441" i="40" s="1"/>
  <c r="M441" i="40"/>
  <c r="O441" i="40"/>
  <c r="S440" i="40"/>
  <c r="P440" i="40"/>
  <c r="W440" i="40"/>
  <c r="T440" i="40"/>
  <c r="K441" i="40"/>
  <c r="L441" i="40" s="1"/>
  <c r="V440" i="40"/>
  <c r="A448" i="28"/>
  <c r="P449" i="28"/>
  <c r="V450" i="28"/>
  <c r="L450" i="28"/>
  <c r="M450" i="28" s="1"/>
  <c r="N450" i="28" s="1"/>
  <c r="O450" i="28" s="1"/>
  <c r="C459" i="28" l="1"/>
  <c r="G458" i="28"/>
  <c r="F458" i="28"/>
  <c r="K458" i="28"/>
  <c r="H458" i="28"/>
  <c r="J458" i="28"/>
  <c r="I458" i="28"/>
  <c r="E458" i="28"/>
  <c r="M442" i="40"/>
  <c r="Q442" i="40"/>
  <c r="Y442" i="40" s="1"/>
  <c r="O442" i="40"/>
  <c r="S441" i="40"/>
  <c r="P441" i="40"/>
  <c r="W441" i="40"/>
  <c r="T441" i="40"/>
  <c r="K442" i="40"/>
  <c r="L442" i="40" s="1"/>
  <c r="V441" i="40"/>
  <c r="A449" i="28"/>
  <c r="V451" i="28"/>
  <c r="L451" i="28"/>
  <c r="M451" i="28" s="1"/>
  <c r="N451" i="28" s="1"/>
  <c r="O451" i="28" s="1"/>
  <c r="P450" i="28"/>
  <c r="C460" i="28" l="1"/>
  <c r="H459" i="28"/>
  <c r="F459" i="28"/>
  <c r="G459" i="28"/>
  <c r="K459" i="28"/>
  <c r="J459" i="28"/>
  <c r="E459" i="28"/>
  <c r="I459" i="28"/>
  <c r="Q443" i="40"/>
  <c r="Y443" i="40" s="1"/>
  <c r="O443" i="40"/>
  <c r="M443" i="40"/>
  <c r="S442" i="40"/>
  <c r="P442" i="40"/>
  <c r="W442" i="40"/>
  <c r="T442" i="40"/>
  <c r="K443" i="40"/>
  <c r="L443" i="40" s="1"/>
  <c r="V442" i="40"/>
  <c r="A450" i="28"/>
  <c r="P451" i="28"/>
  <c r="V452" i="28"/>
  <c r="L452" i="28"/>
  <c r="M452" i="28" s="1"/>
  <c r="N452" i="28" s="1"/>
  <c r="O452" i="28" s="1"/>
  <c r="C461" i="28" l="1"/>
  <c r="I460" i="28"/>
  <c r="H460" i="28"/>
  <c r="E460" i="28"/>
  <c r="K460" i="28"/>
  <c r="J460" i="28"/>
  <c r="G460" i="28"/>
  <c r="F460" i="28"/>
  <c r="O444" i="40"/>
  <c r="Q444" i="40"/>
  <c r="Y444" i="40" s="1"/>
  <c r="M444" i="40"/>
  <c r="S443" i="40"/>
  <c r="P443" i="40"/>
  <c r="W443" i="40"/>
  <c r="T443" i="40"/>
  <c r="K444" i="40"/>
  <c r="L444" i="40" s="1"/>
  <c r="V443" i="40"/>
  <c r="A451" i="28"/>
  <c r="P452" i="28"/>
  <c r="V453" i="28"/>
  <c r="L453" i="28"/>
  <c r="M453" i="28" s="1"/>
  <c r="N453" i="28" s="1"/>
  <c r="O453" i="28" s="1"/>
  <c r="C462" i="28" l="1"/>
  <c r="J461" i="28"/>
  <c r="I461" i="28"/>
  <c r="H461" i="28"/>
  <c r="F461" i="28"/>
  <c r="E461" i="28"/>
  <c r="K461" i="28"/>
  <c r="G461" i="28"/>
  <c r="M445" i="40"/>
  <c r="Q445" i="40"/>
  <c r="Y445" i="40" s="1"/>
  <c r="O445" i="40"/>
  <c r="S444" i="40"/>
  <c r="P444" i="40"/>
  <c r="W444" i="40"/>
  <c r="T444" i="40"/>
  <c r="K445" i="40"/>
  <c r="L445" i="40" s="1"/>
  <c r="V444" i="40"/>
  <c r="A452" i="28"/>
  <c r="P453" i="28"/>
  <c r="V454" i="28"/>
  <c r="L454" i="28"/>
  <c r="M454" i="28" s="1"/>
  <c r="N454" i="28" s="1"/>
  <c r="O454" i="28" s="1"/>
  <c r="C463" i="28" l="1"/>
  <c r="K462" i="28"/>
  <c r="J462" i="28"/>
  <c r="G462" i="28"/>
  <c r="F462" i="28"/>
  <c r="I462" i="28"/>
  <c r="E462" i="28"/>
  <c r="H462" i="28"/>
  <c r="O446" i="40"/>
  <c r="Q446" i="40"/>
  <c r="Y446" i="40" s="1"/>
  <c r="M446" i="40"/>
  <c r="S445" i="40"/>
  <c r="P445" i="40"/>
  <c r="W445" i="40"/>
  <c r="T445" i="40"/>
  <c r="K446" i="40"/>
  <c r="L446" i="40" s="1"/>
  <c r="V445" i="40"/>
  <c r="A453" i="28"/>
  <c r="P454" i="28"/>
  <c r="V455" i="28"/>
  <c r="L455" i="28"/>
  <c r="M455" i="28" s="1"/>
  <c r="N455" i="28" s="1"/>
  <c r="O455" i="28" s="1"/>
  <c r="C464" i="28" l="1"/>
  <c r="K463" i="28"/>
  <c r="H463" i="28"/>
  <c r="G463" i="28"/>
  <c r="F463" i="28"/>
  <c r="J463" i="28"/>
  <c r="E463" i="28"/>
  <c r="I463" i="28"/>
  <c r="O447" i="40"/>
  <c r="M447" i="40"/>
  <c r="Q447" i="40"/>
  <c r="Y447" i="40" s="1"/>
  <c r="S446" i="40"/>
  <c r="P446" i="40"/>
  <c r="W446" i="40"/>
  <c r="T446" i="40"/>
  <c r="K447" i="40"/>
  <c r="L447" i="40" s="1"/>
  <c r="V446" i="40"/>
  <c r="A454" i="28"/>
  <c r="V456" i="28"/>
  <c r="L456" i="28"/>
  <c r="M456" i="28" s="1"/>
  <c r="N456" i="28" s="1"/>
  <c r="O456" i="28" s="1"/>
  <c r="P455" i="28"/>
  <c r="C465" i="28" l="1"/>
  <c r="E464" i="28"/>
  <c r="I464" i="28"/>
  <c r="H464" i="28"/>
  <c r="K464" i="28"/>
  <c r="G464" i="28"/>
  <c r="F464" i="28"/>
  <c r="J464" i="28"/>
  <c r="M448" i="40"/>
  <c r="Q448" i="40"/>
  <c r="Y448" i="40" s="1"/>
  <c r="O448" i="40"/>
  <c r="S447" i="40"/>
  <c r="P447" i="40"/>
  <c r="W447" i="40"/>
  <c r="T447" i="40"/>
  <c r="K448" i="40"/>
  <c r="L448" i="40" s="1"/>
  <c r="V447" i="40"/>
  <c r="A455" i="28"/>
  <c r="V457" i="28"/>
  <c r="L457" i="28"/>
  <c r="M457" i="28" s="1"/>
  <c r="N457" i="28" s="1"/>
  <c r="O457" i="28" s="1"/>
  <c r="P456" i="28"/>
  <c r="C466" i="28" l="1"/>
  <c r="F465" i="28"/>
  <c r="E465" i="28"/>
  <c r="J465" i="28"/>
  <c r="G465" i="28"/>
  <c r="I465" i="28"/>
  <c r="H465" i="28"/>
  <c r="K465" i="28"/>
  <c r="M449" i="40"/>
  <c r="O449" i="40"/>
  <c r="Q449" i="40"/>
  <c r="Y449" i="40" s="1"/>
  <c r="S448" i="40"/>
  <c r="P448" i="40"/>
  <c r="W448" i="40"/>
  <c r="T448" i="40"/>
  <c r="K449" i="40"/>
  <c r="L449" i="40" s="1"/>
  <c r="V448" i="40"/>
  <c r="A456" i="28"/>
  <c r="P457" i="28"/>
  <c r="V458" i="28"/>
  <c r="L458" i="28"/>
  <c r="M458" i="28" s="1"/>
  <c r="N458" i="28" s="1"/>
  <c r="O458" i="28" s="1"/>
  <c r="C467" i="28" l="1"/>
  <c r="G466" i="28"/>
  <c r="F466" i="28"/>
  <c r="K466" i="28"/>
  <c r="J466" i="28"/>
  <c r="I466" i="28"/>
  <c r="H466" i="28"/>
  <c r="E466" i="28"/>
  <c r="Q450" i="40"/>
  <c r="Y450" i="40" s="1"/>
  <c r="O450" i="40"/>
  <c r="M450" i="40"/>
  <c r="S449" i="40"/>
  <c r="P449" i="40"/>
  <c r="W449" i="40"/>
  <c r="T449" i="40"/>
  <c r="K450" i="40"/>
  <c r="L450" i="40" s="1"/>
  <c r="V449" i="40"/>
  <c r="A457" i="28"/>
  <c r="V459" i="28"/>
  <c r="L459" i="28"/>
  <c r="M459" i="28" s="1"/>
  <c r="N459" i="28" s="1"/>
  <c r="O459" i="28" s="1"/>
  <c r="P458" i="28"/>
  <c r="C468" i="28" l="1"/>
  <c r="H467" i="28"/>
  <c r="F467" i="28"/>
  <c r="G467" i="28"/>
  <c r="K467" i="28"/>
  <c r="E467" i="28"/>
  <c r="J467" i="28"/>
  <c r="I467" i="28"/>
  <c r="O451" i="40"/>
  <c r="Q451" i="40"/>
  <c r="Y451" i="40" s="1"/>
  <c r="M451" i="40"/>
  <c r="S450" i="40"/>
  <c r="P450" i="40"/>
  <c r="W450" i="40"/>
  <c r="T450" i="40"/>
  <c r="K451" i="40"/>
  <c r="L451" i="40" s="1"/>
  <c r="V450" i="40"/>
  <c r="A458" i="28"/>
  <c r="P459" i="28"/>
  <c r="V460" i="28"/>
  <c r="O460" i="28"/>
  <c r="L460" i="28"/>
  <c r="M460" i="28" s="1"/>
  <c r="N460" i="28" s="1"/>
  <c r="C469" i="28" l="1"/>
  <c r="I468" i="28"/>
  <c r="H468" i="28"/>
  <c r="E468" i="28"/>
  <c r="K468" i="28"/>
  <c r="J468" i="28"/>
  <c r="G468" i="28"/>
  <c r="F468" i="28"/>
  <c r="Q452" i="40"/>
  <c r="Y452" i="40" s="1"/>
  <c r="O452" i="40"/>
  <c r="M452" i="40"/>
  <c r="S451" i="40"/>
  <c r="P451" i="40"/>
  <c r="W451" i="40"/>
  <c r="T451" i="40"/>
  <c r="K452" i="40"/>
  <c r="L452" i="40" s="1"/>
  <c r="V451" i="40"/>
  <c r="A459" i="28"/>
  <c r="V461" i="28"/>
  <c r="L461" i="28"/>
  <c r="M461" i="28" s="1"/>
  <c r="N461" i="28" s="1"/>
  <c r="O461" i="28" s="1"/>
  <c r="P460" i="28"/>
  <c r="C470" i="28" l="1"/>
  <c r="J469" i="28"/>
  <c r="I469" i="28"/>
  <c r="H469" i="28"/>
  <c r="F469" i="28"/>
  <c r="G469" i="28"/>
  <c r="E469" i="28"/>
  <c r="K469" i="28"/>
  <c r="M453" i="40"/>
  <c r="Q453" i="40"/>
  <c r="Y453" i="40" s="1"/>
  <c r="O453" i="40"/>
  <c r="S452" i="40"/>
  <c r="P452" i="40"/>
  <c r="W452" i="40"/>
  <c r="T452" i="40"/>
  <c r="K453" i="40"/>
  <c r="L453" i="40" s="1"/>
  <c r="V452" i="40"/>
  <c r="A460" i="28"/>
  <c r="V462" i="28"/>
  <c r="L462" i="28"/>
  <c r="M462" i="28" s="1"/>
  <c r="N462" i="28" s="1"/>
  <c r="O462" i="28" s="1"/>
  <c r="P461" i="28"/>
  <c r="C471" i="28" l="1"/>
  <c r="K470" i="28"/>
  <c r="J470" i="28"/>
  <c r="G470" i="28"/>
  <c r="H470" i="28"/>
  <c r="F470" i="28"/>
  <c r="E470" i="28"/>
  <c r="I470" i="28"/>
  <c r="M454" i="40"/>
  <c r="Q454" i="40"/>
  <c r="Y454" i="40" s="1"/>
  <c r="O454" i="40"/>
  <c r="S453" i="40"/>
  <c r="P453" i="40"/>
  <c r="W453" i="40"/>
  <c r="T453" i="40"/>
  <c r="K454" i="40"/>
  <c r="L454" i="40" s="1"/>
  <c r="V453" i="40"/>
  <c r="A461" i="28"/>
  <c r="V463" i="28"/>
  <c r="L463" i="28"/>
  <c r="M463" i="28" s="1"/>
  <c r="N463" i="28" s="1"/>
  <c r="O463" i="28" s="1"/>
  <c r="P462" i="28"/>
  <c r="C472" i="28" l="1"/>
  <c r="K471" i="28"/>
  <c r="H471" i="28"/>
  <c r="G471" i="28"/>
  <c r="F471" i="28"/>
  <c r="E471" i="28"/>
  <c r="J471" i="28"/>
  <c r="I471" i="28"/>
  <c r="M455" i="40"/>
  <c r="O455" i="40"/>
  <c r="Q455" i="40"/>
  <c r="Y455" i="40" s="1"/>
  <c r="S454" i="40"/>
  <c r="P454" i="40"/>
  <c r="W454" i="40"/>
  <c r="T454" i="40"/>
  <c r="K455" i="40"/>
  <c r="L455" i="40" s="1"/>
  <c r="V454" i="40"/>
  <c r="A462" i="28"/>
  <c r="V464" i="28"/>
  <c r="L464" i="28"/>
  <c r="M464" i="28" s="1"/>
  <c r="N464" i="28" s="1"/>
  <c r="O464" i="28" s="1"/>
  <c r="P463" i="28"/>
  <c r="C473" i="28" l="1"/>
  <c r="E472" i="28"/>
  <c r="I472" i="28"/>
  <c r="H472" i="28"/>
  <c r="G472" i="28"/>
  <c r="F472" i="28"/>
  <c r="K472" i="28"/>
  <c r="J472" i="28"/>
  <c r="O456" i="40"/>
  <c r="Q456" i="40"/>
  <c r="Y456" i="40" s="1"/>
  <c r="M456" i="40"/>
  <c r="S455" i="40"/>
  <c r="P455" i="40"/>
  <c r="W455" i="40"/>
  <c r="T455" i="40"/>
  <c r="K456" i="40"/>
  <c r="L456" i="40" s="1"/>
  <c r="V455" i="40"/>
  <c r="A463" i="28"/>
  <c r="V465" i="28"/>
  <c r="L465" i="28"/>
  <c r="M465" i="28" s="1"/>
  <c r="N465" i="28" s="1"/>
  <c r="O465" i="28" s="1"/>
  <c r="P464" i="28"/>
  <c r="C474" i="28" l="1"/>
  <c r="F473" i="28"/>
  <c r="J473" i="28"/>
  <c r="E473" i="28"/>
  <c r="G473" i="28"/>
  <c r="I473" i="28"/>
  <c r="H473" i="28"/>
  <c r="K473" i="28"/>
  <c r="O457" i="40"/>
  <c r="M457" i="40"/>
  <c r="Q457" i="40"/>
  <c r="Y457" i="40" s="1"/>
  <c r="S456" i="40"/>
  <c r="P456" i="40"/>
  <c r="W456" i="40"/>
  <c r="T456" i="40"/>
  <c r="K457" i="40"/>
  <c r="L457" i="40" s="1"/>
  <c r="V456" i="40"/>
  <c r="A464" i="28"/>
  <c r="V466" i="28"/>
  <c r="L466" i="28"/>
  <c r="M466" i="28" s="1"/>
  <c r="N466" i="28" s="1"/>
  <c r="O466" i="28" s="1"/>
  <c r="P465" i="28"/>
  <c r="C475" i="28" l="1"/>
  <c r="G474" i="28"/>
  <c r="F474" i="28"/>
  <c r="K474" i="28"/>
  <c r="E474" i="28"/>
  <c r="J474" i="28"/>
  <c r="H474" i="28"/>
  <c r="I474" i="28"/>
  <c r="Q458" i="40"/>
  <c r="Y458" i="40" s="1"/>
  <c r="M458" i="40"/>
  <c r="O458" i="40"/>
  <c r="S457" i="40"/>
  <c r="P457" i="40"/>
  <c r="W457" i="40"/>
  <c r="T457" i="40"/>
  <c r="K458" i="40"/>
  <c r="L458" i="40" s="1"/>
  <c r="V457" i="40"/>
  <c r="A465" i="28"/>
  <c r="V467" i="28"/>
  <c r="L467" i="28"/>
  <c r="M467" i="28" s="1"/>
  <c r="N467" i="28" s="1"/>
  <c r="O467" i="28" s="1"/>
  <c r="P466" i="28"/>
  <c r="C476" i="28" l="1"/>
  <c r="H475" i="28"/>
  <c r="G475" i="28"/>
  <c r="K475" i="28"/>
  <c r="J475" i="28"/>
  <c r="F475" i="28"/>
  <c r="I475" i="28"/>
  <c r="E475" i="28"/>
  <c r="Q459" i="40"/>
  <c r="Y459" i="40" s="1"/>
  <c r="O459" i="40"/>
  <c r="M459" i="40"/>
  <c r="S458" i="40"/>
  <c r="P458" i="40"/>
  <c r="W458" i="40"/>
  <c r="T458" i="40"/>
  <c r="K459" i="40"/>
  <c r="L459" i="40" s="1"/>
  <c r="V458" i="40"/>
  <c r="A466" i="28"/>
  <c r="P467" i="28"/>
  <c r="V468" i="28"/>
  <c r="L468" i="28"/>
  <c r="M468" i="28" s="1"/>
  <c r="N468" i="28" s="1"/>
  <c r="O468" i="28" s="1"/>
  <c r="C477" i="28" l="1"/>
  <c r="I476" i="28"/>
  <c r="H476" i="28"/>
  <c r="E476" i="28"/>
  <c r="K476" i="28"/>
  <c r="J476" i="28"/>
  <c r="G476" i="28"/>
  <c r="F476" i="28"/>
  <c r="Q460" i="40"/>
  <c r="Y460" i="40" s="1"/>
  <c r="M460" i="40"/>
  <c r="O460" i="40"/>
  <c r="S459" i="40"/>
  <c r="P459" i="40"/>
  <c r="W459" i="40"/>
  <c r="T459" i="40"/>
  <c r="K460" i="40"/>
  <c r="L460" i="40" s="1"/>
  <c r="V459" i="40"/>
  <c r="A467" i="28"/>
  <c r="P468" i="28"/>
  <c r="V469" i="28"/>
  <c r="L469" i="28"/>
  <c r="M469" i="28" s="1"/>
  <c r="N469" i="28" s="1"/>
  <c r="O469" i="28" s="1"/>
  <c r="C478" i="28" l="1"/>
  <c r="J477" i="28"/>
  <c r="I477" i="28"/>
  <c r="F477" i="28"/>
  <c r="G477" i="28"/>
  <c r="E477" i="28"/>
  <c r="K477" i="28"/>
  <c r="H477" i="28"/>
  <c r="Q461" i="40"/>
  <c r="Y461" i="40" s="1"/>
  <c r="M461" i="40"/>
  <c r="O461" i="40"/>
  <c r="S460" i="40"/>
  <c r="P460" i="40"/>
  <c r="W460" i="40"/>
  <c r="T460" i="40"/>
  <c r="K461" i="40"/>
  <c r="L461" i="40" s="1"/>
  <c r="V460" i="40"/>
  <c r="A468" i="28"/>
  <c r="V470" i="28"/>
  <c r="L470" i="28"/>
  <c r="M470" i="28" s="1"/>
  <c r="N470" i="28" s="1"/>
  <c r="O470" i="28" s="1"/>
  <c r="P469" i="28"/>
  <c r="C479" i="28" l="1"/>
  <c r="K478" i="28"/>
  <c r="J478" i="28"/>
  <c r="G478" i="28"/>
  <c r="F478" i="28"/>
  <c r="I478" i="28"/>
  <c r="E478" i="28"/>
  <c r="H478" i="28"/>
  <c r="M462" i="40"/>
  <c r="Q462" i="40"/>
  <c r="Y462" i="40" s="1"/>
  <c r="O462" i="40"/>
  <c r="S461" i="40"/>
  <c r="P461" i="40"/>
  <c r="W461" i="40"/>
  <c r="T461" i="40"/>
  <c r="K462" i="40"/>
  <c r="L462" i="40" s="1"/>
  <c r="V461" i="40"/>
  <c r="A469" i="28"/>
  <c r="P470" i="28"/>
  <c r="V471" i="28"/>
  <c r="L471" i="28"/>
  <c r="M471" i="28" s="1"/>
  <c r="N471" i="28" s="1"/>
  <c r="O471" i="28" s="1"/>
  <c r="C480" i="28" l="1"/>
  <c r="K479" i="28"/>
  <c r="H479" i="28"/>
  <c r="G479" i="28"/>
  <c r="F479" i="28"/>
  <c r="I479" i="28"/>
  <c r="E479" i="28"/>
  <c r="J479" i="28"/>
  <c r="O463" i="40"/>
  <c r="M463" i="40"/>
  <c r="Q463" i="40"/>
  <c r="Y463" i="40" s="1"/>
  <c r="S462" i="40"/>
  <c r="P462" i="40"/>
  <c r="W462" i="40"/>
  <c r="T462" i="40"/>
  <c r="K463" i="40"/>
  <c r="L463" i="40" s="1"/>
  <c r="V462" i="40"/>
  <c r="A470" i="28"/>
  <c r="V472" i="28"/>
  <c r="L472" i="28"/>
  <c r="M472" i="28" s="1"/>
  <c r="N472" i="28" s="1"/>
  <c r="O472" i="28" s="1"/>
  <c r="P471" i="28"/>
  <c r="C481" i="28" l="1"/>
  <c r="E480" i="28"/>
  <c r="K480" i="28"/>
  <c r="I480" i="28"/>
  <c r="H480" i="28"/>
  <c r="G480" i="28"/>
  <c r="F480" i="28"/>
  <c r="J480" i="28"/>
  <c r="O464" i="40"/>
  <c r="Q464" i="40"/>
  <c r="Y464" i="40" s="1"/>
  <c r="M464" i="40"/>
  <c r="S463" i="40"/>
  <c r="P463" i="40"/>
  <c r="W463" i="40"/>
  <c r="T463" i="40"/>
  <c r="K464" i="40"/>
  <c r="L464" i="40" s="1"/>
  <c r="V463" i="40"/>
  <c r="A471" i="28"/>
  <c r="P472" i="28"/>
  <c r="V473" i="28"/>
  <c r="L473" i="28"/>
  <c r="M473" i="28" s="1"/>
  <c r="N473" i="28" s="1"/>
  <c r="O473" i="28" s="1"/>
  <c r="C482" i="28" l="1"/>
  <c r="F481" i="28"/>
  <c r="E481" i="28"/>
  <c r="J481" i="28"/>
  <c r="K481" i="28"/>
  <c r="I481" i="28"/>
  <c r="H481" i="28"/>
  <c r="G481" i="28"/>
  <c r="O465" i="40"/>
  <c r="Q465" i="40"/>
  <c r="Y465" i="40" s="1"/>
  <c r="M465" i="40"/>
  <c r="S464" i="40"/>
  <c r="P464" i="40"/>
  <c r="W464" i="40"/>
  <c r="T464" i="40"/>
  <c r="K465" i="40"/>
  <c r="L465" i="40" s="1"/>
  <c r="V464" i="40"/>
  <c r="A472" i="28"/>
  <c r="V474" i="28"/>
  <c r="L474" i="28"/>
  <c r="M474" i="28" s="1"/>
  <c r="N474" i="28" s="1"/>
  <c r="O474" i="28" s="1"/>
  <c r="P473" i="28"/>
  <c r="C483" i="28" l="1"/>
  <c r="G482" i="28"/>
  <c r="F482" i="28"/>
  <c r="K482" i="28"/>
  <c r="E482" i="28"/>
  <c r="J482" i="28"/>
  <c r="I482" i="28"/>
  <c r="H482" i="28"/>
  <c r="O466" i="40"/>
  <c r="M466" i="40"/>
  <c r="Q466" i="40"/>
  <c r="Y466" i="40" s="1"/>
  <c r="S465" i="40"/>
  <c r="P465" i="40"/>
  <c r="W465" i="40"/>
  <c r="T465" i="40"/>
  <c r="K466" i="40"/>
  <c r="L466" i="40" s="1"/>
  <c r="V465" i="40"/>
  <c r="A473" i="28"/>
  <c r="P474" i="28"/>
  <c r="V475" i="28"/>
  <c r="L475" i="28"/>
  <c r="M475" i="28" s="1"/>
  <c r="N475" i="28" s="1"/>
  <c r="O475" i="28" s="1"/>
  <c r="C484" i="28" l="1"/>
  <c r="H483" i="28"/>
  <c r="G483" i="28"/>
  <c r="F483" i="28"/>
  <c r="K483" i="28"/>
  <c r="E483" i="28"/>
  <c r="J483" i="28"/>
  <c r="I483" i="28"/>
  <c r="O467" i="40"/>
  <c r="Q467" i="40"/>
  <c r="Y467" i="40" s="1"/>
  <c r="M467" i="40"/>
  <c r="S466" i="40"/>
  <c r="P466" i="40"/>
  <c r="W466" i="40"/>
  <c r="T466" i="40"/>
  <c r="K467" i="40"/>
  <c r="L467" i="40" s="1"/>
  <c r="V466" i="40"/>
  <c r="A474" i="28"/>
  <c r="P475" i="28"/>
  <c r="V476" i="28"/>
  <c r="L476" i="28"/>
  <c r="M476" i="28" s="1"/>
  <c r="N476" i="28" s="1"/>
  <c r="O476" i="28" s="1"/>
  <c r="C485" i="28" l="1"/>
  <c r="I484" i="28"/>
  <c r="F484" i="28"/>
  <c r="H484" i="28"/>
  <c r="J484" i="28"/>
  <c r="G484" i="28"/>
  <c r="E484" i="28"/>
  <c r="K484" i="28"/>
  <c r="O468" i="40"/>
  <c r="Q468" i="40"/>
  <c r="Y468" i="40" s="1"/>
  <c r="M468" i="40"/>
  <c r="S467" i="40"/>
  <c r="P467" i="40"/>
  <c r="W467" i="40"/>
  <c r="T467" i="40"/>
  <c r="K468" i="40"/>
  <c r="L468" i="40" s="1"/>
  <c r="V467" i="40"/>
  <c r="A475" i="28"/>
  <c r="P476" i="28"/>
  <c r="V477" i="28"/>
  <c r="L477" i="28"/>
  <c r="M477" i="28" s="1"/>
  <c r="N477" i="28" s="1"/>
  <c r="O477" i="28" s="1"/>
  <c r="C486" i="28" l="1"/>
  <c r="J485" i="28"/>
  <c r="I485" i="28"/>
  <c r="F485" i="28"/>
  <c r="E485" i="28"/>
  <c r="K485" i="28"/>
  <c r="G485" i="28"/>
  <c r="H485" i="28"/>
  <c r="M469" i="40"/>
  <c r="Q469" i="40"/>
  <c r="Y469" i="40" s="1"/>
  <c r="O469" i="40"/>
  <c r="S468" i="40"/>
  <c r="P468" i="40"/>
  <c r="W468" i="40"/>
  <c r="T468" i="40"/>
  <c r="K469" i="40"/>
  <c r="L469" i="40" s="1"/>
  <c r="V468" i="40"/>
  <c r="A476" i="28"/>
  <c r="V478" i="28"/>
  <c r="L478" i="28"/>
  <c r="M478" i="28" s="1"/>
  <c r="N478" i="28" s="1"/>
  <c r="O478" i="28" s="1"/>
  <c r="P477" i="28"/>
  <c r="C487" i="28" l="1"/>
  <c r="K486" i="28"/>
  <c r="J486" i="28"/>
  <c r="G486" i="28"/>
  <c r="F486" i="28"/>
  <c r="I486" i="28"/>
  <c r="E486" i="28"/>
  <c r="H486" i="28"/>
  <c r="M470" i="40"/>
  <c r="Q470" i="40"/>
  <c r="Y470" i="40" s="1"/>
  <c r="O470" i="40"/>
  <c r="S469" i="40"/>
  <c r="P469" i="40"/>
  <c r="W469" i="40"/>
  <c r="T469" i="40"/>
  <c r="K470" i="40"/>
  <c r="L470" i="40" s="1"/>
  <c r="V469" i="40"/>
  <c r="A477" i="28"/>
  <c r="P478" i="28"/>
  <c r="V479" i="28"/>
  <c r="L479" i="28"/>
  <c r="M479" i="28" s="1"/>
  <c r="N479" i="28" s="1"/>
  <c r="O479" i="28" s="1"/>
  <c r="C488" i="28" l="1"/>
  <c r="K487" i="28"/>
  <c r="H487" i="28"/>
  <c r="J487" i="28"/>
  <c r="G487" i="28"/>
  <c r="F487" i="28"/>
  <c r="E487" i="28"/>
  <c r="I487" i="28"/>
  <c r="M471" i="40"/>
  <c r="O471" i="40"/>
  <c r="Q471" i="40"/>
  <c r="Y471" i="40" s="1"/>
  <c r="S470" i="40"/>
  <c r="P470" i="40"/>
  <c r="W470" i="40"/>
  <c r="T470" i="40"/>
  <c r="K471" i="40"/>
  <c r="L471" i="40" s="1"/>
  <c r="V470" i="40"/>
  <c r="A478" i="28"/>
  <c r="P479" i="28"/>
  <c r="V480" i="28"/>
  <c r="L480" i="28"/>
  <c r="M480" i="28" s="1"/>
  <c r="N480" i="28" s="1"/>
  <c r="O480" i="28" s="1"/>
  <c r="C489" i="28" l="1"/>
  <c r="E488" i="28"/>
  <c r="I488" i="28"/>
  <c r="H488" i="28"/>
  <c r="K488" i="28"/>
  <c r="G488" i="28"/>
  <c r="F488" i="28"/>
  <c r="J488" i="28"/>
  <c r="O472" i="40"/>
  <c r="Q472" i="40"/>
  <c r="Y472" i="40" s="1"/>
  <c r="M472" i="40"/>
  <c r="S471" i="40"/>
  <c r="P471" i="40"/>
  <c r="W471" i="40"/>
  <c r="T471" i="40"/>
  <c r="K472" i="40"/>
  <c r="L472" i="40" s="1"/>
  <c r="V471" i="40"/>
  <c r="A479" i="28"/>
  <c r="P480" i="28"/>
  <c r="V481" i="28"/>
  <c r="L481" i="28"/>
  <c r="M481" i="28" s="1"/>
  <c r="N481" i="28" s="1"/>
  <c r="O481" i="28" s="1"/>
  <c r="C490" i="28" l="1"/>
  <c r="F489" i="28"/>
  <c r="G489" i="28"/>
  <c r="K489" i="28"/>
  <c r="E489" i="28"/>
  <c r="J489" i="28"/>
  <c r="I489" i="28"/>
  <c r="H489" i="28"/>
  <c r="Q473" i="40"/>
  <c r="Y473" i="40" s="1"/>
  <c r="M473" i="40"/>
  <c r="O473" i="40"/>
  <c r="S472" i="40"/>
  <c r="P472" i="40"/>
  <c r="W472" i="40"/>
  <c r="T472" i="40"/>
  <c r="K473" i="40"/>
  <c r="L473" i="40" s="1"/>
  <c r="V472" i="40"/>
  <c r="A480" i="28"/>
  <c r="P481" i="28"/>
  <c r="V482" i="28"/>
  <c r="L482" i="28"/>
  <c r="M482" i="28" s="1"/>
  <c r="N482" i="28" s="1"/>
  <c r="O482" i="28" s="1"/>
  <c r="C491" i="28" l="1"/>
  <c r="G490" i="28"/>
  <c r="F490" i="28"/>
  <c r="H490" i="28"/>
  <c r="K490" i="28"/>
  <c r="J490" i="28"/>
  <c r="I490" i="28"/>
  <c r="E490" i="28"/>
  <c r="Q474" i="40"/>
  <c r="Y474" i="40" s="1"/>
  <c r="O474" i="40"/>
  <c r="M474" i="40"/>
  <c r="S473" i="40"/>
  <c r="P473" i="40"/>
  <c r="W473" i="40"/>
  <c r="T473" i="40"/>
  <c r="K474" i="40"/>
  <c r="L474" i="40" s="1"/>
  <c r="V473" i="40"/>
  <c r="A481" i="28"/>
  <c r="P482" i="28"/>
  <c r="V483" i="28"/>
  <c r="L483" i="28"/>
  <c r="M483" i="28" s="1"/>
  <c r="N483" i="28" s="1"/>
  <c r="O483" i="28" s="1"/>
  <c r="C492" i="28" l="1"/>
  <c r="H491" i="28"/>
  <c r="F491" i="28"/>
  <c r="G491" i="28"/>
  <c r="K491" i="28"/>
  <c r="J491" i="28"/>
  <c r="I491" i="28"/>
  <c r="E491" i="28"/>
  <c r="Q475" i="40"/>
  <c r="Y475" i="40" s="1"/>
  <c r="O475" i="40"/>
  <c r="M475" i="40"/>
  <c r="S474" i="40"/>
  <c r="P474" i="40"/>
  <c r="W474" i="40"/>
  <c r="T474" i="40"/>
  <c r="K475" i="40"/>
  <c r="L475" i="40" s="1"/>
  <c r="V474" i="40"/>
  <c r="A482" i="28"/>
  <c r="P483" i="28"/>
  <c r="V484" i="28"/>
  <c r="L484" i="28"/>
  <c r="M484" i="28" s="1"/>
  <c r="N484" i="28" s="1"/>
  <c r="O484" i="28" s="1"/>
  <c r="C493" i="28" l="1"/>
  <c r="I492" i="28"/>
  <c r="G492" i="28"/>
  <c r="H492" i="28"/>
  <c r="E492" i="28"/>
  <c r="K492" i="28"/>
  <c r="F492" i="28"/>
  <c r="J492" i="28"/>
  <c r="O476" i="40"/>
  <c r="M476" i="40"/>
  <c r="Q476" i="40"/>
  <c r="Y476" i="40" s="1"/>
  <c r="S475" i="40"/>
  <c r="P475" i="40"/>
  <c r="W475" i="40"/>
  <c r="T475" i="40"/>
  <c r="K476" i="40"/>
  <c r="L476" i="40" s="1"/>
  <c r="V475" i="40"/>
  <c r="A483" i="28"/>
  <c r="V485" i="28"/>
  <c r="L485" i="28"/>
  <c r="M485" i="28" s="1"/>
  <c r="N485" i="28" s="1"/>
  <c r="O485" i="28" s="1"/>
  <c r="P484" i="28"/>
  <c r="C494" i="28" l="1"/>
  <c r="J493" i="28"/>
  <c r="I493" i="28"/>
  <c r="F493" i="28"/>
  <c r="E493" i="28"/>
  <c r="G493" i="28"/>
  <c r="K493" i="28"/>
  <c r="H493" i="28"/>
  <c r="M477" i="40"/>
  <c r="Q477" i="40"/>
  <c r="Y477" i="40" s="1"/>
  <c r="O477" i="40"/>
  <c r="S476" i="40"/>
  <c r="P476" i="40"/>
  <c r="W476" i="40"/>
  <c r="T476" i="40"/>
  <c r="K477" i="40"/>
  <c r="L477" i="40" s="1"/>
  <c r="V476" i="40"/>
  <c r="A484" i="28"/>
  <c r="P485" i="28"/>
  <c r="V486" i="28"/>
  <c r="L486" i="28"/>
  <c r="M486" i="28" s="1"/>
  <c r="N486" i="28" s="1"/>
  <c r="O486" i="28" s="1"/>
  <c r="C495" i="28" l="1"/>
  <c r="K494" i="28"/>
  <c r="J494" i="28"/>
  <c r="G494" i="28"/>
  <c r="F494" i="28"/>
  <c r="E494" i="28"/>
  <c r="I494" i="28"/>
  <c r="H494" i="28"/>
  <c r="Q478" i="40"/>
  <c r="Y478" i="40" s="1"/>
  <c r="M478" i="40"/>
  <c r="O478" i="40"/>
  <c r="S477" i="40"/>
  <c r="P477" i="40"/>
  <c r="W477" i="40"/>
  <c r="T477" i="40"/>
  <c r="K478" i="40"/>
  <c r="L478" i="40" s="1"/>
  <c r="V477" i="40"/>
  <c r="A485" i="28"/>
  <c r="P486" i="28"/>
  <c r="V487" i="28"/>
  <c r="L487" i="28"/>
  <c r="M487" i="28" s="1"/>
  <c r="N487" i="28" s="1"/>
  <c r="O487" i="28" s="1"/>
  <c r="C496" i="28" l="1"/>
  <c r="K495" i="28"/>
  <c r="H495" i="28"/>
  <c r="G495" i="28"/>
  <c r="F495" i="28"/>
  <c r="E495" i="28"/>
  <c r="J495" i="28"/>
  <c r="I495" i="28"/>
  <c r="M479" i="40"/>
  <c r="O479" i="40"/>
  <c r="Q479" i="40"/>
  <c r="Y479" i="40" s="1"/>
  <c r="S478" i="40"/>
  <c r="P478" i="40"/>
  <c r="W478" i="40"/>
  <c r="T478" i="40"/>
  <c r="K479" i="40"/>
  <c r="L479" i="40" s="1"/>
  <c r="V478" i="40"/>
  <c r="A486" i="28"/>
  <c r="V488" i="28"/>
  <c r="L488" i="28"/>
  <c r="M488" i="28" s="1"/>
  <c r="N488" i="28" s="1"/>
  <c r="O488" i="28" s="1"/>
  <c r="P487" i="28"/>
  <c r="C497" i="28" l="1"/>
  <c r="E496" i="28"/>
  <c r="K496" i="28"/>
  <c r="I496" i="28"/>
  <c r="H496" i="28"/>
  <c r="G496" i="28"/>
  <c r="F496" i="28"/>
  <c r="J496" i="28"/>
  <c r="M480" i="40"/>
  <c r="Q480" i="40"/>
  <c r="Y480" i="40" s="1"/>
  <c r="O480" i="40"/>
  <c r="S479" i="40"/>
  <c r="P479" i="40"/>
  <c r="W479" i="40"/>
  <c r="T479" i="40"/>
  <c r="K480" i="40"/>
  <c r="L480" i="40" s="1"/>
  <c r="V479" i="40"/>
  <c r="A487" i="28"/>
  <c r="P488" i="28"/>
  <c r="V489" i="28"/>
  <c r="L489" i="28"/>
  <c r="M489" i="28" s="1"/>
  <c r="N489" i="28" s="1"/>
  <c r="O489" i="28" s="1"/>
  <c r="C498" i="28" l="1"/>
  <c r="H497" i="28"/>
  <c r="F497" i="28"/>
  <c r="E497" i="28"/>
  <c r="K497" i="28"/>
  <c r="J497" i="28"/>
  <c r="I497" i="28"/>
  <c r="G497" i="28"/>
  <c r="O481" i="40"/>
  <c r="Q481" i="40"/>
  <c r="Y481" i="40" s="1"/>
  <c r="M481" i="40"/>
  <c r="S480" i="40"/>
  <c r="P480" i="40"/>
  <c r="W480" i="40"/>
  <c r="T480" i="40"/>
  <c r="K481" i="40"/>
  <c r="L481" i="40" s="1"/>
  <c r="V480" i="40"/>
  <c r="A488" i="28"/>
  <c r="P489" i="28"/>
  <c r="V490" i="28"/>
  <c r="L490" i="28"/>
  <c r="M490" i="28" s="1"/>
  <c r="N490" i="28" s="1"/>
  <c r="O490" i="28" s="1"/>
  <c r="C499" i="28" l="1"/>
  <c r="I498" i="28"/>
  <c r="G498" i="28"/>
  <c r="F498" i="28"/>
  <c r="H498" i="28"/>
  <c r="E498" i="28"/>
  <c r="K498" i="28"/>
  <c r="J498" i="28"/>
  <c r="M482" i="40"/>
  <c r="Q482" i="40"/>
  <c r="Y482" i="40" s="1"/>
  <c r="O482" i="40"/>
  <c r="S481" i="40"/>
  <c r="P481" i="40"/>
  <c r="W481" i="40"/>
  <c r="T481" i="40"/>
  <c r="K482" i="40"/>
  <c r="L482" i="40" s="1"/>
  <c r="V481" i="40"/>
  <c r="A489" i="28"/>
  <c r="P490" i="28"/>
  <c r="V491" i="28"/>
  <c r="L491" i="28"/>
  <c r="M491" i="28" s="1"/>
  <c r="N491" i="28" s="1"/>
  <c r="O491" i="28" s="1"/>
  <c r="C500" i="28" l="1"/>
  <c r="J499" i="28"/>
  <c r="I499" i="28"/>
  <c r="H499" i="28"/>
  <c r="G499" i="28"/>
  <c r="E499" i="28"/>
  <c r="F499" i="28"/>
  <c r="K499" i="28"/>
  <c r="Q483" i="40"/>
  <c r="Y483" i="40" s="1"/>
  <c r="O483" i="40"/>
  <c r="M483" i="40"/>
  <c r="S482" i="40"/>
  <c r="P482" i="40"/>
  <c r="W482" i="40"/>
  <c r="T482" i="40"/>
  <c r="K483" i="40"/>
  <c r="L483" i="40" s="1"/>
  <c r="V482" i="40"/>
  <c r="A490" i="28"/>
  <c r="V492" i="28"/>
  <c r="L492" i="28"/>
  <c r="M492" i="28" s="1"/>
  <c r="N492" i="28" s="1"/>
  <c r="O492" i="28" s="1"/>
  <c r="P491" i="28"/>
  <c r="K500" i="28" l="1"/>
  <c r="J500" i="28"/>
  <c r="I500" i="28"/>
  <c r="H500" i="28"/>
  <c r="G500" i="28"/>
  <c r="F500" i="28"/>
  <c r="E500" i="28"/>
  <c r="Q484" i="40"/>
  <c r="Y484" i="40" s="1"/>
  <c r="O484" i="40"/>
  <c r="M484" i="40"/>
  <c r="S483" i="40"/>
  <c r="P483" i="40"/>
  <c r="W483" i="40"/>
  <c r="T483" i="40"/>
  <c r="K484" i="40"/>
  <c r="L484" i="40" s="1"/>
  <c r="V483" i="40"/>
  <c r="A491" i="28"/>
  <c r="V493" i="28"/>
  <c r="L493" i="28"/>
  <c r="M493" i="28" s="1"/>
  <c r="N493" i="28" s="1"/>
  <c r="O493" i="28" s="1"/>
  <c r="P492" i="28"/>
  <c r="M485" i="40" l="1"/>
  <c r="Q485" i="40"/>
  <c r="Y485" i="40" s="1"/>
  <c r="O485" i="40"/>
  <c r="S484" i="40"/>
  <c r="P484" i="40"/>
  <c r="W484" i="40"/>
  <c r="T484" i="40"/>
  <c r="K485" i="40"/>
  <c r="L485" i="40" s="1"/>
  <c r="V484" i="40"/>
  <c r="A492" i="28"/>
  <c r="P493" i="28"/>
  <c r="V494" i="28"/>
  <c r="L494" i="28"/>
  <c r="M494" i="28" s="1"/>
  <c r="N494" i="28" s="1"/>
  <c r="O494" i="28" s="1"/>
  <c r="O486" i="40" l="1"/>
  <c r="M486" i="40"/>
  <c r="Q486" i="40"/>
  <c r="Y486" i="40" s="1"/>
  <c r="S485" i="40"/>
  <c r="P485" i="40"/>
  <c r="W485" i="40"/>
  <c r="T485" i="40"/>
  <c r="K486" i="40"/>
  <c r="L486" i="40" s="1"/>
  <c r="V485" i="40"/>
  <c r="A493" i="28"/>
  <c r="P494" i="28"/>
  <c r="V495" i="28"/>
  <c r="L495" i="28"/>
  <c r="M495" i="28" s="1"/>
  <c r="N495" i="28" s="1"/>
  <c r="O495" i="28" s="1"/>
  <c r="S486" i="40" l="1"/>
  <c r="P486" i="40"/>
  <c r="W486" i="40"/>
  <c r="T486" i="40"/>
  <c r="V486" i="40"/>
  <c r="A494" i="28"/>
  <c r="P495" i="28"/>
  <c r="V496" i="28"/>
  <c r="L496" i="28"/>
  <c r="M496" i="28" s="1"/>
  <c r="N496" i="28" s="1"/>
  <c r="O496" i="28" s="1"/>
  <c r="A495" i="28" l="1"/>
  <c r="V497" i="28"/>
  <c r="L497" i="28"/>
  <c r="M497" i="28" s="1"/>
  <c r="N497" i="28" s="1"/>
  <c r="O497" i="28" s="1"/>
  <c r="P496" i="28"/>
  <c r="A496" i="28" l="1"/>
  <c r="V498" i="28"/>
  <c r="L498" i="28"/>
  <c r="M498" i="28" s="1"/>
  <c r="N498" i="28" s="1"/>
  <c r="O498" i="28" s="1"/>
  <c r="P497" i="28"/>
  <c r="A497" i="28" l="1"/>
  <c r="V499" i="28"/>
  <c r="L499" i="28"/>
  <c r="M499" i="28" s="1"/>
  <c r="N499" i="28" s="1"/>
  <c r="O499" i="28" s="1"/>
  <c r="P498" i="28"/>
  <c r="A498" i="28" l="1"/>
  <c r="P499" i="28"/>
  <c r="V500" i="28"/>
  <c r="L500" i="28"/>
  <c r="M500" i="28" s="1"/>
  <c r="N500" i="28" s="1"/>
  <c r="O500" i="28" s="1"/>
  <c r="C501" i="28"/>
  <c r="K487" i="40" s="1"/>
  <c r="L487" i="40" s="1"/>
  <c r="S487" i="40" l="1"/>
  <c r="W487" i="40"/>
  <c r="W5" i="40" s="1"/>
  <c r="F11" i="40" s="1"/>
  <c r="T487" i="40"/>
  <c r="V487" i="40"/>
  <c r="V5" i="40" s="1"/>
  <c r="A499" i="28"/>
  <c r="J501" i="28"/>
  <c r="I501" i="28"/>
  <c r="G501" i="28"/>
  <c r="V11" i="28" s="1"/>
  <c r="F501" i="28"/>
  <c r="V501" i="28"/>
  <c r="V17" i="28" s="1"/>
  <c r="K12" i="28" s="1"/>
  <c r="G19" i="40" s="1"/>
  <c r="H19" i="40" s="1"/>
  <c r="H501" i="28"/>
  <c r="K501" i="28"/>
  <c r="O501" i="28"/>
  <c r="L501" i="28"/>
  <c r="M501" i="28" s="1"/>
  <c r="N501" i="28" s="1"/>
  <c r="E501" i="28"/>
  <c r="M487" i="40" s="1"/>
  <c r="P500" i="28"/>
  <c r="G24" i="40" l="1"/>
  <c r="E24" i="40"/>
  <c r="O487" i="40"/>
  <c r="A3" i="40" s="1"/>
  <c r="Q487" i="40"/>
  <c r="Y487" i="40" s="1"/>
  <c r="K13" i="28"/>
  <c r="H11" i="40"/>
  <c r="I17" i="28"/>
  <c r="G17" i="28"/>
  <c r="A500" i="28"/>
  <c r="P501" i="28"/>
  <c r="A501" i="28"/>
  <c r="B9" i="28"/>
  <c r="B10" i="28" s="1"/>
  <c r="Q11" i="28" l="1"/>
  <c r="C16" i="28"/>
  <c r="P487" i="40"/>
  <c r="F13" i="40"/>
  <c r="B12" i="28"/>
  <c r="H10" i="28" s="1"/>
  <c r="F15" i="40" l="1"/>
  <c r="H13" i="40"/>
  <c r="Q5" i="40" l="1"/>
  <c r="G21" i="40" s="1"/>
  <c r="H21" i="40" s="1"/>
  <c r="H15" i="40"/>
  <c r="Y5" i="40" l="1"/>
  <c r="K17" i="28" l="1"/>
  <c r="H17" i="28"/>
  <c r="J17" i="28" l="1"/>
  <c r="G20" i="40" l="1"/>
  <c r="H20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G4" authorId="0" shapeId="0" xr:uid="{00000000-0006-0000-0100-000001000000}">
      <text>
        <r>
          <rPr>
            <sz val="11"/>
            <color indexed="81"/>
            <rFont val="Calibri"/>
            <family val="2"/>
            <scheme val="minor"/>
          </rPr>
          <t>Campo opcional para indicar a origem dos recursos, como o nome do Banco, por exemplo.</t>
        </r>
      </text>
    </comment>
    <comment ref="S4" authorId="0" shapeId="0" xr:uid="{00000000-0006-0000-0100-000002000000}">
      <text>
        <r>
          <rPr>
            <sz val="11"/>
            <color indexed="81"/>
            <rFont val="Calibri"/>
            <family val="2"/>
            <scheme val="minor"/>
          </rPr>
          <t>Atende aos casos em que há pagamento de valor diferente no decorrer da operação. Por exemplo, ao combinar um pagamento maior na última parcela, a fim de reduzir o valor das parcelas mensais.</t>
        </r>
      </text>
    </comment>
    <comment ref="W4" authorId="0" shapeId="0" xr:uid="{5A7FB4DC-8218-4C17-A693-426900DCD5D7}">
      <text>
        <r>
          <rPr>
            <sz val="9"/>
            <color indexed="81"/>
            <rFont val="Segoe UI"/>
            <family val="2"/>
          </rPr>
          <t>O cálculo do custo real inclui o IOF e todas as despesas relacionadas à operação, tais como TAC, avaliações de imóveis etc.
Também exibe a forma de cálculo do IOF e de todo o fluxo financeiro, inclusive o método e fórmulas para encontrar o custo efetivo.</t>
        </r>
      </text>
    </comment>
    <comment ref="C5" authorId="0" shapeId="0" xr:uid="{00000000-0006-0000-0100-000003000000}">
      <text>
        <r>
          <rPr>
            <sz val="11"/>
            <color indexed="81"/>
            <rFont val="Calibri"/>
            <family val="2"/>
            <scheme val="minor"/>
          </rPr>
          <t>Campo opcional para identificação do contrato.</t>
        </r>
      </text>
    </comment>
    <comment ref="G5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Campo opcional para informar o nome de quem está obtendo o empréstimo.</t>
        </r>
      </text>
    </comment>
    <comment ref="K5" authorId="0" shapeId="0" xr:uid="{00000000-0006-0000-0100-000005000000}">
      <text>
        <r>
          <rPr>
            <sz val="11"/>
            <color indexed="81"/>
            <rFont val="Calibri"/>
            <family val="2"/>
            <scheme val="minor"/>
          </rPr>
          <t>Clique nesta célula e selecione o tipo de cálculo a ser utilizado:
1) PRICE (Tabela Price)
2) SAC (Sistema de Amortização Constante)
O site abaixo trás esclarecimentos sobre a metodologia e diferenças entre essas duas formas de cálculo:
http://fazaconta.com/financiamentos-tabela-price-sac.htm</t>
        </r>
      </text>
    </comment>
    <comment ref="S5" authorId="0" shapeId="0" xr:uid="{00000000-0006-0000-0100-000006000000}">
      <text>
        <r>
          <rPr>
            <sz val="11"/>
            <color indexed="81"/>
            <rFont val="Calibri"/>
            <family val="2"/>
            <scheme val="minor"/>
          </rPr>
          <t>Informar o momento (M) em que será definido novo valor de pagamento (amortização).</t>
        </r>
      </text>
    </comment>
    <comment ref="T5" authorId="0" shapeId="0" xr:uid="{00000000-0006-0000-0100-000007000000}">
      <text>
        <r>
          <rPr>
            <sz val="11"/>
            <color indexed="81"/>
            <rFont val="Calibri"/>
            <family val="2"/>
            <scheme val="minor"/>
          </rPr>
          <t>Valor de amortização que substuirá aquele previsto no momento informado no campo 'M', à esquerda.</t>
        </r>
      </text>
    </comment>
    <comment ref="H7" authorId="0" shapeId="0" xr:uid="{BC636C97-21DC-4438-84F1-B2DB62695C8C}">
      <text>
        <r>
          <rPr>
            <sz val="11"/>
            <color indexed="81"/>
            <rFont val="Calibri"/>
            <family val="2"/>
            <scheme val="minor"/>
          </rPr>
          <t>Data em que começa a cobrança dos juros.</t>
        </r>
      </text>
    </comment>
    <comment ref="K7" authorId="0" shapeId="0" xr:uid="{AFF38991-9464-4CA1-9FB8-241CFD08A7A3}">
      <text>
        <r>
          <rPr>
            <sz val="11"/>
            <color indexed="81"/>
            <rFont val="Calibri"/>
            <family val="2"/>
            <scheme val="minor"/>
          </rPr>
          <t>Valor do empréstimo.</t>
        </r>
      </text>
    </comment>
    <comment ref="H8" authorId="0" shapeId="0" xr:uid="{FEF629C1-C853-4B90-ADD3-481D468AE241}">
      <text>
        <r>
          <rPr>
            <sz val="11"/>
            <color indexed="81"/>
            <rFont val="Calibri"/>
            <family val="2"/>
            <scheme val="minor"/>
          </rPr>
          <t>Dia de referência para o vencimento mensal das parcelas.</t>
        </r>
      </text>
    </comment>
    <comment ref="K8" authorId="0" shapeId="0" xr:uid="{33A6CBD9-651F-4BF0-8C82-DD8BAFE2D5F8}">
      <text>
        <r>
          <rPr>
            <sz val="11"/>
            <color indexed="81"/>
            <rFont val="Calibri"/>
            <family val="2"/>
            <scheme val="minor"/>
          </rPr>
          <t>Valor a ser amortizado mensalmente, até a liquidação da operação.
Adotando o método 'SAC' será mostrado o valor do principal dividido pela quanttidade de parcelas.
Adotando o método 'PRICE' será mostrado o valor obtido pela fórmula de PGTO do Excel.</t>
        </r>
      </text>
    </comment>
    <comment ref="H9" authorId="0" shapeId="0" xr:uid="{BB034344-3EA0-49EB-A62F-4A7C73312BE7}">
      <text>
        <r>
          <rPr>
            <sz val="11"/>
            <color indexed="81"/>
            <rFont val="Calibri"/>
            <family val="2"/>
            <scheme val="minor"/>
          </rPr>
          <t>Data em que ocorrrerá o pagamento da primeira parcela.</t>
        </r>
      </text>
    </comment>
    <comment ref="K9" authorId="0" shapeId="0" xr:uid="{E41F9671-9363-409C-98CE-E498647A94E2}">
      <text>
        <r>
          <rPr>
            <sz val="11"/>
            <color indexed="81"/>
            <rFont val="Calibri"/>
            <family val="2"/>
            <scheme val="minor"/>
          </rPr>
          <t>Taxa de juros a ser aplicada exponencialmente sobre o prazo e valor da operação.</t>
        </r>
      </text>
    </comment>
    <comment ref="H10" authorId="0" shapeId="0" xr:uid="{D9127942-5C34-4806-A819-6D10462081CC}">
      <text>
        <r>
          <rPr>
            <sz val="11"/>
            <color indexed="81"/>
            <rFont val="Calibri"/>
            <family val="2"/>
            <scheme val="minor"/>
          </rPr>
          <t>Indica o dia de vencimento da última parcela.</t>
        </r>
      </text>
    </comment>
    <comment ref="K10" authorId="0" shapeId="0" xr:uid="{FD7831A1-4C0B-4451-8AD4-93F7E49CF077}">
      <text>
        <r>
          <rPr>
            <sz val="11"/>
            <color indexed="81"/>
            <rFont val="Calibri"/>
            <family val="2"/>
            <scheme val="minor"/>
          </rPr>
          <t>Taxa de juros mensal elevada exponencialmente para doze meses.</t>
        </r>
      </text>
    </comment>
    <comment ref="H11" authorId="0" shapeId="0" xr:uid="{3B975280-5F6D-475F-AE05-BF3188DE3A33}">
      <text>
        <r>
          <rPr>
            <sz val="11"/>
            <color indexed="81"/>
            <rFont val="Calibri"/>
            <family val="2"/>
            <scheme val="minor"/>
          </rPr>
          <t>Prazo, em meses, em que não haverá pagamento de principal (amortizações). A opção 'C/PAGTO. JUROS' serve para definir se será ou não cobrado juros no período de carência.</t>
        </r>
      </text>
    </comment>
    <comment ref="K11" authorId="0" shapeId="0" xr:uid="{50307596-A801-4559-9700-F4D161231F63}">
      <text>
        <r>
          <rPr>
            <sz val="11"/>
            <color indexed="81"/>
            <rFont val="Calibri"/>
            <family val="2"/>
            <scheme val="minor"/>
          </rPr>
          <t>Taxa de juros mensal descapitalizada por 30 dias. Os juros são calculados com base nesta taxa de juros diária.</t>
        </r>
      </text>
    </comment>
    <comment ref="H12" authorId="0" shapeId="0" xr:uid="{75377303-32AA-4058-A700-33BA9551822F}">
      <text>
        <r>
          <rPr>
            <sz val="11"/>
            <color indexed="81"/>
            <rFont val="Calibri"/>
            <family val="2"/>
            <scheme val="minor"/>
          </rPr>
          <t>Prazo, em meses, em que o principal será amortizado.</t>
        </r>
      </text>
    </comment>
    <comment ref="I12" authorId="0" shapeId="0" xr:uid="{B3873D71-8FC8-4482-A1B8-B111769ED5EF}">
      <text>
        <r>
          <rPr>
            <sz val="11"/>
            <color indexed="81"/>
            <rFont val="Calibri"/>
            <family val="2"/>
            <scheme val="minor"/>
          </rPr>
          <t>Utiliza a função TIR do Excel para encontrar a taxa de juros do fluxo financeiro abaixo.</t>
        </r>
      </text>
    </comment>
    <comment ref="K12" authorId="0" shapeId="0" xr:uid="{94CE1936-9A13-4E8E-9505-6D6710A81E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H13" authorId="0" shapeId="0" xr:uid="{146AC460-39E6-471F-BA4C-49D50EF6BC53}">
      <text>
        <r>
          <rPr>
            <sz val="11"/>
            <color indexed="81"/>
            <rFont val="Calibri"/>
            <family val="2"/>
            <scheme val="minor"/>
          </rPr>
          <t>Indica o prazo total da operação, considerando a quantidade de meses da carência e a das parcelas.</t>
        </r>
      </text>
    </comment>
    <comment ref="K13" authorId="0" shapeId="0" xr:uid="{0B5DD6F1-606B-467A-B0A0-EBAD07E03F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D18" authorId="0" shapeId="0" xr:uid="{00000000-0006-0000-0100-000015000000}">
      <text>
        <r>
          <rPr>
            <sz val="11"/>
            <color indexed="81"/>
            <rFont val="Calibri"/>
            <family val="2"/>
            <scheme val="minor"/>
          </rPr>
          <t>Utilizado para ajustar a data a direita para que, por exemplo, fique igual ao contratado.
A data do crédito e o primeiro vencimento devem ser ajustados diretamente no painel acima, caso necessário.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O3" authorId="0" shapeId="0" xr:uid="{DB61DA1E-E01E-4135-BEC3-507B4F55045C}">
      <text>
        <r>
          <rPr>
            <sz val="9"/>
            <color indexed="81"/>
            <rFont val="Segoe UI"/>
            <family val="2"/>
          </rPr>
          <t>Considera os custos informados no quadro de dados complementafres da operação.</t>
        </r>
      </text>
    </comment>
    <comment ref="S3" authorId="0" shapeId="0" xr:uid="{2435F0E9-2A77-4034-8F92-E9376D59D496}">
      <text>
        <r>
          <rPr>
            <sz val="9"/>
            <color indexed="81"/>
            <rFont val="Segoe UI"/>
            <family val="2"/>
          </rPr>
          <t>Utiliza a taxa da operação, informada no campo "TAXA DE JUROS MENSAL (i)", da aba 'CÁLCULO', para trazer o fluxo financeiro ao valor presente.</t>
        </r>
      </text>
    </comment>
    <comment ref="K4" authorId="0" shapeId="0" xr:uid="{F3380937-1C7E-4222-B5D0-A02E31876CB5}">
      <text>
        <r>
          <rPr>
            <sz val="9"/>
            <color indexed="81"/>
            <rFont val="Segoe UI"/>
            <family val="2"/>
          </rPr>
          <t>Momento em meses, representado pela soma do tempo de carência com o nº de parcelas.</t>
        </r>
      </text>
    </comment>
    <comment ref="L4" authorId="0" shapeId="0" xr:uid="{0E9BCDB2-270F-4B10-9612-12DB02146A9E}">
      <text>
        <r>
          <rPr>
            <sz val="9"/>
            <color indexed="81"/>
            <rFont val="Segoe UI"/>
            <family val="2"/>
          </rPr>
          <t>Nº de parcelas de amortização do principal.</t>
        </r>
      </text>
    </comment>
    <comment ref="C20" authorId="0" shapeId="0" xr:uid="{06583FBD-4789-4A3F-BF41-C674697CCAF7}">
      <text>
        <r>
          <rPr>
            <sz val="9"/>
            <color indexed="81"/>
            <rFont val="Segoe UI"/>
            <family val="2"/>
          </rPr>
          <t>Considera os custos informados em dados complementares da operação, como redutores do crédito financiado.</t>
        </r>
      </text>
    </comment>
    <comment ref="G20" authorId="0" shapeId="0" xr:uid="{991C6BC8-BA4B-4887-BA79-8C426D255F3D}">
      <text>
        <r>
          <rPr>
            <sz val="9"/>
            <color indexed="81"/>
            <rFont val="Segoe UI"/>
            <family val="2"/>
          </rPr>
          <t>Cálculo efetuado através da função 'TIR'.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data qproducao qry_RegistrosContabeisUNION" type="5" refreshedVersion="4" savePassword="1" saveData="1">
    <dbPr connection="Provider=SQLOLEDB.1;Password=F!nanc3ir0;Persist Security Info=True;User ID=Financeiro;Initial Catalog=qproducao;Data Source=qdata;Use Procedure for Prepare=1;Auto Translate=True;Packet Size=4096;Workstation ID=QFINAN01;Use Encryption for Data=False;Tag with column collation when possible=False" command="&quot;qproducao&quot;.&quot;dbo&quot;.&quot;FINAN_QRY_RegistrosContábeisUNION&quot;" commandType="3"/>
  </connection>
</connections>
</file>

<file path=xl/sharedStrings.xml><?xml version="1.0" encoding="utf-8"?>
<sst xmlns="http://schemas.openxmlformats.org/spreadsheetml/2006/main" count="108" uniqueCount="84">
  <si>
    <t>DATA</t>
  </si>
  <si>
    <t>JUROS</t>
  </si>
  <si>
    <t>SALDO FINAL</t>
  </si>
  <si>
    <t>SALDO INICIAL</t>
  </si>
  <si>
    <t>PRINCIPAL</t>
  </si>
  <si>
    <t>P</t>
  </si>
  <si>
    <t>PRIMEIRO VENCIMENTO =</t>
  </si>
  <si>
    <t>ÚLTIMO VENCIMENTO =</t>
  </si>
  <si>
    <t>DATA DO CRÉDITO =</t>
  </si>
  <si>
    <t>PZ DIAS</t>
  </si>
  <si>
    <t>MÊS/ANO</t>
  </si>
  <si>
    <t>PARCELA</t>
  </si>
  <si>
    <t>VALOR</t>
  </si>
  <si>
    <t>AJ.</t>
  </si>
  <si>
    <t>CONTRATO:</t>
  </si>
  <si>
    <t>TOMADOR:</t>
  </si>
  <si>
    <t>DIA DA SEMANA</t>
  </si>
  <si>
    <t>*</t>
  </si>
  <si>
    <t>AMORTIZAÇÕES AVULSAS</t>
  </si>
  <si>
    <t>PRAZO DA OPERAÇÃO =</t>
  </si>
  <si>
    <t>FERIADOS NACIONAIS</t>
  </si>
  <si>
    <t>ORIGEM:</t>
  </si>
  <si>
    <t>TAXA DE JUROS AO DIA (i) =</t>
  </si>
  <si>
    <t>QUANTIDADE DE PARCELAS (N) =</t>
  </si>
  <si>
    <t>DIA DE VENCIMENTO =</t>
  </si>
  <si>
    <t>.</t>
  </si>
  <si>
    <t>T U T O R I A L</t>
  </si>
  <si>
    <t>GERAL</t>
  </si>
  <si>
    <t>Os vencimentos são automaticamente transferidos para o dia útil seguinte quando cairem em dias de sábado, domingo ou feriado nacional;</t>
  </si>
  <si>
    <t>TIR</t>
  </si>
  <si>
    <t>TAXA DE JUROS ANUAL (i) =</t>
  </si>
  <si>
    <t>TAXA DE JUROS MENSAL (i) =</t>
  </si>
  <si>
    <t>Em caso de divergência em relação as datas já conhecidas, é possível corrigir o vencimento mediante ajuste no campo 'AJ.';</t>
  </si>
  <si>
    <t>MESES DE CARÊNCIA                                    =</t>
  </si>
  <si>
    <t>VALOR FINANCIADO (VP) =</t>
  </si>
  <si>
    <t>TAXA DE ABERTURA DE CRÉDITO (TAC)</t>
  </si>
  <si>
    <t>DESPESAS COM "DUE DILIGENCE"</t>
  </si>
  <si>
    <t>DESPESAS COM AVALIAÇÃO DE GARANTIAS</t>
  </si>
  <si>
    <t>OUTRAS DESPESAS</t>
  </si>
  <si>
    <t>PZ ACUM.</t>
  </si>
  <si>
    <t>IOF DIÁRIO</t>
  </si>
  <si>
    <t>IOF ADICIONAL</t>
  </si>
  <si>
    <t>VALOR DO FINANCIAMENTO</t>
  </si>
  <si>
    <t>DADOS COMPLEMENTARES DA OPERAÇÃO</t>
  </si>
  <si>
    <t>CRÉDITO EFETIVO</t>
  </si>
  <si>
    <t>COMPARATIVO ENTRE AS TAXAS (CUSTOS)</t>
  </si>
  <si>
    <t>VALOR ACUM.</t>
  </si>
  <si>
    <t>FLUXO REAL DA OPERAÇÃO</t>
  </si>
  <si>
    <t>PERÍODO</t>
  </si>
  <si>
    <t>CÁLC. IOF DIÁRIO</t>
  </si>
  <si>
    <t>TAXA DO FLUXO REAL DA OPERAÇÃO SEM IOF</t>
  </si>
  <si>
    <t>DESCRIÇÃO</t>
  </si>
  <si>
    <t>%</t>
  </si>
  <si>
    <t>Nº DA PARCELA =&gt;</t>
  </si>
  <si>
    <t>DESPESAS CORRELATAS</t>
  </si>
  <si>
    <t>TOTAL DAS DESPESAS CORRELATAS</t>
  </si>
  <si>
    <r>
      <t>Caso haja carência na operação, a quantidade de meses deve ser informada na célula H11. Havendo carência também dos juros, habilite a opção 'C/PGTO. JUROS'</t>
    </r>
    <r>
      <rPr>
        <b/>
        <sz val="11"/>
        <color theme="1"/>
        <rFont val="Calibri"/>
        <family val="2"/>
        <scheme val="minor"/>
      </rPr>
      <t>;</t>
    </r>
  </si>
  <si>
    <t>Aba 'CÁLCULO'</t>
  </si>
  <si>
    <t>Aba 'CUSTO REAL DA OPERAÇÃO'</t>
  </si>
  <si>
    <t>Os campos de preenchimento estão destacados na cor azul degradê;</t>
  </si>
  <si>
    <t xml:space="preserve">TOTAL GERAL =&gt;&gt;  </t>
  </si>
  <si>
    <t>Clicando na imagem da impressora automaticamente abrirá o visualizador de impressão, já abrangendo toda a área contendo dados.</t>
  </si>
  <si>
    <t>TAXA DO FLUXO REAL DA OPERAÇÃO COM IOF</t>
  </si>
  <si>
    <t>TAXA PURA PELA FUNÇÃO 'TIR'</t>
  </si>
  <si>
    <t>TABELA PRICE</t>
  </si>
  <si>
    <t>COMISSÕES/CORRETAGENS</t>
  </si>
  <si>
    <t>M</t>
  </si>
  <si>
    <t>AO MÊS</t>
  </si>
  <si>
    <t>AO ANO</t>
  </si>
  <si>
    <t>SALDO DEVEDOR DESCONTADO</t>
  </si>
  <si>
    <t>MÉTODO:</t>
  </si>
  <si>
    <t>TIR DO FLUXO FINANCEIRO ABAIXO =</t>
  </si>
  <si>
    <t>TAXA DA OPERAÇÃO</t>
  </si>
  <si>
    <t>A caixa de seleção 'OPERAÇÃO COM IOF' deve estar selecionada caso a operação esteja sujeita ao pagamento desse imposto sobre operações financeiras. Você também pode escolher entre a opção 'PF' e 'PJ' para indicar se a operação envolve um tomador pessoa física ou pessoa jurídica, respectivamente. Esse escolha influencia o valor do IOF a pagar, já que as pessoas físicas pagam o doblo de IOF no cálculo diário;</t>
  </si>
  <si>
    <t>Através da montagem de um fluxo real da operação, que considera o valor líquido recebido pelo tomador (deduzidas as despesas correlatas e o IOF), obtem-se a taxa do custo efetivo do financiamento. Essa taxa pode ser vista nas células G20 ou G21, sendo que a primeira desconsidera o custo com IOF e a segunda só fica visível quando houver a incidência do mesmo. Para ambos os cálculos foi utilizada a função 'TIR';</t>
  </si>
  <si>
    <t>A aba 'CUSTO REAL DA OPERAÇÃO' tem por objetivo principal demonstrar o peso das despesas correlatas, como a taxa de abertura de crédito, as despesas com o preparo e análise dos documentos (due diligence), os gastos com os laudos de avaliação de garantias, dentre outros que você informar, na apuração do custo efetivo do financiamento;</t>
  </si>
  <si>
    <t>É possível visualizar e entender a forma de cálculo do IOF diário nas colunas 'V' e 'W'.</t>
  </si>
  <si>
    <t>Na coluna 'T' pode-se observar o saldo devedor líquido em todos os períodos da operação. Entende-se por saldo devedor líquido o total devido pelo tomador em cada um dos momentos do fluxo financeiro, já descontado o efeito dos juros das parcelas posteriores;</t>
  </si>
  <si>
    <t>Para isolar o saldo devedor de um determinado momento (mês) basta informar o nº da parcela na célula D24 e verificar o resultado na célula G24;</t>
  </si>
  <si>
    <t>Para executar o cálculo clique no botão         , que está a direita do campo que você quer que seja calculado ('Valor Financiado', 'Valor da Parcela' ou 'Taxa de Juros Mensal');</t>
  </si>
  <si>
    <t>O cálculo pode ser executado através do método PRICE e pelo método SAC (célula K5);</t>
  </si>
  <si>
    <t>O cálculo prevê a existência de pagamentos avulsos. Para usar este recurso é preciso apenas informar o momento do pagamento (M) na célula 'S7' e o valor na célula 'T7'.  Havendo mais de um pagamento avulso, utilize as linhas subsequentes dessas colunas para inserir as respectivas informações.</t>
  </si>
  <si>
    <t>Há uma aba exclusivamente para a indicação dos feriados, cujas datas são utilizadas na definição dos vencimentos;</t>
  </si>
  <si>
    <t>Pousando o mouse sobre os campos de preenchimento você obterá informações sobre a função e/ou utilidade de cadas um deles;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</si>
</sst>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8" formatCode="&quot;R$&quot;#,##0.00;[Red]\-&quot;R$&quot;#,##0.00"/>
    <numFmt numFmtId="44" formatCode="_-&quot;R$&quot;* #,##0.00_-;\-&quot;R$&quot;* #,##0.00_-;_-&quot;R$&quot;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000%"/>
    <numFmt numFmtId="167" formatCode="dd/mm/yy;@"/>
    <numFmt numFmtId="168" formatCode="#,##0.00_ ;[Red]\-#,##0.00\ "/>
    <numFmt numFmtId="169" formatCode="_(&quot;R$ &quot;* #,##0.00_);_(&quot;R$ &quot;* \(#,##0.00\);_(&quot;R$ &quot;* &quot;-&quot;??_);_(@_)"/>
    <numFmt numFmtId="170" formatCode="_(&quot;$&quot;* #,##0.00_);_(&quot;$&quot;* \(#,##0.00\);_(&quot;$&quot;* &quot;-&quot;??_);_(@_)"/>
    <numFmt numFmtId="171" formatCode="0.00000%"/>
    <numFmt numFmtId="172" formatCode="0&quot; meses&quot;"/>
    <numFmt numFmtId="173" formatCode="&quot;Sistema: &quot;0"/>
    <numFmt numFmtId="174" formatCode="0.0000%&quot; am&quot;"/>
    <numFmt numFmtId="175" formatCode="0.00000%&quot; ad&quot;"/>
    <numFmt numFmtId="176" formatCode="0.0000%&quot; aa&quot;"/>
    <numFmt numFmtId="177" formatCode="[$-416]d\-mmm\-yy;@"/>
    <numFmt numFmtId="178" formatCode="0.00%&quot; aa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5" tint="-0.249977111117893"/>
        <bgColor indexed="64"/>
      </patternFill>
    </fill>
    <fill>
      <gradientFill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indexed="64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auto="1"/>
      </left>
      <right/>
      <top/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16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5" fontId="9" fillId="0" borderId="0" xfId="1" applyFont="1" applyAlignment="1" applyProtection="1">
      <alignment vertical="center"/>
      <protection locked="0"/>
    </xf>
    <xf numFmtId="0" fontId="7" fillId="0" borderId="0" xfId="1" applyNumberFormat="1" applyFont="1" applyAlignment="1" applyProtection="1">
      <alignment vertical="center"/>
      <protection locked="0"/>
    </xf>
    <xf numFmtId="165" fontId="0" fillId="0" borderId="0" xfId="1" applyFont="1" applyAlignment="1" applyProtection="1">
      <alignment vertical="center"/>
      <protection locked="0"/>
    </xf>
    <xf numFmtId="165" fontId="7" fillId="0" borderId="0" xfId="1" applyFont="1" applyAlignment="1" applyProtection="1">
      <alignment horizontal="center" vertical="center"/>
      <protection locked="0"/>
    </xf>
    <xf numFmtId="165" fontId="0" fillId="0" borderId="0" xfId="1" applyFont="1" applyBorder="1" applyAlignment="1" applyProtection="1">
      <alignment vertical="center"/>
      <protection locked="0"/>
    </xf>
    <xf numFmtId="0" fontId="0" fillId="0" borderId="0" xfId="1" applyNumberFormat="1" applyFont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165" fontId="1" fillId="0" borderId="0" xfId="1" applyFont="1" applyAlignment="1" applyProtection="1">
      <alignment vertical="center"/>
      <protection locked="0"/>
    </xf>
    <xf numFmtId="0" fontId="2" fillId="0" borderId="0" xfId="1" applyNumberFormat="1" applyFont="1" applyAlignment="1" applyProtection="1">
      <alignment horizontal="center" vertical="center"/>
      <protection locked="0"/>
    </xf>
    <xf numFmtId="0" fontId="1" fillId="0" borderId="0" xfId="1" applyNumberFormat="1" applyFont="1" applyAlignment="1" applyProtection="1">
      <alignment horizontal="center" vertical="center"/>
      <protection locked="0"/>
    </xf>
    <xf numFmtId="165" fontId="0" fillId="0" borderId="5" xfId="1" applyFont="1" applyBorder="1" applyAlignment="1" applyProtection="1">
      <alignment horizontal="right" vertical="center"/>
    </xf>
    <xf numFmtId="165" fontId="1" fillId="4" borderId="8" xfId="1" applyFont="1" applyFill="1" applyBorder="1" applyAlignment="1" applyProtection="1">
      <alignment horizontal="right" vertical="center"/>
    </xf>
    <xf numFmtId="3" fontId="2" fillId="5" borderId="2" xfId="0" applyNumberFormat="1" applyFont="1" applyFill="1" applyBorder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vertical="center"/>
    </xf>
    <xf numFmtId="165" fontId="2" fillId="5" borderId="2" xfId="1" applyFont="1" applyFill="1" applyBorder="1" applyAlignment="1" applyProtection="1">
      <alignment horizontal="center" vertical="center"/>
    </xf>
    <xf numFmtId="165" fontId="8" fillId="5" borderId="1" xfId="1" applyFont="1" applyFill="1" applyBorder="1" applyAlignment="1" applyProtection="1">
      <alignment horizontal="center" vertical="center"/>
    </xf>
    <xf numFmtId="165" fontId="2" fillId="5" borderId="1" xfId="1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vertical="center"/>
    </xf>
    <xf numFmtId="167" fontId="9" fillId="0" borderId="0" xfId="1" applyNumberFormat="1" applyFont="1" applyAlignment="1" applyProtection="1">
      <alignment vertical="center"/>
    </xf>
    <xf numFmtId="165" fontId="0" fillId="0" borderId="0" xfId="1" applyFont="1" applyBorder="1" applyAlignment="1" applyProtection="1">
      <alignment horizontal="right" vertical="center"/>
    </xf>
    <xf numFmtId="0" fontId="5" fillId="0" borderId="0" xfId="1" applyNumberFormat="1" applyFont="1" applyBorder="1" applyAlignment="1" applyProtection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quotePrefix="1" applyFont="1" applyFill="1" applyBorder="1" applyAlignment="1" applyProtection="1">
      <alignment vertical="center"/>
    </xf>
    <xf numFmtId="0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applyFont="1" applyFill="1" applyBorder="1" applyAlignment="1" applyProtection="1">
      <alignment vertical="center"/>
    </xf>
    <xf numFmtId="168" fontId="0" fillId="0" borderId="0" xfId="1" applyNumberFormat="1" applyFont="1" applyFill="1" applyBorder="1" applyAlignment="1" applyProtection="1">
      <alignment vertical="center"/>
    </xf>
    <xf numFmtId="165" fontId="0" fillId="0" borderId="0" xfId="1" applyNumberFormat="1" applyFont="1" applyFill="1" applyBorder="1" applyAlignment="1" applyProtection="1">
      <alignment vertical="center"/>
    </xf>
    <xf numFmtId="0" fontId="7" fillId="0" borderId="0" xfId="1" applyNumberFormat="1" applyFont="1" applyBorder="1" applyAlignment="1" applyProtection="1">
      <alignment horizontal="right" vertical="center"/>
    </xf>
    <xf numFmtId="165" fontId="0" fillId="0" borderId="0" xfId="1" applyFont="1" applyBorder="1" applyAlignment="1" applyProtection="1">
      <alignment vertical="center"/>
    </xf>
    <xf numFmtId="0" fontId="7" fillId="0" borderId="0" xfId="1" applyNumberFormat="1" applyFont="1" applyAlignment="1" applyProtection="1">
      <alignment horizontal="right" vertical="center"/>
    </xf>
    <xf numFmtId="165" fontId="0" fillId="0" borderId="0" xfId="1" applyFont="1" applyAlignment="1" applyProtection="1">
      <alignment vertical="center"/>
    </xf>
    <xf numFmtId="165" fontId="7" fillId="0" borderId="0" xfId="1" applyFont="1" applyAlignment="1" applyProtection="1">
      <alignment horizontal="center" vertical="center"/>
    </xf>
    <xf numFmtId="0" fontId="7" fillId="0" borderId="0" xfId="1" applyNumberFormat="1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1" fillId="0" borderId="0" xfId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65" fontId="2" fillId="0" borderId="17" xfId="1" applyFont="1" applyBorder="1" applyAlignment="1" applyProtection="1">
      <alignment horizontal="center" vertical="center"/>
    </xf>
    <xf numFmtId="0" fontId="7" fillId="0" borderId="0" xfId="1" applyNumberFormat="1" applyFont="1" applyAlignment="1" applyProtection="1">
      <alignment horizontal="center" vertical="center"/>
    </xf>
    <xf numFmtId="14" fontId="7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right" vertical="center"/>
    </xf>
    <xf numFmtId="14" fontId="2" fillId="0" borderId="2" xfId="1" applyNumberFormat="1" applyFont="1" applyFill="1" applyBorder="1" applyAlignment="1" applyProtection="1">
      <alignment horizontal="center" vertical="center"/>
    </xf>
    <xf numFmtId="172" fontId="2" fillId="0" borderId="3" xfId="1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1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horizontal="right" vertical="center"/>
    </xf>
    <xf numFmtId="0" fontId="0" fillId="0" borderId="20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vertical="center" wrapText="1"/>
    </xf>
    <xf numFmtId="0" fontId="0" fillId="0" borderId="21" xfId="0" applyBorder="1" applyAlignment="1" applyProtection="1">
      <alignment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7" fillId="0" borderId="0" xfId="1" applyFont="1" applyBorder="1" applyAlignment="1" applyProtection="1">
      <alignment horizontal="center" vertical="center"/>
      <protection locked="0"/>
    </xf>
    <xf numFmtId="0" fontId="0" fillId="0" borderId="0" xfId="1" applyNumberFormat="1" applyFont="1" applyAlignment="1" applyProtection="1">
      <alignment horizontal="center" vertical="center"/>
    </xf>
    <xf numFmtId="44" fontId="0" fillId="0" borderId="0" xfId="1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0" fontId="1" fillId="0" borderId="0" xfId="1" applyNumberFormat="1" applyFont="1" applyAlignment="1" applyProtection="1">
      <alignment horizontal="center" vertical="center"/>
    </xf>
    <xf numFmtId="0" fontId="0" fillId="0" borderId="0" xfId="1" applyNumberFormat="1" applyFont="1" applyBorder="1" applyAlignment="1" applyProtection="1">
      <alignment horizontal="center" vertical="center"/>
    </xf>
    <xf numFmtId="168" fontId="0" fillId="0" borderId="0" xfId="1" applyNumberFormat="1" applyFont="1" applyAlignment="1" applyProtection="1">
      <alignment vertical="center"/>
    </xf>
    <xf numFmtId="165" fontId="12" fillId="0" borderId="0" xfId="1" applyFont="1" applyAlignment="1" applyProtection="1">
      <alignment vertical="center"/>
    </xf>
    <xf numFmtId="0" fontId="7" fillId="0" borderId="0" xfId="0" applyFont="1" applyBorder="1" applyAlignment="1" applyProtection="1">
      <alignment horizontal="center"/>
    </xf>
    <xf numFmtId="14" fontId="1" fillId="0" borderId="0" xfId="1" applyNumberFormat="1" applyFont="1" applyAlignment="1" applyProtection="1">
      <alignment vertical="center"/>
    </xf>
    <xf numFmtId="0" fontId="7" fillId="0" borderId="0" xfId="1" applyNumberFormat="1" applyFont="1" applyBorder="1" applyAlignment="1" applyProtection="1">
      <alignment vertical="center"/>
    </xf>
    <xf numFmtId="0" fontId="12" fillId="0" borderId="0" xfId="1" applyNumberFormat="1" applyFont="1" applyBorder="1" applyAlignment="1" applyProtection="1">
      <alignment vertical="center"/>
    </xf>
    <xf numFmtId="165" fontId="14" fillId="6" borderId="0" xfId="1" applyFont="1" applyFill="1" applyBorder="1" applyAlignment="1" applyProtection="1">
      <alignment horizontal="center" vertical="center"/>
    </xf>
    <xf numFmtId="171" fontId="0" fillId="0" borderId="0" xfId="2" applyNumberFormat="1" applyFont="1" applyAlignment="1" applyProtection="1">
      <alignment horizontal="center" vertical="center"/>
    </xf>
    <xf numFmtId="166" fontId="2" fillId="0" borderId="4" xfId="2" applyNumberFormat="1" applyFont="1" applyBorder="1" applyAlignment="1" applyProtection="1">
      <alignment horizontal="center" vertical="center"/>
    </xf>
    <xf numFmtId="165" fontId="1" fillId="0" borderId="0" xfId="1" applyFont="1" applyAlignment="1" applyProtection="1">
      <alignment vertical="center"/>
    </xf>
    <xf numFmtId="0" fontId="0" fillId="0" borderId="20" xfId="0" applyBorder="1" applyAlignment="1" applyProtection="1">
      <alignment horizontal="right" vertical="top"/>
    </xf>
    <xf numFmtId="0" fontId="0" fillId="0" borderId="0" xfId="0" applyAlignment="1">
      <alignment vertical="center"/>
    </xf>
    <xf numFmtId="164" fontId="0" fillId="0" borderId="0" xfId="45" applyFont="1" applyAlignment="1">
      <alignment vertical="center"/>
    </xf>
    <xf numFmtId="165" fontId="0" fillId="0" borderId="0" xfId="1" applyFont="1" applyAlignment="1">
      <alignment vertical="center"/>
    </xf>
    <xf numFmtId="0" fontId="0" fillId="0" borderId="0" xfId="0" applyFill="1" applyBorder="1" applyAlignment="1">
      <alignment vertical="center"/>
    </xf>
    <xf numFmtId="165" fontId="0" fillId="0" borderId="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19" fillId="0" borderId="15" xfId="1" applyFont="1" applyBorder="1" applyAlignment="1">
      <alignment vertical="center"/>
    </xf>
    <xf numFmtId="166" fontId="19" fillId="0" borderId="13" xfId="0" applyNumberFormat="1" applyFont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0" fillId="0" borderId="0" xfId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8" fontId="0" fillId="0" borderId="0" xfId="0" applyNumberFormat="1" applyFill="1" applyBorder="1" applyAlignment="1">
      <alignment vertical="center"/>
    </xf>
    <xf numFmtId="0" fontId="2" fillId="0" borderId="32" xfId="0" applyFont="1" applyFill="1" applyBorder="1" applyAlignment="1">
      <alignment horizontal="center" vertical="center"/>
    </xf>
    <xf numFmtId="164" fontId="0" fillId="0" borderId="0" xfId="45" applyFont="1" applyFill="1" applyAlignment="1">
      <alignment vertical="center"/>
    </xf>
    <xf numFmtId="10" fontId="19" fillId="0" borderId="13" xfId="2" applyNumberFormat="1" applyFont="1" applyFill="1" applyBorder="1" applyAlignment="1">
      <alignment vertical="center"/>
    </xf>
    <xf numFmtId="10" fontId="20" fillId="0" borderId="13" xfId="2" applyNumberFormat="1" applyFont="1" applyFill="1" applyBorder="1" applyAlignment="1">
      <alignment vertical="center"/>
    </xf>
    <xf numFmtId="14" fontId="2" fillId="7" borderId="2" xfId="1" applyNumberFormat="1" applyFont="1" applyFill="1" applyBorder="1" applyAlignment="1" applyProtection="1">
      <alignment horizontal="center" vertical="center"/>
      <protection locked="0"/>
    </xf>
    <xf numFmtId="0" fontId="2" fillId="7" borderId="2" xfId="1" applyNumberFormat="1" applyFont="1" applyFill="1" applyBorder="1" applyAlignment="1" applyProtection="1">
      <alignment horizontal="center" vertical="center"/>
      <protection locked="0"/>
    </xf>
    <xf numFmtId="172" fontId="2" fillId="7" borderId="13" xfId="1" applyNumberFormat="1" applyFont="1" applyFill="1" applyBorder="1" applyAlignment="1" applyProtection="1">
      <alignment horizontal="center" vertical="center"/>
      <protection locked="0"/>
    </xf>
    <xf numFmtId="172" fontId="2" fillId="7" borderId="3" xfId="1" applyNumberFormat="1" applyFont="1" applyFill="1" applyBorder="1" applyAlignment="1" applyProtection="1">
      <alignment horizontal="center" vertical="center"/>
      <protection locked="0"/>
    </xf>
    <xf numFmtId="164" fontId="2" fillId="7" borderId="2" xfId="45" applyFont="1" applyFill="1" applyBorder="1" applyAlignment="1" applyProtection="1">
      <alignment vertical="center"/>
      <protection locked="0"/>
    </xf>
    <xf numFmtId="14" fontId="0" fillId="0" borderId="0" xfId="1" applyNumberFormat="1" applyFont="1" applyFill="1" applyBorder="1" applyAlignment="1">
      <alignment horizontal="center" vertical="center"/>
    </xf>
    <xf numFmtId="14" fontId="2" fillId="0" borderId="33" xfId="1" applyNumberFormat="1" applyFont="1" applyFill="1" applyBorder="1" applyAlignment="1">
      <alignment horizontal="center" vertical="center"/>
    </xf>
    <xf numFmtId="0" fontId="0" fillId="0" borderId="33" xfId="1" applyNumberFormat="1" applyFont="1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3" xfId="0" applyFont="1" applyBorder="1" applyAlignment="1">
      <alignment horizontal="center" vertical="center"/>
    </xf>
    <xf numFmtId="173" fontId="2" fillId="7" borderId="4" xfId="1" applyNumberFormat="1" applyFont="1" applyFill="1" applyBorder="1" applyAlignment="1" applyProtection="1">
      <alignment horizontal="center" vertical="center"/>
      <protection locked="0"/>
    </xf>
    <xf numFmtId="0" fontId="2" fillId="7" borderId="13" xfId="0" applyFont="1" applyFill="1" applyBorder="1" applyAlignment="1" applyProtection="1">
      <alignment horizontal="center" vertical="center"/>
      <protection locked="0"/>
    </xf>
    <xf numFmtId="164" fontId="0" fillId="5" borderId="13" xfId="45" applyFont="1" applyFill="1" applyBorder="1" applyAlignment="1">
      <alignment horizontal="center" vertical="center"/>
    </xf>
    <xf numFmtId="0" fontId="2" fillId="5" borderId="13" xfId="1" applyNumberFormat="1" applyFont="1" applyFill="1" applyBorder="1" applyAlignment="1">
      <alignment horizontal="center" vertical="center"/>
    </xf>
    <xf numFmtId="14" fontId="2" fillId="5" borderId="13" xfId="1" applyNumberFormat="1" applyFont="1" applyFill="1" applyBorder="1" applyAlignment="1">
      <alignment horizontal="center" vertical="center"/>
    </xf>
    <xf numFmtId="0" fontId="2" fillId="5" borderId="13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5" fontId="2" fillId="5" borderId="13" xfId="1" applyFon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165" fontId="2" fillId="0" borderId="0" xfId="1" applyFont="1" applyFill="1" applyAlignment="1">
      <alignment vertical="center"/>
    </xf>
    <xf numFmtId="171" fontId="0" fillId="0" borderId="0" xfId="2" applyNumberFormat="1" applyFont="1" applyAlignment="1" applyProtection="1">
      <alignment vertical="center"/>
    </xf>
    <xf numFmtId="0" fontId="0" fillId="0" borderId="21" xfId="0" applyBorder="1" applyAlignment="1" applyProtection="1">
      <alignment horizontal="right" vertical="top"/>
    </xf>
    <xf numFmtId="0" fontId="0" fillId="0" borderId="0" xfId="0" applyBorder="1" applyAlignment="1" applyProtection="1">
      <alignment vertical="center"/>
    </xf>
    <xf numFmtId="175" fontId="2" fillId="0" borderId="2" xfId="2" applyNumberFormat="1" applyFont="1" applyFill="1" applyBorder="1" applyAlignment="1" applyProtection="1">
      <alignment horizontal="center" vertical="center"/>
    </xf>
    <xf numFmtId="176" fontId="1" fillId="0" borderId="2" xfId="1" applyNumberFormat="1" applyFont="1" applyFill="1" applyBorder="1" applyAlignment="1" applyProtection="1">
      <alignment horizontal="center" vertical="center"/>
    </xf>
    <xf numFmtId="174" fontId="2" fillId="7" borderId="2" xfId="1" applyNumberFormat="1" applyFont="1" applyFill="1" applyBorder="1" applyAlignment="1" applyProtection="1">
      <alignment horizontal="center" vertical="center"/>
      <protection locked="0"/>
    </xf>
    <xf numFmtId="168" fontId="0" fillId="0" borderId="0" xfId="0" applyNumberFormat="1" applyAlignment="1">
      <alignment vertical="center"/>
    </xf>
    <xf numFmtId="168" fontId="2" fillId="5" borderId="13" xfId="0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vertical="center"/>
    </xf>
    <xf numFmtId="0" fontId="2" fillId="5" borderId="13" xfId="0" applyFont="1" applyFill="1" applyBorder="1" applyAlignment="1">
      <alignment horizontal="center" vertical="center"/>
    </xf>
    <xf numFmtId="164" fontId="2" fillId="5" borderId="13" xfId="45" applyFont="1" applyFill="1" applyBorder="1" applyAlignment="1">
      <alignment vertical="center"/>
    </xf>
    <xf numFmtId="166" fontId="2" fillId="0" borderId="13" xfId="2" applyNumberFormat="1" applyFont="1" applyBorder="1" applyAlignment="1">
      <alignment horizontal="center" vertical="center" shrinkToFit="1"/>
    </xf>
    <xf numFmtId="10" fontId="2" fillId="0" borderId="13" xfId="2" applyNumberFormat="1" applyFont="1" applyFill="1" applyBorder="1" applyAlignment="1">
      <alignment horizontal="center" vertical="center" shrinkToFit="1"/>
    </xf>
    <xf numFmtId="0" fontId="0" fillId="7" borderId="11" xfId="1" applyNumberFormat="1" applyFont="1" applyFill="1" applyBorder="1" applyAlignment="1" applyProtection="1">
      <alignment horizontal="center" vertical="center"/>
      <protection locked="0"/>
    </xf>
    <xf numFmtId="165" fontId="0" fillId="7" borderId="11" xfId="1" applyFont="1" applyFill="1" applyBorder="1" applyAlignment="1" applyProtection="1">
      <alignment vertical="center"/>
      <protection locked="0"/>
    </xf>
    <xf numFmtId="0" fontId="0" fillId="0" borderId="17" xfId="1" applyNumberFormat="1" applyFont="1" applyBorder="1" applyAlignment="1" applyProtection="1">
      <alignment horizontal="center" vertical="center"/>
    </xf>
    <xf numFmtId="166" fontId="21" fillId="8" borderId="31" xfId="2" applyNumberFormat="1" applyFont="1" applyFill="1" applyBorder="1" applyAlignment="1">
      <alignment horizontal="center" vertical="center" shrinkToFit="1"/>
    </xf>
    <xf numFmtId="10" fontId="21" fillId="8" borderId="31" xfId="2" applyNumberFormat="1" applyFont="1" applyFill="1" applyBorder="1" applyAlignment="1">
      <alignment horizontal="center" vertical="center" shrinkToFit="1"/>
    </xf>
    <xf numFmtId="166" fontId="21" fillId="0" borderId="0" xfId="2" applyNumberFormat="1" applyFont="1" applyFill="1" applyBorder="1" applyAlignment="1">
      <alignment horizontal="center" vertical="center" shrinkToFit="1"/>
    </xf>
    <xf numFmtId="10" fontId="21" fillId="0" borderId="0" xfId="2" applyNumberFormat="1" applyFont="1" applyFill="1" applyBorder="1" applyAlignment="1">
      <alignment horizontal="center" vertical="center" shrinkToFit="1"/>
    </xf>
    <xf numFmtId="174" fontId="16" fillId="2" borderId="2" xfId="1" applyNumberFormat="1" applyFont="1" applyFill="1" applyBorder="1" applyAlignment="1" applyProtection="1">
      <alignment horizontal="center" vertical="center"/>
    </xf>
    <xf numFmtId="178" fontId="16" fillId="2" borderId="2" xfId="1" applyNumberFormat="1" applyFont="1" applyFill="1" applyBorder="1" applyAlignment="1" applyProtection="1">
      <alignment horizontal="center" vertical="center"/>
    </xf>
    <xf numFmtId="0" fontId="17" fillId="0" borderId="0" xfId="1" applyNumberFormat="1" applyFont="1" applyAlignment="1" applyProtection="1">
      <alignment horizontal="left" vertical="center"/>
    </xf>
    <xf numFmtId="0" fontId="15" fillId="0" borderId="0" xfId="1" applyNumberFormat="1" applyFont="1" applyBorder="1" applyAlignment="1" applyProtection="1">
      <alignment horizontal="left" vertical="center"/>
    </xf>
    <xf numFmtId="165" fontId="0" fillId="0" borderId="0" xfId="1" applyFont="1" applyAlignment="1" applyProtection="1">
      <alignment horizontal="center" vertical="center"/>
    </xf>
    <xf numFmtId="0" fontId="0" fillId="0" borderId="0" xfId="1" applyNumberFormat="1" applyFont="1" applyAlignment="1" applyProtection="1">
      <alignment horizontal="center" textRotation="90"/>
    </xf>
    <xf numFmtId="165" fontId="0" fillId="3" borderId="29" xfId="1" applyFont="1" applyFill="1" applyBorder="1" applyAlignment="1" applyProtection="1">
      <alignment horizontal="right" vertical="center"/>
    </xf>
    <xf numFmtId="165" fontId="0" fillId="3" borderId="25" xfId="1" applyFont="1" applyFill="1" applyBorder="1" applyAlignment="1" applyProtection="1">
      <alignment horizontal="right" vertical="center"/>
    </xf>
    <xf numFmtId="165" fontId="0" fillId="10" borderId="9" xfId="1" applyFont="1" applyFill="1" applyBorder="1" applyAlignment="1" applyProtection="1">
      <alignment horizontal="left" vertical="center"/>
      <protection locked="0"/>
    </xf>
    <xf numFmtId="165" fontId="0" fillId="10" borderId="10" xfId="1" applyFont="1" applyFill="1" applyBorder="1" applyAlignment="1" applyProtection="1">
      <alignment horizontal="left" vertical="center"/>
      <protection locked="0"/>
    </xf>
    <xf numFmtId="165" fontId="0" fillId="10" borderId="6" xfId="1" applyFont="1" applyFill="1" applyBorder="1" applyAlignment="1" applyProtection="1">
      <alignment horizontal="left" vertical="center"/>
      <protection locked="0"/>
    </xf>
    <xf numFmtId="165" fontId="0" fillId="10" borderId="7" xfId="1" applyFont="1" applyFill="1" applyBorder="1" applyAlignment="1" applyProtection="1">
      <alignment horizontal="left" vertical="center"/>
      <protection locked="0"/>
    </xf>
    <xf numFmtId="165" fontId="0" fillId="3" borderId="24" xfId="1" applyFont="1" applyFill="1" applyBorder="1" applyAlignment="1" applyProtection="1">
      <alignment horizontal="right" vertical="center"/>
    </xf>
    <xf numFmtId="165" fontId="0" fillId="3" borderId="22" xfId="1" applyFont="1" applyFill="1" applyBorder="1" applyAlignment="1" applyProtection="1">
      <alignment horizontal="right" vertical="center"/>
    </xf>
    <xf numFmtId="165" fontId="0" fillId="3" borderId="23" xfId="1" applyFont="1" applyFill="1" applyBorder="1" applyAlignment="1" applyProtection="1">
      <alignment horizontal="right" vertical="center"/>
    </xf>
    <xf numFmtId="0" fontId="2" fillId="0" borderId="11" xfId="1" applyNumberFormat="1" applyFont="1" applyFill="1" applyBorder="1" applyAlignment="1" applyProtection="1">
      <alignment horizontal="center" vertical="center"/>
    </xf>
    <xf numFmtId="165" fontId="2" fillId="5" borderId="11" xfId="1" applyFont="1" applyFill="1" applyBorder="1" applyAlignment="1" applyProtection="1">
      <alignment horizontal="center" vertical="center"/>
    </xf>
    <xf numFmtId="0" fontId="2" fillId="5" borderId="11" xfId="1" applyNumberFormat="1" applyFont="1" applyFill="1" applyBorder="1" applyAlignment="1" applyProtection="1">
      <alignment horizontal="center" vertical="center"/>
    </xf>
    <xf numFmtId="165" fontId="1" fillId="0" borderId="18" xfId="1" applyFont="1" applyBorder="1" applyAlignment="1" applyProtection="1">
      <alignment horizontal="center" vertical="center"/>
    </xf>
    <xf numFmtId="165" fontId="1" fillId="0" borderId="12" xfId="1" applyFont="1" applyBorder="1" applyAlignment="1" applyProtection="1">
      <alignment horizontal="center" vertical="center"/>
    </xf>
    <xf numFmtId="165" fontId="1" fillId="0" borderId="19" xfId="1" applyFont="1" applyBorder="1" applyAlignment="1" applyProtection="1">
      <alignment horizontal="center" vertical="center"/>
    </xf>
    <xf numFmtId="165" fontId="0" fillId="3" borderId="28" xfId="1" applyFont="1" applyFill="1" applyBorder="1" applyAlignment="1" applyProtection="1">
      <alignment horizontal="right" vertical="center"/>
    </xf>
    <xf numFmtId="49" fontId="2" fillId="10" borderId="8" xfId="1" applyNumberFormat="1" applyFont="1" applyFill="1" applyBorder="1" applyAlignment="1" applyProtection="1">
      <alignment horizontal="center" vertical="center"/>
      <protection locked="0"/>
    </xf>
    <xf numFmtId="49" fontId="2" fillId="10" borderId="9" xfId="1" applyNumberFormat="1" applyFont="1" applyFill="1" applyBorder="1" applyAlignment="1" applyProtection="1">
      <alignment horizontal="center" vertical="center"/>
      <protection locked="0"/>
    </xf>
    <xf numFmtId="49" fontId="2" fillId="10" borderId="10" xfId="1" applyNumberFormat="1" applyFont="1" applyFill="1" applyBorder="1" applyAlignment="1" applyProtection="1">
      <alignment horizontal="center" vertical="center"/>
      <protection locked="0"/>
    </xf>
    <xf numFmtId="0" fontId="2" fillId="5" borderId="16" xfId="0" applyFont="1" applyFill="1" applyBorder="1" applyAlignment="1" applyProtection="1">
      <alignment horizontal="right" vertical="center"/>
    </xf>
    <xf numFmtId="0" fontId="2" fillId="5" borderId="15" xfId="0" applyFont="1" applyFill="1" applyBorder="1" applyAlignment="1" applyProtection="1">
      <alignment horizontal="right" vertical="center"/>
    </xf>
    <xf numFmtId="165" fontId="0" fillId="3" borderId="26" xfId="1" applyFont="1" applyFill="1" applyBorder="1" applyAlignment="1" applyProtection="1">
      <alignment horizontal="right" vertical="center"/>
    </xf>
    <xf numFmtId="165" fontId="0" fillId="3" borderId="27" xfId="1" applyFont="1" applyFill="1" applyBorder="1" applyAlignment="1" applyProtection="1">
      <alignment horizontal="right" vertical="center"/>
    </xf>
    <xf numFmtId="165" fontId="10" fillId="2" borderId="14" xfId="1" applyFont="1" applyFill="1" applyBorder="1" applyAlignment="1" applyProtection="1">
      <alignment horizontal="center" vertical="center"/>
    </xf>
    <xf numFmtId="165" fontId="10" fillId="2" borderId="16" xfId="1" applyFont="1" applyFill="1" applyBorder="1" applyAlignment="1" applyProtection="1">
      <alignment horizontal="center" vertical="center"/>
    </xf>
    <xf numFmtId="165" fontId="10" fillId="2" borderId="15" xfId="1" applyFont="1" applyFill="1" applyBorder="1" applyAlignment="1" applyProtection="1">
      <alignment horizontal="center" vertical="center"/>
    </xf>
    <xf numFmtId="165" fontId="16" fillId="9" borderId="29" xfId="1" applyFont="1" applyFill="1" applyBorder="1" applyAlignment="1" applyProtection="1">
      <alignment horizontal="right" vertical="center" shrinkToFit="1"/>
    </xf>
    <xf numFmtId="165" fontId="16" fillId="9" borderId="25" xfId="1" applyFont="1" applyFill="1" applyBorder="1" applyAlignment="1" applyProtection="1">
      <alignment horizontal="right" vertical="center" shrinkToFit="1"/>
    </xf>
    <xf numFmtId="165" fontId="16" fillId="9" borderId="30" xfId="1" applyFont="1" applyFill="1" applyBorder="1" applyAlignment="1" applyProtection="1">
      <alignment horizontal="right" vertical="center" shrinkToFit="1"/>
    </xf>
    <xf numFmtId="165" fontId="16" fillId="9" borderId="27" xfId="1" applyFont="1" applyFill="1" applyBorder="1" applyAlignment="1" applyProtection="1">
      <alignment horizontal="right" vertical="center" shrinkToFit="1"/>
    </xf>
    <xf numFmtId="177" fontId="2" fillId="0" borderId="14" xfId="0" applyNumberFormat="1" applyFont="1" applyBorder="1" applyAlignment="1">
      <alignment horizontal="center" vertical="center"/>
    </xf>
    <xf numFmtId="177" fontId="2" fillId="0" borderId="15" xfId="0" applyNumberFormat="1" applyFont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4" fontId="2" fillId="0" borderId="13" xfId="45" applyFont="1" applyBorder="1" applyAlignment="1">
      <alignment horizontal="center" vertical="center"/>
    </xf>
    <xf numFmtId="165" fontId="21" fillId="0" borderId="0" xfId="1" applyFont="1" applyFill="1" applyBorder="1" applyAlignment="1">
      <alignment horizontal="left" vertical="center"/>
    </xf>
    <xf numFmtId="165" fontId="21" fillId="8" borderId="31" xfId="1" applyFont="1" applyFill="1" applyBorder="1" applyAlignment="1">
      <alignment horizontal="left" vertical="center"/>
    </xf>
    <xf numFmtId="165" fontId="2" fillId="0" borderId="13" xfId="1" applyFont="1" applyBorder="1" applyAlignment="1">
      <alignment horizontal="left" vertical="center"/>
    </xf>
    <xf numFmtId="164" fontId="2" fillId="0" borderId="14" xfId="45" applyFont="1" applyFill="1" applyBorder="1" applyAlignment="1">
      <alignment horizontal="center" vertical="center"/>
    </xf>
    <xf numFmtId="164" fontId="2" fillId="0" borderId="15" xfId="45" applyFont="1" applyFill="1" applyBorder="1" applyAlignment="1">
      <alignment horizontal="center" vertical="center"/>
    </xf>
    <xf numFmtId="164" fontId="2" fillId="7" borderId="14" xfId="45" applyFont="1" applyFill="1" applyBorder="1" applyAlignment="1" applyProtection="1">
      <alignment horizontal="center" vertical="center"/>
      <protection locked="0"/>
    </xf>
    <xf numFmtId="164" fontId="2" fillId="7" borderId="15" xfId="45" applyFont="1" applyFill="1" applyBorder="1" applyAlignment="1" applyProtection="1">
      <alignment horizontal="center" vertical="center"/>
      <protection locked="0"/>
    </xf>
    <xf numFmtId="165" fontId="2" fillId="0" borderId="14" xfId="1" applyFont="1" applyFill="1" applyBorder="1" applyAlignment="1">
      <alignment horizontal="left" vertical="center"/>
    </xf>
    <xf numFmtId="165" fontId="2" fillId="0" borderId="16" xfId="1" applyFont="1" applyFill="1" applyBorder="1" applyAlignment="1">
      <alignment horizontal="left" vertical="center"/>
    </xf>
    <xf numFmtId="165" fontId="2" fillId="0" borderId="15" xfId="1" applyFont="1" applyFill="1" applyBorder="1" applyAlignment="1">
      <alignment horizontal="left" vertical="center"/>
    </xf>
    <xf numFmtId="165" fontId="0" fillId="7" borderId="31" xfId="1" applyFont="1" applyFill="1" applyBorder="1" applyAlignment="1">
      <alignment horizontal="center" vertical="center"/>
    </xf>
    <xf numFmtId="165" fontId="0" fillId="7" borderId="1" xfId="1" applyFont="1" applyFill="1" applyBorder="1" applyAlignment="1">
      <alignment horizontal="center" vertical="center"/>
    </xf>
    <xf numFmtId="165" fontId="0" fillId="0" borderId="14" xfId="1" applyFont="1" applyBorder="1" applyAlignment="1">
      <alignment horizontal="left" vertical="center"/>
    </xf>
    <xf numFmtId="165" fontId="0" fillId="0" borderId="16" xfId="1" applyFont="1" applyBorder="1" applyAlignment="1">
      <alignment horizontal="left" vertical="center"/>
    </xf>
    <xf numFmtId="165" fontId="0" fillId="0" borderId="15" xfId="1" applyFont="1" applyBorder="1" applyAlignment="1">
      <alignment horizontal="left" vertical="center"/>
    </xf>
    <xf numFmtId="165" fontId="2" fillId="0" borderId="14" xfId="1" applyFont="1" applyBorder="1" applyAlignment="1">
      <alignment horizontal="left" vertical="center"/>
    </xf>
    <xf numFmtId="165" fontId="2" fillId="0" borderId="16" xfId="1" applyFont="1" applyBorder="1" applyAlignment="1">
      <alignment horizontal="left" vertical="center"/>
    </xf>
    <xf numFmtId="165" fontId="2" fillId="0" borderId="15" xfId="1" applyFont="1" applyBorder="1" applyAlignment="1">
      <alignment horizontal="left" vertical="center"/>
    </xf>
    <xf numFmtId="164" fontId="2" fillId="0" borderId="14" xfId="45" applyFont="1" applyBorder="1" applyAlignment="1">
      <alignment horizontal="center" vertical="center"/>
    </xf>
    <xf numFmtId="164" fontId="2" fillId="0" borderId="15" xfId="45" applyFont="1" applyBorder="1" applyAlignment="1">
      <alignment horizontal="center" vertical="center"/>
    </xf>
    <xf numFmtId="164" fontId="0" fillId="0" borderId="14" xfId="45" applyFont="1" applyBorder="1" applyAlignment="1">
      <alignment horizontal="center" vertical="center"/>
    </xf>
    <xf numFmtId="164" fontId="0" fillId="0" borderId="15" xfId="45" applyFont="1" applyBorder="1" applyAlignment="1">
      <alignment horizontal="center" vertical="center"/>
    </xf>
    <xf numFmtId="164" fontId="0" fillId="0" borderId="14" xfId="45" applyFont="1" applyFill="1" applyBorder="1" applyAlignment="1">
      <alignment horizontal="center" vertical="center"/>
    </xf>
    <xf numFmtId="164" fontId="0" fillId="0" borderId="15" xfId="45" applyFont="1" applyFill="1" applyBorder="1" applyAlignment="1">
      <alignment horizontal="center" vertical="center"/>
    </xf>
    <xf numFmtId="164" fontId="2" fillId="5" borderId="14" xfId="45" applyFont="1" applyFill="1" applyBorder="1" applyAlignment="1">
      <alignment horizontal="center" vertical="center"/>
    </xf>
    <xf numFmtId="164" fontId="2" fillId="5" borderId="15" xfId="45" applyFont="1" applyFill="1" applyBorder="1" applyAlignment="1">
      <alignment horizontal="center" vertical="center"/>
    </xf>
    <xf numFmtId="0" fontId="2" fillId="5" borderId="14" xfId="1" applyNumberFormat="1" applyFont="1" applyFill="1" applyBorder="1" applyAlignment="1">
      <alignment horizontal="center" vertical="center"/>
    </xf>
    <xf numFmtId="0" fontId="2" fillId="5" borderId="16" xfId="1" applyNumberFormat="1" applyFont="1" applyFill="1" applyBorder="1" applyAlignment="1">
      <alignment horizontal="center" vertical="center"/>
    </xf>
    <xf numFmtId="0" fontId="2" fillId="5" borderId="15" xfId="1" applyNumberFormat="1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165" fontId="2" fillId="5" borderId="13" xfId="1" applyFont="1" applyFill="1" applyBorder="1" applyAlignment="1">
      <alignment horizontal="center" vertical="center"/>
    </xf>
    <xf numFmtId="168" fontId="2" fillId="5" borderId="13" xfId="0" applyNumberFormat="1" applyFont="1" applyFill="1" applyBorder="1" applyAlignment="1">
      <alignment horizontal="center" vertical="center" shrinkToFit="1"/>
    </xf>
  </cellXfs>
  <cellStyles count="50">
    <cellStyle name="Ênfase6 2" xfId="6" xr:uid="{00000000-0005-0000-0000-000000000000}"/>
    <cellStyle name="Hiperlink 2" xfId="47" xr:uid="{00000000-0005-0000-0000-000001000000}"/>
    <cellStyle name="Hyperlink 2" xfId="7" xr:uid="{00000000-0005-0000-0000-000002000000}"/>
    <cellStyle name="Moeda" xfId="45" builtinId="4"/>
    <cellStyle name="Moeda 2" xfId="4" xr:uid="{00000000-0005-0000-0000-000004000000}"/>
    <cellStyle name="Moeda 2 2" xfId="8" xr:uid="{00000000-0005-0000-0000-000005000000}"/>
    <cellStyle name="Moeda 2 2 2" xfId="9" xr:uid="{00000000-0005-0000-0000-000006000000}"/>
    <cellStyle name="Moeda 3" xfId="10" xr:uid="{00000000-0005-0000-0000-000007000000}"/>
    <cellStyle name="Moeda 4" xfId="11" xr:uid="{00000000-0005-0000-0000-000008000000}"/>
    <cellStyle name="Normal" xfId="0" builtinId="0"/>
    <cellStyle name="Normal 2" xfId="12" xr:uid="{00000000-0005-0000-0000-00000A000000}"/>
    <cellStyle name="Normal 2 10" xfId="13" xr:uid="{00000000-0005-0000-0000-00000B000000}"/>
    <cellStyle name="Normal 2 10 2" xfId="14" xr:uid="{00000000-0005-0000-0000-00000C000000}"/>
    <cellStyle name="Normal 2 11" xfId="15" xr:uid="{00000000-0005-0000-0000-00000D000000}"/>
    <cellStyle name="Normal 2 11 2" xfId="16" xr:uid="{00000000-0005-0000-0000-00000E000000}"/>
    <cellStyle name="Normal 2 2" xfId="17" xr:uid="{00000000-0005-0000-0000-00000F000000}"/>
    <cellStyle name="Normal 2 2 2" xfId="18" xr:uid="{00000000-0005-0000-0000-000010000000}"/>
    <cellStyle name="Normal 2 3" xfId="19" xr:uid="{00000000-0005-0000-0000-000011000000}"/>
    <cellStyle name="Normal 2 3 2" xfId="20" xr:uid="{00000000-0005-0000-0000-000012000000}"/>
    <cellStyle name="Normal 2 4" xfId="21" xr:uid="{00000000-0005-0000-0000-000013000000}"/>
    <cellStyle name="Normal 2 4 2" xfId="22" xr:uid="{00000000-0005-0000-0000-000014000000}"/>
    <cellStyle name="Normal 2 5" xfId="23" xr:uid="{00000000-0005-0000-0000-000015000000}"/>
    <cellStyle name="Normal 2 5 2" xfId="24" xr:uid="{00000000-0005-0000-0000-000016000000}"/>
    <cellStyle name="Normal 2 6" xfId="25" xr:uid="{00000000-0005-0000-0000-000017000000}"/>
    <cellStyle name="Normal 2 6 2" xfId="26" xr:uid="{00000000-0005-0000-0000-000018000000}"/>
    <cellStyle name="Normal 2 7" xfId="27" xr:uid="{00000000-0005-0000-0000-000019000000}"/>
    <cellStyle name="Normal 2 7 2" xfId="28" xr:uid="{00000000-0005-0000-0000-00001A000000}"/>
    <cellStyle name="Normal 2 8" xfId="29" xr:uid="{00000000-0005-0000-0000-00001B000000}"/>
    <cellStyle name="Normal 2 8 2" xfId="30" xr:uid="{00000000-0005-0000-0000-00001C000000}"/>
    <cellStyle name="Normal 2 9" xfId="31" xr:uid="{00000000-0005-0000-0000-00001D000000}"/>
    <cellStyle name="Normal 2 9 2" xfId="32" xr:uid="{00000000-0005-0000-0000-00001E000000}"/>
    <cellStyle name="Normal 3" xfId="33" xr:uid="{00000000-0005-0000-0000-00001F000000}"/>
    <cellStyle name="Normal 4" xfId="34" xr:uid="{00000000-0005-0000-0000-000020000000}"/>
    <cellStyle name="Normal 4 2" xfId="35" xr:uid="{00000000-0005-0000-0000-000021000000}"/>
    <cellStyle name="Normal 4 2 2" xfId="36" xr:uid="{00000000-0005-0000-0000-000022000000}"/>
    <cellStyle name="Normal 5" xfId="37" xr:uid="{00000000-0005-0000-0000-000023000000}"/>
    <cellStyle name="Normal 6" xfId="38" xr:uid="{00000000-0005-0000-0000-000024000000}"/>
    <cellStyle name="Porcentagem" xfId="2" builtinId="5"/>
    <cellStyle name="Porcentagem 2" xfId="39" xr:uid="{00000000-0005-0000-0000-000026000000}"/>
    <cellStyle name="Porcentagem 3" xfId="40" xr:uid="{00000000-0005-0000-0000-000027000000}"/>
    <cellStyle name="Separador de milhares 2" xfId="41" xr:uid="{00000000-0005-0000-0000-000028000000}"/>
    <cellStyle name="Separador de milhares 2 2" xfId="48" xr:uid="{00000000-0005-0000-0000-000029000000}"/>
    <cellStyle name="Separador de milhares 2 3" xfId="49" xr:uid="{00000000-0005-0000-0000-00002A000000}"/>
    <cellStyle name="Vírgula" xfId="1" builtinId="3"/>
    <cellStyle name="Vírgula 2" xfId="3" xr:uid="{00000000-0005-0000-0000-00002C000000}"/>
    <cellStyle name="Vírgula 2 2" xfId="42" xr:uid="{00000000-0005-0000-0000-00002D000000}"/>
    <cellStyle name="Vírgula 3" xfId="43" xr:uid="{00000000-0005-0000-0000-00002E000000}"/>
    <cellStyle name="Vírgula 4" xfId="5" xr:uid="{00000000-0005-0000-0000-00002F000000}"/>
    <cellStyle name="Vírgula 5" xfId="46" xr:uid="{00000000-0005-0000-0000-000030000000}"/>
    <cellStyle name="Währung" xfId="44" xr:uid="{00000000-0005-0000-0000-000031000000}"/>
  </cellStyles>
  <dxfs count="33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ont>
        <color theme="0"/>
      </font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00"/>
      </font>
      <fill>
        <gradientFill degree="90">
          <stop position="0">
            <color theme="0"/>
          </stop>
          <stop position="1">
            <color rgb="FFFF00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lightUp"/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B$15" lockText="1"/>
</file>

<file path=xl/ctrlProps/ctrlProp2.xml><?xml version="1.0" encoding="utf-8"?>
<formControlPr xmlns="http://schemas.microsoft.com/office/spreadsheetml/2009/9/main" objectType="CheckBox" checked="Checked" fmlaLink="$A$11" lockText="1"/>
</file>

<file path=xl/ctrlProps/ctrlProp3.xml><?xml version="1.0" encoding="utf-8"?>
<formControlPr xmlns="http://schemas.microsoft.com/office/spreadsheetml/2009/9/main" objectType="Radio" firstButton="1" fmlaLink="$A$12" lockText="1"/>
</file>

<file path=xl/ctrlProps/ctrlProp4.xml><?xml version="1.0" encoding="utf-8"?>
<formControlPr xmlns="http://schemas.microsoft.com/office/spreadsheetml/2009/9/main" objectType="Radio" checked="Checked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2352675</xdr:colOff>
      <xdr:row>9</xdr:row>
      <xdr:rowOff>47625</xdr:rowOff>
    </xdr:from>
    <xdr:to>
      <xdr:col>2</xdr:col>
      <xdr:colOff>2533649</xdr:colOff>
      <xdr:row>9</xdr:row>
      <xdr:rowOff>238125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3675" y="1857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9</xdr:row>
          <xdr:rowOff>180975</xdr:rowOff>
        </xdr:from>
        <xdr:to>
          <xdr:col>6</xdr:col>
          <xdr:colOff>409575</xdr:colOff>
          <xdr:row>11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C/PAGTO. JUROS</a:t>
              </a:r>
            </a:p>
          </xdr:txBody>
        </xdr:sp>
        <xdr:clientData/>
      </xdr:twoCellAnchor>
    </mc:Choice>
    <mc:Fallback/>
  </mc:AlternateContent>
  <xdr:twoCellAnchor editAs="oneCell">
    <xdr:from>
      <xdr:col>22</xdr:col>
      <xdr:colOff>685801</xdr:colOff>
      <xdr:row>6</xdr:row>
      <xdr:rowOff>114301</xdr:rowOff>
    </xdr:from>
    <xdr:to>
      <xdr:col>23</xdr:col>
      <xdr:colOff>323850</xdr:colOff>
      <xdr:row>9</xdr:row>
      <xdr:rowOff>76200</xdr:rowOff>
    </xdr:to>
    <xdr:pic macro="[0]!Visualizar_Impressao_MontagemParcelas"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86976" y="714376"/>
          <a:ext cx="561974" cy="56197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1</xdr:rowOff>
    </xdr:from>
    <xdr:to>
      <xdr:col>16</xdr:col>
      <xdr:colOff>180974</xdr:colOff>
      <xdr:row>8</xdr:row>
      <xdr:rowOff>190501</xdr:rowOff>
    </xdr:to>
    <xdr:sp macro="[0]!AtingirMeta_Tax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162925" y="904876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16</xdr:col>
      <xdr:colOff>180974</xdr:colOff>
      <xdr:row>7</xdr:row>
      <xdr:rowOff>190500</xdr:rowOff>
    </xdr:to>
    <xdr:sp macro="[0]!AtingirMeta_Parcel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162925" y="714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6</xdr:row>
      <xdr:rowOff>9524</xdr:rowOff>
    </xdr:from>
    <xdr:to>
      <xdr:col>17</xdr:col>
      <xdr:colOff>0</xdr:colOff>
      <xdr:row>6</xdr:row>
      <xdr:rowOff>190500</xdr:rowOff>
    </xdr:to>
    <xdr:sp macro="[0]!AtingirMeta_Principal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248525" y="609599"/>
          <a:ext cx="180975" cy="180976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>
    <xdr:from>
      <xdr:col>22</xdr:col>
      <xdr:colOff>171450</xdr:colOff>
      <xdr:row>3</xdr:row>
      <xdr:rowOff>57150</xdr:rowOff>
    </xdr:from>
    <xdr:to>
      <xdr:col>24</xdr:col>
      <xdr:colOff>276225</xdr:colOff>
      <xdr:row>6</xdr:row>
      <xdr:rowOff>104774</xdr:rowOff>
    </xdr:to>
    <xdr:sp macro="[0]!SeaEntalhadaparaaDireita2_Clique" textlink="">
      <xdr:nvSpPr>
        <xdr:cNvPr id="3" name="Seta: Entalhad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72625" y="190500"/>
          <a:ext cx="1638300" cy="514349"/>
        </a:xfrm>
        <a:prstGeom prst="notchedRigh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CUSTO REAL DA OPERAÇÃO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9525</xdr:rowOff>
        </xdr:from>
        <xdr:to>
          <xdr:col>3</xdr:col>
          <xdr:colOff>9525</xdr:colOff>
          <xdr:row>11</xdr:row>
          <xdr:rowOff>0</xdr:rowOff>
        </xdr:to>
        <xdr:sp macro="" textlink="">
          <xdr:nvSpPr>
            <xdr:cNvPr id="4109" name="Caixadeseleção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OPERAÇÃO COM IOF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0</xdr:rowOff>
        </xdr:from>
        <xdr:to>
          <xdr:col>2</xdr:col>
          <xdr:colOff>609600</xdr:colOff>
          <xdr:row>11</xdr:row>
          <xdr:rowOff>180975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11</xdr:row>
          <xdr:rowOff>0</xdr:rowOff>
        </xdr:from>
        <xdr:to>
          <xdr:col>2</xdr:col>
          <xdr:colOff>1057275</xdr:colOff>
          <xdr:row>11</xdr:row>
          <xdr:rowOff>190500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PJ</a:t>
              </a:r>
            </a:p>
          </xdr:txBody>
        </xdr:sp>
        <xdr:clientData/>
      </xdr:twoCellAnchor>
    </mc:Choice>
    <mc:Fallback/>
  </mc:AlternateContent>
  <xdr:twoCellAnchor editAs="oneCell">
    <xdr:from>
      <xdr:col>23</xdr:col>
      <xdr:colOff>47625</xdr:colOff>
      <xdr:row>1</xdr:row>
      <xdr:rowOff>28575</xdr:rowOff>
    </xdr:from>
    <xdr:to>
      <xdr:col>23</xdr:col>
      <xdr:colOff>485775</xdr:colOff>
      <xdr:row>3</xdr:row>
      <xdr:rowOff>142875</xdr:rowOff>
    </xdr:to>
    <xdr:pic macro="[0]!Visualizar_Impressao_CustoReal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1950" y="28575"/>
          <a:ext cx="438150" cy="43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A72C2-123F-4F88-A854-27459DFF44B6}">
  <sheetPr codeName="Sht_Tutorial">
    <pageSetUpPr fitToPage="1"/>
  </sheetPr>
  <dimension ref="B1:C24"/>
  <sheetViews>
    <sheetView showGridLines="0" workbookViewId="0">
      <selection activeCell="C10" sqref="C10"/>
    </sheetView>
  </sheetViews>
  <sheetFormatPr defaultRowHeight="22.5" customHeight="1" x14ac:dyDescent="0.25"/>
  <cols>
    <col min="1" max="1" width="3.85546875" style="49" customWidth="1"/>
    <col min="2" max="2" width="1.85546875" style="56" customWidth="1"/>
    <col min="3" max="3" width="134.140625" style="57" bestFit="1" customWidth="1"/>
    <col min="4" max="16384" width="9.140625" style="49"/>
  </cols>
  <sheetData>
    <row r="1" spans="2:3" ht="9" customHeight="1" x14ac:dyDescent="0.25"/>
    <row r="2" spans="2:3" ht="22.5" customHeight="1" x14ac:dyDescent="0.25">
      <c r="B2" s="137" t="s">
        <v>26</v>
      </c>
      <c r="C2" s="137"/>
    </row>
    <row r="3" spans="2:3" ht="10.5" customHeight="1" x14ac:dyDescent="0.25"/>
    <row r="4" spans="2:3" ht="22.5" customHeight="1" x14ac:dyDescent="0.25">
      <c r="B4" s="138" t="s">
        <v>27</v>
      </c>
      <c r="C4" s="138"/>
    </row>
    <row r="5" spans="2:3" ht="22.5" customHeight="1" x14ac:dyDescent="0.25">
      <c r="B5" s="50" t="s">
        <v>25</v>
      </c>
      <c r="C5" s="51" t="s">
        <v>59</v>
      </c>
    </row>
    <row r="6" spans="2:3" ht="22.5" customHeight="1" x14ac:dyDescent="0.25">
      <c r="B6" s="52" t="s">
        <v>25</v>
      </c>
      <c r="C6" s="53" t="s">
        <v>61</v>
      </c>
    </row>
    <row r="7" spans="2:3" ht="10.5" customHeight="1" x14ac:dyDescent="0.25"/>
    <row r="8" spans="2:3" ht="22.5" customHeight="1" x14ac:dyDescent="0.25">
      <c r="B8" s="138" t="s">
        <v>57</v>
      </c>
      <c r="C8" s="138"/>
    </row>
    <row r="9" spans="2:3" ht="22.5" customHeight="1" x14ac:dyDescent="0.25">
      <c r="B9" s="50" t="s">
        <v>25</v>
      </c>
      <c r="C9" s="51" t="s">
        <v>83</v>
      </c>
    </row>
    <row r="10" spans="2:3" ht="34.5" customHeight="1" x14ac:dyDescent="0.25">
      <c r="B10" s="52" t="s">
        <v>25</v>
      </c>
      <c r="C10" s="53" t="s">
        <v>79</v>
      </c>
    </row>
    <row r="11" spans="2:3" ht="22.5" customHeight="1" x14ac:dyDescent="0.25">
      <c r="B11" s="52" t="s">
        <v>25</v>
      </c>
      <c r="C11" s="53" t="s">
        <v>80</v>
      </c>
    </row>
    <row r="12" spans="2:3" ht="35.1" customHeight="1" x14ac:dyDescent="0.25">
      <c r="B12" s="74" t="s">
        <v>25</v>
      </c>
      <c r="C12" s="54" t="s">
        <v>56</v>
      </c>
    </row>
    <row r="13" spans="2:3" ht="22.5" customHeight="1" x14ac:dyDescent="0.25">
      <c r="B13" s="50" t="s">
        <v>25</v>
      </c>
      <c r="C13" s="55" t="s">
        <v>28</v>
      </c>
    </row>
    <row r="14" spans="2:3" ht="22.5" customHeight="1" x14ac:dyDescent="0.25">
      <c r="B14" s="52" t="s">
        <v>25</v>
      </c>
      <c r="C14" s="54" t="s">
        <v>32</v>
      </c>
    </row>
    <row r="15" spans="2:3" ht="22.5" customHeight="1" x14ac:dyDescent="0.25">
      <c r="B15" s="52" t="s">
        <v>25</v>
      </c>
      <c r="C15" s="54" t="s">
        <v>82</v>
      </c>
    </row>
    <row r="16" spans="2:3" ht="35.1" customHeight="1" x14ac:dyDescent="0.25">
      <c r="B16" s="74" t="s">
        <v>25</v>
      </c>
      <c r="C16" s="54" t="s">
        <v>81</v>
      </c>
    </row>
    <row r="18" spans="2:3" ht="22.5" customHeight="1" x14ac:dyDescent="0.25">
      <c r="B18" s="138" t="s">
        <v>58</v>
      </c>
      <c r="C18" s="138"/>
    </row>
    <row r="19" spans="2:3" s="117" customFormat="1" ht="50.1" customHeight="1" x14ac:dyDescent="0.25">
      <c r="B19" s="116" t="s">
        <v>25</v>
      </c>
      <c r="C19" s="51" t="s">
        <v>75</v>
      </c>
    </row>
    <row r="20" spans="2:3" ht="50.1" customHeight="1" x14ac:dyDescent="0.25">
      <c r="B20" s="74" t="s">
        <v>25</v>
      </c>
      <c r="C20" s="53" t="s">
        <v>73</v>
      </c>
    </row>
    <row r="21" spans="2:3" ht="50.1" customHeight="1" x14ac:dyDescent="0.25">
      <c r="B21" s="74" t="s">
        <v>25</v>
      </c>
      <c r="C21" s="53" t="s">
        <v>74</v>
      </c>
    </row>
    <row r="22" spans="2:3" ht="35.1" customHeight="1" x14ac:dyDescent="0.25">
      <c r="B22" s="74" t="s">
        <v>25</v>
      </c>
      <c r="C22" s="53" t="s">
        <v>77</v>
      </c>
    </row>
    <row r="23" spans="2:3" ht="22.5" customHeight="1" x14ac:dyDescent="0.25">
      <c r="B23" s="50" t="s">
        <v>25</v>
      </c>
      <c r="C23" s="55" t="s">
        <v>78</v>
      </c>
    </row>
    <row r="24" spans="2:3" ht="22.5" customHeight="1" x14ac:dyDescent="0.25">
      <c r="B24" s="50" t="s">
        <v>25</v>
      </c>
      <c r="C24" s="55" t="s">
        <v>76</v>
      </c>
    </row>
  </sheetData>
  <sheetProtection algorithmName="SHA-512" hashValue="tRZt8m6CC0hnjyrFeG8goQZvCV5GoqM2Ut54pI/9N6pVoSeacZAspuuniq4xBww4scf3nHz57jhfmJpagmYLfg==" saltValue="UP/JOVQ40SjRRY4kb4m1cw==" spinCount="100000" sheet="1" objects="1" scenarios="1"/>
  <mergeCells count="4">
    <mergeCell ref="B2:C2"/>
    <mergeCell ref="B4:C4"/>
    <mergeCell ref="B8:C8"/>
    <mergeCell ref="B18:C18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OPERAÇÃO DE EMPRÉSTIMO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rgb="FF002060"/>
    <pageSetUpPr fitToPage="1"/>
  </sheetPr>
  <dimension ref="A1:AH501"/>
  <sheetViews>
    <sheetView showGridLines="0" showRowColHeaders="0" tabSelected="1" zoomScaleNormal="100" workbookViewId="0">
      <pane ySplit="18" topLeftCell="A19" activePane="bottomLeft" state="frozen"/>
      <selection activeCell="E4" sqref="E4"/>
      <selection pane="bottomLeft" activeCell="H7" sqref="H7"/>
    </sheetView>
  </sheetViews>
  <sheetFormatPr defaultRowHeight="15" x14ac:dyDescent="0.25"/>
  <cols>
    <col min="1" max="1" width="2.140625" style="39" customWidth="1"/>
    <col min="2" max="2" width="0.5703125" style="38" hidden="1" customWidth="1"/>
    <col min="3" max="3" width="4.5703125" style="36" customWidth="1"/>
    <col min="4" max="4" width="4.140625" style="37" customWidth="1"/>
    <col min="5" max="5" width="11.85546875" style="42" customWidth="1"/>
    <col min="6" max="6" width="15.28515625" style="36" bestFit="1" customWidth="1"/>
    <col min="7" max="7" width="9.140625" style="36" bestFit="1" customWidth="1"/>
    <col min="8" max="8" width="14" style="36" bestFit="1" customWidth="1"/>
    <col min="9" max="9" width="15.28515625" style="64" customWidth="1"/>
    <col min="10" max="10" width="15.28515625" style="36" bestFit="1" customWidth="1"/>
    <col min="11" max="11" width="17" style="36" customWidth="1"/>
    <col min="12" max="12" width="10.7109375" style="36" hidden="1" customWidth="1"/>
    <col min="13" max="13" width="2" style="36" hidden="1" customWidth="1"/>
    <col min="14" max="14" width="10.7109375" style="36" hidden="1" customWidth="1"/>
    <col min="15" max="15" width="7.85546875" style="65" hidden="1" customWidth="1"/>
    <col min="16" max="16" width="2.85546875" style="36" hidden="1" customWidth="1"/>
    <col min="17" max="17" width="2.7109375" style="59" customWidth="1"/>
    <col min="18" max="18" width="3.85546875" style="59" customWidth="1"/>
    <col min="19" max="19" width="6" style="59" customWidth="1"/>
    <col min="20" max="20" width="19.140625" style="36" customWidth="1"/>
    <col min="21" max="21" width="0.5703125" style="36" customWidth="1"/>
    <col min="22" max="22" width="15" style="36" hidden="1" customWidth="1"/>
    <col min="23" max="23" width="13.85546875" style="36" customWidth="1"/>
    <col min="24" max="24" width="9.140625" style="36"/>
    <col min="25" max="25" width="5" style="36" customWidth="1"/>
    <col min="26" max="33" width="9.140625" style="36"/>
    <col min="34" max="34" width="11.5703125" style="36" bestFit="1" customWidth="1"/>
    <col min="35" max="16384" width="9.140625" style="36"/>
  </cols>
  <sheetData>
    <row r="1" spans="1:34" ht="3.75" hidden="1" customHeight="1" x14ac:dyDescent="0.25">
      <c r="K1" s="34"/>
    </row>
    <row r="2" spans="1:34" hidden="1" x14ac:dyDescent="0.25">
      <c r="A2" s="24"/>
      <c r="C2" s="26" t="str">
        <f>IFERROR(IF($B$17&lt;7,"",IF(ROW(A2)=19,0,IF(ROW(A2)=20,1,IF(C1+1&gt;$H$13,"",C1+1)))),"")</f>
        <v/>
      </c>
      <c r="D2" s="66"/>
      <c r="E2" s="27" t="str">
        <f>IF(C2="","",IF(C2=0,$H$7,IF(C2=1,$H$9,P2+D2)))</f>
        <v/>
      </c>
      <c r="F2" s="30" t="str">
        <f>IF(C2="","",IF(C2=0,$K$7,J1))</f>
        <v/>
      </c>
      <c r="G2" s="29" t="str">
        <f>IF(C2="","",IF(C2=0,0,$E2-$E1))</f>
        <v/>
      </c>
      <c r="H2" s="30" t="str">
        <f>IF(C2="","",ROUND(F2*(((1+$K$11)^G2)-1),8))</f>
        <v/>
      </c>
      <c r="I2" s="31" t="str">
        <f>IF(C2="","",IF(C2=0,0,IFERROR(IF(C2=VLOOKUP(C2,PV_ParcelasFixas,1,FALSE),-VLOOKUP(C2,PV_ParcelasFixas,2,FALSE)),IF(AND($B$15=FALSE,C2&lt;=$H$11),0,IF(C2&lt;=$H$11,-H2,IF($K$5="SAC",-$K$8-H2,-$K$8))))))</f>
        <v/>
      </c>
      <c r="J2" s="30" t="str">
        <f t="shared" ref="J2" si="0">IF(C2="","",IF(AND(C2=0,B2=""),$F$19,J1+H2+I2))</f>
        <v/>
      </c>
      <c r="K2" s="30" t="str">
        <f>IF(C2="","",-H2+-I2)</f>
        <v/>
      </c>
      <c r="L2" s="67" t="str">
        <f>IF($C2="","",IF($C2=0,$H$7,IF($C2=1,$B$11,EDATE($B$11,$C1))))</f>
        <v/>
      </c>
      <c r="M2" s="68" t="str">
        <f>IF($L2="","",WEEKDAY($L2))</f>
        <v/>
      </c>
      <c r="N2" s="67" t="str">
        <f>IFERROR(IF($M2=7,$L2+2,IF($M2=1,$L2+1,$L2)),"")</f>
        <v/>
      </c>
      <c r="O2" s="69" t="str">
        <f>IFERROR(IF($C2="","",VLOOKUP($N2,Feriados!$A$4:$B$5000,2,FALSE)),"")</f>
        <v/>
      </c>
      <c r="P2" s="67" t="str">
        <f>IFERROR(IF($O2="",$N2,IF($O2=6,$N2+3,IF($O2&lt;6,$N2+1))),"")</f>
        <v/>
      </c>
      <c r="Z2" s="36" t="str">
        <f>IF(C2="","",ROUND(F2*(((1+#REF!)^G2)-1),2)+#REF!)</f>
        <v/>
      </c>
    </row>
    <row r="3" spans="1:34" ht="10.5" customHeight="1" thickBot="1" x14ac:dyDescent="0.3">
      <c r="E3" s="36"/>
      <c r="I3" s="36"/>
      <c r="K3" s="34"/>
    </row>
    <row r="4" spans="1:34" ht="15.75" customHeight="1" x14ac:dyDescent="0.25">
      <c r="C4" s="153" t="s">
        <v>14</v>
      </c>
      <c r="D4" s="154"/>
      <c r="E4" s="155"/>
      <c r="F4" s="16" t="s">
        <v>21</v>
      </c>
      <c r="G4" s="145"/>
      <c r="H4" s="145"/>
      <c r="I4" s="145"/>
      <c r="J4" s="146"/>
      <c r="K4" s="130" t="s">
        <v>70</v>
      </c>
      <c r="S4" s="150" t="s">
        <v>18</v>
      </c>
      <c r="T4" s="150"/>
      <c r="W4" s="139"/>
      <c r="X4" s="139"/>
      <c r="Y4" s="139"/>
    </row>
    <row r="5" spans="1:34" ht="15.75" thickBot="1" x14ac:dyDescent="0.3">
      <c r="B5" s="44">
        <f>IFERROR(COUNTIF(#REF!,CÁLCULO!C5),0)</f>
        <v>0</v>
      </c>
      <c r="C5" s="157"/>
      <c r="D5" s="158"/>
      <c r="E5" s="159"/>
      <c r="F5" s="17" t="s">
        <v>15</v>
      </c>
      <c r="G5" s="143"/>
      <c r="H5" s="143"/>
      <c r="I5" s="143"/>
      <c r="J5" s="144"/>
      <c r="K5" s="104" t="s">
        <v>64</v>
      </c>
      <c r="S5" s="152" t="s">
        <v>66</v>
      </c>
      <c r="T5" s="151" t="s">
        <v>12</v>
      </c>
      <c r="W5" s="139"/>
      <c r="X5" s="139"/>
      <c r="Y5" s="139"/>
    </row>
    <row r="6" spans="1:34" ht="5.25" customHeight="1" x14ac:dyDescent="0.25">
      <c r="F6" s="42"/>
      <c r="G6" s="42"/>
      <c r="H6" s="42"/>
      <c r="I6" s="42"/>
      <c r="J6" s="42"/>
      <c r="S6" s="152"/>
      <c r="T6" s="151"/>
      <c r="W6" s="139"/>
      <c r="X6" s="139"/>
      <c r="Y6" s="139"/>
    </row>
    <row r="7" spans="1:34" ht="15.75" thickBot="1" x14ac:dyDescent="0.3">
      <c r="B7" s="45">
        <f ca="1">TODAY()</f>
        <v>43431</v>
      </c>
      <c r="C7" s="148" t="s">
        <v>8</v>
      </c>
      <c r="D7" s="148"/>
      <c r="E7" s="148"/>
      <c r="F7" s="148"/>
      <c r="G7" s="149"/>
      <c r="H7" s="94"/>
      <c r="I7" s="156" t="s">
        <v>34</v>
      </c>
      <c r="J7" s="149"/>
      <c r="K7" s="98"/>
      <c r="S7" s="128"/>
      <c r="T7" s="129"/>
      <c r="V7" s="36">
        <f>PV(Taxa,PrazoParc,Parcela)</f>
        <v>0</v>
      </c>
      <c r="W7" s="139"/>
      <c r="X7" s="139"/>
      <c r="Y7" s="139"/>
    </row>
    <row r="8" spans="1:34" ht="15.75" thickBot="1" x14ac:dyDescent="0.3">
      <c r="B8" s="44"/>
      <c r="C8" s="147" t="s">
        <v>24</v>
      </c>
      <c r="D8" s="147"/>
      <c r="E8" s="147"/>
      <c r="F8" s="147"/>
      <c r="G8" s="142"/>
      <c r="H8" s="95"/>
      <c r="I8" s="141" t="str">
        <f>IF(K5="SAC","AMORTIZAÇÃO MENSAL =","VALOR DA PARCELA (PMT) =")</f>
        <v>VALOR DA PARCELA (PMT) =</v>
      </c>
      <c r="J8" s="142"/>
      <c r="K8" s="98"/>
      <c r="N8" s="70" t="str">
        <f>IFERROR(IF($K$5="PRICE",ROUND(PMT($K$9,$H$12,-$K$7),2),$K$7/$H$12),"")</f>
        <v/>
      </c>
      <c r="Q8" s="60"/>
      <c r="R8" s="60"/>
      <c r="S8" s="11"/>
      <c r="T8" s="8"/>
      <c r="V8" s="36" t="e">
        <f>PMT(Taxa,PrazoParc,Principal)</f>
        <v>#NUM!</v>
      </c>
    </row>
    <row r="9" spans="1:34" ht="15.75" thickBot="1" x14ac:dyDescent="0.3">
      <c r="B9" s="44">
        <f>COUNT(E19:E501)+18</f>
        <v>18</v>
      </c>
      <c r="C9" s="147" t="s">
        <v>6</v>
      </c>
      <c r="D9" s="147"/>
      <c r="E9" s="147"/>
      <c r="F9" s="147"/>
      <c r="G9" s="142"/>
      <c r="H9" s="94"/>
      <c r="I9" s="141" t="s">
        <v>31</v>
      </c>
      <c r="J9" s="142"/>
      <c r="K9" s="120"/>
      <c r="S9" s="11"/>
      <c r="T9" s="8"/>
      <c r="V9" s="115" t="e">
        <f>RATE(PrazoParc,-Parcela,Principal)</f>
        <v>#NUM!</v>
      </c>
    </row>
    <row r="10" spans="1:34" ht="15.75" customHeight="1" thickBot="1" x14ac:dyDescent="0.3">
      <c r="B10" s="37" t="e">
        <f ca="1">ROUND(OFFSET(J1,rng_UltimalinhaMontagemParc-1,0,1,1),2)</f>
        <v>#VALUE!</v>
      </c>
      <c r="C10" s="147" t="s">
        <v>7</v>
      </c>
      <c r="D10" s="147"/>
      <c r="E10" s="147"/>
      <c r="F10" s="147"/>
      <c r="G10" s="142"/>
      <c r="H10" s="47" t="str">
        <f ca="1">B12</f>
        <v/>
      </c>
      <c r="I10" s="141" t="s">
        <v>30</v>
      </c>
      <c r="J10" s="142"/>
      <c r="K10" s="119" t="str">
        <f>IF(Taxa="","",(1+K9)^12-1)</f>
        <v/>
      </c>
      <c r="S10" s="11"/>
      <c r="T10" s="8"/>
    </row>
    <row r="11" spans="1:34" ht="15.75" customHeight="1" thickBot="1" x14ac:dyDescent="0.3">
      <c r="B11" s="45">
        <f>DATE(YEAR(H9),MONTH(H9),H8)</f>
        <v>0</v>
      </c>
      <c r="C11" s="147" t="s">
        <v>33</v>
      </c>
      <c r="D11" s="147"/>
      <c r="E11" s="147"/>
      <c r="F11" s="147"/>
      <c r="G11" s="142"/>
      <c r="H11" s="96"/>
      <c r="I11" s="141" t="s">
        <v>22</v>
      </c>
      <c r="J11" s="142"/>
      <c r="K11" s="118" t="str">
        <f>IF(Taxa="","",(1+K9)^(1/30)-1)</f>
        <v/>
      </c>
      <c r="Q11" s="140" t="str">
        <f ca="1">IFERROR(IF(ROUND(B10,2)&lt;&gt;0,"&gt; &gt; &gt; &gt; &gt; &gt; &gt; &gt; &gt; &gt;",""),"")</f>
        <v/>
      </c>
      <c r="S11" s="11"/>
      <c r="T11" s="8"/>
      <c r="V11" s="36" t="e">
        <f>SUMPRODUCT(G19:G501,H19:H501)/SUM(H19:H501)</f>
        <v>#DIV/0!</v>
      </c>
      <c r="AC11" s="65"/>
      <c r="AE11" s="59"/>
      <c r="AH11" s="71"/>
    </row>
    <row r="12" spans="1:34" ht="15.75" thickBot="1" x14ac:dyDescent="0.3">
      <c r="B12" s="45" t="str">
        <f ca="1">IF(OFFSET(E1,rng_UltimalinhaMontagemParc-1,0,1,1)="DATA","",OFFSET(E1,rng_UltimalinhaMontagemParc-1,0,1,1))</f>
        <v/>
      </c>
      <c r="C12" s="147" t="s">
        <v>23</v>
      </c>
      <c r="D12" s="147"/>
      <c r="E12" s="147"/>
      <c r="F12" s="147"/>
      <c r="G12" s="142"/>
      <c r="H12" s="97"/>
      <c r="I12" s="167" t="s">
        <v>71</v>
      </c>
      <c r="J12" s="168"/>
      <c r="K12" s="135" t="str">
        <f>IFERROR(V17,"")</f>
        <v/>
      </c>
      <c r="Q12" s="140"/>
      <c r="S12" s="11"/>
      <c r="T12" s="8"/>
    </row>
    <row r="13" spans="1:34" ht="15" customHeight="1" x14ac:dyDescent="0.25">
      <c r="B13" s="44">
        <f>COUNTA(B19:B1048576)</f>
        <v>0</v>
      </c>
      <c r="C13" s="162" t="s">
        <v>19</v>
      </c>
      <c r="D13" s="162"/>
      <c r="E13" s="162"/>
      <c r="F13" s="162"/>
      <c r="G13" s="163"/>
      <c r="H13" s="48" t="str">
        <f>IF(H12="","",H11+H12)</f>
        <v/>
      </c>
      <c r="I13" s="169"/>
      <c r="J13" s="170"/>
      <c r="K13" s="136" t="str">
        <f>IFERROR((1+K12)^12-1,"")</f>
        <v/>
      </c>
      <c r="Q13" s="140"/>
      <c r="S13" s="11"/>
      <c r="T13" s="8"/>
    </row>
    <row r="14" spans="1:34" s="39" customFormat="1" ht="6" customHeight="1" thickBot="1" x14ac:dyDescent="0.3">
      <c r="Q14" s="140"/>
      <c r="S14" s="6"/>
      <c r="T14" s="6"/>
    </row>
    <row r="15" spans="1:34" ht="15.75" hidden="1" customHeight="1" thickBot="1" x14ac:dyDescent="0.3">
      <c r="B15" s="7" t="b">
        <v>1</v>
      </c>
      <c r="Q15" s="140"/>
      <c r="R15" s="60"/>
      <c r="S15" s="11"/>
      <c r="T15" s="8"/>
    </row>
    <row r="16" spans="1:34" ht="15.75" x14ac:dyDescent="0.25">
      <c r="B16" s="44">
        <f>COUNT(H7,H8,H9)</f>
        <v>0</v>
      </c>
      <c r="C16" s="164" t="str">
        <f>IF(B17&lt;&gt;7,"AGUARDANDO O PREENCHIMENTO DOS CAMPOS DE CÁLCULO ACIMA",IF(ROUND(B10,2)&lt;&gt;0,"CLIQUE EM UM DOS BOTÕES 'C' PARA QUE O CÁLCULO SEJA EXECUTADO","FLUXO FINANCEIRO DA OPERAÇÃO DE CRÉDITO"))</f>
        <v>AGUARDANDO O PREENCHIMENTO DOS CAMPOS DE CÁLCULO ACIMA</v>
      </c>
      <c r="D16" s="165"/>
      <c r="E16" s="165"/>
      <c r="F16" s="165"/>
      <c r="G16" s="165"/>
      <c r="H16" s="165"/>
      <c r="I16" s="165"/>
      <c r="J16" s="165"/>
      <c r="K16" s="166"/>
      <c r="Q16" s="140"/>
      <c r="S16" s="11"/>
      <c r="T16" s="8"/>
      <c r="V16" s="43" t="s">
        <v>29</v>
      </c>
    </row>
    <row r="17" spans="1:22" ht="15" customHeight="1" thickBot="1" x14ac:dyDescent="0.3">
      <c r="B17" s="44">
        <f>COUNT(H7,H8,H9,H12,K7,K9,K8)</f>
        <v>0</v>
      </c>
      <c r="C17" s="23"/>
      <c r="D17" s="160" t="s">
        <v>60</v>
      </c>
      <c r="E17" s="160"/>
      <c r="F17" s="161"/>
      <c r="G17" s="18" t="str">
        <f>IF(SUM(G19:G501)=0,"",SUM(G19:G501))</f>
        <v/>
      </c>
      <c r="H17" s="19">
        <f>SUM(H19:H501)</f>
        <v>0</v>
      </c>
      <c r="I17" s="19">
        <f>SUM(I19:I501)</f>
        <v>0</v>
      </c>
      <c r="J17" s="20">
        <f>K17+H17+I17</f>
        <v>0</v>
      </c>
      <c r="K17" s="19">
        <f>SUM(K19:K501)</f>
        <v>0</v>
      </c>
      <c r="S17" s="11"/>
      <c r="T17" s="8"/>
      <c r="V17" s="72" t="e">
        <f>IRR(V19:V501)</f>
        <v>#NUM!</v>
      </c>
    </row>
    <row r="18" spans="1:22" s="73" customFormat="1" ht="15" customHeight="1" x14ac:dyDescent="0.25">
      <c r="A18" s="46" t="s">
        <v>10</v>
      </c>
      <c r="B18" s="42" t="s">
        <v>17</v>
      </c>
      <c r="C18" s="22" t="s">
        <v>66</v>
      </c>
      <c r="D18" s="21" t="s">
        <v>13</v>
      </c>
      <c r="E18" s="22" t="s">
        <v>0</v>
      </c>
      <c r="F18" s="22" t="s">
        <v>3</v>
      </c>
      <c r="G18" s="22" t="s">
        <v>9</v>
      </c>
      <c r="H18" s="22" t="s">
        <v>1</v>
      </c>
      <c r="I18" s="22" t="s">
        <v>11</v>
      </c>
      <c r="J18" s="22" t="s">
        <v>2</v>
      </c>
      <c r="K18" s="22" t="s">
        <v>4</v>
      </c>
      <c r="O18" s="65"/>
      <c r="Q18" s="61"/>
      <c r="R18" s="61"/>
      <c r="S18" s="14"/>
      <c r="T18" s="13"/>
      <c r="U18" s="40"/>
      <c r="V18" s="40"/>
    </row>
    <row r="19" spans="1:22" s="73" customFormat="1" x14ac:dyDescent="0.25">
      <c r="A19" s="24" t="str">
        <f t="shared" ref="A19:A51" si="1">IF(E19="","",EOMONTH(E19,0))</f>
        <v/>
      </c>
      <c r="B19" s="25"/>
      <c r="C19" s="26" t="str">
        <f t="shared" ref="C19:C82" si="2">IFERROR(IF($B$17&lt;7,"",IF(ROW(A19)=19,0,IF(ROW(A19)=20,1,IF(C18+1&gt;$H$13,"",C18+1)))),"")</f>
        <v/>
      </c>
      <c r="D19" s="112"/>
      <c r="E19" s="27" t="str">
        <f t="shared" ref="E19:E82" si="3">IF(C19="","",IF(C19=0,$H$7,IF(C19=1,$H$9,P19+D19)))</f>
        <v/>
      </c>
      <c r="F19" s="28" t="str">
        <f t="shared" ref="F19:F82" si="4">IF(C19="","",IF(C19=0,$K$7,J18))</f>
        <v/>
      </c>
      <c r="G19" s="29" t="str">
        <f t="shared" ref="G19:G82" si="5">IF(C19="","",IF(C19=0,0,$E19-$E18))</f>
        <v/>
      </c>
      <c r="H19" s="30" t="str">
        <f t="shared" ref="H19:H82" si="6">IF(C19="","",ROUND(F19*(((1+$K$11)^G19)-1),8))</f>
        <v/>
      </c>
      <c r="I19" s="31" t="str">
        <f t="shared" ref="I19:I82" si="7">IF(C19="","",IF(C19=0,0,IFERROR(IF(C19=VLOOKUP(C19,PV_ParcelasFixas,1,FALSE),-VLOOKUP(C19,PV_ParcelasFixas,2,FALSE)),IF(AND($B$15=FALSE,C19&lt;=$H$11),0,IF(C19&lt;=$H$11,-H19,IF($K$5="SAC",-$K$8-H19,-$K$8))))))</f>
        <v/>
      </c>
      <c r="J19" s="30" t="str">
        <f t="shared" ref="J19:J82" si="8">IF(C19="","",IF(AND(C19=0,B19=""),$F$19,J18+H19+I19))</f>
        <v/>
      </c>
      <c r="K19" s="30" t="str">
        <f t="shared" ref="K19:K82" si="9">IF(C19="","",-H19+-I19)</f>
        <v/>
      </c>
      <c r="L19" s="67" t="str">
        <f t="shared" ref="L19:L82" si="10">IF($C19="","",IF($C19=0,$H$7,IF($C19=1,$B$11,EDATE($B$11,$C18))))</f>
        <v/>
      </c>
      <c r="M19" s="68" t="str">
        <f t="shared" ref="M19:M82" si="11">IF($L19="","",WEEKDAY($L19))</f>
        <v/>
      </c>
      <c r="N19" s="67" t="str">
        <f t="shared" ref="N19:N82" si="12">IFERROR(IF($M19=7,$L19+2,IF($M19=1,$L19+1,$L19)),"")</f>
        <v/>
      </c>
      <c r="O19" s="69" t="str">
        <f>IFERROR(IF($C19="","",VLOOKUP($N19,Feriados!$A$4:$B$5000,2,FALSE)),"")</f>
        <v/>
      </c>
      <c r="P19" s="67" t="str">
        <f t="shared" ref="P19:P82" si="13">IFERROR(IF($O19="",$N19,IF($O19=6,$N19+3,IF($O19&lt;6,$N19+1))),"")</f>
        <v/>
      </c>
      <c r="Q19" s="62"/>
      <c r="R19" s="62"/>
      <c r="S19" s="15"/>
      <c r="T19" s="13"/>
      <c r="V19" s="41" t="str">
        <f>IF(C19="","",J19)</f>
        <v/>
      </c>
    </row>
    <row r="20" spans="1:22" s="73" customFormat="1" x14ac:dyDescent="0.25">
      <c r="A20" s="24" t="str">
        <f t="shared" si="1"/>
        <v/>
      </c>
      <c r="B20" s="25"/>
      <c r="C20" s="26" t="str">
        <f t="shared" si="2"/>
        <v/>
      </c>
      <c r="D20" s="112"/>
      <c r="E20" s="27" t="str">
        <f t="shared" si="3"/>
        <v/>
      </c>
      <c r="F20" s="30" t="str">
        <f t="shared" si="4"/>
        <v/>
      </c>
      <c r="G20" s="29" t="str">
        <f t="shared" si="5"/>
        <v/>
      </c>
      <c r="H20" s="32" t="str">
        <f t="shared" si="6"/>
        <v/>
      </c>
      <c r="I20" s="31" t="str">
        <f t="shared" si="7"/>
        <v/>
      </c>
      <c r="J20" s="30" t="str">
        <f t="shared" si="8"/>
        <v/>
      </c>
      <c r="K20" s="30" t="str">
        <f t="shared" si="9"/>
        <v/>
      </c>
      <c r="L20" s="67" t="str">
        <f t="shared" si="10"/>
        <v/>
      </c>
      <c r="M20" s="68" t="str">
        <f t="shared" si="11"/>
        <v/>
      </c>
      <c r="N20" s="67" t="str">
        <f t="shared" si="12"/>
        <v/>
      </c>
      <c r="O20" s="69" t="str">
        <f>IFERROR(IF($C20="","",VLOOKUP($N20,Feriados!$A$4:$B$5000,2,FALSE)),"")</f>
        <v/>
      </c>
      <c r="P20" s="67" t="str">
        <f t="shared" si="13"/>
        <v/>
      </c>
      <c r="Q20" s="62"/>
      <c r="R20" s="62"/>
      <c r="S20" s="15"/>
      <c r="T20" s="13"/>
      <c r="V20" s="41" t="str">
        <f>IF(C20="","",I20)</f>
        <v/>
      </c>
    </row>
    <row r="21" spans="1:22" s="34" customFormat="1" x14ac:dyDescent="0.25">
      <c r="A21" s="24" t="str">
        <f t="shared" si="1"/>
        <v/>
      </c>
      <c r="B21" s="25"/>
      <c r="C21" s="26" t="str">
        <f t="shared" si="2"/>
        <v/>
      </c>
      <c r="D21" s="12"/>
      <c r="E21" s="27" t="str">
        <f t="shared" si="3"/>
        <v/>
      </c>
      <c r="F21" s="30" t="str">
        <f t="shared" si="4"/>
        <v/>
      </c>
      <c r="G21" s="29" t="str">
        <f t="shared" si="5"/>
        <v/>
      </c>
      <c r="H21" s="30" t="str">
        <f t="shared" si="6"/>
        <v/>
      </c>
      <c r="I21" s="31" t="str">
        <f t="shared" si="7"/>
        <v/>
      </c>
      <c r="J21" s="30" t="str">
        <f t="shared" si="8"/>
        <v/>
      </c>
      <c r="K21" s="30" t="str">
        <f t="shared" si="9"/>
        <v/>
      </c>
      <c r="L21" s="67" t="str">
        <f t="shared" si="10"/>
        <v/>
      </c>
      <c r="M21" s="68" t="str">
        <f t="shared" si="11"/>
        <v/>
      </c>
      <c r="N21" s="67" t="str">
        <f t="shared" si="12"/>
        <v/>
      </c>
      <c r="O21" s="69" t="str">
        <f>IFERROR(IF($C21="","",VLOOKUP($N21,Feriados!$A$4:$B$5000,2,FALSE)),"")</f>
        <v/>
      </c>
      <c r="P21" s="67" t="str">
        <f t="shared" si="13"/>
        <v/>
      </c>
      <c r="Q21" s="62"/>
      <c r="R21" s="62"/>
      <c r="S21" s="15"/>
      <c r="T21" s="10"/>
      <c r="U21" s="73"/>
      <c r="V21" s="41" t="str">
        <f t="shared" ref="V21:V84" si="14">IF(C21="","",I21)</f>
        <v/>
      </c>
    </row>
    <row r="22" spans="1:22" s="34" customFormat="1" x14ac:dyDescent="0.25">
      <c r="A22" s="24" t="str">
        <f t="shared" si="1"/>
        <v/>
      </c>
      <c r="B22" s="25"/>
      <c r="C22" s="26" t="str">
        <f t="shared" si="2"/>
        <v/>
      </c>
      <c r="D22" s="12"/>
      <c r="E22" s="27" t="str">
        <f t="shared" si="3"/>
        <v/>
      </c>
      <c r="F22" s="30" t="str">
        <f t="shared" si="4"/>
        <v/>
      </c>
      <c r="G22" s="29" t="str">
        <f t="shared" si="5"/>
        <v/>
      </c>
      <c r="H22" s="30" t="str">
        <f t="shared" si="6"/>
        <v/>
      </c>
      <c r="I22" s="31" t="str">
        <f t="shared" si="7"/>
        <v/>
      </c>
      <c r="J22" s="30" t="str">
        <f t="shared" si="8"/>
        <v/>
      </c>
      <c r="K22" s="30" t="str">
        <f t="shared" si="9"/>
        <v/>
      </c>
      <c r="L22" s="67" t="str">
        <f t="shared" si="10"/>
        <v/>
      </c>
      <c r="M22" s="68" t="str">
        <f t="shared" si="11"/>
        <v/>
      </c>
      <c r="N22" s="67" t="str">
        <f t="shared" si="12"/>
        <v/>
      </c>
      <c r="O22" s="69" t="str">
        <f>IFERROR(IF($C22="","",VLOOKUP($N22,Feriados!$A$4:$B$5000,2,FALSE)),"")</f>
        <v/>
      </c>
      <c r="P22" s="67" t="str">
        <f t="shared" si="13"/>
        <v/>
      </c>
      <c r="Q22" s="62"/>
      <c r="R22" s="62"/>
      <c r="S22" s="15"/>
      <c r="T22" s="10"/>
      <c r="U22" s="73"/>
      <c r="V22" s="41" t="str">
        <f t="shared" si="14"/>
        <v/>
      </c>
    </row>
    <row r="23" spans="1:22" s="34" customFormat="1" x14ac:dyDescent="0.25">
      <c r="A23" s="24" t="str">
        <f t="shared" si="1"/>
        <v/>
      </c>
      <c r="B23" s="25"/>
      <c r="C23" s="26" t="str">
        <f t="shared" si="2"/>
        <v/>
      </c>
      <c r="D23" s="12"/>
      <c r="E23" s="27" t="str">
        <f t="shared" si="3"/>
        <v/>
      </c>
      <c r="F23" s="30" t="str">
        <f t="shared" si="4"/>
        <v/>
      </c>
      <c r="G23" s="29" t="str">
        <f t="shared" si="5"/>
        <v/>
      </c>
      <c r="H23" s="30" t="str">
        <f t="shared" si="6"/>
        <v/>
      </c>
      <c r="I23" s="31" t="str">
        <f t="shared" si="7"/>
        <v/>
      </c>
      <c r="J23" s="30" t="str">
        <f t="shared" si="8"/>
        <v/>
      </c>
      <c r="K23" s="30" t="str">
        <f t="shared" si="9"/>
        <v/>
      </c>
      <c r="L23" s="67" t="str">
        <f t="shared" si="10"/>
        <v/>
      </c>
      <c r="M23" s="68" t="str">
        <f t="shared" si="11"/>
        <v/>
      </c>
      <c r="N23" s="67" t="str">
        <f t="shared" si="12"/>
        <v/>
      </c>
      <c r="O23" s="69" t="str">
        <f>IFERROR(IF($C23="","",VLOOKUP($N23,Feriados!$A$4:$B$5000,2,FALSE)),"")</f>
        <v/>
      </c>
      <c r="P23" s="67" t="str">
        <f t="shared" si="13"/>
        <v/>
      </c>
      <c r="Q23" s="62"/>
      <c r="R23" s="62"/>
      <c r="S23" s="15"/>
      <c r="T23" s="10"/>
      <c r="U23" s="73"/>
      <c r="V23" s="41" t="str">
        <f t="shared" si="14"/>
        <v/>
      </c>
    </row>
    <row r="24" spans="1:22" s="34" customFormat="1" x14ac:dyDescent="0.25">
      <c r="A24" s="24" t="str">
        <f t="shared" si="1"/>
        <v/>
      </c>
      <c r="B24" s="25"/>
      <c r="C24" s="26" t="str">
        <f t="shared" si="2"/>
        <v/>
      </c>
      <c r="D24" s="12"/>
      <c r="E24" s="27" t="str">
        <f t="shared" si="3"/>
        <v/>
      </c>
      <c r="F24" s="30" t="str">
        <f t="shared" si="4"/>
        <v/>
      </c>
      <c r="G24" s="29" t="str">
        <f t="shared" si="5"/>
        <v/>
      </c>
      <c r="H24" s="30" t="str">
        <f t="shared" si="6"/>
        <v/>
      </c>
      <c r="I24" s="31" t="str">
        <f t="shared" si="7"/>
        <v/>
      </c>
      <c r="J24" s="30" t="str">
        <f t="shared" si="8"/>
        <v/>
      </c>
      <c r="K24" s="30" t="str">
        <f t="shared" si="9"/>
        <v/>
      </c>
      <c r="L24" s="67" t="str">
        <f t="shared" si="10"/>
        <v/>
      </c>
      <c r="M24" s="68" t="str">
        <f t="shared" si="11"/>
        <v/>
      </c>
      <c r="N24" s="67" t="str">
        <f t="shared" si="12"/>
        <v/>
      </c>
      <c r="O24" s="69" t="str">
        <f>IFERROR(IF($C24="","",VLOOKUP($N24,Feriados!$A$4:$B$5000,2,FALSE)),"")</f>
        <v/>
      </c>
      <c r="P24" s="67" t="str">
        <f t="shared" si="13"/>
        <v/>
      </c>
      <c r="Q24" s="62"/>
      <c r="R24" s="62"/>
      <c r="S24" s="15"/>
      <c r="T24" s="10"/>
      <c r="U24" s="73"/>
      <c r="V24" s="41" t="str">
        <f t="shared" si="14"/>
        <v/>
      </c>
    </row>
    <row r="25" spans="1:22" s="34" customFormat="1" x14ac:dyDescent="0.25">
      <c r="A25" s="24" t="str">
        <f t="shared" si="1"/>
        <v/>
      </c>
      <c r="B25" s="25"/>
      <c r="C25" s="26" t="str">
        <f t="shared" si="2"/>
        <v/>
      </c>
      <c r="D25" s="12"/>
      <c r="E25" s="27" t="str">
        <f t="shared" si="3"/>
        <v/>
      </c>
      <c r="F25" s="30" t="str">
        <f t="shared" si="4"/>
        <v/>
      </c>
      <c r="G25" s="29" t="str">
        <f t="shared" si="5"/>
        <v/>
      </c>
      <c r="H25" s="30" t="str">
        <f t="shared" si="6"/>
        <v/>
      </c>
      <c r="I25" s="31" t="str">
        <f t="shared" si="7"/>
        <v/>
      </c>
      <c r="J25" s="30" t="str">
        <f t="shared" si="8"/>
        <v/>
      </c>
      <c r="K25" s="30" t="str">
        <f t="shared" si="9"/>
        <v/>
      </c>
      <c r="L25" s="67" t="str">
        <f t="shared" si="10"/>
        <v/>
      </c>
      <c r="M25" s="68" t="str">
        <f t="shared" si="11"/>
        <v/>
      </c>
      <c r="N25" s="67" t="str">
        <f t="shared" si="12"/>
        <v/>
      </c>
      <c r="O25" s="69" t="str">
        <f>IFERROR(IF($C25="","",VLOOKUP($N25,Feriados!$A$4:$B$5000,2,FALSE)),"")</f>
        <v/>
      </c>
      <c r="P25" s="67" t="str">
        <f t="shared" si="13"/>
        <v/>
      </c>
      <c r="Q25" s="62"/>
      <c r="R25" s="62"/>
      <c r="S25" s="15"/>
      <c r="T25" s="10"/>
      <c r="U25" s="73"/>
      <c r="V25" s="41" t="str">
        <f t="shared" si="14"/>
        <v/>
      </c>
    </row>
    <row r="26" spans="1:22" s="34" customFormat="1" x14ac:dyDescent="0.25">
      <c r="A26" s="24" t="str">
        <f t="shared" si="1"/>
        <v/>
      </c>
      <c r="B26" s="25"/>
      <c r="C26" s="26" t="str">
        <f t="shared" si="2"/>
        <v/>
      </c>
      <c r="D26" s="12"/>
      <c r="E26" s="27" t="str">
        <f t="shared" si="3"/>
        <v/>
      </c>
      <c r="F26" s="30" t="str">
        <f t="shared" si="4"/>
        <v/>
      </c>
      <c r="G26" s="29" t="str">
        <f t="shared" si="5"/>
        <v/>
      </c>
      <c r="H26" s="30" t="str">
        <f t="shared" si="6"/>
        <v/>
      </c>
      <c r="I26" s="31" t="str">
        <f t="shared" si="7"/>
        <v/>
      </c>
      <c r="J26" s="30" t="str">
        <f t="shared" si="8"/>
        <v/>
      </c>
      <c r="K26" s="30" t="str">
        <f t="shared" si="9"/>
        <v/>
      </c>
      <c r="L26" s="67" t="str">
        <f t="shared" si="10"/>
        <v/>
      </c>
      <c r="M26" s="68" t="str">
        <f t="shared" si="11"/>
        <v/>
      </c>
      <c r="N26" s="67" t="str">
        <f t="shared" si="12"/>
        <v/>
      </c>
      <c r="O26" s="69" t="str">
        <f>IFERROR(IF($C26="","",VLOOKUP($N26,Feriados!$A$4:$B$5000,2,FALSE)),"")</f>
        <v/>
      </c>
      <c r="P26" s="67" t="str">
        <f t="shared" si="13"/>
        <v/>
      </c>
      <c r="Q26" s="62"/>
      <c r="R26" s="62"/>
      <c r="S26" s="62"/>
      <c r="U26" s="73"/>
      <c r="V26" s="41" t="str">
        <f t="shared" si="14"/>
        <v/>
      </c>
    </row>
    <row r="27" spans="1:22" s="34" customFormat="1" x14ac:dyDescent="0.25">
      <c r="A27" s="24" t="str">
        <f t="shared" si="1"/>
        <v/>
      </c>
      <c r="B27" s="25"/>
      <c r="C27" s="26" t="str">
        <f t="shared" si="2"/>
        <v/>
      </c>
      <c r="D27" s="12"/>
      <c r="E27" s="27" t="str">
        <f t="shared" si="3"/>
        <v/>
      </c>
      <c r="F27" s="30" t="str">
        <f t="shared" si="4"/>
        <v/>
      </c>
      <c r="G27" s="29" t="str">
        <f t="shared" si="5"/>
        <v/>
      </c>
      <c r="H27" s="30" t="str">
        <f t="shared" si="6"/>
        <v/>
      </c>
      <c r="I27" s="31" t="str">
        <f t="shared" si="7"/>
        <v/>
      </c>
      <c r="J27" s="30" t="str">
        <f t="shared" si="8"/>
        <v/>
      </c>
      <c r="K27" s="30" t="str">
        <f t="shared" si="9"/>
        <v/>
      </c>
      <c r="L27" s="67" t="str">
        <f t="shared" si="10"/>
        <v/>
      </c>
      <c r="M27" s="68" t="str">
        <f t="shared" si="11"/>
        <v/>
      </c>
      <c r="N27" s="67" t="str">
        <f t="shared" si="12"/>
        <v/>
      </c>
      <c r="O27" s="69" t="str">
        <f>IFERROR(IF($C27="","",VLOOKUP($N27,Feriados!$A$4:$B$5000,2,FALSE)),"")</f>
        <v/>
      </c>
      <c r="P27" s="67" t="str">
        <f t="shared" si="13"/>
        <v/>
      </c>
      <c r="Q27" s="62"/>
      <c r="R27" s="62"/>
      <c r="S27" s="62"/>
      <c r="U27" s="73"/>
      <c r="V27" s="41" t="str">
        <f t="shared" si="14"/>
        <v/>
      </c>
    </row>
    <row r="28" spans="1:22" s="34" customFormat="1" x14ac:dyDescent="0.25">
      <c r="A28" s="24" t="str">
        <f t="shared" si="1"/>
        <v/>
      </c>
      <c r="B28" s="25"/>
      <c r="C28" s="26" t="str">
        <f t="shared" si="2"/>
        <v/>
      </c>
      <c r="D28" s="12"/>
      <c r="E28" s="27" t="str">
        <f t="shared" si="3"/>
        <v/>
      </c>
      <c r="F28" s="30" t="str">
        <f t="shared" si="4"/>
        <v/>
      </c>
      <c r="G28" s="29" t="str">
        <f t="shared" si="5"/>
        <v/>
      </c>
      <c r="H28" s="30" t="str">
        <f t="shared" si="6"/>
        <v/>
      </c>
      <c r="I28" s="31" t="str">
        <f t="shared" si="7"/>
        <v/>
      </c>
      <c r="J28" s="30" t="str">
        <f t="shared" si="8"/>
        <v/>
      </c>
      <c r="K28" s="30" t="str">
        <f t="shared" si="9"/>
        <v/>
      </c>
      <c r="L28" s="67" t="str">
        <f t="shared" si="10"/>
        <v/>
      </c>
      <c r="M28" s="68" t="str">
        <f t="shared" si="11"/>
        <v/>
      </c>
      <c r="N28" s="67" t="str">
        <f t="shared" si="12"/>
        <v/>
      </c>
      <c r="O28" s="69" t="str">
        <f>IFERROR(IF($C28="","",VLOOKUP($N28,Feriados!$A$4:$B$5000,2,FALSE)),"")</f>
        <v/>
      </c>
      <c r="P28" s="67" t="str">
        <f t="shared" si="13"/>
        <v/>
      </c>
      <c r="Q28" s="62"/>
      <c r="R28" s="62"/>
      <c r="S28" s="62"/>
      <c r="U28" s="73"/>
      <c r="V28" s="41" t="str">
        <f t="shared" si="14"/>
        <v/>
      </c>
    </row>
    <row r="29" spans="1:22" s="34" customFormat="1" x14ac:dyDescent="0.25">
      <c r="A29" s="24" t="str">
        <f t="shared" si="1"/>
        <v/>
      </c>
      <c r="B29" s="25"/>
      <c r="C29" s="26" t="str">
        <f t="shared" si="2"/>
        <v/>
      </c>
      <c r="D29" s="12"/>
      <c r="E29" s="27" t="str">
        <f t="shared" si="3"/>
        <v/>
      </c>
      <c r="F29" s="30" t="str">
        <f t="shared" si="4"/>
        <v/>
      </c>
      <c r="G29" s="29" t="str">
        <f t="shared" si="5"/>
        <v/>
      </c>
      <c r="H29" s="30" t="str">
        <f t="shared" si="6"/>
        <v/>
      </c>
      <c r="I29" s="31" t="str">
        <f t="shared" si="7"/>
        <v/>
      </c>
      <c r="J29" s="30" t="str">
        <f t="shared" si="8"/>
        <v/>
      </c>
      <c r="K29" s="30" t="str">
        <f t="shared" si="9"/>
        <v/>
      </c>
      <c r="L29" s="67" t="str">
        <f t="shared" si="10"/>
        <v/>
      </c>
      <c r="M29" s="68" t="str">
        <f t="shared" si="11"/>
        <v/>
      </c>
      <c r="N29" s="67" t="str">
        <f t="shared" si="12"/>
        <v/>
      </c>
      <c r="O29" s="69" t="str">
        <f>IFERROR(IF($C29="","",VLOOKUP($N29,Feriados!$A$4:$B$5000,2,FALSE)),"")</f>
        <v/>
      </c>
      <c r="P29" s="67" t="str">
        <f t="shared" si="13"/>
        <v/>
      </c>
      <c r="Q29" s="62"/>
      <c r="R29" s="62"/>
      <c r="S29" s="62"/>
      <c r="U29" s="73"/>
      <c r="V29" s="41" t="str">
        <f t="shared" si="14"/>
        <v/>
      </c>
    </row>
    <row r="30" spans="1:22" s="34" customFormat="1" x14ac:dyDescent="0.25">
      <c r="A30" s="24" t="str">
        <f t="shared" si="1"/>
        <v/>
      </c>
      <c r="B30" s="25"/>
      <c r="C30" s="26" t="str">
        <f t="shared" si="2"/>
        <v/>
      </c>
      <c r="D30" s="12"/>
      <c r="E30" s="27" t="str">
        <f t="shared" si="3"/>
        <v/>
      </c>
      <c r="F30" s="30" t="str">
        <f t="shared" si="4"/>
        <v/>
      </c>
      <c r="G30" s="29" t="str">
        <f t="shared" si="5"/>
        <v/>
      </c>
      <c r="H30" s="30" t="str">
        <f t="shared" si="6"/>
        <v/>
      </c>
      <c r="I30" s="31" t="str">
        <f t="shared" si="7"/>
        <v/>
      </c>
      <c r="J30" s="30" t="str">
        <f t="shared" si="8"/>
        <v/>
      </c>
      <c r="K30" s="30" t="str">
        <f t="shared" si="9"/>
        <v/>
      </c>
      <c r="L30" s="67" t="str">
        <f t="shared" si="10"/>
        <v/>
      </c>
      <c r="M30" s="68" t="str">
        <f t="shared" si="11"/>
        <v/>
      </c>
      <c r="N30" s="67" t="str">
        <f t="shared" si="12"/>
        <v/>
      </c>
      <c r="O30" s="69" t="str">
        <f>IFERROR(IF($C30="","",VLOOKUP($N30,Feriados!$A$4:$B$5000,2,FALSE)),"")</f>
        <v/>
      </c>
      <c r="P30" s="67" t="str">
        <f t="shared" si="13"/>
        <v/>
      </c>
      <c r="Q30" s="62"/>
      <c r="R30" s="62"/>
      <c r="S30" s="62"/>
      <c r="U30" s="73"/>
      <c r="V30" s="41" t="str">
        <f t="shared" si="14"/>
        <v/>
      </c>
    </row>
    <row r="31" spans="1:22" s="34" customFormat="1" x14ac:dyDescent="0.25">
      <c r="A31" s="24" t="str">
        <f t="shared" si="1"/>
        <v/>
      </c>
      <c r="B31" s="25"/>
      <c r="C31" s="26" t="str">
        <f t="shared" si="2"/>
        <v/>
      </c>
      <c r="D31" s="12"/>
      <c r="E31" s="27" t="str">
        <f t="shared" si="3"/>
        <v/>
      </c>
      <c r="F31" s="30" t="str">
        <f t="shared" si="4"/>
        <v/>
      </c>
      <c r="G31" s="29" t="str">
        <f t="shared" si="5"/>
        <v/>
      </c>
      <c r="H31" s="30" t="str">
        <f t="shared" si="6"/>
        <v/>
      </c>
      <c r="I31" s="31" t="str">
        <f t="shared" si="7"/>
        <v/>
      </c>
      <c r="J31" s="30" t="str">
        <f t="shared" si="8"/>
        <v/>
      </c>
      <c r="K31" s="30" t="str">
        <f t="shared" si="9"/>
        <v/>
      </c>
      <c r="L31" s="67" t="str">
        <f t="shared" si="10"/>
        <v/>
      </c>
      <c r="M31" s="68" t="str">
        <f t="shared" si="11"/>
        <v/>
      </c>
      <c r="N31" s="67" t="str">
        <f t="shared" si="12"/>
        <v/>
      </c>
      <c r="O31" s="69" t="str">
        <f>IFERROR(IF($C31="","",VLOOKUP($N31,Feriados!$A$4:$B$5000,2,FALSE)),"")</f>
        <v/>
      </c>
      <c r="P31" s="67" t="str">
        <f t="shared" si="13"/>
        <v/>
      </c>
      <c r="Q31" s="62"/>
      <c r="R31" s="62"/>
      <c r="S31" s="62"/>
      <c r="U31" s="73"/>
      <c r="V31" s="41" t="str">
        <f t="shared" si="14"/>
        <v/>
      </c>
    </row>
    <row r="32" spans="1:22" s="34" customFormat="1" x14ac:dyDescent="0.25">
      <c r="A32" s="24" t="str">
        <f t="shared" si="1"/>
        <v/>
      </c>
      <c r="B32" s="25"/>
      <c r="C32" s="26" t="str">
        <f t="shared" si="2"/>
        <v/>
      </c>
      <c r="D32" s="12"/>
      <c r="E32" s="27" t="str">
        <f t="shared" si="3"/>
        <v/>
      </c>
      <c r="F32" s="30" t="str">
        <f t="shared" si="4"/>
        <v/>
      </c>
      <c r="G32" s="29" t="str">
        <f t="shared" si="5"/>
        <v/>
      </c>
      <c r="H32" s="32" t="str">
        <f t="shared" si="6"/>
        <v/>
      </c>
      <c r="I32" s="31" t="str">
        <f t="shared" si="7"/>
        <v/>
      </c>
      <c r="J32" s="30" t="str">
        <f t="shared" si="8"/>
        <v/>
      </c>
      <c r="K32" s="30" t="str">
        <f t="shared" si="9"/>
        <v/>
      </c>
      <c r="L32" s="67" t="str">
        <f t="shared" si="10"/>
        <v/>
      </c>
      <c r="M32" s="68" t="str">
        <f t="shared" si="11"/>
        <v/>
      </c>
      <c r="N32" s="67" t="str">
        <f t="shared" si="12"/>
        <v/>
      </c>
      <c r="O32" s="69" t="str">
        <f>IFERROR(IF($C32="","",VLOOKUP($N32,Feriados!$A$4:$B$5000,2,FALSE)),"")</f>
        <v/>
      </c>
      <c r="P32" s="67" t="str">
        <f t="shared" si="13"/>
        <v/>
      </c>
      <c r="Q32" s="62"/>
      <c r="R32" s="62"/>
      <c r="S32" s="62"/>
      <c r="U32" s="73"/>
      <c r="V32" s="41" t="str">
        <f t="shared" si="14"/>
        <v/>
      </c>
    </row>
    <row r="33" spans="1:22" s="34" customFormat="1" x14ac:dyDescent="0.25">
      <c r="A33" s="24" t="str">
        <f t="shared" si="1"/>
        <v/>
      </c>
      <c r="B33" s="25"/>
      <c r="C33" s="26" t="str">
        <f t="shared" si="2"/>
        <v/>
      </c>
      <c r="D33" s="12"/>
      <c r="E33" s="27" t="str">
        <f t="shared" si="3"/>
        <v/>
      </c>
      <c r="F33" s="30" t="str">
        <f t="shared" si="4"/>
        <v/>
      </c>
      <c r="G33" s="29" t="str">
        <f t="shared" si="5"/>
        <v/>
      </c>
      <c r="H33" s="32" t="str">
        <f t="shared" si="6"/>
        <v/>
      </c>
      <c r="I33" s="31" t="str">
        <f t="shared" si="7"/>
        <v/>
      </c>
      <c r="J33" s="30" t="str">
        <f t="shared" si="8"/>
        <v/>
      </c>
      <c r="K33" s="30" t="str">
        <f t="shared" si="9"/>
        <v/>
      </c>
      <c r="L33" s="67" t="str">
        <f t="shared" si="10"/>
        <v/>
      </c>
      <c r="M33" s="68" t="str">
        <f t="shared" si="11"/>
        <v/>
      </c>
      <c r="N33" s="67" t="str">
        <f t="shared" si="12"/>
        <v/>
      </c>
      <c r="O33" s="69" t="str">
        <f>IFERROR(IF($C33="","",VLOOKUP($N33,Feriados!$A$4:$B$5000,2,FALSE)),"")</f>
        <v/>
      </c>
      <c r="P33" s="67" t="str">
        <f t="shared" si="13"/>
        <v/>
      </c>
      <c r="Q33" s="62"/>
      <c r="R33" s="62"/>
      <c r="S33" s="62"/>
      <c r="U33" s="73"/>
      <c r="V33" s="41" t="str">
        <f t="shared" si="14"/>
        <v/>
      </c>
    </row>
    <row r="34" spans="1:22" s="34" customFormat="1" x14ac:dyDescent="0.25">
      <c r="A34" s="24" t="str">
        <f t="shared" si="1"/>
        <v/>
      </c>
      <c r="B34" s="25"/>
      <c r="C34" s="26" t="str">
        <f t="shared" si="2"/>
        <v/>
      </c>
      <c r="D34" s="12"/>
      <c r="E34" s="27" t="str">
        <f t="shared" si="3"/>
        <v/>
      </c>
      <c r="F34" s="30" t="str">
        <f t="shared" si="4"/>
        <v/>
      </c>
      <c r="G34" s="29" t="str">
        <f t="shared" si="5"/>
        <v/>
      </c>
      <c r="H34" s="30" t="str">
        <f t="shared" si="6"/>
        <v/>
      </c>
      <c r="I34" s="31" t="str">
        <f t="shared" si="7"/>
        <v/>
      </c>
      <c r="J34" s="30" t="str">
        <f t="shared" si="8"/>
        <v/>
      </c>
      <c r="K34" s="30" t="str">
        <f t="shared" si="9"/>
        <v/>
      </c>
      <c r="L34" s="67" t="str">
        <f t="shared" si="10"/>
        <v/>
      </c>
      <c r="M34" s="68" t="str">
        <f t="shared" si="11"/>
        <v/>
      </c>
      <c r="N34" s="67" t="str">
        <f t="shared" si="12"/>
        <v/>
      </c>
      <c r="O34" s="69" t="str">
        <f>IFERROR(IF($C34="","",VLOOKUP($N34,Feriados!$A$4:$B$5000,2,FALSE)),"")</f>
        <v/>
      </c>
      <c r="P34" s="67" t="str">
        <f t="shared" si="13"/>
        <v/>
      </c>
      <c r="Q34" s="62"/>
      <c r="R34" s="62"/>
      <c r="S34" s="62"/>
      <c r="U34" s="73"/>
      <c r="V34" s="41" t="str">
        <f t="shared" si="14"/>
        <v/>
      </c>
    </row>
    <row r="35" spans="1:22" s="34" customFormat="1" x14ac:dyDescent="0.25">
      <c r="A35" s="24" t="str">
        <f t="shared" si="1"/>
        <v/>
      </c>
      <c r="B35" s="25"/>
      <c r="C35" s="26" t="str">
        <f t="shared" si="2"/>
        <v/>
      </c>
      <c r="D35" s="12"/>
      <c r="E35" s="27" t="str">
        <f t="shared" si="3"/>
        <v/>
      </c>
      <c r="F35" s="30" t="str">
        <f t="shared" si="4"/>
        <v/>
      </c>
      <c r="G35" s="29" t="str">
        <f t="shared" si="5"/>
        <v/>
      </c>
      <c r="H35" s="30" t="str">
        <f t="shared" si="6"/>
        <v/>
      </c>
      <c r="I35" s="31" t="str">
        <f t="shared" si="7"/>
        <v/>
      </c>
      <c r="J35" s="30" t="str">
        <f t="shared" si="8"/>
        <v/>
      </c>
      <c r="K35" s="30" t="str">
        <f t="shared" si="9"/>
        <v/>
      </c>
      <c r="L35" s="67" t="str">
        <f t="shared" si="10"/>
        <v/>
      </c>
      <c r="M35" s="68" t="str">
        <f t="shared" si="11"/>
        <v/>
      </c>
      <c r="N35" s="67" t="str">
        <f t="shared" si="12"/>
        <v/>
      </c>
      <c r="O35" s="69" t="str">
        <f>IFERROR(IF($C35="","",VLOOKUP($N35,Feriados!$A$4:$B$5000,2,FALSE)),"")</f>
        <v/>
      </c>
      <c r="P35" s="67" t="str">
        <f t="shared" si="13"/>
        <v/>
      </c>
      <c r="Q35" s="62"/>
      <c r="R35" s="62"/>
      <c r="S35" s="62"/>
      <c r="U35" s="73"/>
      <c r="V35" s="41" t="str">
        <f t="shared" si="14"/>
        <v/>
      </c>
    </row>
    <row r="36" spans="1:22" s="34" customFormat="1" x14ac:dyDescent="0.25">
      <c r="A36" s="24" t="str">
        <f t="shared" si="1"/>
        <v/>
      </c>
      <c r="B36" s="25"/>
      <c r="C36" s="26" t="str">
        <f t="shared" si="2"/>
        <v/>
      </c>
      <c r="D36" s="12"/>
      <c r="E36" s="27" t="str">
        <f t="shared" si="3"/>
        <v/>
      </c>
      <c r="F36" s="30" t="str">
        <f t="shared" si="4"/>
        <v/>
      </c>
      <c r="G36" s="29" t="str">
        <f t="shared" si="5"/>
        <v/>
      </c>
      <c r="H36" s="30" t="str">
        <f t="shared" si="6"/>
        <v/>
      </c>
      <c r="I36" s="31" t="str">
        <f t="shared" si="7"/>
        <v/>
      </c>
      <c r="J36" s="30" t="str">
        <f t="shared" si="8"/>
        <v/>
      </c>
      <c r="K36" s="30" t="str">
        <f t="shared" si="9"/>
        <v/>
      </c>
      <c r="L36" s="67" t="str">
        <f t="shared" si="10"/>
        <v/>
      </c>
      <c r="M36" s="68" t="str">
        <f t="shared" si="11"/>
        <v/>
      </c>
      <c r="N36" s="67" t="str">
        <f t="shared" si="12"/>
        <v/>
      </c>
      <c r="O36" s="69" t="str">
        <f>IFERROR(IF($C36="","",VLOOKUP($N36,Feriados!$A$4:$B$5000,2,FALSE)),"")</f>
        <v/>
      </c>
      <c r="P36" s="67" t="str">
        <f t="shared" si="13"/>
        <v/>
      </c>
      <c r="Q36" s="62"/>
      <c r="R36" s="62"/>
      <c r="S36" s="62"/>
      <c r="U36" s="73"/>
      <c r="V36" s="41" t="str">
        <f t="shared" si="14"/>
        <v/>
      </c>
    </row>
    <row r="37" spans="1:22" s="34" customFormat="1" x14ac:dyDescent="0.25">
      <c r="A37" s="24" t="str">
        <f t="shared" si="1"/>
        <v/>
      </c>
      <c r="B37" s="25"/>
      <c r="C37" s="26" t="str">
        <f t="shared" si="2"/>
        <v/>
      </c>
      <c r="D37" s="12"/>
      <c r="E37" s="27" t="str">
        <f t="shared" si="3"/>
        <v/>
      </c>
      <c r="F37" s="30" t="str">
        <f t="shared" si="4"/>
        <v/>
      </c>
      <c r="G37" s="29" t="str">
        <f t="shared" si="5"/>
        <v/>
      </c>
      <c r="H37" s="32" t="str">
        <f t="shared" si="6"/>
        <v/>
      </c>
      <c r="I37" s="31" t="str">
        <f t="shared" si="7"/>
        <v/>
      </c>
      <c r="J37" s="30" t="str">
        <f t="shared" si="8"/>
        <v/>
      </c>
      <c r="K37" s="30" t="str">
        <f t="shared" si="9"/>
        <v/>
      </c>
      <c r="L37" s="67" t="str">
        <f t="shared" si="10"/>
        <v/>
      </c>
      <c r="M37" s="68" t="str">
        <f t="shared" si="11"/>
        <v/>
      </c>
      <c r="N37" s="67" t="str">
        <f t="shared" si="12"/>
        <v/>
      </c>
      <c r="O37" s="69" t="str">
        <f>IFERROR(IF($C37="","",VLOOKUP($N37,Feriados!$A$4:$B$5000,2,FALSE)),"")</f>
        <v/>
      </c>
      <c r="P37" s="67" t="str">
        <f t="shared" si="13"/>
        <v/>
      </c>
      <c r="Q37" s="62"/>
      <c r="R37" s="62"/>
      <c r="S37" s="62"/>
      <c r="U37" s="73"/>
      <c r="V37" s="41" t="str">
        <f t="shared" si="14"/>
        <v/>
      </c>
    </row>
    <row r="38" spans="1:22" s="34" customFormat="1" x14ac:dyDescent="0.25">
      <c r="A38" s="24" t="str">
        <f t="shared" si="1"/>
        <v/>
      </c>
      <c r="B38" s="25"/>
      <c r="C38" s="26" t="str">
        <f t="shared" si="2"/>
        <v/>
      </c>
      <c r="D38" s="12"/>
      <c r="E38" s="27" t="str">
        <f t="shared" si="3"/>
        <v/>
      </c>
      <c r="F38" s="30" t="str">
        <f t="shared" si="4"/>
        <v/>
      </c>
      <c r="G38" s="29" t="str">
        <f t="shared" si="5"/>
        <v/>
      </c>
      <c r="H38" s="30" t="str">
        <f t="shared" si="6"/>
        <v/>
      </c>
      <c r="I38" s="31" t="str">
        <f t="shared" si="7"/>
        <v/>
      </c>
      <c r="J38" s="30" t="str">
        <f t="shared" si="8"/>
        <v/>
      </c>
      <c r="K38" s="30" t="str">
        <f t="shared" si="9"/>
        <v/>
      </c>
      <c r="L38" s="67" t="str">
        <f t="shared" si="10"/>
        <v/>
      </c>
      <c r="M38" s="68" t="str">
        <f t="shared" si="11"/>
        <v/>
      </c>
      <c r="N38" s="67" t="str">
        <f t="shared" si="12"/>
        <v/>
      </c>
      <c r="O38" s="69" t="str">
        <f>IFERROR(IF($C38="","",VLOOKUP($N38,Feriados!$A$4:$B$5000,2,FALSE)),"")</f>
        <v/>
      </c>
      <c r="P38" s="67" t="str">
        <f t="shared" si="13"/>
        <v/>
      </c>
      <c r="Q38" s="62"/>
      <c r="R38" s="62"/>
      <c r="S38" s="62"/>
      <c r="U38" s="73"/>
      <c r="V38" s="41" t="str">
        <f t="shared" si="14"/>
        <v/>
      </c>
    </row>
    <row r="39" spans="1:22" s="34" customFormat="1" x14ac:dyDescent="0.25">
      <c r="A39" s="24" t="str">
        <f t="shared" si="1"/>
        <v/>
      </c>
      <c r="B39" s="25"/>
      <c r="C39" s="26" t="str">
        <f t="shared" si="2"/>
        <v/>
      </c>
      <c r="D39" s="12"/>
      <c r="E39" s="27" t="str">
        <f t="shared" si="3"/>
        <v/>
      </c>
      <c r="F39" s="30" t="str">
        <f t="shared" si="4"/>
        <v/>
      </c>
      <c r="G39" s="29" t="str">
        <f t="shared" si="5"/>
        <v/>
      </c>
      <c r="H39" s="30" t="str">
        <f t="shared" si="6"/>
        <v/>
      </c>
      <c r="I39" s="31" t="str">
        <f t="shared" si="7"/>
        <v/>
      </c>
      <c r="J39" s="30" t="str">
        <f t="shared" si="8"/>
        <v/>
      </c>
      <c r="K39" s="30" t="str">
        <f t="shared" si="9"/>
        <v/>
      </c>
      <c r="L39" s="67" t="str">
        <f t="shared" si="10"/>
        <v/>
      </c>
      <c r="M39" s="68" t="str">
        <f t="shared" si="11"/>
        <v/>
      </c>
      <c r="N39" s="67" t="str">
        <f t="shared" si="12"/>
        <v/>
      </c>
      <c r="O39" s="69" t="str">
        <f>IFERROR(IF($C39="","",VLOOKUP($N39,Feriados!$A$4:$B$5000,2,FALSE)),"")</f>
        <v/>
      </c>
      <c r="P39" s="67" t="str">
        <f t="shared" si="13"/>
        <v/>
      </c>
      <c r="Q39" s="62"/>
      <c r="R39" s="62"/>
      <c r="S39" s="62"/>
      <c r="U39" s="73"/>
      <c r="V39" s="41" t="str">
        <f t="shared" si="14"/>
        <v/>
      </c>
    </row>
    <row r="40" spans="1:22" s="34" customFormat="1" x14ac:dyDescent="0.25">
      <c r="A40" s="24" t="str">
        <f t="shared" si="1"/>
        <v/>
      </c>
      <c r="B40" s="25"/>
      <c r="C40" s="26" t="str">
        <f t="shared" si="2"/>
        <v/>
      </c>
      <c r="D40" s="12"/>
      <c r="E40" s="27" t="str">
        <f t="shared" si="3"/>
        <v/>
      </c>
      <c r="F40" s="30" t="str">
        <f t="shared" si="4"/>
        <v/>
      </c>
      <c r="G40" s="29" t="str">
        <f t="shared" si="5"/>
        <v/>
      </c>
      <c r="H40" s="30" t="str">
        <f t="shared" si="6"/>
        <v/>
      </c>
      <c r="I40" s="31" t="str">
        <f t="shared" si="7"/>
        <v/>
      </c>
      <c r="J40" s="30" t="str">
        <f t="shared" si="8"/>
        <v/>
      </c>
      <c r="K40" s="30" t="str">
        <f t="shared" si="9"/>
        <v/>
      </c>
      <c r="L40" s="67" t="str">
        <f t="shared" si="10"/>
        <v/>
      </c>
      <c r="M40" s="68" t="str">
        <f t="shared" si="11"/>
        <v/>
      </c>
      <c r="N40" s="67" t="str">
        <f t="shared" si="12"/>
        <v/>
      </c>
      <c r="O40" s="69" t="str">
        <f>IFERROR(IF($C40="","",VLOOKUP($N40,Feriados!$A$4:$B$5000,2,FALSE)),"")</f>
        <v/>
      </c>
      <c r="P40" s="67" t="str">
        <f t="shared" si="13"/>
        <v/>
      </c>
      <c r="Q40" s="62"/>
      <c r="R40" s="62"/>
      <c r="S40" s="62"/>
      <c r="U40" s="73"/>
      <c r="V40" s="41" t="str">
        <f t="shared" si="14"/>
        <v/>
      </c>
    </row>
    <row r="41" spans="1:22" s="34" customFormat="1" x14ac:dyDescent="0.25">
      <c r="A41" s="24" t="str">
        <f t="shared" si="1"/>
        <v/>
      </c>
      <c r="B41" s="25"/>
      <c r="C41" s="26" t="str">
        <f t="shared" si="2"/>
        <v/>
      </c>
      <c r="D41" s="12"/>
      <c r="E41" s="27" t="str">
        <f t="shared" si="3"/>
        <v/>
      </c>
      <c r="F41" s="30" t="str">
        <f t="shared" si="4"/>
        <v/>
      </c>
      <c r="G41" s="29" t="str">
        <f t="shared" si="5"/>
        <v/>
      </c>
      <c r="H41" s="30" t="str">
        <f t="shared" si="6"/>
        <v/>
      </c>
      <c r="I41" s="31" t="str">
        <f t="shared" si="7"/>
        <v/>
      </c>
      <c r="J41" s="30" t="str">
        <f t="shared" si="8"/>
        <v/>
      </c>
      <c r="K41" s="30" t="str">
        <f t="shared" si="9"/>
        <v/>
      </c>
      <c r="L41" s="67" t="str">
        <f t="shared" si="10"/>
        <v/>
      </c>
      <c r="M41" s="68" t="str">
        <f t="shared" si="11"/>
        <v/>
      </c>
      <c r="N41" s="67" t="str">
        <f t="shared" si="12"/>
        <v/>
      </c>
      <c r="O41" s="69" t="str">
        <f>IFERROR(IF($C41="","",VLOOKUP($N41,Feriados!$A$4:$B$5000,2,FALSE)),"")</f>
        <v/>
      </c>
      <c r="P41" s="67" t="str">
        <f t="shared" si="13"/>
        <v/>
      </c>
      <c r="Q41" s="62"/>
      <c r="R41" s="62"/>
      <c r="S41" s="62"/>
      <c r="U41" s="73"/>
      <c r="V41" s="41" t="str">
        <f t="shared" si="14"/>
        <v/>
      </c>
    </row>
    <row r="42" spans="1:22" s="34" customFormat="1" x14ac:dyDescent="0.25">
      <c r="A42" s="24" t="str">
        <f t="shared" si="1"/>
        <v/>
      </c>
      <c r="B42" s="25"/>
      <c r="C42" s="26" t="str">
        <f t="shared" si="2"/>
        <v/>
      </c>
      <c r="D42" s="12"/>
      <c r="E42" s="27" t="str">
        <f t="shared" si="3"/>
        <v/>
      </c>
      <c r="F42" s="30" t="str">
        <f t="shared" si="4"/>
        <v/>
      </c>
      <c r="G42" s="29" t="str">
        <f t="shared" si="5"/>
        <v/>
      </c>
      <c r="H42" s="30" t="str">
        <f t="shared" si="6"/>
        <v/>
      </c>
      <c r="I42" s="31" t="str">
        <f t="shared" si="7"/>
        <v/>
      </c>
      <c r="J42" s="30" t="str">
        <f t="shared" si="8"/>
        <v/>
      </c>
      <c r="K42" s="30" t="str">
        <f t="shared" si="9"/>
        <v/>
      </c>
      <c r="L42" s="67" t="str">
        <f t="shared" si="10"/>
        <v/>
      </c>
      <c r="M42" s="68" t="str">
        <f t="shared" si="11"/>
        <v/>
      </c>
      <c r="N42" s="67" t="str">
        <f t="shared" si="12"/>
        <v/>
      </c>
      <c r="O42" s="69" t="str">
        <f>IFERROR(IF($C42="","",VLOOKUP($N42,Feriados!$A$4:$B$5000,2,FALSE)),"")</f>
        <v/>
      </c>
      <c r="P42" s="67" t="str">
        <f t="shared" si="13"/>
        <v/>
      </c>
      <c r="Q42" s="62"/>
      <c r="R42" s="62"/>
      <c r="S42" s="62"/>
      <c r="U42" s="73"/>
      <c r="V42" s="41" t="str">
        <f t="shared" si="14"/>
        <v/>
      </c>
    </row>
    <row r="43" spans="1:22" s="34" customFormat="1" x14ac:dyDescent="0.25">
      <c r="A43" s="24" t="str">
        <f t="shared" si="1"/>
        <v/>
      </c>
      <c r="B43" s="25"/>
      <c r="C43" s="26" t="str">
        <f t="shared" si="2"/>
        <v/>
      </c>
      <c r="D43" s="12"/>
      <c r="E43" s="27" t="str">
        <f t="shared" si="3"/>
        <v/>
      </c>
      <c r="F43" s="30" t="str">
        <f t="shared" si="4"/>
        <v/>
      </c>
      <c r="G43" s="29" t="str">
        <f t="shared" si="5"/>
        <v/>
      </c>
      <c r="H43" s="30" t="str">
        <f t="shared" si="6"/>
        <v/>
      </c>
      <c r="I43" s="31" t="str">
        <f t="shared" si="7"/>
        <v/>
      </c>
      <c r="J43" s="30" t="str">
        <f t="shared" si="8"/>
        <v/>
      </c>
      <c r="K43" s="30" t="str">
        <f t="shared" si="9"/>
        <v/>
      </c>
      <c r="L43" s="67" t="str">
        <f t="shared" si="10"/>
        <v/>
      </c>
      <c r="M43" s="68" t="str">
        <f t="shared" si="11"/>
        <v/>
      </c>
      <c r="N43" s="67" t="str">
        <f t="shared" si="12"/>
        <v/>
      </c>
      <c r="O43" s="69" t="str">
        <f>IFERROR(IF($C43="","",VLOOKUP($N43,Feriados!$A$4:$B$5000,2,FALSE)),"")</f>
        <v/>
      </c>
      <c r="P43" s="67" t="str">
        <f t="shared" si="13"/>
        <v/>
      </c>
      <c r="Q43" s="62"/>
      <c r="R43" s="62"/>
      <c r="S43" s="62"/>
      <c r="U43" s="73"/>
      <c r="V43" s="41" t="str">
        <f t="shared" si="14"/>
        <v/>
      </c>
    </row>
    <row r="44" spans="1:22" s="34" customFormat="1" x14ac:dyDescent="0.25">
      <c r="A44" s="24" t="str">
        <f t="shared" si="1"/>
        <v/>
      </c>
      <c r="B44" s="25"/>
      <c r="C44" s="26" t="str">
        <f t="shared" si="2"/>
        <v/>
      </c>
      <c r="D44" s="12"/>
      <c r="E44" s="27" t="str">
        <f t="shared" si="3"/>
        <v/>
      </c>
      <c r="F44" s="30" t="str">
        <f t="shared" si="4"/>
        <v/>
      </c>
      <c r="G44" s="29" t="str">
        <f t="shared" si="5"/>
        <v/>
      </c>
      <c r="H44" s="30" t="str">
        <f t="shared" si="6"/>
        <v/>
      </c>
      <c r="I44" s="31" t="str">
        <f t="shared" si="7"/>
        <v/>
      </c>
      <c r="J44" s="30" t="str">
        <f t="shared" si="8"/>
        <v/>
      </c>
      <c r="K44" s="30" t="str">
        <f t="shared" si="9"/>
        <v/>
      </c>
      <c r="L44" s="67" t="str">
        <f t="shared" si="10"/>
        <v/>
      </c>
      <c r="M44" s="68" t="str">
        <f t="shared" si="11"/>
        <v/>
      </c>
      <c r="N44" s="67" t="str">
        <f t="shared" si="12"/>
        <v/>
      </c>
      <c r="O44" s="69" t="str">
        <f>IFERROR(IF($C44="","",VLOOKUP($N44,Feriados!$A$4:$B$5000,2,FALSE)),"")</f>
        <v/>
      </c>
      <c r="P44" s="67" t="str">
        <f t="shared" si="13"/>
        <v/>
      </c>
      <c r="Q44" s="62"/>
      <c r="R44" s="62"/>
      <c r="S44" s="62"/>
      <c r="U44" s="73"/>
      <c r="V44" s="41" t="str">
        <f t="shared" si="14"/>
        <v/>
      </c>
    </row>
    <row r="45" spans="1:22" s="34" customFormat="1" x14ac:dyDescent="0.25">
      <c r="A45" s="24" t="str">
        <f t="shared" si="1"/>
        <v/>
      </c>
      <c r="B45" s="25"/>
      <c r="C45" s="26" t="str">
        <f t="shared" si="2"/>
        <v/>
      </c>
      <c r="D45" s="12"/>
      <c r="E45" s="27" t="str">
        <f t="shared" si="3"/>
        <v/>
      </c>
      <c r="F45" s="30" t="str">
        <f t="shared" si="4"/>
        <v/>
      </c>
      <c r="G45" s="29" t="str">
        <f t="shared" si="5"/>
        <v/>
      </c>
      <c r="H45" s="30" t="str">
        <f t="shared" si="6"/>
        <v/>
      </c>
      <c r="I45" s="31" t="str">
        <f t="shared" si="7"/>
        <v/>
      </c>
      <c r="J45" s="30" t="str">
        <f t="shared" si="8"/>
        <v/>
      </c>
      <c r="K45" s="30" t="str">
        <f t="shared" si="9"/>
        <v/>
      </c>
      <c r="L45" s="67" t="str">
        <f t="shared" si="10"/>
        <v/>
      </c>
      <c r="M45" s="68" t="str">
        <f t="shared" si="11"/>
        <v/>
      </c>
      <c r="N45" s="67" t="str">
        <f t="shared" si="12"/>
        <v/>
      </c>
      <c r="O45" s="69" t="str">
        <f>IFERROR(IF($C45="","",VLOOKUP($N45,Feriados!$A$4:$B$5000,2,FALSE)),"")</f>
        <v/>
      </c>
      <c r="P45" s="67" t="str">
        <f t="shared" si="13"/>
        <v/>
      </c>
      <c r="Q45" s="62"/>
      <c r="R45" s="62"/>
      <c r="S45" s="62"/>
      <c r="U45" s="73"/>
      <c r="V45" s="41" t="str">
        <f t="shared" si="14"/>
        <v/>
      </c>
    </row>
    <row r="46" spans="1:22" s="34" customFormat="1" x14ac:dyDescent="0.25">
      <c r="A46" s="24" t="str">
        <f t="shared" si="1"/>
        <v/>
      </c>
      <c r="B46" s="25"/>
      <c r="C46" s="26" t="str">
        <f t="shared" si="2"/>
        <v/>
      </c>
      <c r="D46" s="12"/>
      <c r="E46" s="27" t="str">
        <f t="shared" si="3"/>
        <v/>
      </c>
      <c r="F46" s="30" t="str">
        <f t="shared" si="4"/>
        <v/>
      </c>
      <c r="G46" s="29" t="str">
        <f t="shared" si="5"/>
        <v/>
      </c>
      <c r="H46" s="30" t="str">
        <f t="shared" si="6"/>
        <v/>
      </c>
      <c r="I46" s="31" t="str">
        <f t="shared" si="7"/>
        <v/>
      </c>
      <c r="J46" s="30" t="str">
        <f t="shared" si="8"/>
        <v/>
      </c>
      <c r="K46" s="30" t="str">
        <f t="shared" si="9"/>
        <v/>
      </c>
      <c r="L46" s="67" t="str">
        <f t="shared" si="10"/>
        <v/>
      </c>
      <c r="M46" s="68" t="str">
        <f t="shared" si="11"/>
        <v/>
      </c>
      <c r="N46" s="67" t="str">
        <f t="shared" si="12"/>
        <v/>
      </c>
      <c r="O46" s="69" t="str">
        <f>IFERROR(IF($C46="","",VLOOKUP($N46,Feriados!$A$4:$B$5000,2,FALSE)),"")</f>
        <v/>
      </c>
      <c r="P46" s="67" t="str">
        <f t="shared" si="13"/>
        <v/>
      </c>
      <c r="Q46" s="62"/>
      <c r="R46" s="62"/>
      <c r="S46" s="62"/>
      <c r="U46" s="73"/>
      <c r="V46" s="41" t="str">
        <f t="shared" si="14"/>
        <v/>
      </c>
    </row>
    <row r="47" spans="1:22" s="34" customFormat="1" x14ac:dyDescent="0.25">
      <c r="A47" s="24" t="str">
        <f t="shared" si="1"/>
        <v/>
      </c>
      <c r="B47" s="25"/>
      <c r="C47" s="26" t="str">
        <f t="shared" si="2"/>
        <v/>
      </c>
      <c r="D47" s="12"/>
      <c r="E47" s="27" t="str">
        <f t="shared" si="3"/>
        <v/>
      </c>
      <c r="F47" s="30" t="str">
        <f t="shared" si="4"/>
        <v/>
      </c>
      <c r="G47" s="29" t="str">
        <f t="shared" si="5"/>
        <v/>
      </c>
      <c r="H47" s="30" t="str">
        <f t="shared" si="6"/>
        <v/>
      </c>
      <c r="I47" s="31" t="str">
        <f t="shared" si="7"/>
        <v/>
      </c>
      <c r="J47" s="30" t="str">
        <f t="shared" si="8"/>
        <v/>
      </c>
      <c r="K47" s="30" t="str">
        <f t="shared" si="9"/>
        <v/>
      </c>
      <c r="L47" s="67" t="str">
        <f t="shared" si="10"/>
        <v/>
      </c>
      <c r="M47" s="68" t="str">
        <f t="shared" si="11"/>
        <v/>
      </c>
      <c r="N47" s="67" t="str">
        <f t="shared" si="12"/>
        <v/>
      </c>
      <c r="O47" s="69" t="str">
        <f>IFERROR(IF($C47="","",VLOOKUP($N47,Feriados!$A$4:$B$5000,2,FALSE)),"")</f>
        <v/>
      </c>
      <c r="P47" s="67" t="str">
        <f t="shared" si="13"/>
        <v/>
      </c>
      <c r="Q47" s="62"/>
      <c r="R47" s="62"/>
      <c r="S47" s="62"/>
      <c r="U47" s="73"/>
      <c r="V47" s="41" t="str">
        <f t="shared" si="14"/>
        <v/>
      </c>
    </row>
    <row r="48" spans="1:22" s="34" customFormat="1" x14ac:dyDescent="0.25">
      <c r="A48" s="24" t="str">
        <f t="shared" si="1"/>
        <v/>
      </c>
      <c r="B48" s="25"/>
      <c r="C48" s="26" t="str">
        <f t="shared" si="2"/>
        <v/>
      </c>
      <c r="D48" s="12"/>
      <c r="E48" s="27" t="str">
        <f t="shared" si="3"/>
        <v/>
      </c>
      <c r="F48" s="30" t="str">
        <f t="shared" si="4"/>
        <v/>
      </c>
      <c r="G48" s="29" t="str">
        <f t="shared" si="5"/>
        <v/>
      </c>
      <c r="H48" s="30" t="str">
        <f t="shared" si="6"/>
        <v/>
      </c>
      <c r="I48" s="31" t="str">
        <f t="shared" si="7"/>
        <v/>
      </c>
      <c r="J48" s="30" t="str">
        <f t="shared" si="8"/>
        <v/>
      </c>
      <c r="K48" s="30" t="str">
        <f t="shared" si="9"/>
        <v/>
      </c>
      <c r="L48" s="67" t="str">
        <f t="shared" si="10"/>
        <v/>
      </c>
      <c r="M48" s="68" t="str">
        <f t="shared" si="11"/>
        <v/>
      </c>
      <c r="N48" s="67" t="str">
        <f t="shared" si="12"/>
        <v/>
      </c>
      <c r="O48" s="69" t="str">
        <f>IFERROR(IF($C48="","",VLOOKUP($N48,Feriados!$A$4:$B$5000,2,FALSE)),"")</f>
        <v/>
      </c>
      <c r="P48" s="67" t="str">
        <f t="shared" si="13"/>
        <v/>
      </c>
      <c r="Q48" s="62"/>
      <c r="R48" s="62"/>
      <c r="S48" s="62"/>
      <c r="U48" s="73"/>
      <c r="V48" s="41" t="str">
        <f t="shared" si="14"/>
        <v/>
      </c>
    </row>
    <row r="49" spans="1:22" s="34" customFormat="1" x14ac:dyDescent="0.25">
      <c r="A49" s="24" t="str">
        <f t="shared" si="1"/>
        <v/>
      </c>
      <c r="B49" s="25"/>
      <c r="C49" s="26" t="str">
        <f t="shared" si="2"/>
        <v/>
      </c>
      <c r="D49" s="12"/>
      <c r="E49" s="27" t="str">
        <f t="shared" si="3"/>
        <v/>
      </c>
      <c r="F49" s="30" t="str">
        <f t="shared" si="4"/>
        <v/>
      </c>
      <c r="G49" s="29" t="str">
        <f t="shared" si="5"/>
        <v/>
      </c>
      <c r="H49" s="30" t="str">
        <f t="shared" si="6"/>
        <v/>
      </c>
      <c r="I49" s="31" t="str">
        <f t="shared" si="7"/>
        <v/>
      </c>
      <c r="J49" s="30" t="str">
        <f t="shared" si="8"/>
        <v/>
      </c>
      <c r="K49" s="30" t="str">
        <f t="shared" si="9"/>
        <v/>
      </c>
      <c r="L49" s="67" t="str">
        <f t="shared" si="10"/>
        <v/>
      </c>
      <c r="M49" s="68" t="str">
        <f t="shared" si="11"/>
        <v/>
      </c>
      <c r="N49" s="67" t="str">
        <f t="shared" si="12"/>
        <v/>
      </c>
      <c r="O49" s="69" t="str">
        <f>IFERROR(IF($C49="","",VLOOKUP($N49,Feriados!$A$4:$B$5000,2,FALSE)),"")</f>
        <v/>
      </c>
      <c r="P49" s="67" t="str">
        <f t="shared" si="13"/>
        <v/>
      </c>
      <c r="Q49" s="62"/>
      <c r="R49" s="62"/>
      <c r="S49" s="62"/>
      <c r="U49" s="73"/>
      <c r="V49" s="41" t="str">
        <f t="shared" si="14"/>
        <v/>
      </c>
    </row>
    <row r="50" spans="1:22" s="34" customFormat="1" x14ac:dyDescent="0.25">
      <c r="A50" s="24" t="str">
        <f t="shared" si="1"/>
        <v/>
      </c>
      <c r="B50" s="25"/>
      <c r="C50" s="26" t="str">
        <f t="shared" si="2"/>
        <v/>
      </c>
      <c r="D50" s="12"/>
      <c r="E50" s="27" t="str">
        <f t="shared" si="3"/>
        <v/>
      </c>
      <c r="F50" s="30" t="str">
        <f t="shared" si="4"/>
        <v/>
      </c>
      <c r="G50" s="29" t="str">
        <f t="shared" si="5"/>
        <v/>
      </c>
      <c r="H50" s="30" t="str">
        <f t="shared" si="6"/>
        <v/>
      </c>
      <c r="I50" s="31" t="str">
        <f t="shared" si="7"/>
        <v/>
      </c>
      <c r="J50" s="30" t="str">
        <f t="shared" si="8"/>
        <v/>
      </c>
      <c r="K50" s="30" t="str">
        <f t="shared" si="9"/>
        <v/>
      </c>
      <c r="L50" s="67" t="str">
        <f t="shared" si="10"/>
        <v/>
      </c>
      <c r="M50" s="68" t="str">
        <f t="shared" si="11"/>
        <v/>
      </c>
      <c r="N50" s="67" t="str">
        <f t="shared" si="12"/>
        <v/>
      </c>
      <c r="O50" s="69" t="str">
        <f>IFERROR(IF($C50="","",VLOOKUP($N50,Feriados!$A$4:$B$5000,2,FALSE)),"")</f>
        <v/>
      </c>
      <c r="P50" s="67" t="str">
        <f t="shared" si="13"/>
        <v/>
      </c>
      <c r="Q50" s="62"/>
      <c r="R50" s="62"/>
      <c r="S50" s="62"/>
      <c r="U50" s="73"/>
      <c r="V50" s="41" t="str">
        <f t="shared" si="14"/>
        <v/>
      </c>
    </row>
    <row r="51" spans="1:22" s="34" customFormat="1" x14ac:dyDescent="0.25">
      <c r="A51" s="24" t="str">
        <f t="shared" si="1"/>
        <v/>
      </c>
      <c r="B51" s="25"/>
      <c r="C51" s="26" t="str">
        <f t="shared" si="2"/>
        <v/>
      </c>
      <c r="D51" s="12"/>
      <c r="E51" s="27" t="str">
        <f t="shared" si="3"/>
        <v/>
      </c>
      <c r="F51" s="30" t="str">
        <f t="shared" si="4"/>
        <v/>
      </c>
      <c r="G51" s="29" t="str">
        <f t="shared" si="5"/>
        <v/>
      </c>
      <c r="H51" s="30" t="str">
        <f t="shared" si="6"/>
        <v/>
      </c>
      <c r="I51" s="31" t="str">
        <f t="shared" si="7"/>
        <v/>
      </c>
      <c r="J51" s="30" t="str">
        <f t="shared" si="8"/>
        <v/>
      </c>
      <c r="K51" s="30" t="str">
        <f t="shared" si="9"/>
        <v/>
      </c>
      <c r="L51" s="67" t="str">
        <f t="shared" si="10"/>
        <v/>
      </c>
      <c r="M51" s="68" t="str">
        <f t="shared" si="11"/>
        <v/>
      </c>
      <c r="N51" s="67" t="str">
        <f t="shared" si="12"/>
        <v/>
      </c>
      <c r="O51" s="69" t="str">
        <f>IFERROR(IF($C51="","",VLOOKUP($N51,Feriados!$A$4:$B$5000,2,FALSE)),"")</f>
        <v/>
      </c>
      <c r="P51" s="67" t="str">
        <f t="shared" si="13"/>
        <v/>
      </c>
      <c r="Q51" s="62"/>
      <c r="R51" s="62"/>
      <c r="S51" s="62"/>
      <c r="U51" s="73"/>
      <c r="V51" s="41" t="str">
        <f t="shared" si="14"/>
        <v/>
      </c>
    </row>
    <row r="52" spans="1:22" s="34" customFormat="1" x14ac:dyDescent="0.25">
      <c r="A52" s="24" t="str">
        <f t="shared" ref="A52:A115" si="15">IF(E52="","",EOMONTH(E52,0))</f>
        <v/>
      </c>
      <c r="B52" s="25"/>
      <c r="C52" s="26" t="str">
        <f t="shared" si="2"/>
        <v/>
      </c>
      <c r="D52" s="12"/>
      <c r="E52" s="27" t="str">
        <f t="shared" si="3"/>
        <v/>
      </c>
      <c r="F52" s="30" t="str">
        <f t="shared" si="4"/>
        <v/>
      </c>
      <c r="G52" s="29" t="str">
        <f t="shared" si="5"/>
        <v/>
      </c>
      <c r="H52" s="30" t="str">
        <f t="shared" si="6"/>
        <v/>
      </c>
      <c r="I52" s="31" t="str">
        <f t="shared" si="7"/>
        <v/>
      </c>
      <c r="J52" s="30" t="str">
        <f t="shared" si="8"/>
        <v/>
      </c>
      <c r="K52" s="30" t="str">
        <f t="shared" si="9"/>
        <v/>
      </c>
      <c r="L52" s="67" t="str">
        <f t="shared" si="10"/>
        <v/>
      </c>
      <c r="M52" s="68" t="str">
        <f t="shared" si="11"/>
        <v/>
      </c>
      <c r="N52" s="67" t="str">
        <f t="shared" si="12"/>
        <v/>
      </c>
      <c r="O52" s="69" t="str">
        <f>IFERROR(IF($C52="","",VLOOKUP($N52,Feriados!$A$4:$B$5000,2,FALSE)),"")</f>
        <v/>
      </c>
      <c r="P52" s="67" t="str">
        <f t="shared" si="13"/>
        <v/>
      </c>
      <c r="Q52" s="62"/>
      <c r="R52" s="62"/>
      <c r="S52" s="62"/>
      <c r="U52" s="73"/>
      <c r="V52" s="41" t="str">
        <f t="shared" si="14"/>
        <v/>
      </c>
    </row>
    <row r="53" spans="1:22" s="34" customFormat="1" x14ac:dyDescent="0.25">
      <c r="A53" s="24" t="str">
        <f t="shared" si="15"/>
        <v/>
      </c>
      <c r="B53" s="25"/>
      <c r="C53" s="26" t="str">
        <f t="shared" si="2"/>
        <v/>
      </c>
      <c r="D53" s="12"/>
      <c r="E53" s="27" t="str">
        <f t="shared" si="3"/>
        <v/>
      </c>
      <c r="F53" s="30" t="str">
        <f t="shared" si="4"/>
        <v/>
      </c>
      <c r="G53" s="29" t="str">
        <f t="shared" si="5"/>
        <v/>
      </c>
      <c r="H53" s="30" t="str">
        <f t="shared" si="6"/>
        <v/>
      </c>
      <c r="I53" s="31" t="str">
        <f t="shared" si="7"/>
        <v/>
      </c>
      <c r="J53" s="30" t="str">
        <f t="shared" si="8"/>
        <v/>
      </c>
      <c r="K53" s="30" t="str">
        <f t="shared" si="9"/>
        <v/>
      </c>
      <c r="L53" s="67" t="str">
        <f t="shared" si="10"/>
        <v/>
      </c>
      <c r="M53" s="68" t="str">
        <f t="shared" si="11"/>
        <v/>
      </c>
      <c r="N53" s="67" t="str">
        <f t="shared" si="12"/>
        <v/>
      </c>
      <c r="O53" s="69" t="str">
        <f>IFERROR(IF($C53="","",VLOOKUP($N53,Feriados!$A$4:$B$5000,2,FALSE)),"")</f>
        <v/>
      </c>
      <c r="P53" s="67" t="str">
        <f t="shared" si="13"/>
        <v/>
      </c>
      <c r="Q53" s="62"/>
      <c r="R53" s="62"/>
      <c r="S53" s="62"/>
      <c r="U53" s="73"/>
      <c r="V53" s="41" t="str">
        <f t="shared" si="14"/>
        <v/>
      </c>
    </row>
    <row r="54" spans="1:22" s="34" customFormat="1" x14ac:dyDescent="0.25">
      <c r="A54" s="24" t="str">
        <f t="shared" si="15"/>
        <v/>
      </c>
      <c r="B54" s="25"/>
      <c r="C54" s="26" t="str">
        <f t="shared" si="2"/>
        <v/>
      </c>
      <c r="D54" s="12"/>
      <c r="E54" s="27" t="str">
        <f t="shared" si="3"/>
        <v/>
      </c>
      <c r="F54" s="30" t="str">
        <f t="shared" si="4"/>
        <v/>
      </c>
      <c r="G54" s="29" t="str">
        <f t="shared" si="5"/>
        <v/>
      </c>
      <c r="H54" s="30" t="str">
        <f t="shared" si="6"/>
        <v/>
      </c>
      <c r="I54" s="31" t="str">
        <f t="shared" si="7"/>
        <v/>
      </c>
      <c r="J54" s="32" t="str">
        <f t="shared" si="8"/>
        <v/>
      </c>
      <c r="K54" s="30" t="str">
        <f t="shared" si="9"/>
        <v/>
      </c>
      <c r="L54" s="67" t="str">
        <f t="shared" si="10"/>
        <v/>
      </c>
      <c r="M54" s="68" t="str">
        <f t="shared" si="11"/>
        <v/>
      </c>
      <c r="N54" s="67" t="str">
        <f t="shared" si="12"/>
        <v/>
      </c>
      <c r="O54" s="69" t="str">
        <f>IFERROR(IF($C54="","",VLOOKUP($N54,Feriados!$A$4:$B$5000,2,FALSE)),"")</f>
        <v/>
      </c>
      <c r="P54" s="67" t="str">
        <f t="shared" si="13"/>
        <v/>
      </c>
      <c r="Q54" s="62"/>
      <c r="R54" s="62"/>
      <c r="S54" s="62"/>
      <c r="U54" s="73"/>
      <c r="V54" s="41" t="str">
        <f t="shared" si="14"/>
        <v/>
      </c>
    </row>
    <row r="55" spans="1:22" s="34" customFormat="1" x14ac:dyDescent="0.25">
      <c r="A55" s="24" t="str">
        <f t="shared" si="15"/>
        <v/>
      </c>
      <c r="B55" s="25"/>
      <c r="C55" s="26" t="str">
        <f t="shared" si="2"/>
        <v/>
      </c>
      <c r="D55" s="12"/>
      <c r="E55" s="27" t="str">
        <f t="shared" si="3"/>
        <v/>
      </c>
      <c r="F55" s="30" t="str">
        <f t="shared" si="4"/>
        <v/>
      </c>
      <c r="G55" s="29" t="str">
        <f t="shared" si="5"/>
        <v/>
      </c>
      <c r="H55" s="30" t="str">
        <f t="shared" si="6"/>
        <v/>
      </c>
      <c r="I55" s="31" t="str">
        <f t="shared" si="7"/>
        <v/>
      </c>
      <c r="J55" s="30" t="str">
        <f t="shared" si="8"/>
        <v/>
      </c>
      <c r="K55" s="30" t="str">
        <f t="shared" si="9"/>
        <v/>
      </c>
      <c r="L55" s="67" t="str">
        <f t="shared" si="10"/>
        <v/>
      </c>
      <c r="M55" s="68" t="str">
        <f t="shared" si="11"/>
        <v/>
      </c>
      <c r="N55" s="67" t="str">
        <f t="shared" si="12"/>
        <v/>
      </c>
      <c r="O55" s="69" t="str">
        <f>IFERROR(IF($C55="","",VLOOKUP($N55,Feriados!$A$4:$B$5000,2,FALSE)),"")</f>
        <v/>
      </c>
      <c r="P55" s="67" t="str">
        <f t="shared" si="13"/>
        <v/>
      </c>
      <c r="Q55" s="62"/>
      <c r="R55" s="62"/>
      <c r="S55" s="62"/>
      <c r="U55" s="73"/>
      <c r="V55" s="41" t="str">
        <f t="shared" si="14"/>
        <v/>
      </c>
    </row>
    <row r="56" spans="1:22" s="34" customFormat="1" x14ac:dyDescent="0.25">
      <c r="A56" s="24" t="str">
        <f t="shared" si="15"/>
        <v/>
      </c>
      <c r="B56" s="25"/>
      <c r="C56" s="26" t="str">
        <f t="shared" si="2"/>
        <v/>
      </c>
      <c r="D56" s="12"/>
      <c r="E56" s="27" t="str">
        <f t="shared" si="3"/>
        <v/>
      </c>
      <c r="F56" s="30" t="str">
        <f t="shared" si="4"/>
        <v/>
      </c>
      <c r="G56" s="29" t="str">
        <f t="shared" si="5"/>
        <v/>
      </c>
      <c r="H56" s="30" t="str">
        <f t="shared" si="6"/>
        <v/>
      </c>
      <c r="I56" s="31" t="str">
        <f t="shared" si="7"/>
        <v/>
      </c>
      <c r="J56" s="30" t="str">
        <f t="shared" si="8"/>
        <v/>
      </c>
      <c r="K56" s="30" t="str">
        <f t="shared" si="9"/>
        <v/>
      </c>
      <c r="L56" s="67" t="str">
        <f t="shared" si="10"/>
        <v/>
      </c>
      <c r="M56" s="68" t="str">
        <f t="shared" si="11"/>
        <v/>
      </c>
      <c r="N56" s="67" t="str">
        <f t="shared" si="12"/>
        <v/>
      </c>
      <c r="O56" s="69" t="str">
        <f>IFERROR(IF($C56="","",VLOOKUP($N56,Feriados!$A$4:$B$5000,2,FALSE)),"")</f>
        <v/>
      </c>
      <c r="P56" s="67" t="str">
        <f t="shared" si="13"/>
        <v/>
      </c>
      <c r="Q56" s="63"/>
      <c r="R56" s="63"/>
      <c r="S56" s="62"/>
      <c r="U56" s="73"/>
      <c r="V56" s="41" t="str">
        <f t="shared" si="14"/>
        <v/>
      </c>
    </row>
    <row r="57" spans="1:22" s="34" customFormat="1" x14ac:dyDescent="0.25">
      <c r="A57" s="24" t="str">
        <f t="shared" si="15"/>
        <v/>
      </c>
      <c r="B57" s="25"/>
      <c r="C57" s="26" t="str">
        <f t="shared" si="2"/>
        <v/>
      </c>
      <c r="D57" s="12"/>
      <c r="E57" s="27" t="str">
        <f t="shared" si="3"/>
        <v/>
      </c>
      <c r="F57" s="30" t="str">
        <f t="shared" si="4"/>
        <v/>
      </c>
      <c r="G57" s="29" t="str">
        <f t="shared" si="5"/>
        <v/>
      </c>
      <c r="H57" s="30" t="str">
        <f t="shared" si="6"/>
        <v/>
      </c>
      <c r="I57" s="31" t="str">
        <f t="shared" si="7"/>
        <v/>
      </c>
      <c r="J57" s="30" t="str">
        <f t="shared" si="8"/>
        <v/>
      </c>
      <c r="K57" s="30" t="str">
        <f t="shared" si="9"/>
        <v/>
      </c>
      <c r="L57" s="67" t="str">
        <f t="shared" si="10"/>
        <v/>
      </c>
      <c r="M57" s="68" t="str">
        <f t="shared" si="11"/>
        <v/>
      </c>
      <c r="N57" s="67" t="str">
        <f t="shared" si="12"/>
        <v/>
      </c>
      <c r="O57" s="69" t="str">
        <f>IFERROR(IF($C57="","",VLOOKUP($N57,Feriados!$A$4:$B$5000,2,FALSE)),"")</f>
        <v/>
      </c>
      <c r="P57" s="67" t="str">
        <f t="shared" si="13"/>
        <v/>
      </c>
      <c r="Q57" s="63"/>
      <c r="R57" s="63"/>
      <c r="S57" s="62"/>
      <c r="U57" s="73"/>
      <c r="V57" s="41" t="str">
        <f t="shared" si="14"/>
        <v/>
      </c>
    </row>
    <row r="58" spans="1:22" s="34" customFormat="1" x14ac:dyDescent="0.25">
      <c r="A58" s="24" t="str">
        <f t="shared" si="15"/>
        <v/>
      </c>
      <c r="B58" s="25"/>
      <c r="C58" s="26" t="str">
        <f t="shared" si="2"/>
        <v/>
      </c>
      <c r="D58" s="12"/>
      <c r="E58" s="27" t="str">
        <f t="shared" si="3"/>
        <v/>
      </c>
      <c r="F58" s="30" t="str">
        <f t="shared" si="4"/>
        <v/>
      </c>
      <c r="G58" s="29" t="str">
        <f t="shared" si="5"/>
        <v/>
      </c>
      <c r="H58" s="30" t="str">
        <f t="shared" si="6"/>
        <v/>
      </c>
      <c r="I58" s="31" t="str">
        <f t="shared" si="7"/>
        <v/>
      </c>
      <c r="J58" s="30" t="str">
        <f t="shared" si="8"/>
        <v/>
      </c>
      <c r="K58" s="30" t="str">
        <f t="shared" si="9"/>
        <v/>
      </c>
      <c r="L58" s="67" t="str">
        <f t="shared" si="10"/>
        <v/>
      </c>
      <c r="M58" s="68" t="str">
        <f t="shared" si="11"/>
        <v/>
      </c>
      <c r="N58" s="67" t="str">
        <f t="shared" si="12"/>
        <v/>
      </c>
      <c r="O58" s="69" t="str">
        <f>IFERROR(IF($C58="","",VLOOKUP($N58,Feriados!$A$4:$B$5000,2,FALSE)),"")</f>
        <v/>
      </c>
      <c r="P58" s="67" t="str">
        <f t="shared" si="13"/>
        <v/>
      </c>
      <c r="Q58" s="63"/>
      <c r="R58" s="63"/>
      <c r="S58" s="62"/>
      <c r="U58" s="73"/>
      <c r="V58" s="41" t="str">
        <f t="shared" si="14"/>
        <v/>
      </c>
    </row>
    <row r="59" spans="1:22" s="34" customFormat="1" x14ac:dyDescent="0.25">
      <c r="A59" s="24" t="str">
        <f t="shared" si="15"/>
        <v/>
      </c>
      <c r="B59" s="25"/>
      <c r="C59" s="26" t="str">
        <f t="shared" si="2"/>
        <v/>
      </c>
      <c r="D59" s="12"/>
      <c r="E59" s="27" t="str">
        <f t="shared" si="3"/>
        <v/>
      </c>
      <c r="F59" s="30" t="str">
        <f t="shared" si="4"/>
        <v/>
      </c>
      <c r="G59" s="29" t="str">
        <f t="shared" si="5"/>
        <v/>
      </c>
      <c r="H59" s="30" t="str">
        <f t="shared" si="6"/>
        <v/>
      </c>
      <c r="I59" s="31" t="str">
        <f t="shared" si="7"/>
        <v/>
      </c>
      <c r="J59" s="30" t="str">
        <f t="shared" si="8"/>
        <v/>
      </c>
      <c r="K59" s="30" t="str">
        <f t="shared" si="9"/>
        <v/>
      </c>
      <c r="L59" s="67" t="str">
        <f t="shared" si="10"/>
        <v/>
      </c>
      <c r="M59" s="68" t="str">
        <f t="shared" si="11"/>
        <v/>
      </c>
      <c r="N59" s="67" t="str">
        <f t="shared" si="12"/>
        <v/>
      </c>
      <c r="O59" s="69" t="str">
        <f>IFERROR(IF($C59="","",VLOOKUP($N59,Feriados!$A$4:$B$5000,2,FALSE)),"")</f>
        <v/>
      </c>
      <c r="P59" s="67" t="str">
        <f t="shared" si="13"/>
        <v/>
      </c>
      <c r="Q59" s="63"/>
      <c r="R59" s="63"/>
      <c r="S59" s="62"/>
      <c r="U59" s="73"/>
      <c r="V59" s="41" t="str">
        <f t="shared" si="14"/>
        <v/>
      </c>
    </row>
    <row r="60" spans="1:22" s="34" customFormat="1" x14ac:dyDescent="0.25">
      <c r="A60" s="24" t="str">
        <f t="shared" si="15"/>
        <v/>
      </c>
      <c r="B60" s="25"/>
      <c r="C60" s="26" t="str">
        <f t="shared" si="2"/>
        <v/>
      </c>
      <c r="D60" s="12"/>
      <c r="E60" s="27" t="str">
        <f t="shared" si="3"/>
        <v/>
      </c>
      <c r="F60" s="30" t="str">
        <f t="shared" si="4"/>
        <v/>
      </c>
      <c r="G60" s="29" t="str">
        <f t="shared" si="5"/>
        <v/>
      </c>
      <c r="H60" s="30" t="str">
        <f t="shared" si="6"/>
        <v/>
      </c>
      <c r="I60" s="31" t="str">
        <f t="shared" si="7"/>
        <v/>
      </c>
      <c r="J60" s="30" t="str">
        <f t="shared" si="8"/>
        <v/>
      </c>
      <c r="K60" s="30" t="str">
        <f t="shared" si="9"/>
        <v/>
      </c>
      <c r="L60" s="67" t="str">
        <f t="shared" si="10"/>
        <v/>
      </c>
      <c r="M60" s="68" t="str">
        <f t="shared" si="11"/>
        <v/>
      </c>
      <c r="N60" s="67" t="str">
        <f t="shared" si="12"/>
        <v/>
      </c>
      <c r="O60" s="69" t="str">
        <f>IFERROR(IF($C60="","",VLOOKUP($N60,Feriados!$A$4:$B$5000,2,FALSE)),"")</f>
        <v/>
      </c>
      <c r="P60" s="67" t="str">
        <f t="shared" si="13"/>
        <v/>
      </c>
      <c r="Q60" s="63"/>
      <c r="R60" s="63"/>
      <c r="S60" s="62"/>
      <c r="U60" s="73"/>
      <c r="V60" s="41" t="str">
        <f t="shared" si="14"/>
        <v/>
      </c>
    </row>
    <row r="61" spans="1:22" s="34" customFormat="1" x14ac:dyDescent="0.25">
      <c r="A61" s="24" t="str">
        <f t="shared" si="15"/>
        <v/>
      </c>
      <c r="B61" s="25"/>
      <c r="C61" s="26" t="str">
        <f t="shared" si="2"/>
        <v/>
      </c>
      <c r="D61" s="12"/>
      <c r="E61" s="27" t="str">
        <f t="shared" si="3"/>
        <v/>
      </c>
      <c r="F61" s="30" t="str">
        <f t="shared" si="4"/>
        <v/>
      </c>
      <c r="G61" s="29" t="str">
        <f t="shared" si="5"/>
        <v/>
      </c>
      <c r="H61" s="30" t="str">
        <f t="shared" si="6"/>
        <v/>
      </c>
      <c r="I61" s="31" t="str">
        <f t="shared" si="7"/>
        <v/>
      </c>
      <c r="J61" s="30" t="str">
        <f t="shared" si="8"/>
        <v/>
      </c>
      <c r="K61" s="30" t="str">
        <f t="shared" si="9"/>
        <v/>
      </c>
      <c r="L61" s="67" t="str">
        <f t="shared" si="10"/>
        <v/>
      </c>
      <c r="M61" s="68" t="str">
        <f t="shared" si="11"/>
        <v/>
      </c>
      <c r="N61" s="67" t="str">
        <f t="shared" si="12"/>
        <v/>
      </c>
      <c r="O61" s="69" t="str">
        <f>IFERROR(IF($C61="","",VLOOKUP($N61,Feriados!$A$4:$B$5000,2,FALSE)),"")</f>
        <v/>
      </c>
      <c r="P61" s="67" t="str">
        <f t="shared" si="13"/>
        <v/>
      </c>
      <c r="Q61" s="63"/>
      <c r="R61" s="63"/>
      <c r="S61" s="62"/>
      <c r="U61" s="73"/>
      <c r="V61" s="41" t="str">
        <f t="shared" si="14"/>
        <v/>
      </c>
    </row>
    <row r="62" spans="1:22" s="34" customFormat="1" x14ac:dyDescent="0.25">
      <c r="A62" s="24" t="str">
        <f t="shared" si="15"/>
        <v/>
      </c>
      <c r="B62" s="25"/>
      <c r="C62" s="26" t="str">
        <f t="shared" si="2"/>
        <v/>
      </c>
      <c r="D62" s="12"/>
      <c r="E62" s="27" t="str">
        <f t="shared" si="3"/>
        <v/>
      </c>
      <c r="F62" s="30" t="str">
        <f t="shared" si="4"/>
        <v/>
      </c>
      <c r="G62" s="29" t="str">
        <f t="shared" si="5"/>
        <v/>
      </c>
      <c r="H62" s="30" t="str">
        <f t="shared" si="6"/>
        <v/>
      </c>
      <c r="I62" s="31" t="str">
        <f t="shared" si="7"/>
        <v/>
      </c>
      <c r="J62" s="30" t="str">
        <f t="shared" si="8"/>
        <v/>
      </c>
      <c r="K62" s="30" t="str">
        <f t="shared" si="9"/>
        <v/>
      </c>
      <c r="L62" s="67" t="str">
        <f t="shared" si="10"/>
        <v/>
      </c>
      <c r="M62" s="68" t="str">
        <f t="shared" si="11"/>
        <v/>
      </c>
      <c r="N62" s="67" t="str">
        <f t="shared" si="12"/>
        <v/>
      </c>
      <c r="O62" s="69" t="str">
        <f>IFERROR(IF($C62="","",VLOOKUP($N62,Feriados!$A$4:$B$5000,2,FALSE)),"")</f>
        <v/>
      </c>
      <c r="P62" s="67" t="str">
        <f t="shared" si="13"/>
        <v/>
      </c>
      <c r="Q62" s="63"/>
      <c r="R62" s="63"/>
      <c r="S62" s="62"/>
      <c r="U62" s="73"/>
      <c r="V62" s="41" t="str">
        <f t="shared" si="14"/>
        <v/>
      </c>
    </row>
    <row r="63" spans="1:22" s="34" customFormat="1" x14ac:dyDescent="0.25">
      <c r="A63" s="24" t="str">
        <f t="shared" si="15"/>
        <v/>
      </c>
      <c r="B63" s="25"/>
      <c r="C63" s="26" t="str">
        <f t="shared" si="2"/>
        <v/>
      </c>
      <c r="D63" s="12"/>
      <c r="E63" s="27" t="str">
        <f t="shared" si="3"/>
        <v/>
      </c>
      <c r="F63" s="30" t="str">
        <f t="shared" si="4"/>
        <v/>
      </c>
      <c r="G63" s="29" t="str">
        <f t="shared" si="5"/>
        <v/>
      </c>
      <c r="H63" s="30" t="str">
        <f t="shared" si="6"/>
        <v/>
      </c>
      <c r="I63" s="31" t="str">
        <f t="shared" si="7"/>
        <v/>
      </c>
      <c r="J63" s="30" t="str">
        <f t="shared" si="8"/>
        <v/>
      </c>
      <c r="K63" s="30" t="str">
        <f t="shared" si="9"/>
        <v/>
      </c>
      <c r="L63" s="67" t="str">
        <f t="shared" si="10"/>
        <v/>
      </c>
      <c r="M63" s="68" t="str">
        <f t="shared" si="11"/>
        <v/>
      </c>
      <c r="N63" s="67" t="str">
        <f t="shared" si="12"/>
        <v/>
      </c>
      <c r="O63" s="69" t="str">
        <f>IFERROR(IF($C63="","",VLOOKUP($N63,Feriados!$A$4:$B$5000,2,FALSE)),"")</f>
        <v/>
      </c>
      <c r="P63" s="67" t="str">
        <f t="shared" si="13"/>
        <v/>
      </c>
      <c r="Q63" s="63"/>
      <c r="R63" s="63"/>
      <c r="S63" s="62"/>
      <c r="U63" s="73"/>
      <c r="V63" s="41" t="str">
        <f t="shared" si="14"/>
        <v/>
      </c>
    </row>
    <row r="64" spans="1:22" s="34" customFormat="1" x14ac:dyDescent="0.25">
      <c r="A64" s="24" t="str">
        <f t="shared" si="15"/>
        <v/>
      </c>
      <c r="B64" s="25"/>
      <c r="C64" s="26" t="str">
        <f t="shared" si="2"/>
        <v/>
      </c>
      <c r="D64" s="12"/>
      <c r="E64" s="27" t="str">
        <f t="shared" si="3"/>
        <v/>
      </c>
      <c r="F64" s="30" t="str">
        <f t="shared" si="4"/>
        <v/>
      </c>
      <c r="G64" s="29" t="str">
        <f t="shared" si="5"/>
        <v/>
      </c>
      <c r="H64" s="30" t="str">
        <f t="shared" si="6"/>
        <v/>
      </c>
      <c r="I64" s="31" t="str">
        <f t="shared" si="7"/>
        <v/>
      </c>
      <c r="J64" s="30" t="str">
        <f t="shared" si="8"/>
        <v/>
      </c>
      <c r="K64" s="30" t="str">
        <f t="shared" si="9"/>
        <v/>
      </c>
      <c r="L64" s="67" t="str">
        <f t="shared" si="10"/>
        <v/>
      </c>
      <c r="M64" s="68" t="str">
        <f t="shared" si="11"/>
        <v/>
      </c>
      <c r="N64" s="67" t="str">
        <f t="shared" si="12"/>
        <v/>
      </c>
      <c r="O64" s="69" t="str">
        <f>IFERROR(IF($C64="","",VLOOKUP($N64,Feriados!$A$4:$B$5000,2,FALSE)),"")</f>
        <v/>
      </c>
      <c r="P64" s="67" t="str">
        <f t="shared" si="13"/>
        <v/>
      </c>
      <c r="Q64" s="63"/>
      <c r="R64" s="63"/>
      <c r="S64" s="62"/>
      <c r="U64" s="73"/>
      <c r="V64" s="41" t="str">
        <f t="shared" si="14"/>
        <v/>
      </c>
    </row>
    <row r="65" spans="1:22" s="34" customFormat="1" x14ac:dyDescent="0.25">
      <c r="A65" s="24" t="str">
        <f t="shared" si="15"/>
        <v/>
      </c>
      <c r="B65" s="25"/>
      <c r="C65" s="26" t="str">
        <f t="shared" si="2"/>
        <v/>
      </c>
      <c r="D65" s="12"/>
      <c r="E65" s="27" t="str">
        <f t="shared" si="3"/>
        <v/>
      </c>
      <c r="F65" s="30" t="str">
        <f t="shared" si="4"/>
        <v/>
      </c>
      <c r="G65" s="29" t="str">
        <f t="shared" si="5"/>
        <v/>
      </c>
      <c r="H65" s="30" t="str">
        <f t="shared" si="6"/>
        <v/>
      </c>
      <c r="I65" s="31" t="str">
        <f t="shared" si="7"/>
        <v/>
      </c>
      <c r="J65" s="30" t="str">
        <f t="shared" si="8"/>
        <v/>
      </c>
      <c r="K65" s="30" t="str">
        <f t="shared" si="9"/>
        <v/>
      </c>
      <c r="L65" s="67" t="str">
        <f t="shared" si="10"/>
        <v/>
      </c>
      <c r="M65" s="68" t="str">
        <f t="shared" si="11"/>
        <v/>
      </c>
      <c r="N65" s="67" t="str">
        <f t="shared" si="12"/>
        <v/>
      </c>
      <c r="O65" s="69" t="str">
        <f>IFERROR(IF($C65="","",VLOOKUP($N65,Feriados!$A$4:$B$5000,2,FALSE)),"")</f>
        <v/>
      </c>
      <c r="P65" s="67" t="str">
        <f t="shared" si="13"/>
        <v/>
      </c>
      <c r="Q65" s="63"/>
      <c r="R65" s="63"/>
      <c r="S65" s="62"/>
      <c r="U65" s="73"/>
      <c r="V65" s="41" t="str">
        <f t="shared" si="14"/>
        <v/>
      </c>
    </row>
    <row r="66" spans="1:22" s="34" customFormat="1" x14ac:dyDescent="0.25">
      <c r="A66" s="24" t="str">
        <f t="shared" si="15"/>
        <v/>
      </c>
      <c r="B66" s="25"/>
      <c r="C66" s="26" t="str">
        <f t="shared" si="2"/>
        <v/>
      </c>
      <c r="D66" s="12"/>
      <c r="E66" s="27" t="str">
        <f t="shared" si="3"/>
        <v/>
      </c>
      <c r="F66" s="30" t="str">
        <f t="shared" si="4"/>
        <v/>
      </c>
      <c r="G66" s="29" t="str">
        <f t="shared" si="5"/>
        <v/>
      </c>
      <c r="H66" s="30" t="str">
        <f t="shared" si="6"/>
        <v/>
      </c>
      <c r="I66" s="31" t="str">
        <f t="shared" si="7"/>
        <v/>
      </c>
      <c r="J66" s="30" t="str">
        <f t="shared" si="8"/>
        <v/>
      </c>
      <c r="K66" s="30" t="str">
        <f t="shared" si="9"/>
        <v/>
      </c>
      <c r="L66" s="67" t="str">
        <f t="shared" si="10"/>
        <v/>
      </c>
      <c r="M66" s="68" t="str">
        <f t="shared" si="11"/>
        <v/>
      </c>
      <c r="N66" s="67" t="str">
        <f t="shared" si="12"/>
        <v/>
      </c>
      <c r="O66" s="69" t="str">
        <f>IFERROR(IF($C66="","",VLOOKUP($N66,Feriados!$A$4:$B$5000,2,FALSE)),"")</f>
        <v/>
      </c>
      <c r="P66" s="67" t="str">
        <f t="shared" si="13"/>
        <v/>
      </c>
      <c r="Q66" s="63"/>
      <c r="R66" s="63"/>
      <c r="S66" s="62"/>
      <c r="U66" s="73"/>
      <c r="V66" s="41" t="str">
        <f t="shared" si="14"/>
        <v/>
      </c>
    </row>
    <row r="67" spans="1:22" s="34" customFormat="1" x14ac:dyDescent="0.25">
      <c r="A67" s="24" t="str">
        <f t="shared" si="15"/>
        <v/>
      </c>
      <c r="B67" s="25"/>
      <c r="C67" s="26" t="str">
        <f t="shared" si="2"/>
        <v/>
      </c>
      <c r="D67" s="12"/>
      <c r="E67" s="27" t="str">
        <f t="shared" si="3"/>
        <v/>
      </c>
      <c r="F67" s="30" t="str">
        <f t="shared" si="4"/>
        <v/>
      </c>
      <c r="G67" s="29" t="str">
        <f t="shared" si="5"/>
        <v/>
      </c>
      <c r="H67" s="30" t="str">
        <f t="shared" si="6"/>
        <v/>
      </c>
      <c r="I67" s="31" t="str">
        <f t="shared" si="7"/>
        <v/>
      </c>
      <c r="J67" s="30" t="str">
        <f t="shared" si="8"/>
        <v/>
      </c>
      <c r="K67" s="30" t="str">
        <f t="shared" si="9"/>
        <v/>
      </c>
      <c r="L67" s="67" t="str">
        <f t="shared" si="10"/>
        <v/>
      </c>
      <c r="M67" s="68" t="str">
        <f t="shared" si="11"/>
        <v/>
      </c>
      <c r="N67" s="67" t="str">
        <f t="shared" si="12"/>
        <v/>
      </c>
      <c r="O67" s="69" t="str">
        <f>IFERROR(IF($C67="","",VLOOKUP($N67,Feriados!$A$4:$B$5000,2,FALSE)),"")</f>
        <v/>
      </c>
      <c r="P67" s="67" t="str">
        <f t="shared" si="13"/>
        <v/>
      </c>
      <c r="Q67" s="63"/>
      <c r="R67" s="63"/>
      <c r="S67" s="62"/>
      <c r="U67" s="73"/>
      <c r="V67" s="41" t="str">
        <f t="shared" si="14"/>
        <v/>
      </c>
    </row>
    <row r="68" spans="1:22" s="34" customFormat="1" x14ac:dyDescent="0.25">
      <c r="A68" s="24" t="str">
        <f t="shared" si="15"/>
        <v/>
      </c>
      <c r="B68" s="25"/>
      <c r="C68" s="26" t="str">
        <f t="shared" si="2"/>
        <v/>
      </c>
      <c r="D68" s="12"/>
      <c r="E68" s="27" t="str">
        <f t="shared" si="3"/>
        <v/>
      </c>
      <c r="F68" s="30" t="str">
        <f t="shared" si="4"/>
        <v/>
      </c>
      <c r="G68" s="29" t="str">
        <f t="shared" si="5"/>
        <v/>
      </c>
      <c r="H68" s="30" t="str">
        <f t="shared" si="6"/>
        <v/>
      </c>
      <c r="I68" s="31" t="str">
        <f t="shared" si="7"/>
        <v/>
      </c>
      <c r="J68" s="30" t="str">
        <f t="shared" si="8"/>
        <v/>
      </c>
      <c r="K68" s="30" t="str">
        <f t="shared" si="9"/>
        <v/>
      </c>
      <c r="L68" s="67" t="str">
        <f t="shared" si="10"/>
        <v/>
      </c>
      <c r="M68" s="68" t="str">
        <f t="shared" si="11"/>
        <v/>
      </c>
      <c r="N68" s="67" t="str">
        <f t="shared" si="12"/>
        <v/>
      </c>
      <c r="O68" s="69" t="str">
        <f>IFERROR(IF($C68="","",VLOOKUP($N68,Feriados!$A$4:$B$5000,2,FALSE)),"")</f>
        <v/>
      </c>
      <c r="P68" s="67" t="str">
        <f t="shared" si="13"/>
        <v/>
      </c>
      <c r="Q68" s="63"/>
      <c r="R68" s="63"/>
      <c r="S68" s="62"/>
      <c r="U68" s="73"/>
      <c r="V68" s="41" t="str">
        <f t="shared" si="14"/>
        <v/>
      </c>
    </row>
    <row r="69" spans="1:22" s="34" customFormat="1" x14ac:dyDescent="0.25">
      <c r="A69" s="24" t="str">
        <f t="shared" si="15"/>
        <v/>
      </c>
      <c r="B69" s="25"/>
      <c r="C69" s="26" t="str">
        <f t="shared" si="2"/>
        <v/>
      </c>
      <c r="D69" s="12"/>
      <c r="E69" s="27" t="str">
        <f t="shared" si="3"/>
        <v/>
      </c>
      <c r="F69" s="30" t="str">
        <f t="shared" si="4"/>
        <v/>
      </c>
      <c r="G69" s="29" t="str">
        <f t="shared" si="5"/>
        <v/>
      </c>
      <c r="H69" s="30" t="str">
        <f t="shared" si="6"/>
        <v/>
      </c>
      <c r="I69" s="31" t="str">
        <f t="shared" si="7"/>
        <v/>
      </c>
      <c r="J69" s="30" t="str">
        <f t="shared" si="8"/>
        <v/>
      </c>
      <c r="K69" s="30" t="str">
        <f t="shared" si="9"/>
        <v/>
      </c>
      <c r="L69" s="67" t="str">
        <f t="shared" si="10"/>
        <v/>
      </c>
      <c r="M69" s="68" t="str">
        <f t="shared" si="11"/>
        <v/>
      </c>
      <c r="N69" s="67" t="str">
        <f t="shared" si="12"/>
        <v/>
      </c>
      <c r="O69" s="69" t="str">
        <f>IFERROR(IF($C69="","",VLOOKUP($N69,Feriados!$A$4:$B$5000,2,FALSE)),"")</f>
        <v/>
      </c>
      <c r="P69" s="67" t="str">
        <f t="shared" si="13"/>
        <v/>
      </c>
      <c r="Q69" s="63"/>
      <c r="R69" s="63"/>
      <c r="S69" s="62"/>
      <c r="U69" s="73"/>
      <c r="V69" s="41" t="str">
        <f t="shared" si="14"/>
        <v/>
      </c>
    </row>
    <row r="70" spans="1:22" s="34" customFormat="1" x14ac:dyDescent="0.25">
      <c r="A70" s="24" t="str">
        <f t="shared" si="15"/>
        <v/>
      </c>
      <c r="B70" s="25"/>
      <c r="C70" s="26" t="str">
        <f t="shared" si="2"/>
        <v/>
      </c>
      <c r="D70" s="12"/>
      <c r="E70" s="27" t="str">
        <f t="shared" si="3"/>
        <v/>
      </c>
      <c r="F70" s="30" t="str">
        <f t="shared" si="4"/>
        <v/>
      </c>
      <c r="G70" s="29" t="str">
        <f t="shared" si="5"/>
        <v/>
      </c>
      <c r="H70" s="30" t="str">
        <f t="shared" si="6"/>
        <v/>
      </c>
      <c r="I70" s="31" t="str">
        <f t="shared" si="7"/>
        <v/>
      </c>
      <c r="J70" s="30" t="str">
        <f t="shared" si="8"/>
        <v/>
      </c>
      <c r="K70" s="30" t="str">
        <f t="shared" si="9"/>
        <v/>
      </c>
      <c r="L70" s="67" t="str">
        <f t="shared" si="10"/>
        <v/>
      </c>
      <c r="M70" s="68" t="str">
        <f t="shared" si="11"/>
        <v/>
      </c>
      <c r="N70" s="67" t="str">
        <f t="shared" si="12"/>
        <v/>
      </c>
      <c r="O70" s="69" t="str">
        <f>IFERROR(IF($C70="","",VLOOKUP($N70,Feriados!$A$4:$B$5000,2,FALSE)),"")</f>
        <v/>
      </c>
      <c r="P70" s="67" t="str">
        <f t="shared" si="13"/>
        <v/>
      </c>
      <c r="Q70" s="63"/>
      <c r="R70" s="63"/>
      <c r="S70" s="62"/>
      <c r="U70" s="73"/>
      <c r="V70" s="41" t="str">
        <f t="shared" si="14"/>
        <v/>
      </c>
    </row>
    <row r="71" spans="1:22" s="34" customFormat="1" x14ac:dyDescent="0.25">
      <c r="A71" s="24" t="str">
        <f t="shared" si="15"/>
        <v/>
      </c>
      <c r="B71" s="25"/>
      <c r="C71" s="26" t="str">
        <f t="shared" si="2"/>
        <v/>
      </c>
      <c r="D71" s="12"/>
      <c r="E71" s="27" t="str">
        <f t="shared" si="3"/>
        <v/>
      </c>
      <c r="F71" s="30" t="str">
        <f t="shared" si="4"/>
        <v/>
      </c>
      <c r="G71" s="29" t="str">
        <f t="shared" si="5"/>
        <v/>
      </c>
      <c r="H71" s="30" t="str">
        <f t="shared" si="6"/>
        <v/>
      </c>
      <c r="I71" s="31" t="str">
        <f t="shared" si="7"/>
        <v/>
      </c>
      <c r="J71" s="30" t="str">
        <f t="shared" si="8"/>
        <v/>
      </c>
      <c r="K71" s="30" t="str">
        <f t="shared" si="9"/>
        <v/>
      </c>
      <c r="L71" s="67" t="str">
        <f t="shared" si="10"/>
        <v/>
      </c>
      <c r="M71" s="68" t="str">
        <f t="shared" si="11"/>
        <v/>
      </c>
      <c r="N71" s="67" t="str">
        <f t="shared" si="12"/>
        <v/>
      </c>
      <c r="O71" s="69" t="str">
        <f>IFERROR(IF($C71="","",VLOOKUP($N71,Feriados!$A$4:$B$5000,2,FALSE)),"")</f>
        <v/>
      </c>
      <c r="P71" s="67" t="str">
        <f t="shared" si="13"/>
        <v/>
      </c>
      <c r="Q71" s="63"/>
      <c r="R71" s="63"/>
      <c r="S71" s="62"/>
      <c r="U71" s="73"/>
      <c r="V71" s="41" t="str">
        <f t="shared" si="14"/>
        <v/>
      </c>
    </row>
    <row r="72" spans="1:22" s="34" customFormat="1" x14ac:dyDescent="0.25">
      <c r="A72" s="24" t="str">
        <f t="shared" si="15"/>
        <v/>
      </c>
      <c r="B72" s="25"/>
      <c r="C72" s="26" t="str">
        <f t="shared" si="2"/>
        <v/>
      </c>
      <c r="D72" s="12"/>
      <c r="E72" s="27" t="str">
        <f t="shared" si="3"/>
        <v/>
      </c>
      <c r="F72" s="30" t="str">
        <f t="shared" si="4"/>
        <v/>
      </c>
      <c r="G72" s="29" t="str">
        <f t="shared" si="5"/>
        <v/>
      </c>
      <c r="H72" s="30" t="str">
        <f t="shared" si="6"/>
        <v/>
      </c>
      <c r="I72" s="31" t="str">
        <f t="shared" si="7"/>
        <v/>
      </c>
      <c r="J72" s="30" t="str">
        <f t="shared" si="8"/>
        <v/>
      </c>
      <c r="K72" s="30" t="str">
        <f t="shared" si="9"/>
        <v/>
      </c>
      <c r="L72" s="67" t="str">
        <f t="shared" si="10"/>
        <v/>
      </c>
      <c r="M72" s="68" t="str">
        <f t="shared" si="11"/>
        <v/>
      </c>
      <c r="N72" s="67" t="str">
        <f t="shared" si="12"/>
        <v/>
      </c>
      <c r="O72" s="69" t="str">
        <f>IFERROR(IF($C72="","",VLOOKUP($N72,Feriados!$A$4:$B$5000,2,FALSE)),"")</f>
        <v/>
      </c>
      <c r="P72" s="67" t="str">
        <f t="shared" si="13"/>
        <v/>
      </c>
      <c r="Q72" s="63"/>
      <c r="R72" s="63"/>
      <c r="S72" s="62"/>
      <c r="U72" s="73"/>
      <c r="V72" s="41" t="str">
        <f t="shared" si="14"/>
        <v/>
      </c>
    </row>
    <row r="73" spans="1:22" s="34" customFormat="1" x14ac:dyDescent="0.25">
      <c r="A73" s="24" t="str">
        <f t="shared" si="15"/>
        <v/>
      </c>
      <c r="B73" s="25"/>
      <c r="C73" s="26" t="str">
        <f t="shared" si="2"/>
        <v/>
      </c>
      <c r="D73" s="12"/>
      <c r="E73" s="27" t="str">
        <f t="shared" si="3"/>
        <v/>
      </c>
      <c r="F73" s="30" t="str">
        <f t="shared" si="4"/>
        <v/>
      </c>
      <c r="G73" s="29" t="str">
        <f t="shared" si="5"/>
        <v/>
      </c>
      <c r="H73" s="30" t="str">
        <f t="shared" si="6"/>
        <v/>
      </c>
      <c r="I73" s="31" t="str">
        <f t="shared" si="7"/>
        <v/>
      </c>
      <c r="J73" s="30" t="str">
        <f t="shared" si="8"/>
        <v/>
      </c>
      <c r="K73" s="30" t="str">
        <f t="shared" si="9"/>
        <v/>
      </c>
      <c r="L73" s="67" t="str">
        <f t="shared" si="10"/>
        <v/>
      </c>
      <c r="M73" s="68" t="str">
        <f t="shared" si="11"/>
        <v/>
      </c>
      <c r="N73" s="67" t="str">
        <f t="shared" si="12"/>
        <v/>
      </c>
      <c r="O73" s="69" t="str">
        <f>IFERROR(IF($C73="","",VLOOKUP($N73,Feriados!$A$4:$B$5000,2,FALSE)),"")</f>
        <v/>
      </c>
      <c r="P73" s="67" t="str">
        <f t="shared" si="13"/>
        <v/>
      </c>
      <c r="Q73" s="63"/>
      <c r="R73" s="63"/>
      <c r="S73" s="62"/>
      <c r="U73" s="73"/>
      <c r="V73" s="41" t="str">
        <f t="shared" si="14"/>
        <v/>
      </c>
    </row>
    <row r="74" spans="1:22" s="34" customFormat="1" x14ac:dyDescent="0.25">
      <c r="A74" s="24" t="str">
        <f t="shared" si="15"/>
        <v/>
      </c>
      <c r="B74" s="25"/>
      <c r="C74" s="26" t="str">
        <f t="shared" si="2"/>
        <v/>
      </c>
      <c r="D74" s="12"/>
      <c r="E74" s="27" t="str">
        <f t="shared" si="3"/>
        <v/>
      </c>
      <c r="F74" s="30" t="str">
        <f t="shared" si="4"/>
        <v/>
      </c>
      <c r="G74" s="29" t="str">
        <f t="shared" si="5"/>
        <v/>
      </c>
      <c r="H74" s="30" t="str">
        <f t="shared" si="6"/>
        <v/>
      </c>
      <c r="I74" s="31" t="str">
        <f t="shared" si="7"/>
        <v/>
      </c>
      <c r="J74" s="30" t="str">
        <f t="shared" si="8"/>
        <v/>
      </c>
      <c r="K74" s="30" t="str">
        <f t="shared" si="9"/>
        <v/>
      </c>
      <c r="L74" s="67" t="str">
        <f t="shared" si="10"/>
        <v/>
      </c>
      <c r="M74" s="68" t="str">
        <f t="shared" si="11"/>
        <v/>
      </c>
      <c r="N74" s="67" t="str">
        <f t="shared" si="12"/>
        <v/>
      </c>
      <c r="O74" s="69" t="str">
        <f>IFERROR(IF($C74="","",VLOOKUP($N74,Feriados!$A$4:$B$5000,2,FALSE)),"")</f>
        <v/>
      </c>
      <c r="P74" s="67" t="str">
        <f t="shared" si="13"/>
        <v/>
      </c>
      <c r="Q74" s="63"/>
      <c r="R74" s="63"/>
      <c r="S74" s="62"/>
      <c r="U74" s="73"/>
      <c r="V74" s="41" t="str">
        <f t="shared" si="14"/>
        <v/>
      </c>
    </row>
    <row r="75" spans="1:22" s="34" customFormat="1" x14ac:dyDescent="0.25">
      <c r="A75" s="24" t="str">
        <f t="shared" si="15"/>
        <v/>
      </c>
      <c r="B75" s="25"/>
      <c r="C75" s="26" t="str">
        <f t="shared" si="2"/>
        <v/>
      </c>
      <c r="D75" s="12"/>
      <c r="E75" s="27" t="str">
        <f t="shared" si="3"/>
        <v/>
      </c>
      <c r="F75" s="30" t="str">
        <f t="shared" si="4"/>
        <v/>
      </c>
      <c r="G75" s="29" t="str">
        <f t="shared" si="5"/>
        <v/>
      </c>
      <c r="H75" s="30" t="str">
        <f t="shared" si="6"/>
        <v/>
      </c>
      <c r="I75" s="31" t="str">
        <f t="shared" si="7"/>
        <v/>
      </c>
      <c r="J75" s="30" t="str">
        <f t="shared" si="8"/>
        <v/>
      </c>
      <c r="K75" s="30" t="str">
        <f t="shared" si="9"/>
        <v/>
      </c>
      <c r="L75" s="67" t="str">
        <f t="shared" si="10"/>
        <v/>
      </c>
      <c r="M75" s="68" t="str">
        <f t="shared" si="11"/>
        <v/>
      </c>
      <c r="N75" s="67" t="str">
        <f t="shared" si="12"/>
        <v/>
      </c>
      <c r="O75" s="69" t="str">
        <f>IFERROR(IF($C75="","",VLOOKUP($N75,Feriados!$A$4:$B$5000,2,FALSE)),"")</f>
        <v/>
      </c>
      <c r="P75" s="67" t="str">
        <f t="shared" si="13"/>
        <v/>
      </c>
      <c r="Q75" s="63"/>
      <c r="R75" s="63"/>
      <c r="S75" s="62"/>
      <c r="U75" s="73"/>
      <c r="V75" s="41" t="str">
        <f t="shared" si="14"/>
        <v/>
      </c>
    </row>
    <row r="76" spans="1:22" s="34" customFormat="1" x14ac:dyDescent="0.25">
      <c r="A76" s="24" t="str">
        <f t="shared" si="15"/>
        <v/>
      </c>
      <c r="B76" s="25"/>
      <c r="C76" s="26" t="str">
        <f t="shared" si="2"/>
        <v/>
      </c>
      <c r="D76" s="12"/>
      <c r="E76" s="27" t="str">
        <f t="shared" si="3"/>
        <v/>
      </c>
      <c r="F76" s="30" t="str">
        <f t="shared" si="4"/>
        <v/>
      </c>
      <c r="G76" s="29" t="str">
        <f t="shared" si="5"/>
        <v/>
      </c>
      <c r="H76" s="30" t="str">
        <f t="shared" si="6"/>
        <v/>
      </c>
      <c r="I76" s="31" t="str">
        <f t="shared" si="7"/>
        <v/>
      </c>
      <c r="J76" s="30" t="str">
        <f t="shared" si="8"/>
        <v/>
      </c>
      <c r="K76" s="30" t="str">
        <f t="shared" si="9"/>
        <v/>
      </c>
      <c r="L76" s="67" t="str">
        <f t="shared" si="10"/>
        <v/>
      </c>
      <c r="M76" s="68" t="str">
        <f t="shared" si="11"/>
        <v/>
      </c>
      <c r="N76" s="67" t="str">
        <f t="shared" si="12"/>
        <v/>
      </c>
      <c r="O76" s="69" t="str">
        <f>IFERROR(IF($C76="","",VLOOKUP($N76,Feriados!$A$4:$B$5000,2,FALSE)),"")</f>
        <v/>
      </c>
      <c r="P76" s="67" t="str">
        <f t="shared" si="13"/>
        <v/>
      </c>
      <c r="Q76" s="63"/>
      <c r="R76" s="63"/>
      <c r="S76" s="62"/>
      <c r="U76" s="73"/>
      <c r="V76" s="41" t="str">
        <f t="shared" si="14"/>
        <v/>
      </c>
    </row>
    <row r="77" spans="1:22" s="34" customFormat="1" x14ac:dyDescent="0.25">
      <c r="A77" s="24" t="str">
        <f t="shared" si="15"/>
        <v/>
      </c>
      <c r="B77" s="25"/>
      <c r="C77" s="26" t="str">
        <f t="shared" si="2"/>
        <v/>
      </c>
      <c r="D77" s="12"/>
      <c r="E77" s="27" t="str">
        <f t="shared" si="3"/>
        <v/>
      </c>
      <c r="F77" s="30" t="str">
        <f t="shared" si="4"/>
        <v/>
      </c>
      <c r="G77" s="29" t="str">
        <f t="shared" si="5"/>
        <v/>
      </c>
      <c r="H77" s="30" t="str">
        <f t="shared" si="6"/>
        <v/>
      </c>
      <c r="I77" s="31" t="str">
        <f t="shared" si="7"/>
        <v/>
      </c>
      <c r="J77" s="30" t="str">
        <f t="shared" si="8"/>
        <v/>
      </c>
      <c r="K77" s="30" t="str">
        <f t="shared" si="9"/>
        <v/>
      </c>
      <c r="L77" s="67" t="str">
        <f t="shared" si="10"/>
        <v/>
      </c>
      <c r="M77" s="68" t="str">
        <f t="shared" si="11"/>
        <v/>
      </c>
      <c r="N77" s="67" t="str">
        <f t="shared" si="12"/>
        <v/>
      </c>
      <c r="O77" s="69" t="str">
        <f>IFERROR(IF($C77="","",VLOOKUP($N77,Feriados!$A$4:$B$5000,2,FALSE)),"")</f>
        <v/>
      </c>
      <c r="P77" s="67" t="str">
        <f t="shared" si="13"/>
        <v/>
      </c>
      <c r="Q77" s="63"/>
      <c r="R77" s="63"/>
      <c r="S77" s="62"/>
      <c r="U77" s="73"/>
      <c r="V77" s="41" t="str">
        <f t="shared" si="14"/>
        <v/>
      </c>
    </row>
    <row r="78" spans="1:22" s="34" customFormat="1" x14ac:dyDescent="0.25">
      <c r="A78" s="24" t="str">
        <f t="shared" si="15"/>
        <v/>
      </c>
      <c r="B78" s="25"/>
      <c r="C78" s="26" t="str">
        <f t="shared" si="2"/>
        <v/>
      </c>
      <c r="D78" s="12"/>
      <c r="E78" s="27" t="str">
        <f t="shared" si="3"/>
        <v/>
      </c>
      <c r="F78" s="30" t="str">
        <f t="shared" si="4"/>
        <v/>
      </c>
      <c r="G78" s="29" t="str">
        <f t="shared" si="5"/>
        <v/>
      </c>
      <c r="H78" s="30" t="str">
        <f t="shared" si="6"/>
        <v/>
      </c>
      <c r="I78" s="31" t="str">
        <f t="shared" si="7"/>
        <v/>
      </c>
      <c r="J78" s="30" t="str">
        <f t="shared" si="8"/>
        <v/>
      </c>
      <c r="K78" s="30" t="str">
        <f t="shared" si="9"/>
        <v/>
      </c>
      <c r="L78" s="67" t="str">
        <f t="shared" si="10"/>
        <v/>
      </c>
      <c r="M78" s="68" t="str">
        <f t="shared" si="11"/>
        <v/>
      </c>
      <c r="N78" s="67" t="str">
        <f t="shared" si="12"/>
        <v/>
      </c>
      <c r="O78" s="69" t="str">
        <f>IFERROR(IF($C78="","",VLOOKUP($N78,Feriados!$A$4:$B$5000,2,FALSE)),"")</f>
        <v/>
      </c>
      <c r="P78" s="67" t="str">
        <f t="shared" si="13"/>
        <v/>
      </c>
      <c r="Q78" s="63"/>
      <c r="R78" s="63"/>
      <c r="S78" s="62"/>
      <c r="U78" s="73"/>
      <c r="V78" s="41" t="str">
        <f t="shared" si="14"/>
        <v/>
      </c>
    </row>
    <row r="79" spans="1:22" s="34" customFormat="1" x14ac:dyDescent="0.25">
      <c r="A79" s="24" t="str">
        <f t="shared" si="15"/>
        <v/>
      </c>
      <c r="B79" s="25"/>
      <c r="C79" s="26" t="str">
        <f t="shared" si="2"/>
        <v/>
      </c>
      <c r="D79" s="12"/>
      <c r="E79" s="27" t="str">
        <f t="shared" si="3"/>
        <v/>
      </c>
      <c r="F79" s="30" t="str">
        <f t="shared" si="4"/>
        <v/>
      </c>
      <c r="G79" s="29" t="str">
        <f t="shared" si="5"/>
        <v/>
      </c>
      <c r="H79" s="30" t="str">
        <f t="shared" si="6"/>
        <v/>
      </c>
      <c r="I79" s="31" t="str">
        <f t="shared" si="7"/>
        <v/>
      </c>
      <c r="J79" s="30" t="str">
        <f t="shared" si="8"/>
        <v/>
      </c>
      <c r="K79" s="30" t="str">
        <f t="shared" si="9"/>
        <v/>
      </c>
      <c r="L79" s="67" t="str">
        <f t="shared" si="10"/>
        <v/>
      </c>
      <c r="M79" s="68" t="str">
        <f t="shared" si="11"/>
        <v/>
      </c>
      <c r="N79" s="67" t="str">
        <f t="shared" si="12"/>
        <v/>
      </c>
      <c r="O79" s="69" t="str">
        <f>IFERROR(IF($C79="","",VLOOKUP($N79,Feriados!$A$4:$B$5000,2,FALSE)),"")</f>
        <v/>
      </c>
      <c r="P79" s="67" t="str">
        <f t="shared" si="13"/>
        <v/>
      </c>
      <c r="Q79" s="63"/>
      <c r="R79" s="63"/>
      <c r="S79" s="62"/>
      <c r="U79" s="73"/>
      <c r="V79" s="41" t="str">
        <f t="shared" si="14"/>
        <v/>
      </c>
    </row>
    <row r="80" spans="1:22" s="34" customFormat="1" x14ac:dyDescent="0.25">
      <c r="A80" s="24" t="str">
        <f t="shared" si="15"/>
        <v/>
      </c>
      <c r="B80" s="25"/>
      <c r="C80" s="26" t="str">
        <f t="shared" si="2"/>
        <v/>
      </c>
      <c r="D80" s="12"/>
      <c r="E80" s="27" t="str">
        <f t="shared" si="3"/>
        <v/>
      </c>
      <c r="F80" s="30" t="str">
        <f t="shared" si="4"/>
        <v/>
      </c>
      <c r="G80" s="29" t="str">
        <f t="shared" si="5"/>
        <v/>
      </c>
      <c r="H80" s="30" t="str">
        <f t="shared" si="6"/>
        <v/>
      </c>
      <c r="I80" s="31" t="str">
        <f t="shared" si="7"/>
        <v/>
      </c>
      <c r="J80" s="30" t="str">
        <f t="shared" si="8"/>
        <v/>
      </c>
      <c r="K80" s="30" t="str">
        <f t="shared" si="9"/>
        <v/>
      </c>
      <c r="L80" s="67" t="str">
        <f t="shared" si="10"/>
        <v/>
      </c>
      <c r="M80" s="68" t="str">
        <f t="shared" si="11"/>
        <v/>
      </c>
      <c r="N80" s="67" t="str">
        <f t="shared" si="12"/>
        <v/>
      </c>
      <c r="O80" s="69" t="str">
        <f>IFERROR(IF($C80="","",VLOOKUP($N80,Feriados!$A$4:$B$5000,2,FALSE)),"")</f>
        <v/>
      </c>
      <c r="P80" s="67" t="str">
        <f t="shared" si="13"/>
        <v/>
      </c>
      <c r="Q80" s="63"/>
      <c r="R80" s="63"/>
      <c r="S80" s="62"/>
      <c r="U80" s="73"/>
      <c r="V80" s="41" t="str">
        <f t="shared" si="14"/>
        <v/>
      </c>
    </row>
    <row r="81" spans="1:22" s="34" customFormat="1" x14ac:dyDescent="0.25">
      <c r="A81" s="24" t="str">
        <f t="shared" si="15"/>
        <v/>
      </c>
      <c r="B81" s="25"/>
      <c r="C81" s="26" t="str">
        <f t="shared" si="2"/>
        <v/>
      </c>
      <c r="D81" s="12"/>
      <c r="E81" s="27" t="str">
        <f t="shared" si="3"/>
        <v/>
      </c>
      <c r="F81" s="30" t="str">
        <f t="shared" si="4"/>
        <v/>
      </c>
      <c r="G81" s="29" t="str">
        <f t="shared" si="5"/>
        <v/>
      </c>
      <c r="H81" s="30" t="str">
        <f t="shared" si="6"/>
        <v/>
      </c>
      <c r="I81" s="31" t="str">
        <f t="shared" si="7"/>
        <v/>
      </c>
      <c r="J81" s="30" t="str">
        <f t="shared" si="8"/>
        <v/>
      </c>
      <c r="K81" s="30" t="str">
        <f t="shared" si="9"/>
        <v/>
      </c>
      <c r="L81" s="67" t="str">
        <f t="shared" si="10"/>
        <v/>
      </c>
      <c r="M81" s="68" t="str">
        <f t="shared" si="11"/>
        <v/>
      </c>
      <c r="N81" s="67" t="str">
        <f t="shared" si="12"/>
        <v/>
      </c>
      <c r="O81" s="69" t="str">
        <f>IFERROR(IF($C81="","",VLOOKUP($N81,Feriados!$A$4:$B$5000,2,FALSE)),"")</f>
        <v/>
      </c>
      <c r="P81" s="67" t="str">
        <f t="shared" si="13"/>
        <v/>
      </c>
      <c r="Q81" s="63"/>
      <c r="R81" s="63"/>
      <c r="S81" s="62"/>
      <c r="U81" s="73"/>
      <c r="V81" s="41" t="str">
        <f t="shared" si="14"/>
        <v/>
      </c>
    </row>
    <row r="82" spans="1:22" s="34" customFormat="1" x14ac:dyDescent="0.25">
      <c r="A82" s="24" t="str">
        <f t="shared" si="15"/>
        <v/>
      </c>
      <c r="B82" s="25"/>
      <c r="C82" s="26" t="str">
        <f t="shared" si="2"/>
        <v/>
      </c>
      <c r="D82" s="12"/>
      <c r="E82" s="27" t="str">
        <f t="shared" si="3"/>
        <v/>
      </c>
      <c r="F82" s="30" t="str">
        <f t="shared" si="4"/>
        <v/>
      </c>
      <c r="G82" s="29" t="str">
        <f t="shared" si="5"/>
        <v/>
      </c>
      <c r="H82" s="30" t="str">
        <f t="shared" si="6"/>
        <v/>
      </c>
      <c r="I82" s="31" t="str">
        <f t="shared" si="7"/>
        <v/>
      </c>
      <c r="J82" s="30" t="str">
        <f t="shared" si="8"/>
        <v/>
      </c>
      <c r="K82" s="30" t="str">
        <f t="shared" si="9"/>
        <v/>
      </c>
      <c r="L82" s="67" t="str">
        <f t="shared" si="10"/>
        <v/>
      </c>
      <c r="M82" s="68" t="str">
        <f t="shared" si="11"/>
        <v/>
      </c>
      <c r="N82" s="67" t="str">
        <f t="shared" si="12"/>
        <v/>
      </c>
      <c r="O82" s="69" t="str">
        <f>IFERROR(IF($C82="","",VLOOKUP($N82,Feriados!$A$4:$B$5000,2,FALSE)),"")</f>
        <v/>
      </c>
      <c r="P82" s="67" t="str">
        <f t="shared" si="13"/>
        <v/>
      </c>
      <c r="Q82" s="63"/>
      <c r="R82" s="63"/>
      <c r="S82" s="62"/>
      <c r="U82" s="73"/>
      <c r="V82" s="41" t="str">
        <f t="shared" si="14"/>
        <v/>
      </c>
    </row>
    <row r="83" spans="1:22" s="34" customFormat="1" x14ac:dyDescent="0.25">
      <c r="A83" s="24" t="str">
        <f t="shared" si="15"/>
        <v/>
      </c>
      <c r="B83" s="25"/>
      <c r="C83" s="26" t="str">
        <f t="shared" ref="C83:C146" si="16">IFERROR(IF($B$17&lt;7,"",IF(ROW(A83)=19,0,IF(ROW(A83)=20,1,IF(C82+1&gt;$H$13,"",C82+1)))),"")</f>
        <v/>
      </c>
      <c r="D83" s="12"/>
      <c r="E83" s="27" t="str">
        <f t="shared" ref="E83:E146" si="17">IF(C83="","",IF(C83=0,$H$7,IF(C83=1,$H$9,P83+D83)))</f>
        <v/>
      </c>
      <c r="F83" s="30" t="str">
        <f t="shared" ref="F83:F146" si="18">IF(C83="","",IF(C83=0,$K$7,J82))</f>
        <v/>
      </c>
      <c r="G83" s="29" t="str">
        <f t="shared" ref="G83:G146" si="19">IF(C83="","",IF(C83=0,0,$E83-$E82))</f>
        <v/>
      </c>
      <c r="H83" s="30" t="str">
        <f t="shared" ref="H83:H146" si="20">IF(C83="","",ROUND(F83*(((1+$K$11)^G83)-1),8))</f>
        <v/>
      </c>
      <c r="I83" s="31" t="str">
        <f t="shared" ref="I83:I146" si="21">IF(C83="","",IF(C83=0,0,IFERROR(IF(C83=VLOOKUP(C83,PV_ParcelasFixas,1,FALSE),-VLOOKUP(C83,PV_ParcelasFixas,2,FALSE)),IF(AND($B$15=FALSE,C83&lt;=$H$11),0,IF(C83&lt;=$H$11,-H83,IF($K$5="SAC",-$K$8-H83,-$K$8))))))</f>
        <v/>
      </c>
      <c r="J83" s="30" t="str">
        <f t="shared" ref="J83:J146" si="22">IF(C83="","",IF(AND(C83=0,B83=""),$F$19,J82+H83+I83))</f>
        <v/>
      </c>
      <c r="K83" s="30" t="str">
        <f t="shared" ref="K83:K146" si="23">IF(C83="","",-H83+-I83)</f>
        <v/>
      </c>
      <c r="L83" s="67" t="str">
        <f t="shared" ref="L83:L146" si="24">IF($C83="","",IF($C83=0,$H$7,IF($C83=1,$B$11,EDATE($B$11,$C82))))</f>
        <v/>
      </c>
      <c r="M83" s="68" t="str">
        <f t="shared" ref="M83:M146" si="25">IF($L83="","",WEEKDAY($L83))</f>
        <v/>
      </c>
      <c r="N83" s="67" t="str">
        <f t="shared" ref="N83:N146" si="26">IFERROR(IF($M83=7,$L83+2,IF($M83=1,$L83+1,$L83)),"")</f>
        <v/>
      </c>
      <c r="O83" s="69" t="str">
        <f>IFERROR(IF($C83="","",VLOOKUP($N83,Feriados!$A$4:$B$5000,2,FALSE)),"")</f>
        <v/>
      </c>
      <c r="P83" s="67" t="str">
        <f t="shared" ref="P83:P146" si="27">IFERROR(IF($O83="",$N83,IF($O83=6,$N83+3,IF($O83&lt;6,$N83+1))),"")</f>
        <v/>
      </c>
      <c r="Q83" s="63"/>
      <c r="R83" s="63"/>
      <c r="S83" s="62"/>
      <c r="U83" s="73"/>
      <c r="V83" s="41" t="str">
        <f t="shared" si="14"/>
        <v/>
      </c>
    </row>
    <row r="84" spans="1:22" s="34" customFormat="1" x14ac:dyDescent="0.25">
      <c r="A84" s="24" t="str">
        <f t="shared" si="15"/>
        <v/>
      </c>
      <c r="B84" s="25"/>
      <c r="C84" s="26" t="str">
        <f t="shared" si="16"/>
        <v/>
      </c>
      <c r="D84" s="12"/>
      <c r="E84" s="27" t="str">
        <f t="shared" si="17"/>
        <v/>
      </c>
      <c r="F84" s="30" t="str">
        <f t="shared" si="18"/>
        <v/>
      </c>
      <c r="G84" s="29" t="str">
        <f t="shared" si="19"/>
        <v/>
      </c>
      <c r="H84" s="30" t="str">
        <f t="shared" si="20"/>
        <v/>
      </c>
      <c r="I84" s="31" t="str">
        <f t="shared" si="21"/>
        <v/>
      </c>
      <c r="J84" s="30" t="str">
        <f t="shared" si="22"/>
        <v/>
      </c>
      <c r="K84" s="30" t="str">
        <f t="shared" si="23"/>
        <v/>
      </c>
      <c r="L84" s="67" t="str">
        <f t="shared" si="24"/>
        <v/>
      </c>
      <c r="M84" s="68" t="str">
        <f t="shared" si="25"/>
        <v/>
      </c>
      <c r="N84" s="67" t="str">
        <f t="shared" si="26"/>
        <v/>
      </c>
      <c r="O84" s="69" t="str">
        <f>IFERROR(IF($C84="","",VLOOKUP($N84,Feriados!$A$4:$B$5000,2,FALSE)),"")</f>
        <v/>
      </c>
      <c r="P84" s="67" t="str">
        <f t="shared" si="27"/>
        <v/>
      </c>
      <c r="Q84" s="63"/>
      <c r="R84" s="63"/>
      <c r="S84" s="62"/>
      <c r="U84" s="73"/>
      <c r="V84" s="41" t="str">
        <f t="shared" si="14"/>
        <v/>
      </c>
    </row>
    <row r="85" spans="1:22" s="34" customFormat="1" x14ac:dyDescent="0.25">
      <c r="A85" s="24" t="str">
        <f t="shared" si="15"/>
        <v/>
      </c>
      <c r="B85" s="25"/>
      <c r="C85" s="26" t="str">
        <f t="shared" si="16"/>
        <v/>
      </c>
      <c r="D85" s="12"/>
      <c r="E85" s="27" t="str">
        <f t="shared" si="17"/>
        <v/>
      </c>
      <c r="F85" s="30" t="str">
        <f t="shared" si="18"/>
        <v/>
      </c>
      <c r="G85" s="29" t="str">
        <f t="shared" si="19"/>
        <v/>
      </c>
      <c r="H85" s="30" t="str">
        <f t="shared" si="20"/>
        <v/>
      </c>
      <c r="I85" s="31" t="str">
        <f t="shared" si="21"/>
        <v/>
      </c>
      <c r="J85" s="30" t="str">
        <f t="shared" si="22"/>
        <v/>
      </c>
      <c r="K85" s="30" t="str">
        <f t="shared" si="23"/>
        <v/>
      </c>
      <c r="L85" s="67" t="str">
        <f t="shared" si="24"/>
        <v/>
      </c>
      <c r="M85" s="68" t="str">
        <f t="shared" si="25"/>
        <v/>
      </c>
      <c r="N85" s="67" t="str">
        <f t="shared" si="26"/>
        <v/>
      </c>
      <c r="O85" s="69" t="str">
        <f>IFERROR(IF($C85="","",VLOOKUP($N85,Feriados!$A$4:$B$5000,2,FALSE)),"")</f>
        <v/>
      </c>
      <c r="P85" s="67" t="str">
        <f t="shared" si="27"/>
        <v/>
      </c>
      <c r="Q85" s="63"/>
      <c r="R85" s="63"/>
      <c r="S85" s="62"/>
      <c r="U85" s="73"/>
      <c r="V85" s="41" t="str">
        <f t="shared" ref="V85:V148" si="28">IF(C85="","",I85)</f>
        <v/>
      </c>
    </row>
    <row r="86" spans="1:22" s="34" customFormat="1" x14ac:dyDescent="0.25">
      <c r="A86" s="24" t="str">
        <f t="shared" si="15"/>
        <v/>
      </c>
      <c r="B86" s="25"/>
      <c r="C86" s="26" t="str">
        <f t="shared" si="16"/>
        <v/>
      </c>
      <c r="D86" s="12"/>
      <c r="E86" s="27" t="str">
        <f t="shared" si="17"/>
        <v/>
      </c>
      <c r="F86" s="30" t="str">
        <f t="shared" si="18"/>
        <v/>
      </c>
      <c r="G86" s="29" t="str">
        <f t="shared" si="19"/>
        <v/>
      </c>
      <c r="H86" s="30" t="str">
        <f t="shared" si="20"/>
        <v/>
      </c>
      <c r="I86" s="31" t="str">
        <f t="shared" si="21"/>
        <v/>
      </c>
      <c r="J86" s="30" t="str">
        <f t="shared" si="22"/>
        <v/>
      </c>
      <c r="K86" s="30" t="str">
        <f t="shared" si="23"/>
        <v/>
      </c>
      <c r="L86" s="67" t="str">
        <f t="shared" si="24"/>
        <v/>
      </c>
      <c r="M86" s="68" t="str">
        <f t="shared" si="25"/>
        <v/>
      </c>
      <c r="N86" s="67" t="str">
        <f t="shared" si="26"/>
        <v/>
      </c>
      <c r="O86" s="69" t="str">
        <f>IFERROR(IF($C86="","",VLOOKUP($N86,Feriados!$A$4:$B$5000,2,FALSE)),"")</f>
        <v/>
      </c>
      <c r="P86" s="67" t="str">
        <f t="shared" si="27"/>
        <v/>
      </c>
      <c r="Q86" s="63"/>
      <c r="R86" s="63"/>
      <c r="S86" s="62"/>
      <c r="U86" s="73"/>
      <c r="V86" s="41" t="str">
        <f t="shared" si="28"/>
        <v/>
      </c>
    </row>
    <row r="87" spans="1:22" s="34" customFormat="1" x14ac:dyDescent="0.25">
      <c r="A87" s="24" t="str">
        <f t="shared" si="15"/>
        <v/>
      </c>
      <c r="B87" s="25"/>
      <c r="C87" s="26" t="str">
        <f t="shared" si="16"/>
        <v/>
      </c>
      <c r="D87" s="12"/>
      <c r="E87" s="27" t="str">
        <f t="shared" si="17"/>
        <v/>
      </c>
      <c r="F87" s="30" t="str">
        <f t="shared" si="18"/>
        <v/>
      </c>
      <c r="G87" s="29" t="str">
        <f t="shared" si="19"/>
        <v/>
      </c>
      <c r="H87" s="30" t="str">
        <f t="shared" si="20"/>
        <v/>
      </c>
      <c r="I87" s="31" t="str">
        <f t="shared" si="21"/>
        <v/>
      </c>
      <c r="J87" s="30" t="str">
        <f t="shared" si="22"/>
        <v/>
      </c>
      <c r="K87" s="30" t="str">
        <f t="shared" si="23"/>
        <v/>
      </c>
      <c r="L87" s="67" t="str">
        <f t="shared" si="24"/>
        <v/>
      </c>
      <c r="M87" s="68" t="str">
        <f t="shared" si="25"/>
        <v/>
      </c>
      <c r="N87" s="67" t="str">
        <f t="shared" si="26"/>
        <v/>
      </c>
      <c r="O87" s="69" t="str">
        <f>IFERROR(IF($C87="","",VLOOKUP($N87,Feriados!$A$4:$B$5000,2,FALSE)),"")</f>
        <v/>
      </c>
      <c r="P87" s="67" t="str">
        <f t="shared" si="27"/>
        <v/>
      </c>
      <c r="Q87" s="63"/>
      <c r="R87" s="63"/>
      <c r="S87" s="62"/>
      <c r="U87" s="73"/>
      <c r="V87" s="41" t="str">
        <f t="shared" si="28"/>
        <v/>
      </c>
    </row>
    <row r="88" spans="1:22" s="34" customFormat="1" x14ac:dyDescent="0.25">
      <c r="A88" s="24" t="str">
        <f t="shared" si="15"/>
        <v/>
      </c>
      <c r="B88" s="25"/>
      <c r="C88" s="26" t="str">
        <f t="shared" si="16"/>
        <v/>
      </c>
      <c r="D88" s="12"/>
      <c r="E88" s="27" t="str">
        <f t="shared" si="17"/>
        <v/>
      </c>
      <c r="F88" s="30" t="str">
        <f t="shared" si="18"/>
        <v/>
      </c>
      <c r="G88" s="29" t="str">
        <f t="shared" si="19"/>
        <v/>
      </c>
      <c r="H88" s="30" t="str">
        <f t="shared" si="20"/>
        <v/>
      </c>
      <c r="I88" s="31" t="str">
        <f t="shared" si="21"/>
        <v/>
      </c>
      <c r="J88" s="30" t="str">
        <f t="shared" si="22"/>
        <v/>
      </c>
      <c r="K88" s="30" t="str">
        <f t="shared" si="23"/>
        <v/>
      </c>
      <c r="L88" s="67" t="str">
        <f t="shared" si="24"/>
        <v/>
      </c>
      <c r="M88" s="68" t="str">
        <f t="shared" si="25"/>
        <v/>
      </c>
      <c r="N88" s="67" t="str">
        <f t="shared" si="26"/>
        <v/>
      </c>
      <c r="O88" s="69" t="str">
        <f>IFERROR(IF($C88="","",VLOOKUP($N88,Feriados!$A$4:$B$5000,2,FALSE)),"")</f>
        <v/>
      </c>
      <c r="P88" s="67" t="str">
        <f t="shared" si="27"/>
        <v/>
      </c>
      <c r="Q88" s="63"/>
      <c r="R88" s="63"/>
      <c r="S88" s="62"/>
      <c r="U88" s="73"/>
      <c r="V88" s="41" t="str">
        <f t="shared" si="28"/>
        <v/>
      </c>
    </row>
    <row r="89" spans="1:22" s="34" customFormat="1" x14ac:dyDescent="0.25">
      <c r="A89" s="24" t="str">
        <f t="shared" si="15"/>
        <v/>
      </c>
      <c r="B89" s="25"/>
      <c r="C89" s="26" t="str">
        <f t="shared" si="16"/>
        <v/>
      </c>
      <c r="D89" s="12"/>
      <c r="E89" s="27" t="str">
        <f t="shared" si="17"/>
        <v/>
      </c>
      <c r="F89" s="30" t="str">
        <f t="shared" si="18"/>
        <v/>
      </c>
      <c r="G89" s="29" t="str">
        <f t="shared" si="19"/>
        <v/>
      </c>
      <c r="H89" s="30" t="str">
        <f t="shared" si="20"/>
        <v/>
      </c>
      <c r="I89" s="31" t="str">
        <f t="shared" si="21"/>
        <v/>
      </c>
      <c r="J89" s="30" t="str">
        <f t="shared" si="22"/>
        <v/>
      </c>
      <c r="K89" s="30" t="str">
        <f t="shared" si="23"/>
        <v/>
      </c>
      <c r="L89" s="67" t="str">
        <f t="shared" si="24"/>
        <v/>
      </c>
      <c r="M89" s="68" t="str">
        <f t="shared" si="25"/>
        <v/>
      </c>
      <c r="N89" s="67" t="str">
        <f t="shared" si="26"/>
        <v/>
      </c>
      <c r="O89" s="69" t="str">
        <f>IFERROR(IF($C89="","",VLOOKUP($N89,Feriados!$A$4:$B$5000,2,FALSE)),"")</f>
        <v/>
      </c>
      <c r="P89" s="67" t="str">
        <f t="shared" si="27"/>
        <v/>
      </c>
      <c r="Q89" s="63"/>
      <c r="R89" s="63"/>
      <c r="S89" s="62"/>
      <c r="U89" s="73"/>
      <c r="V89" s="41" t="str">
        <f t="shared" si="28"/>
        <v/>
      </c>
    </row>
    <row r="90" spans="1:22" s="34" customFormat="1" x14ac:dyDescent="0.25">
      <c r="A90" s="24" t="str">
        <f t="shared" si="15"/>
        <v/>
      </c>
      <c r="B90" s="25"/>
      <c r="C90" s="26" t="str">
        <f t="shared" si="16"/>
        <v/>
      </c>
      <c r="D90" s="12"/>
      <c r="E90" s="27" t="str">
        <f t="shared" si="17"/>
        <v/>
      </c>
      <c r="F90" s="30" t="str">
        <f t="shared" si="18"/>
        <v/>
      </c>
      <c r="G90" s="29" t="str">
        <f t="shared" si="19"/>
        <v/>
      </c>
      <c r="H90" s="30" t="str">
        <f t="shared" si="20"/>
        <v/>
      </c>
      <c r="I90" s="31" t="str">
        <f t="shared" si="21"/>
        <v/>
      </c>
      <c r="J90" s="30" t="str">
        <f t="shared" si="22"/>
        <v/>
      </c>
      <c r="K90" s="30" t="str">
        <f t="shared" si="23"/>
        <v/>
      </c>
      <c r="L90" s="67" t="str">
        <f t="shared" si="24"/>
        <v/>
      </c>
      <c r="M90" s="68" t="str">
        <f t="shared" si="25"/>
        <v/>
      </c>
      <c r="N90" s="67" t="str">
        <f t="shared" si="26"/>
        <v/>
      </c>
      <c r="O90" s="69" t="str">
        <f>IFERROR(IF($C90="","",VLOOKUP($N90,Feriados!$A$4:$B$5000,2,FALSE)),"")</f>
        <v/>
      </c>
      <c r="P90" s="67" t="str">
        <f t="shared" si="27"/>
        <v/>
      </c>
      <c r="Q90" s="63"/>
      <c r="R90" s="63"/>
      <c r="S90" s="62"/>
      <c r="U90" s="73"/>
      <c r="V90" s="41" t="str">
        <f t="shared" si="28"/>
        <v/>
      </c>
    </row>
    <row r="91" spans="1:22" s="34" customFormat="1" x14ac:dyDescent="0.25">
      <c r="A91" s="24" t="str">
        <f t="shared" si="15"/>
        <v/>
      </c>
      <c r="B91" s="25"/>
      <c r="C91" s="26" t="str">
        <f t="shared" si="16"/>
        <v/>
      </c>
      <c r="D91" s="12"/>
      <c r="E91" s="27" t="str">
        <f t="shared" si="17"/>
        <v/>
      </c>
      <c r="F91" s="30" t="str">
        <f t="shared" si="18"/>
        <v/>
      </c>
      <c r="G91" s="29" t="str">
        <f t="shared" si="19"/>
        <v/>
      </c>
      <c r="H91" s="30" t="str">
        <f t="shared" si="20"/>
        <v/>
      </c>
      <c r="I91" s="31" t="str">
        <f t="shared" si="21"/>
        <v/>
      </c>
      <c r="J91" s="30" t="str">
        <f t="shared" si="22"/>
        <v/>
      </c>
      <c r="K91" s="30" t="str">
        <f t="shared" si="23"/>
        <v/>
      </c>
      <c r="L91" s="67" t="str">
        <f t="shared" si="24"/>
        <v/>
      </c>
      <c r="M91" s="68" t="str">
        <f t="shared" si="25"/>
        <v/>
      </c>
      <c r="N91" s="67" t="str">
        <f t="shared" si="26"/>
        <v/>
      </c>
      <c r="O91" s="69" t="str">
        <f>IFERROR(IF($C91="","",VLOOKUP($N91,Feriados!$A$4:$B$5000,2,FALSE)),"")</f>
        <v/>
      </c>
      <c r="P91" s="67" t="str">
        <f t="shared" si="27"/>
        <v/>
      </c>
      <c r="Q91" s="63"/>
      <c r="R91" s="63"/>
      <c r="S91" s="62"/>
      <c r="U91" s="73"/>
      <c r="V91" s="41" t="str">
        <f t="shared" si="28"/>
        <v/>
      </c>
    </row>
    <row r="92" spans="1:22" s="34" customFormat="1" x14ac:dyDescent="0.25">
      <c r="A92" s="24" t="str">
        <f t="shared" si="15"/>
        <v/>
      </c>
      <c r="B92" s="25"/>
      <c r="C92" s="26" t="str">
        <f t="shared" si="16"/>
        <v/>
      </c>
      <c r="D92" s="12"/>
      <c r="E92" s="27" t="str">
        <f t="shared" si="17"/>
        <v/>
      </c>
      <c r="F92" s="30" t="str">
        <f t="shared" si="18"/>
        <v/>
      </c>
      <c r="G92" s="29" t="str">
        <f t="shared" si="19"/>
        <v/>
      </c>
      <c r="H92" s="30" t="str">
        <f t="shared" si="20"/>
        <v/>
      </c>
      <c r="I92" s="31" t="str">
        <f t="shared" si="21"/>
        <v/>
      </c>
      <c r="J92" s="30" t="str">
        <f t="shared" si="22"/>
        <v/>
      </c>
      <c r="K92" s="30" t="str">
        <f t="shared" si="23"/>
        <v/>
      </c>
      <c r="L92" s="67" t="str">
        <f t="shared" si="24"/>
        <v/>
      </c>
      <c r="M92" s="68" t="str">
        <f t="shared" si="25"/>
        <v/>
      </c>
      <c r="N92" s="67" t="str">
        <f t="shared" si="26"/>
        <v/>
      </c>
      <c r="O92" s="69" t="str">
        <f>IFERROR(IF($C92="","",VLOOKUP($N92,Feriados!$A$4:$B$5000,2,FALSE)),"")</f>
        <v/>
      </c>
      <c r="P92" s="67" t="str">
        <f t="shared" si="27"/>
        <v/>
      </c>
      <c r="Q92" s="63"/>
      <c r="R92" s="63"/>
      <c r="S92" s="62"/>
      <c r="U92" s="73"/>
      <c r="V92" s="41" t="str">
        <f t="shared" si="28"/>
        <v/>
      </c>
    </row>
    <row r="93" spans="1:22" s="34" customFormat="1" x14ac:dyDescent="0.25">
      <c r="A93" s="24" t="str">
        <f t="shared" si="15"/>
        <v/>
      </c>
      <c r="B93" s="25"/>
      <c r="C93" s="26" t="str">
        <f t="shared" si="16"/>
        <v/>
      </c>
      <c r="D93" s="12"/>
      <c r="E93" s="27" t="str">
        <f t="shared" si="17"/>
        <v/>
      </c>
      <c r="F93" s="30" t="str">
        <f t="shared" si="18"/>
        <v/>
      </c>
      <c r="G93" s="29" t="str">
        <f t="shared" si="19"/>
        <v/>
      </c>
      <c r="H93" s="30" t="str">
        <f t="shared" si="20"/>
        <v/>
      </c>
      <c r="I93" s="31" t="str">
        <f t="shared" si="21"/>
        <v/>
      </c>
      <c r="J93" s="30" t="str">
        <f t="shared" si="22"/>
        <v/>
      </c>
      <c r="K93" s="30" t="str">
        <f t="shared" si="23"/>
        <v/>
      </c>
      <c r="L93" s="67" t="str">
        <f t="shared" si="24"/>
        <v/>
      </c>
      <c r="M93" s="68" t="str">
        <f t="shared" si="25"/>
        <v/>
      </c>
      <c r="N93" s="67" t="str">
        <f t="shared" si="26"/>
        <v/>
      </c>
      <c r="O93" s="69" t="str">
        <f>IFERROR(IF($C93="","",VLOOKUP($N93,Feriados!$A$4:$B$5000,2,FALSE)),"")</f>
        <v/>
      </c>
      <c r="P93" s="67" t="str">
        <f t="shared" si="27"/>
        <v/>
      </c>
      <c r="Q93" s="63"/>
      <c r="R93" s="63"/>
      <c r="S93" s="62"/>
      <c r="U93" s="73"/>
      <c r="V93" s="41" t="str">
        <f t="shared" si="28"/>
        <v/>
      </c>
    </row>
    <row r="94" spans="1:22" s="34" customFormat="1" x14ac:dyDescent="0.25">
      <c r="A94" s="24" t="str">
        <f t="shared" si="15"/>
        <v/>
      </c>
      <c r="B94" s="25"/>
      <c r="C94" s="26" t="str">
        <f t="shared" si="16"/>
        <v/>
      </c>
      <c r="D94" s="12"/>
      <c r="E94" s="27" t="str">
        <f t="shared" si="17"/>
        <v/>
      </c>
      <c r="F94" s="30" t="str">
        <f t="shared" si="18"/>
        <v/>
      </c>
      <c r="G94" s="29" t="str">
        <f t="shared" si="19"/>
        <v/>
      </c>
      <c r="H94" s="30" t="str">
        <f t="shared" si="20"/>
        <v/>
      </c>
      <c r="I94" s="31" t="str">
        <f t="shared" si="21"/>
        <v/>
      </c>
      <c r="J94" s="30" t="str">
        <f t="shared" si="22"/>
        <v/>
      </c>
      <c r="K94" s="30" t="str">
        <f t="shared" si="23"/>
        <v/>
      </c>
      <c r="L94" s="67" t="str">
        <f t="shared" si="24"/>
        <v/>
      </c>
      <c r="M94" s="68" t="str">
        <f t="shared" si="25"/>
        <v/>
      </c>
      <c r="N94" s="67" t="str">
        <f t="shared" si="26"/>
        <v/>
      </c>
      <c r="O94" s="69" t="str">
        <f>IFERROR(IF($C94="","",VLOOKUP($N94,Feriados!$A$4:$B$5000,2,FALSE)),"")</f>
        <v/>
      </c>
      <c r="P94" s="67" t="str">
        <f t="shared" si="27"/>
        <v/>
      </c>
      <c r="Q94" s="63"/>
      <c r="R94" s="63"/>
      <c r="S94" s="62"/>
      <c r="U94" s="73"/>
      <c r="V94" s="41" t="str">
        <f t="shared" si="28"/>
        <v/>
      </c>
    </row>
    <row r="95" spans="1:22" s="34" customFormat="1" x14ac:dyDescent="0.25">
      <c r="A95" s="24" t="str">
        <f t="shared" si="15"/>
        <v/>
      </c>
      <c r="B95" s="25"/>
      <c r="C95" s="26" t="str">
        <f t="shared" si="16"/>
        <v/>
      </c>
      <c r="D95" s="12"/>
      <c r="E95" s="27" t="str">
        <f t="shared" si="17"/>
        <v/>
      </c>
      <c r="F95" s="30" t="str">
        <f t="shared" si="18"/>
        <v/>
      </c>
      <c r="G95" s="29" t="str">
        <f t="shared" si="19"/>
        <v/>
      </c>
      <c r="H95" s="30" t="str">
        <f t="shared" si="20"/>
        <v/>
      </c>
      <c r="I95" s="31" t="str">
        <f t="shared" si="21"/>
        <v/>
      </c>
      <c r="J95" s="30" t="str">
        <f t="shared" si="22"/>
        <v/>
      </c>
      <c r="K95" s="30" t="str">
        <f t="shared" si="23"/>
        <v/>
      </c>
      <c r="L95" s="67" t="str">
        <f t="shared" si="24"/>
        <v/>
      </c>
      <c r="M95" s="68" t="str">
        <f t="shared" si="25"/>
        <v/>
      </c>
      <c r="N95" s="67" t="str">
        <f t="shared" si="26"/>
        <v/>
      </c>
      <c r="O95" s="69" t="str">
        <f>IFERROR(IF($C95="","",VLOOKUP($N95,Feriados!$A$4:$B$5000,2,FALSE)),"")</f>
        <v/>
      </c>
      <c r="P95" s="67" t="str">
        <f t="shared" si="27"/>
        <v/>
      </c>
      <c r="Q95" s="63"/>
      <c r="R95" s="63"/>
      <c r="S95" s="62"/>
      <c r="U95" s="73"/>
      <c r="V95" s="41" t="str">
        <f t="shared" si="28"/>
        <v/>
      </c>
    </row>
    <row r="96" spans="1:22" s="34" customFormat="1" x14ac:dyDescent="0.25">
      <c r="A96" s="24" t="str">
        <f t="shared" si="15"/>
        <v/>
      </c>
      <c r="B96" s="25"/>
      <c r="C96" s="26" t="str">
        <f t="shared" si="16"/>
        <v/>
      </c>
      <c r="D96" s="12"/>
      <c r="E96" s="27" t="str">
        <f t="shared" si="17"/>
        <v/>
      </c>
      <c r="F96" s="30" t="str">
        <f t="shared" si="18"/>
        <v/>
      </c>
      <c r="G96" s="29" t="str">
        <f t="shared" si="19"/>
        <v/>
      </c>
      <c r="H96" s="30" t="str">
        <f t="shared" si="20"/>
        <v/>
      </c>
      <c r="I96" s="31" t="str">
        <f t="shared" si="21"/>
        <v/>
      </c>
      <c r="J96" s="30" t="str">
        <f t="shared" si="22"/>
        <v/>
      </c>
      <c r="K96" s="30" t="str">
        <f t="shared" si="23"/>
        <v/>
      </c>
      <c r="L96" s="67" t="str">
        <f t="shared" si="24"/>
        <v/>
      </c>
      <c r="M96" s="68" t="str">
        <f t="shared" si="25"/>
        <v/>
      </c>
      <c r="N96" s="67" t="str">
        <f t="shared" si="26"/>
        <v/>
      </c>
      <c r="O96" s="69" t="str">
        <f>IFERROR(IF($C96="","",VLOOKUP($N96,Feriados!$A$4:$B$5000,2,FALSE)),"")</f>
        <v/>
      </c>
      <c r="P96" s="67" t="str">
        <f t="shared" si="27"/>
        <v/>
      </c>
      <c r="Q96" s="63"/>
      <c r="R96" s="63"/>
      <c r="S96" s="62"/>
      <c r="U96" s="73"/>
      <c r="V96" s="41" t="str">
        <f t="shared" si="28"/>
        <v/>
      </c>
    </row>
    <row r="97" spans="1:22" s="34" customFormat="1" x14ac:dyDescent="0.25">
      <c r="A97" s="24" t="str">
        <f t="shared" si="15"/>
        <v/>
      </c>
      <c r="B97" s="25"/>
      <c r="C97" s="26" t="str">
        <f t="shared" si="16"/>
        <v/>
      </c>
      <c r="D97" s="12"/>
      <c r="E97" s="27" t="str">
        <f t="shared" si="17"/>
        <v/>
      </c>
      <c r="F97" s="30" t="str">
        <f t="shared" si="18"/>
        <v/>
      </c>
      <c r="G97" s="29" t="str">
        <f t="shared" si="19"/>
        <v/>
      </c>
      <c r="H97" s="30" t="str">
        <f t="shared" si="20"/>
        <v/>
      </c>
      <c r="I97" s="31" t="str">
        <f t="shared" si="21"/>
        <v/>
      </c>
      <c r="J97" s="30" t="str">
        <f t="shared" si="22"/>
        <v/>
      </c>
      <c r="K97" s="30" t="str">
        <f t="shared" si="23"/>
        <v/>
      </c>
      <c r="L97" s="67" t="str">
        <f t="shared" si="24"/>
        <v/>
      </c>
      <c r="M97" s="68" t="str">
        <f t="shared" si="25"/>
        <v/>
      </c>
      <c r="N97" s="67" t="str">
        <f t="shared" si="26"/>
        <v/>
      </c>
      <c r="O97" s="69" t="str">
        <f>IFERROR(IF($C97="","",VLOOKUP($N97,Feriados!$A$4:$B$5000,2,FALSE)),"")</f>
        <v/>
      </c>
      <c r="P97" s="67" t="str">
        <f t="shared" si="27"/>
        <v/>
      </c>
      <c r="Q97" s="63"/>
      <c r="R97" s="63"/>
      <c r="S97" s="62"/>
      <c r="U97" s="73"/>
      <c r="V97" s="41" t="str">
        <f t="shared" si="28"/>
        <v/>
      </c>
    </row>
    <row r="98" spans="1:22" s="34" customFormat="1" x14ac:dyDescent="0.25">
      <c r="A98" s="24" t="str">
        <f t="shared" si="15"/>
        <v/>
      </c>
      <c r="B98" s="25"/>
      <c r="C98" s="26" t="str">
        <f t="shared" si="16"/>
        <v/>
      </c>
      <c r="D98" s="12"/>
      <c r="E98" s="27" t="str">
        <f t="shared" si="17"/>
        <v/>
      </c>
      <c r="F98" s="30" t="str">
        <f t="shared" si="18"/>
        <v/>
      </c>
      <c r="G98" s="29" t="str">
        <f t="shared" si="19"/>
        <v/>
      </c>
      <c r="H98" s="30" t="str">
        <f t="shared" si="20"/>
        <v/>
      </c>
      <c r="I98" s="31" t="str">
        <f t="shared" si="21"/>
        <v/>
      </c>
      <c r="J98" s="30" t="str">
        <f t="shared" si="22"/>
        <v/>
      </c>
      <c r="K98" s="30" t="str">
        <f t="shared" si="23"/>
        <v/>
      </c>
      <c r="L98" s="67" t="str">
        <f t="shared" si="24"/>
        <v/>
      </c>
      <c r="M98" s="68" t="str">
        <f t="shared" si="25"/>
        <v/>
      </c>
      <c r="N98" s="67" t="str">
        <f t="shared" si="26"/>
        <v/>
      </c>
      <c r="O98" s="69" t="str">
        <f>IFERROR(IF($C98="","",VLOOKUP($N98,Feriados!$A$4:$B$5000,2,FALSE)),"")</f>
        <v/>
      </c>
      <c r="P98" s="67" t="str">
        <f t="shared" si="27"/>
        <v/>
      </c>
      <c r="Q98" s="63"/>
      <c r="R98" s="63"/>
      <c r="S98" s="62"/>
      <c r="U98" s="73"/>
      <c r="V98" s="41" t="str">
        <f t="shared" si="28"/>
        <v/>
      </c>
    </row>
    <row r="99" spans="1:22" s="34" customFormat="1" x14ac:dyDescent="0.25">
      <c r="A99" s="24" t="str">
        <f t="shared" si="15"/>
        <v/>
      </c>
      <c r="B99" s="25"/>
      <c r="C99" s="26" t="str">
        <f t="shared" si="16"/>
        <v/>
      </c>
      <c r="D99" s="12"/>
      <c r="E99" s="27" t="str">
        <f t="shared" si="17"/>
        <v/>
      </c>
      <c r="F99" s="30" t="str">
        <f t="shared" si="18"/>
        <v/>
      </c>
      <c r="G99" s="29" t="str">
        <f t="shared" si="19"/>
        <v/>
      </c>
      <c r="H99" s="30" t="str">
        <f t="shared" si="20"/>
        <v/>
      </c>
      <c r="I99" s="31" t="str">
        <f t="shared" si="21"/>
        <v/>
      </c>
      <c r="J99" s="30" t="str">
        <f t="shared" si="22"/>
        <v/>
      </c>
      <c r="K99" s="30" t="str">
        <f t="shared" si="23"/>
        <v/>
      </c>
      <c r="L99" s="67" t="str">
        <f t="shared" si="24"/>
        <v/>
      </c>
      <c r="M99" s="68" t="str">
        <f t="shared" si="25"/>
        <v/>
      </c>
      <c r="N99" s="67" t="str">
        <f t="shared" si="26"/>
        <v/>
      </c>
      <c r="O99" s="69" t="str">
        <f>IFERROR(IF($C99="","",VLOOKUP($N99,Feriados!$A$4:$B$5000,2,FALSE)),"")</f>
        <v/>
      </c>
      <c r="P99" s="67" t="str">
        <f t="shared" si="27"/>
        <v/>
      </c>
      <c r="Q99" s="63"/>
      <c r="R99" s="63"/>
      <c r="S99" s="62"/>
      <c r="U99" s="73"/>
      <c r="V99" s="41" t="str">
        <f t="shared" si="28"/>
        <v/>
      </c>
    </row>
    <row r="100" spans="1:22" s="34" customFormat="1" x14ac:dyDescent="0.25">
      <c r="A100" s="24" t="str">
        <f t="shared" si="15"/>
        <v/>
      </c>
      <c r="B100" s="25"/>
      <c r="C100" s="26" t="str">
        <f t="shared" si="16"/>
        <v/>
      </c>
      <c r="D100" s="12"/>
      <c r="E100" s="27" t="str">
        <f t="shared" si="17"/>
        <v/>
      </c>
      <c r="F100" s="30" t="str">
        <f t="shared" si="18"/>
        <v/>
      </c>
      <c r="G100" s="29" t="str">
        <f t="shared" si="19"/>
        <v/>
      </c>
      <c r="H100" s="30" t="str">
        <f t="shared" si="20"/>
        <v/>
      </c>
      <c r="I100" s="31" t="str">
        <f t="shared" si="21"/>
        <v/>
      </c>
      <c r="J100" s="30" t="str">
        <f t="shared" si="22"/>
        <v/>
      </c>
      <c r="K100" s="30" t="str">
        <f t="shared" si="23"/>
        <v/>
      </c>
      <c r="L100" s="67" t="str">
        <f t="shared" si="24"/>
        <v/>
      </c>
      <c r="M100" s="68" t="str">
        <f t="shared" si="25"/>
        <v/>
      </c>
      <c r="N100" s="67" t="str">
        <f t="shared" si="26"/>
        <v/>
      </c>
      <c r="O100" s="69" t="str">
        <f>IFERROR(IF($C100="","",VLOOKUP($N100,Feriados!$A$4:$B$5000,2,FALSE)),"")</f>
        <v/>
      </c>
      <c r="P100" s="67" t="str">
        <f t="shared" si="27"/>
        <v/>
      </c>
      <c r="Q100" s="63"/>
      <c r="R100" s="63"/>
      <c r="S100" s="62"/>
      <c r="U100" s="73"/>
      <c r="V100" s="41" t="str">
        <f t="shared" si="28"/>
        <v/>
      </c>
    </row>
    <row r="101" spans="1:22" s="34" customFormat="1" x14ac:dyDescent="0.25">
      <c r="A101" s="24" t="str">
        <f t="shared" si="15"/>
        <v/>
      </c>
      <c r="B101" s="25"/>
      <c r="C101" s="26" t="str">
        <f t="shared" si="16"/>
        <v/>
      </c>
      <c r="D101" s="12"/>
      <c r="E101" s="27" t="str">
        <f t="shared" si="17"/>
        <v/>
      </c>
      <c r="F101" s="30" t="str">
        <f t="shared" si="18"/>
        <v/>
      </c>
      <c r="G101" s="29" t="str">
        <f t="shared" si="19"/>
        <v/>
      </c>
      <c r="H101" s="30" t="str">
        <f t="shared" si="20"/>
        <v/>
      </c>
      <c r="I101" s="31" t="str">
        <f t="shared" si="21"/>
        <v/>
      </c>
      <c r="J101" s="30" t="str">
        <f t="shared" si="22"/>
        <v/>
      </c>
      <c r="K101" s="30" t="str">
        <f t="shared" si="23"/>
        <v/>
      </c>
      <c r="L101" s="67" t="str">
        <f t="shared" si="24"/>
        <v/>
      </c>
      <c r="M101" s="68" t="str">
        <f t="shared" si="25"/>
        <v/>
      </c>
      <c r="N101" s="67" t="str">
        <f t="shared" si="26"/>
        <v/>
      </c>
      <c r="O101" s="69" t="str">
        <f>IFERROR(IF($C101="","",VLOOKUP($N101,Feriados!$A$4:$B$5000,2,FALSE)),"")</f>
        <v/>
      </c>
      <c r="P101" s="67" t="str">
        <f t="shared" si="27"/>
        <v/>
      </c>
      <c r="Q101" s="63"/>
      <c r="R101" s="63"/>
      <c r="S101" s="62"/>
      <c r="U101" s="73"/>
      <c r="V101" s="41" t="str">
        <f t="shared" si="28"/>
        <v/>
      </c>
    </row>
    <row r="102" spans="1:22" s="34" customFormat="1" x14ac:dyDescent="0.25">
      <c r="A102" s="24" t="str">
        <f t="shared" si="15"/>
        <v/>
      </c>
      <c r="B102" s="25"/>
      <c r="C102" s="26" t="str">
        <f t="shared" si="16"/>
        <v/>
      </c>
      <c r="D102" s="12"/>
      <c r="E102" s="27" t="str">
        <f t="shared" si="17"/>
        <v/>
      </c>
      <c r="F102" s="30" t="str">
        <f t="shared" si="18"/>
        <v/>
      </c>
      <c r="G102" s="29" t="str">
        <f t="shared" si="19"/>
        <v/>
      </c>
      <c r="H102" s="30" t="str">
        <f t="shared" si="20"/>
        <v/>
      </c>
      <c r="I102" s="31" t="str">
        <f t="shared" si="21"/>
        <v/>
      </c>
      <c r="J102" s="30" t="str">
        <f t="shared" si="22"/>
        <v/>
      </c>
      <c r="K102" s="30" t="str">
        <f t="shared" si="23"/>
        <v/>
      </c>
      <c r="L102" s="67" t="str">
        <f t="shared" si="24"/>
        <v/>
      </c>
      <c r="M102" s="68" t="str">
        <f t="shared" si="25"/>
        <v/>
      </c>
      <c r="N102" s="67" t="str">
        <f t="shared" si="26"/>
        <v/>
      </c>
      <c r="O102" s="69" t="str">
        <f>IFERROR(IF($C102="","",VLOOKUP($N102,Feriados!$A$4:$B$5000,2,FALSE)),"")</f>
        <v/>
      </c>
      <c r="P102" s="67" t="str">
        <f t="shared" si="27"/>
        <v/>
      </c>
      <c r="Q102" s="63"/>
      <c r="R102" s="63"/>
      <c r="S102" s="62"/>
      <c r="U102" s="73"/>
      <c r="V102" s="41" t="str">
        <f t="shared" si="28"/>
        <v/>
      </c>
    </row>
    <row r="103" spans="1:22" s="34" customFormat="1" x14ac:dyDescent="0.25">
      <c r="A103" s="24" t="str">
        <f t="shared" si="15"/>
        <v/>
      </c>
      <c r="B103" s="25"/>
      <c r="C103" s="26" t="str">
        <f t="shared" si="16"/>
        <v/>
      </c>
      <c r="D103" s="12"/>
      <c r="E103" s="27" t="str">
        <f t="shared" si="17"/>
        <v/>
      </c>
      <c r="F103" s="30" t="str">
        <f t="shared" si="18"/>
        <v/>
      </c>
      <c r="G103" s="29" t="str">
        <f t="shared" si="19"/>
        <v/>
      </c>
      <c r="H103" s="30" t="str">
        <f t="shared" si="20"/>
        <v/>
      </c>
      <c r="I103" s="31" t="str">
        <f t="shared" si="21"/>
        <v/>
      </c>
      <c r="J103" s="30" t="str">
        <f t="shared" si="22"/>
        <v/>
      </c>
      <c r="K103" s="30" t="str">
        <f t="shared" si="23"/>
        <v/>
      </c>
      <c r="L103" s="67" t="str">
        <f t="shared" si="24"/>
        <v/>
      </c>
      <c r="M103" s="68" t="str">
        <f t="shared" si="25"/>
        <v/>
      </c>
      <c r="N103" s="67" t="str">
        <f t="shared" si="26"/>
        <v/>
      </c>
      <c r="O103" s="69" t="str">
        <f>IFERROR(IF($C103="","",VLOOKUP($N103,Feriados!$A$4:$B$5000,2,FALSE)),"")</f>
        <v/>
      </c>
      <c r="P103" s="67" t="str">
        <f t="shared" si="27"/>
        <v/>
      </c>
      <c r="Q103" s="63"/>
      <c r="R103" s="63"/>
      <c r="S103" s="62"/>
      <c r="U103" s="73"/>
      <c r="V103" s="41" t="str">
        <f t="shared" si="28"/>
        <v/>
      </c>
    </row>
    <row r="104" spans="1:22" s="34" customFormat="1" x14ac:dyDescent="0.25">
      <c r="A104" s="24" t="str">
        <f t="shared" si="15"/>
        <v/>
      </c>
      <c r="B104" s="25"/>
      <c r="C104" s="26" t="str">
        <f t="shared" si="16"/>
        <v/>
      </c>
      <c r="D104" s="12"/>
      <c r="E104" s="27" t="str">
        <f t="shared" si="17"/>
        <v/>
      </c>
      <c r="F104" s="30" t="str">
        <f t="shared" si="18"/>
        <v/>
      </c>
      <c r="G104" s="29" t="str">
        <f t="shared" si="19"/>
        <v/>
      </c>
      <c r="H104" s="30" t="str">
        <f t="shared" si="20"/>
        <v/>
      </c>
      <c r="I104" s="31" t="str">
        <f t="shared" si="21"/>
        <v/>
      </c>
      <c r="J104" s="30" t="str">
        <f t="shared" si="22"/>
        <v/>
      </c>
      <c r="K104" s="30" t="str">
        <f t="shared" si="23"/>
        <v/>
      </c>
      <c r="L104" s="67" t="str">
        <f t="shared" si="24"/>
        <v/>
      </c>
      <c r="M104" s="68" t="str">
        <f t="shared" si="25"/>
        <v/>
      </c>
      <c r="N104" s="67" t="str">
        <f t="shared" si="26"/>
        <v/>
      </c>
      <c r="O104" s="69" t="str">
        <f>IFERROR(IF($C104="","",VLOOKUP($N104,Feriados!$A$4:$B$5000,2,FALSE)),"")</f>
        <v/>
      </c>
      <c r="P104" s="67" t="str">
        <f t="shared" si="27"/>
        <v/>
      </c>
      <c r="Q104" s="63"/>
      <c r="R104" s="63"/>
      <c r="S104" s="62"/>
      <c r="U104" s="73"/>
      <c r="V104" s="41" t="str">
        <f t="shared" si="28"/>
        <v/>
      </c>
    </row>
    <row r="105" spans="1:22" s="34" customFormat="1" x14ac:dyDescent="0.25">
      <c r="A105" s="24" t="str">
        <f t="shared" si="15"/>
        <v/>
      </c>
      <c r="B105" s="25"/>
      <c r="C105" s="26" t="str">
        <f t="shared" si="16"/>
        <v/>
      </c>
      <c r="D105" s="12"/>
      <c r="E105" s="27" t="str">
        <f t="shared" si="17"/>
        <v/>
      </c>
      <c r="F105" s="30" t="str">
        <f t="shared" si="18"/>
        <v/>
      </c>
      <c r="G105" s="29" t="str">
        <f t="shared" si="19"/>
        <v/>
      </c>
      <c r="H105" s="30" t="str">
        <f t="shared" si="20"/>
        <v/>
      </c>
      <c r="I105" s="31" t="str">
        <f t="shared" si="21"/>
        <v/>
      </c>
      <c r="J105" s="30" t="str">
        <f t="shared" si="22"/>
        <v/>
      </c>
      <c r="K105" s="30" t="str">
        <f t="shared" si="23"/>
        <v/>
      </c>
      <c r="L105" s="67" t="str">
        <f t="shared" si="24"/>
        <v/>
      </c>
      <c r="M105" s="68" t="str">
        <f t="shared" si="25"/>
        <v/>
      </c>
      <c r="N105" s="67" t="str">
        <f t="shared" si="26"/>
        <v/>
      </c>
      <c r="O105" s="69" t="str">
        <f>IFERROR(IF($C105="","",VLOOKUP($N105,Feriados!$A$4:$B$5000,2,FALSE)),"")</f>
        <v/>
      </c>
      <c r="P105" s="67" t="str">
        <f t="shared" si="27"/>
        <v/>
      </c>
      <c r="Q105" s="63"/>
      <c r="R105" s="63"/>
      <c r="S105" s="62"/>
      <c r="U105" s="73"/>
      <c r="V105" s="41" t="str">
        <f t="shared" si="28"/>
        <v/>
      </c>
    </row>
    <row r="106" spans="1:22" s="34" customFormat="1" x14ac:dyDescent="0.25">
      <c r="A106" s="24" t="str">
        <f t="shared" si="15"/>
        <v/>
      </c>
      <c r="B106" s="25"/>
      <c r="C106" s="26" t="str">
        <f t="shared" si="16"/>
        <v/>
      </c>
      <c r="D106" s="12"/>
      <c r="E106" s="27" t="str">
        <f t="shared" si="17"/>
        <v/>
      </c>
      <c r="F106" s="30" t="str">
        <f t="shared" si="18"/>
        <v/>
      </c>
      <c r="G106" s="29" t="str">
        <f t="shared" si="19"/>
        <v/>
      </c>
      <c r="H106" s="30" t="str">
        <f t="shared" si="20"/>
        <v/>
      </c>
      <c r="I106" s="31" t="str">
        <f t="shared" si="21"/>
        <v/>
      </c>
      <c r="J106" s="30" t="str">
        <f t="shared" si="22"/>
        <v/>
      </c>
      <c r="K106" s="30" t="str">
        <f t="shared" si="23"/>
        <v/>
      </c>
      <c r="L106" s="67" t="str">
        <f t="shared" si="24"/>
        <v/>
      </c>
      <c r="M106" s="68" t="str">
        <f t="shared" si="25"/>
        <v/>
      </c>
      <c r="N106" s="67" t="str">
        <f t="shared" si="26"/>
        <v/>
      </c>
      <c r="O106" s="69" t="str">
        <f>IFERROR(IF($C106="","",VLOOKUP($N106,Feriados!$A$4:$B$5000,2,FALSE)),"")</f>
        <v/>
      </c>
      <c r="P106" s="67" t="str">
        <f t="shared" si="27"/>
        <v/>
      </c>
      <c r="Q106" s="63"/>
      <c r="R106" s="63"/>
      <c r="S106" s="62"/>
      <c r="U106" s="73"/>
      <c r="V106" s="41" t="str">
        <f t="shared" si="28"/>
        <v/>
      </c>
    </row>
    <row r="107" spans="1:22" s="34" customFormat="1" x14ac:dyDescent="0.25">
      <c r="A107" s="24" t="str">
        <f t="shared" si="15"/>
        <v/>
      </c>
      <c r="B107" s="25"/>
      <c r="C107" s="26" t="str">
        <f t="shared" si="16"/>
        <v/>
      </c>
      <c r="D107" s="12"/>
      <c r="E107" s="27" t="str">
        <f t="shared" si="17"/>
        <v/>
      </c>
      <c r="F107" s="30" t="str">
        <f t="shared" si="18"/>
        <v/>
      </c>
      <c r="G107" s="29" t="str">
        <f t="shared" si="19"/>
        <v/>
      </c>
      <c r="H107" s="30" t="str">
        <f t="shared" si="20"/>
        <v/>
      </c>
      <c r="I107" s="31" t="str">
        <f t="shared" si="21"/>
        <v/>
      </c>
      <c r="J107" s="30" t="str">
        <f t="shared" si="22"/>
        <v/>
      </c>
      <c r="K107" s="30" t="str">
        <f t="shared" si="23"/>
        <v/>
      </c>
      <c r="L107" s="67" t="str">
        <f t="shared" si="24"/>
        <v/>
      </c>
      <c r="M107" s="68" t="str">
        <f t="shared" si="25"/>
        <v/>
      </c>
      <c r="N107" s="67" t="str">
        <f t="shared" si="26"/>
        <v/>
      </c>
      <c r="O107" s="69" t="str">
        <f>IFERROR(IF($C107="","",VLOOKUP($N107,Feriados!$A$4:$B$5000,2,FALSE)),"")</f>
        <v/>
      </c>
      <c r="P107" s="67" t="str">
        <f t="shared" si="27"/>
        <v/>
      </c>
      <c r="Q107" s="63"/>
      <c r="R107" s="63"/>
      <c r="S107" s="62"/>
      <c r="U107" s="73"/>
      <c r="V107" s="41" t="str">
        <f t="shared" si="28"/>
        <v/>
      </c>
    </row>
    <row r="108" spans="1:22" s="34" customFormat="1" x14ac:dyDescent="0.25">
      <c r="A108" s="24" t="str">
        <f t="shared" si="15"/>
        <v/>
      </c>
      <c r="B108" s="25"/>
      <c r="C108" s="26" t="str">
        <f t="shared" si="16"/>
        <v/>
      </c>
      <c r="D108" s="12"/>
      <c r="E108" s="27" t="str">
        <f t="shared" si="17"/>
        <v/>
      </c>
      <c r="F108" s="30" t="str">
        <f t="shared" si="18"/>
        <v/>
      </c>
      <c r="G108" s="29" t="str">
        <f t="shared" si="19"/>
        <v/>
      </c>
      <c r="H108" s="30" t="str">
        <f t="shared" si="20"/>
        <v/>
      </c>
      <c r="I108" s="31" t="str">
        <f t="shared" si="21"/>
        <v/>
      </c>
      <c r="J108" s="30" t="str">
        <f t="shared" si="22"/>
        <v/>
      </c>
      <c r="K108" s="30" t="str">
        <f t="shared" si="23"/>
        <v/>
      </c>
      <c r="L108" s="67" t="str">
        <f t="shared" si="24"/>
        <v/>
      </c>
      <c r="M108" s="68" t="str">
        <f t="shared" si="25"/>
        <v/>
      </c>
      <c r="N108" s="67" t="str">
        <f t="shared" si="26"/>
        <v/>
      </c>
      <c r="O108" s="69" t="str">
        <f>IFERROR(IF($C108="","",VLOOKUP($N108,Feriados!$A$4:$B$5000,2,FALSE)),"")</f>
        <v/>
      </c>
      <c r="P108" s="67" t="str">
        <f t="shared" si="27"/>
        <v/>
      </c>
      <c r="Q108" s="63"/>
      <c r="R108" s="63"/>
      <c r="S108" s="62"/>
      <c r="U108" s="73"/>
      <c r="V108" s="41" t="str">
        <f t="shared" si="28"/>
        <v/>
      </c>
    </row>
    <row r="109" spans="1:22" s="34" customFormat="1" x14ac:dyDescent="0.25">
      <c r="A109" s="24" t="str">
        <f t="shared" si="15"/>
        <v/>
      </c>
      <c r="B109" s="25"/>
      <c r="C109" s="26" t="str">
        <f t="shared" si="16"/>
        <v/>
      </c>
      <c r="D109" s="12"/>
      <c r="E109" s="27" t="str">
        <f t="shared" si="17"/>
        <v/>
      </c>
      <c r="F109" s="30" t="str">
        <f t="shared" si="18"/>
        <v/>
      </c>
      <c r="G109" s="29" t="str">
        <f t="shared" si="19"/>
        <v/>
      </c>
      <c r="H109" s="30" t="str">
        <f t="shared" si="20"/>
        <v/>
      </c>
      <c r="I109" s="31" t="str">
        <f t="shared" si="21"/>
        <v/>
      </c>
      <c r="J109" s="30" t="str">
        <f t="shared" si="22"/>
        <v/>
      </c>
      <c r="K109" s="30" t="str">
        <f t="shared" si="23"/>
        <v/>
      </c>
      <c r="L109" s="67" t="str">
        <f t="shared" si="24"/>
        <v/>
      </c>
      <c r="M109" s="68" t="str">
        <f t="shared" si="25"/>
        <v/>
      </c>
      <c r="N109" s="67" t="str">
        <f t="shared" si="26"/>
        <v/>
      </c>
      <c r="O109" s="69" t="str">
        <f>IFERROR(IF($C109="","",VLOOKUP($N109,Feriados!$A$4:$B$5000,2,FALSE)),"")</f>
        <v/>
      </c>
      <c r="P109" s="67" t="str">
        <f t="shared" si="27"/>
        <v/>
      </c>
      <c r="Q109" s="63"/>
      <c r="R109" s="63"/>
      <c r="S109" s="62"/>
      <c r="U109" s="73"/>
      <c r="V109" s="41" t="str">
        <f t="shared" si="28"/>
        <v/>
      </c>
    </row>
    <row r="110" spans="1:22" s="34" customFormat="1" x14ac:dyDescent="0.25">
      <c r="A110" s="24" t="str">
        <f t="shared" si="15"/>
        <v/>
      </c>
      <c r="B110" s="25"/>
      <c r="C110" s="26" t="str">
        <f t="shared" si="16"/>
        <v/>
      </c>
      <c r="D110" s="12"/>
      <c r="E110" s="27" t="str">
        <f t="shared" si="17"/>
        <v/>
      </c>
      <c r="F110" s="30" t="str">
        <f t="shared" si="18"/>
        <v/>
      </c>
      <c r="G110" s="29" t="str">
        <f t="shared" si="19"/>
        <v/>
      </c>
      <c r="H110" s="30" t="str">
        <f t="shared" si="20"/>
        <v/>
      </c>
      <c r="I110" s="31" t="str">
        <f t="shared" si="21"/>
        <v/>
      </c>
      <c r="J110" s="30" t="str">
        <f t="shared" si="22"/>
        <v/>
      </c>
      <c r="K110" s="30" t="str">
        <f t="shared" si="23"/>
        <v/>
      </c>
      <c r="L110" s="67" t="str">
        <f t="shared" si="24"/>
        <v/>
      </c>
      <c r="M110" s="68" t="str">
        <f t="shared" si="25"/>
        <v/>
      </c>
      <c r="N110" s="67" t="str">
        <f t="shared" si="26"/>
        <v/>
      </c>
      <c r="O110" s="69" t="str">
        <f>IFERROR(IF($C110="","",VLOOKUP($N110,Feriados!$A$4:$B$5000,2,FALSE)),"")</f>
        <v/>
      </c>
      <c r="P110" s="67" t="str">
        <f t="shared" si="27"/>
        <v/>
      </c>
      <c r="Q110" s="63"/>
      <c r="R110" s="63"/>
      <c r="S110" s="62"/>
      <c r="U110" s="73"/>
      <c r="V110" s="41" t="str">
        <f t="shared" si="28"/>
        <v/>
      </c>
    </row>
    <row r="111" spans="1:22" s="34" customFormat="1" x14ac:dyDescent="0.25">
      <c r="A111" s="24" t="str">
        <f t="shared" si="15"/>
        <v/>
      </c>
      <c r="B111" s="25"/>
      <c r="C111" s="26" t="str">
        <f t="shared" si="16"/>
        <v/>
      </c>
      <c r="D111" s="12"/>
      <c r="E111" s="27" t="str">
        <f t="shared" si="17"/>
        <v/>
      </c>
      <c r="F111" s="30" t="str">
        <f t="shared" si="18"/>
        <v/>
      </c>
      <c r="G111" s="29" t="str">
        <f t="shared" si="19"/>
        <v/>
      </c>
      <c r="H111" s="30" t="str">
        <f t="shared" si="20"/>
        <v/>
      </c>
      <c r="I111" s="31" t="str">
        <f t="shared" si="21"/>
        <v/>
      </c>
      <c r="J111" s="30" t="str">
        <f t="shared" si="22"/>
        <v/>
      </c>
      <c r="K111" s="30" t="str">
        <f t="shared" si="23"/>
        <v/>
      </c>
      <c r="L111" s="67" t="str">
        <f t="shared" si="24"/>
        <v/>
      </c>
      <c r="M111" s="68" t="str">
        <f t="shared" si="25"/>
        <v/>
      </c>
      <c r="N111" s="67" t="str">
        <f t="shared" si="26"/>
        <v/>
      </c>
      <c r="O111" s="69" t="str">
        <f>IFERROR(IF($C111="","",VLOOKUP($N111,Feriados!$A$4:$B$5000,2,FALSE)),"")</f>
        <v/>
      </c>
      <c r="P111" s="67" t="str">
        <f t="shared" si="27"/>
        <v/>
      </c>
      <c r="Q111" s="63"/>
      <c r="R111" s="63"/>
      <c r="S111" s="62"/>
      <c r="U111" s="73"/>
      <c r="V111" s="41" t="str">
        <f t="shared" si="28"/>
        <v/>
      </c>
    </row>
    <row r="112" spans="1:22" s="34" customFormat="1" x14ac:dyDescent="0.25">
      <c r="A112" s="24" t="str">
        <f t="shared" si="15"/>
        <v/>
      </c>
      <c r="B112" s="25"/>
      <c r="C112" s="26" t="str">
        <f t="shared" si="16"/>
        <v/>
      </c>
      <c r="D112" s="12"/>
      <c r="E112" s="27" t="str">
        <f t="shared" si="17"/>
        <v/>
      </c>
      <c r="F112" s="30" t="str">
        <f t="shared" si="18"/>
        <v/>
      </c>
      <c r="G112" s="29" t="str">
        <f t="shared" si="19"/>
        <v/>
      </c>
      <c r="H112" s="30" t="str">
        <f t="shared" si="20"/>
        <v/>
      </c>
      <c r="I112" s="31" t="str">
        <f t="shared" si="21"/>
        <v/>
      </c>
      <c r="J112" s="30" t="str">
        <f t="shared" si="22"/>
        <v/>
      </c>
      <c r="K112" s="30" t="str">
        <f t="shared" si="23"/>
        <v/>
      </c>
      <c r="L112" s="67" t="str">
        <f t="shared" si="24"/>
        <v/>
      </c>
      <c r="M112" s="68" t="str">
        <f t="shared" si="25"/>
        <v/>
      </c>
      <c r="N112" s="67" t="str">
        <f t="shared" si="26"/>
        <v/>
      </c>
      <c r="O112" s="69" t="str">
        <f>IFERROR(IF($C112="","",VLOOKUP($N112,Feriados!$A$4:$B$5000,2,FALSE)),"")</f>
        <v/>
      </c>
      <c r="P112" s="67" t="str">
        <f t="shared" si="27"/>
        <v/>
      </c>
      <c r="Q112" s="63"/>
      <c r="R112" s="63"/>
      <c r="S112" s="62"/>
      <c r="U112" s="73"/>
      <c r="V112" s="41" t="str">
        <f t="shared" si="28"/>
        <v/>
      </c>
    </row>
    <row r="113" spans="1:22" s="34" customFormat="1" x14ac:dyDescent="0.25">
      <c r="A113" s="24" t="str">
        <f t="shared" si="15"/>
        <v/>
      </c>
      <c r="B113" s="25"/>
      <c r="C113" s="26" t="str">
        <f t="shared" si="16"/>
        <v/>
      </c>
      <c r="D113" s="12"/>
      <c r="E113" s="27" t="str">
        <f t="shared" si="17"/>
        <v/>
      </c>
      <c r="F113" s="30" t="str">
        <f t="shared" si="18"/>
        <v/>
      </c>
      <c r="G113" s="29" t="str">
        <f t="shared" si="19"/>
        <v/>
      </c>
      <c r="H113" s="30" t="str">
        <f t="shared" si="20"/>
        <v/>
      </c>
      <c r="I113" s="31" t="str">
        <f t="shared" si="21"/>
        <v/>
      </c>
      <c r="J113" s="30" t="str">
        <f t="shared" si="22"/>
        <v/>
      </c>
      <c r="K113" s="30" t="str">
        <f t="shared" si="23"/>
        <v/>
      </c>
      <c r="L113" s="67" t="str">
        <f t="shared" si="24"/>
        <v/>
      </c>
      <c r="M113" s="68" t="str">
        <f t="shared" si="25"/>
        <v/>
      </c>
      <c r="N113" s="67" t="str">
        <f t="shared" si="26"/>
        <v/>
      </c>
      <c r="O113" s="69" t="str">
        <f>IFERROR(IF($C113="","",VLOOKUP($N113,Feriados!$A$4:$B$5000,2,FALSE)),"")</f>
        <v/>
      </c>
      <c r="P113" s="67" t="str">
        <f t="shared" si="27"/>
        <v/>
      </c>
      <c r="Q113" s="63"/>
      <c r="R113" s="63"/>
      <c r="S113" s="62"/>
      <c r="U113" s="73"/>
      <c r="V113" s="41" t="str">
        <f t="shared" si="28"/>
        <v/>
      </c>
    </row>
    <row r="114" spans="1:22" s="34" customFormat="1" x14ac:dyDescent="0.25">
      <c r="A114" s="24" t="str">
        <f t="shared" si="15"/>
        <v/>
      </c>
      <c r="B114" s="25"/>
      <c r="C114" s="26" t="str">
        <f t="shared" si="16"/>
        <v/>
      </c>
      <c r="D114" s="12"/>
      <c r="E114" s="27" t="str">
        <f t="shared" si="17"/>
        <v/>
      </c>
      <c r="F114" s="30" t="str">
        <f t="shared" si="18"/>
        <v/>
      </c>
      <c r="G114" s="29" t="str">
        <f t="shared" si="19"/>
        <v/>
      </c>
      <c r="H114" s="30" t="str">
        <f t="shared" si="20"/>
        <v/>
      </c>
      <c r="I114" s="31" t="str">
        <f t="shared" si="21"/>
        <v/>
      </c>
      <c r="J114" s="30" t="str">
        <f t="shared" si="22"/>
        <v/>
      </c>
      <c r="K114" s="30" t="str">
        <f t="shared" si="23"/>
        <v/>
      </c>
      <c r="L114" s="67" t="str">
        <f t="shared" si="24"/>
        <v/>
      </c>
      <c r="M114" s="68" t="str">
        <f t="shared" si="25"/>
        <v/>
      </c>
      <c r="N114" s="67" t="str">
        <f t="shared" si="26"/>
        <v/>
      </c>
      <c r="O114" s="69" t="str">
        <f>IFERROR(IF($C114="","",VLOOKUP($N114,Feriados!$A$4:$B$5000,2,FALSE)),"")</f>
        <v/>
      </c>
      <c r="P114" s="67" t="str">
        <f t="shared" si="27"/>
        <v/>
      </c>
      <c r="Q114" s="63"/>
      <c r="R114" s="63"/>
      <c r="S114" s="62"/>
      <c r="U114" s="73"/>
      <c r="V114" s="41" t="str">
        <f t="shared" si="28"/>
        <v/>
      </c>
    </row>
    <row r="115" spans="1:22" s="34" customFormat="1" x14ac:dyDescent="0.25">
      <c r="A115" s="24" t="str">
        <f t="shared" si="15"/>
        <v/>
      </c>
      <c r="B115" s="25"/>
      <c r="C115" s="26" t="str">
        <f t="shared" si="16"/>
        <v/>
      </c>
      <c r="D115" s="12"/>
      <c r="E115" s="27" t="str">
        <f t="shared" si="17"/>
        <v/>
      </c>
      <c r="F115" s="30" t="str">
        <f t="shared" si="18"/>
        <v/>
      </c>
      <c r="G115" s="29" t="str">
        <f t="shared" si="19"/>
        <v/>
      </c>
      <c r="H115" s="30" t="str">
        <f t="shared" si="20"/>
        <v/>
      </c>
      <c r="I115" s="31" t="str">
        <f t="shared" si="21"/>
        <v/>
      </c>
      <c r="J115" s="30" t="str">
        <f t="shared" si="22"/>
        <v/>
      </c>
      <c r="K115" s="30" t="str">
        <f t="shared" si="23"/>
        <v/>
      </c>
      <c r="L115" s="67" t="str">
        <f t="shared" si="24"/>
        <v/>
      </c>
      <c r="M115" s="68" t="str">
        <f t="shared" si="25"/>
        <v/>
      </c>
      <c r="N115" s="67" t="str">
        <f t="shared" si="26"/>
        <v/>
      </c>
      <c r="O115" s="69" t="str">
        <f>IFERROR(IF($C115="","",VLOOKUP($N115,Feriados!$A$4:$B$5000,2,FALSE)),"")</f>
        <v/>
      </c>
      <c r="P115" s="67" t="str">
        <f t="shared" si="27"/>
        <v/>
      </c>
      <c r="Q115" s="63"/>
      <c r="R115" s="63"/>
      <c r="S115" s="62"/>
      <c r="U115" s="73"/>
      <c r="V115" s="41" t="str">
        <f t="shared" si="28"/>
        <v/>
      </c>
    </row>
    <row r="116" spans="1:22" s="34" customFormat="1" x14ac:dyDescent="0.25">
      <c r="A116" s="24" t="str">
        <f t="shared" ref="A116:A179" si="29">IF(E116="","",EOMONTH(E116,0))</f>
        <v/>
      </c>
      <c r="B116" s="25"/>
      <c r="C116" s="26" t="str">
        <f t="shared" si="16"/>
        <v/>
      </c>
      <c r="D116" s="12"/>
      <c r="E116" s="27" t="str">
        <f t="shared" si="17"/>
        <v/>
      </c>
      <c r="F116" s="30" t="str">
        <f t="shared" si="18"/>
        <v/>
      </c>
      <c r="G116" s="29" t="str">
        <f t="shared" si="19"/>
        <v/>
      </c>
      <c r="H116" s="30" t="str">
        <f t="shared" si="20"/>
        <v/>
      </c>
      <c r="I116" s="31" t="str">
        <f t="shared" si="21"/>
        <v/>
      </c>
      <c r="J116" s="30" t="str">
        <f t="shared" si="22"/>
        <v/>
      </c>
      <c r="K116" s="30" t="str">
        <f t="shared" si="23"/>
        <v/>
      </c>
      <c r="L116" s="67" t="str">
        <f t="shared" si="24"/>
        <v/>
      </c>
      <c r="M116" s="68" t="str">
        <f t="shared" si="25"/>
        <v/>
      </c>
      <c r="N116" s="67" t="str">
        <f t="shared" si="26"/>
        <v/>
      </c>
      <c r="O116" s="69" t="str">
        <f>IFERROR(IF($C116="","",VLOOKUP($N116,Feriados!$A$4:$B$5000,2,FALSE)),"")</f>
        <v/>
      </c>
      <c r="P116" s="67" t="str">
        <f t="shared" si="27"/>
        <v/>
      </c>
      <c r="Q116" s="63"/>
      <c r="R116" s="63"/>
      <c r="S116" s="62"/>
      <c r="U116" s="73"/>
      <c r="V116" s="41" t="str">
        <f t="shared" si="28"/>
        <v/>
      </c>
    </row>
    <row r="117" spans="1:22" s="34" customFormat="1" x14ac:dyDescent="0.25">
      <c r="A117" s="24" t="str">
        <f t="shared" si="29"/>
        <v/>
      </c>
      <c r="B117" s="25"/>
      <c r="C117" s="26" t="str">
        <f t="shared" si="16"/>
        <v/>
      </c>
      <c r="D117" s="12"/>
      <c r="E117" s="27" t="str">
        <f t="shared" si="17"/>
        <v/>
      </c>
      <c r="F117" s="30" t="str">
        <f t="shared" si="18"/>
        <v/>
      </c>
      <c r="G117" s="29" t="str">
        <f t="shared" si="19"/>
        <v/>
      </c>
      <c r="H117" s="30" t="str">
        <f t="shared" si="20"/>
        <v/>
      </c>
      <c r="I117" s="31" t="str">
        <f t="shared" si="21"/>
        <v/>
      </c>
      <c r="J117" s="30" t="str">
        <f t="shared" si="22"/>
        <v/>
      </c>
      <c r="K117" s="30" t="str">
        <f t="shared" si="23"/>
        <v/>
      </c>
      <c r="L117" s="67" t="str">
        <f t="shared" si="24"/>
        <v/>
      </c>
      <c r="M117" s="68" t="str">
        <f t="shared" si="25"/>
        <v/>
      </c>
      <c r="N117" s="67" t="str">
        <f t="shared" si="26"/>
        <v/>
      </c>
      <c r="O117" s="69" t="str">
        <f>IFERROR(IF($C117="","",VLOOKUP($N117,Feriados!$A$4:$B$5000,2,FALSE)),"")</f>
        <v/>
      </c>
      <c r="P117" s="67" t="str">
        <f t="shared" si="27"/>
        <v/>
      </c>
      <c r="Q117" s="63"/>
      <c r="R117" s="63"/>
      <c r="S117" s="62"/>
      <c r="U117" s="73"/>
      <c r="V117" s="41" t="str">
        <f t="shared" si="28"/>
        <v/>
      </c>
    </row>
    <row r="118" spans="1:22" s="34" customFormat="1" x14ac:dyDescent="0.25">
      <c r="A118" s="24" t="str">
        <f t="shared" si="29"/>
        <v/>
      </c>
      <c r="B118" s="25"/>
      <c r="C118" s="26" t="str">
        <f t="shared" si="16"/>
        <v/>
      </c>
      <c r="D118" s="12"/>
      <c r="E118" s="27" t="str">
        <f t="shared" si="17"/>
        <v/>
      </c>
      <c r="F118" s="30" t="str">
        <f t="shared" si="18"/>
        <v/>
      </c>
      <c r="G118" s="29" t="str">
        <f t="shared" si="19"/>
        <v/>
      </c>
      <c r="H118" s="30" t="str">
        <f t="shared" si="20"/>
        <v/>
      </c>
      <c r="I118" s="31" t="str">
        <f t="shared" si="21"/>
        <v/>
      </c>
      <c r="J118" s="30" t="str">
        <f t="shared" si="22"/>
        <v/>
      </c>
      <c r="K118" s="30" t="str">
        <f t="shared" si="23"/>
        <v/>
      </c>
      <c r="L118" s="67" t="str">
        <f t="shared" si="24"/>
        <v/>
      </c>
      <c r="M118" s="68" t="str">
        <f t="shared" si="25"/>
        <v/>
      </c>
      <c r="N118" s="67" t="str">
        <f t="shared" si="26"/>
        <v/>
      </c>
      <c r="O118" s="69" t="str">
        <f>IFERROR(IF($C118="","",VLOOKUP($N118,Feriados!$A$4:$B$5000,2,FALSE)),"")</f>
        <v/>
      </c>
      <c r="P118" s="67" t="str">
        <f t="shared" si="27"/>
        <v/>
      </c>
      <c r="Q118" s="63"/>
      <c r="R118" s="63"/>
      <c r="S118" s="62"/>
      <c r="U118" s="73"/>
      <c r="V118" s="41" t="str">
        <f t="shared" si="28"/>
        <v/>
      </c>
    </row>
    <row r="119" spans="1:22" s="34" customFormat="1" x14ac:dyDescent="0.25">
      <c r="A119" s="24" t="str">
        <f t="shared" si="29"/>
        <v/>
      </c>
      <c r="B119" s="25"/>
      <c r="C119" s="26" t="str">
        <f t="shared" si="16"/>
        <v/>
      </c>
      <c r="D119" s="12"/>
      <c r="E119" s="27" t="str">
        <f t="shared" si="17"/>
        <v/>
      </c>
      <c r="F119" s="30" t="str">
        <f t="shared" si="18"/>
        <v/>
      </c>
      <c r="G119" s="29" t="str">
        <f t="shared" si="19"/>
        <v/>
      </c>
      <c r="H119" s="30" t="str">
        <f t="shared" si="20"/>
        <v/>
      </c>
      <c r="I119" s="31" t="str">
        <f t="shared" si="21"/>
        <v/>
      </c>
      <c r="J119" s="30" t="str">
        <f t="shared" si="22"/>
        <v/>
      </c>
      <c r="K119" s="30" t="str">
        <f t="shared" si="23"/>
        <v/>
      </c>
      <c r="L119" s="67" t="str">
        <f t="shared" si="24"/>
        <v/>
      </c>
      <c r="M119" s="68" t="str">
        <f t="shared" si="25"/>
        <v/>
      </c>
      <c r="N119" s="67" t="str">
        <f t="shared" si="26"/>
        <v/>
      </c>
      <c r="O119" s="69" t="str">
        <f>IFERROR(IF($C119="","",VLOOKUP($N119,Feriados!$A$4:$B$5000,2,FALSE)),"")</f>
        <v/>
      </c>
      <c r="P119" s="67" t="str">
        <f t="shared" si="27"/>
        <v/>
      </c>
      <c r="Q119" s="63"/>
      <c r="R119" s="63"/>
      <c r="S119" s="62"/>
      <c r="U119" s="73"/>
      <c r="V119" s="41" t="str">
        <f t="shared" si="28"/>
        <v/>
      </c>
    </row>
    <row r="120" spans="1:22" s="34" customFormat="1" x14ac:dyDescent="0.25">
      <c r="A120" s="24" t="str">
        <f t="shared" si="29"/>
        <v/>
      </c>
      <c r="B120" s="25"/>
      <c r="C120" s="26" t="str">
        <f t="shared" si="16"/>
        <v/>
      </c>
      <c r="D120" s="12"/>
      <c r="E120" s="27" t="str">
        <f t="shared" si="17"/>
        <v/>
      </c>
      <c r="F120" s="30" t="str">
        <f t="shared" si="18"/>
        <v/>
      </c>
      <c r="G120" s="29" t="str">
        <f t="shared" si="19"/>
        <v/>
      </c>
      <c r="H120" s="30" t="str">
        <f t="shared" si="20"/>
        <v/>
      </c>
      <c r="I120" s="31" t="str">
        <f t="shared" si="21"/>
        <v/>
      </c>
      <c r="J120" s="30" t="str">
        <f t="shared" si="22"/>
        <v/>
      </c>
      <c r="K120" s="30" t="str">
        <f t="shared" si="23"/>
        <v/>
      </c>
      <c r="L120" s="67" t="str">
        <f t="shared" si="24"/>
        <v/>
      </c>
      <c r="M120" s="68" t="str">
        <f t="shared" si="25"/>
        <v/>
      </c>
      <c r="N120" s="67" t="str">
        <f t="shared" si="26"/>
        <v/>
      </c>
      <c r="O120" s="69" t="str">
        <f>IFERROR(IF($C120="","",VLOOKUP($N120,Feriados!$A$4:$B$5000,2,FALSE)),"")</f>
        <v/>
      </c>
      <c r="P120" s="67" t="str">
        <f t="shared" si="27"/>
        <v/>
      </c>
      <c r="Q120" s="63"/>
      <c r="R120" s="63"/>
      <c r="S120" s="62"/>
      <c r="U120" s="73"/>
      <c r="V120" s="41" t="str">
        <f t="shared" si="28"/>
        <v/>
      </c>
    </row>
    <row r="121" spans="1:22" s="34" customFormat="1" x14ac:dyDescent="0.25">
      <c r="A121" s="24" t="str">
        <f t="shared" si="29"/>
        <v/>
      </c>
      <c r="B121" s="25"/>
      <c r="C121" s="26" t="str">
        <f t="shared" si="16"/>
        <v/>
      </c>
      <c r="D121" s="12"/>
      <c r="E121" s="27" t="str">
        <f t="shared" si="17"/>
        <v/>
      </c>
      <c r="F121" s="30" t="str">
        <f t="shared" si="18"/>
        <v/>
      </c>
      <c r="G121" s="29" t="str">
        <f t="shared" si="19"/>
        <v/>
      </c>
      <c r="H121" s="30" t="str">
        <f t="shared" si="20"/>
        <v/>
      </c>
      <c r="I121" s="31" t="str">
        <f t="shared" si="21"/>
        <v/>
      </c>
      <c r="J121" s="30" t="str">
        <f t="shared" si="22"/>
        <v/>
      </c>
      <c r="K121" s="30" t="str">
        <f t="shared" si="23"/>
        <v/>
      </c>
      <c r="L121" s="67" t="str">
        <f t="shared" si="24"/>
        <v/>
      </c>
      <c r="M121" s="68" t="str">
        <f t="shared" si="25"/>
        <v/>
      </c>
      <c r="N121" s="67" t="str">
        <f t="shared" si="26"/>
        <v/>
      </c>
      <c r="O121" s="69" t="str">
        <f>IFERROR(IF($C121="","",VLOOKUP($N121,Feriados!$A$4:$B$5000,2,FALSE)),"")</f>
        <v/>
      </c>
      <c r="P121" s="67" t="str">
        <f t="shared" si="27"/>
        <v/>
      </c>
      <c r="Q121" s="63"/>
      <c r="R121" s="63"/>
      <c r="S121" s="62"/>
      <c r="U121" s="73"/>
      <c r="V121" s="41" t="str">
        <f t="shared" si="28"/>
        <v/>
      </c>
    </row>
    <row r="122" spans="1:22" s="34" customFormat="1" x14ac:dyDescent="0.25">
      <c r="A122" s="24" t="str">
        <f t="shared" si="29"/>
        <v/>
      </c>
      <c r="B122" s="25"/>
      <c r="C122" s="26" t="str">
        <f t="shared" si="16"/>
        <v/>
      </c>
      <c r="D122" s="12"/>
      <c r="E122" s="27" t="str">
        <f t="shared" si="17"/>
        <v/>
      </c>
      <c r="F122" s="30" t="str">
        <f t="shared" si="18"/>
        <v/>
      </c>
      <c r="G122" s="29" t="str">
        <f t="shared" si="19"/>
        <v/>
      </c>
      <c r="H122" s="30" t="str">
        <f t="shared" si="20"/>
        <v/>
      </c>
      <c r="I122" s="31" t="str">
        <f t="shared" si="21"/>
        <v/>
      </c>
      <c r="J122" s="30" t="str">
        <f t="shared" si="22"/>
        <v/>
      </c>
      <c r="K122" s="30" t="str">
        <f t="shared" si="23"/>
        <v/>
      </c>
      <c r="L122" s="67" t="str">
        <f t="shared" si="24"/>
        <v/>
      </c>
      <c r="M122" s="68" t="str">
        <f t="shared" si="25"/>
        <v/>
      </c>
      <c r="N122" s="67" t="str">
        <f t="shared" si="26"/>
        <v/>
      </c>
      <c r="O122" s="69" t="str">
        <f>IFERROR(IF($C122="","",VLOOKUP($N122,Feriados!$A$4:$B$5000,2,FALSE)),"")</f>
        <v/>
      </c>
      <c r="P122" s="67" t="str">
        <f t="shared" si="27"/>
        <v/>
      </c>
      <c r="Q122" s="63"/>
      <c r="R122" s="63"/>
      <c r="S122" s="62"/>
      <c r="U122" s="73"/>
      <c r="V122" s="41" t="str">
        <f t="shared" si="28"/>
        <v/>
      </c>
    </row>
    <row r="123" spans="1:22" s="34" customFormat="1" x14ac:dyDescent="0.25">
      <c r="A123" s="24" t="str">
        <f t="shared" si="29"/>
        <v/>
      </c>
      <c r="B123" s="25"/>
      <c r="C123" s="26" t="str">
        <f t="shared" si="16"/>
        <v/>
      </c>
      <c r="D123" s="12"/>
      <c r="E123" s="27" t="str">
        <f t="shared" si="17"/>
        <v/>
      </c>
      <c r="F123" s="30" t="str">
        <f t="shared" si="18"/>
        <v/>
      </c>
      <c r="G123" s="29" t="str">
        <f t="shared" si="19"/>
        <v/>
      </c>
      <c r="H123" s="30" t="str">
        <f t="shared" si="20"/>
        <v/>
      </c>
      <c r="I123" s="31" t="str">
        <f t="shared" si="21"/>
        <v/>
      </c>
      <c r="J123" s="30" t="str">
        <f t="shared" si="22"/>
        <v/>
      </c>
      <c r="K123" s="30" t="str">
        <f t="shared" si="23"/>
        <v/>
      </c>
      <c r="L123" s="67" t="str">
        <f t="shared" si="24"/>
        <v/>
      </c>
      <c r="M123" s="68" t="str">
        <f t="shared" si="25"/>
        <v/>
      </c>
      <c r="N123" s="67" t="str">
        <f t="shared" si="26"/>
        <v/>
      </c>
      <c r="O123" s="69" t="str">
        <f>IFERROR(IF($C123="","",VLOOKUP($N123,Feriados!$A$4:$B$5000,2,FALSE)),"")</f>
        <v/>
      </c>
      <c r="P123" s="67" t="str">
        <f t="shared" si="27"/>
        <v/>
      </c>
      <c r="Q123" s="63"/>
      <c r="R123" s="63"/>
      <c r="S123" s="62"/>
      <c r="U123" s="73"/>
      <c r="V123" s="41" t="str">
        <f t="shared" si="28"/>
        <v/>
      </c>
    </row>
    <row r="124" spans="1:22" s="34" customFormat="1" x14ac:dyDescent="0.25">
      <c r="A124" s="24" t="str">
        <f t="shared" si="29"/>
        <v/>
      </c>
      <c r="B124" s="25"/>
      <c r="C124" s="26" t="str">
        <f t="shared" si="16"/>
        <v/>
      </c>
      <c r="D124" s="12"/>
      <c r="E124" s="27" t="str">
        <f t="shared" si="17"/>
        <v/>
      </c>
      <c r="F124" s="30" t="str">
        <f t="shared" si="18"/>
        <v/>
      </c>
      <c r="G124" s="29" t="str">
        <f t="shared" si="19"/>
        <v/>
      </c>
      <c r="H124" s="30" t="str">
        <f t="shared" si="20"/>
        <v/>
      </c>
      <c r="I124" s="31" t="str">
        <f t="shared" si="21"/>
        <v/>
      </c>
      <c r="J124" s="30" t="str">
        <f t="shared" si="22"/>
        <v/>
      </c>
      <c r="K124" s="30" t="str">
        <f t="shared" si="23"/>
        <v/>
      </c>
      <c r="L124" s="67" t="str">
        <f t="shared" si="24"/>
        <v/>
      </c>
      <c r="M124" s="68" t="str">
        <f t="shared" si="25"/>
        <v/>
      </c>
      <c r="N124" s="67" t="str">
        <f t="shared" si="26"/>
        <v/>
      </c>
      <c r="O124" s="69" t="str">
        <f>IFERROR(IF($C124="","",VLOOKUP($N124,Feriados!$A$4:$B$5000,2,FALSE)),"")</f>
        <v/>
      </c>
      <c r="P124" s="67" t="str">
        <f t="shared" si="27"/>
        <v/>
      </c>
      <c r="Q124" s="63"/>
      <c r="R124" s="63"/>
      <c r="S124" s="62"/>
      <c r="U124" s="73"/>
      <c r="V124" s="41" t="str">
        <f t="shared" si="28"/>
        <v/>
      </c>
    </row>
    <row r="125" spans="1:22" s="34" customFormat="1" x14ac:dyDescent="0.25">
      <c r="A125" s="24" t="str">
        <f t="shared" si="29"/>
        <v/>
      </c>
      <c r="B125" s="25"/>
      <c r="C125" s="26" t="str">
        <f t="shared" si="16"/>
        <v/>
      </c>
      <c r="D125" s="12"/>
      <c r="E125" s="27" t="str">
        <f t="shared" si="17"/>
        <v/>
      </c>
      <c r="F125" s="30" t="str">
        <f t="shared" si="18"/>
        <v/>
      </c>
      <c r="G125" s="29" t="str">
        <f t="shared" si="19"/>
        <v/>
      </c>
      <c r="H125" s="30" t="str">
        <f t="shared" si="20"/>
        <v/>
      </c>
      <c r="I125" s="31" t="str">
        <f t="shared" si="21"/>
        <v/>
      </c>
      <c r="J125" s="30" t="str">
        <f t="shared" si="22"/>
        <v/>
      </c>
      <c r="K125" s="30" t="str">
        <f t="shared" si="23"/>
        <v/>
      </c>
      <c r="L125" s="67" t="str">
        <f t="shared" si="24"/>
        <v/>
      </c>
      <c r="M125" s="68" t="str">
        <f t="shared" si="25"/>
        <v/>
      </c>
      <c r="N125" s="67" t="str">
        <f t="shared" si="26"/>
        <v/>
      </c>
      <c r="O125" s="69" t="str">
        <f>IFERROR(IF($C125="","",VLOOKUP($N125,Feriados!$A$4:$B$5000,2,FALSE)),"")</f>
        <v/>
      </c>
      <c r="P125" s="67" t="str">
        <f t="shared" si="27"/>
        <v/>
      </c>
      <c r="Q125" s="63"/>
      <c r="R125" s="63"/>
      <c r="S125" s="62"/>
      <c r="U125" s="73"/>
      <c r="V125" s="41" t="str">
        <f t="shared" si="28"/>
        <v/>
      </c>
    </row>
    <row r="126" spans="1:22" s="34" customFormat="1" x14ac:dyDescent="0.25">
      <c r="A126" s="24" t="str">
        <f t="shared" si="29"/>
        <v/>
      </c>
      <c r="B126" s="25"/>
      <c r="C126" s="26" t="str">
        <f t="shared" si="16"/>
        <v/>
      </c>
      <c r="D126" s="12"/>
      <c r="E126" s="27" t="str">
        <f t="shared" si="17"/>
        <v/>
      </c>
      <c r="F126" s="30" t="str">
        <f t="shared" si="18"/>
        <v/>
      </c>
      <c r="G126" s="29" t="str">
        <f t="shared" si="19"/>
        <v/>
      </c>
      <c r="H126" s="30" t="str">
        <f t="shared" si="20"/>
        <v/>
      </c>
      <c r="I126" s="31" t="str">
        <f t="shared" si="21"/>
        <v/>
      </c>
      <c r="J126" s="30" t="str">
        <f t="shared" si="22"/>
        <v/>
      </c>
      <c r="K126" s="30" t="str">
        <f t="shared" si="23"/>
        <v/>
      </c>
      <c r="L126" s="67" t="str">
        <f t="shared" si="24"/>
        <v/>
      </c>
      <c r="M126" s="68" t="str">
        <f t="shared" si="25"/>
        <v/>
      </c>
      <c r="N126" s="67" t="str">
        <f t="shared" si="26"/>
        <v/>
      </c>
      <c r="O126" s="69" t="str">
        <f>IFERROR(IF($C126="","",VLOOKUP($N126,Feriados!$A$4:$B$5000,2,FALSE)),"")</f>
        <v/>
      </c>
      <c r="P126" s="67" t="str">
        <f t="shared" si="27"/>
        <v/>
      </c>
      <c r="Q126" s="63"/>
      <c r="R126" s="63"/>
      <c r="S126" s="62"/>
      <c r="U126" s="73"/>
      <c r="V126" s="41" t="str">
        <f t="shared" si="28"/>
        <v/>
      </c>
    </row>
    <row r="127" spans="1:22" s="34" customFormat="1" x14ac:dyDescent="0.25">
      <c r="A127" s="24" t="str">
        <f t="shared" si="29"/>
        <v/>
      </c>
      <c r="B127" s="25"/>
      <c r="C127" s="26" t="str">
        <f t="shared" si="16"/>
        <v/>
      </c>
      <c r="D127" s="12"/>
      <c r="E127" s="27" t="str">
        <f t="shared" si="17"/>
        <v/>
      </c>
      <c r="F127" s="30" t="str">
        <f t="shared" si="18"/>
        <v/>
      </c>
      <c r="G127" s="29" t="str">
        <f t="shared" si="19"/>
        <v/>
      </c>
      <c r="H127" s="30" t="str">
        <f t="shared" si="20"/>
        <v/>
      </c>
      <c r="I127" s="31" t="str">
        <f t="shared" si="21"/>
        <v/>
      </c>
      <c r="J127" s="30" t="str">
        <f t="shared" si="22"/>
        <v/>
      </c>
      <c r="K127" s="30" t="str">
        <f t="shared" si="23"/>
        <v/>
      </c>
      <c r="L127" s="67" t="str">
        <f t="shared" si="24"/>
        <v/>
      </c>
      <c r="M127" s="68" t="str">
        <f t="shared" si="25"/>
        <v/>
      </c>
      <c r="N127" s="67" t="str">
        <f t="shared" si="26"/>
        <v/>
      </c>
      <c r="O127" s="69" t="str">
        <f>IFERROR(IF($C127="","",VLOOKUP($N127,Feriados!$A$4:$B$5000,2,FALSE)),"")</f>
        <v/>
      </c>
      <c r="P127" s="67" t="str">
        <f t="shared" si="27"/>
        <v/>
      </c>
      <c r="Q127" s="63"/>
      <c r="R127" s="63"/>
      <c r="S127" s="62"/>
      <c r="U127" s="73"/>
      <c r="V127" s="41" t="str">
        <f t="shared" si="28"/>
        <v/>
      </c>
    </row>
    <row r="128" spans="1:22" s="34" customFormat="1" x14ac:dyDescent="0.25">
      <c r="A128" s="24" t="str">
        <f t="shared" si="29"/>
        <v/>
      </c>
      <c r="B128" s="25"/>
      <c r="C128" s="26" t="str">
        <f t="shared" si="16"/>
        <v/>
      </c>
      <c r="D128" s="12"/>
      <c r="E128" s="27" t="str">
        <f t="shared" si="17"/>
        <v/>
      </c>
      <c r="F128" s="30" t="str">
        <f t="shared" si="18"/>
        <v/>
      </c>
      <c r="G128" s="29" t="str">
        <f t="shared" si="19"/>
        <v/>
      </c>
      <c r="H128" s="30" t="str">
        <f t="shared" si="20"/>
        <v/>
      </c>
      <c r="I128" s="31" t="str">
        <f t="shared" si="21"/>
        <v/>
      </c>
      <c r="J128" s="30" t="str">
        <f t="shared" si="22"/>
        <v/>
      </c>
      <c r="K128" s="30" t="str">
        <f t="shared" si="23"/>
        <v/>
      </c>
      <c r="L128" s="67" t="str">
        <f t="shared" si="24"/>
        <v/>
      </c>
      <c r="M128" s="68" t="str">
        <f t="shared" si="25"/>
        <v/>
      </c>
      <c r="N128" s="67" t="str">
        <f t="shared" si="26"/>
        <v/>
      </c>
      <c r="O128" s="69" t="str">
        <f>IFERROR(IF($C128="","",VLOOKUP($N128,Feriados!$A$4:$B$5000,2,FALSE)),"")</f>
        <v/>
      </c>
      <c r="P128" s="67" t="str">
        <f t="shared" si="27"/>
        <v/>
      </c>
      <c r="Q128" s="63"/>
      <c r="R128" s="63"/>
      <c r="S128" s="62"/>
      <c r="U128" s="73"/>
      <c r="V128" s="41" t="str">
        <f t="shared" si="28"/>
        <v/>
      </c>
    </row>
    <row r="129" spans="1:22" s="34" customFormat="1" x14ac:dyDescent="0.25">
      <c r="A129" s="24" t="str">
        <f t="shared" si="29"/>
        <v/>
      </c>
      <c r="B129" s="25"/>
      <c r="C129" s="26" t="str">
        <f t="shared" si="16"/>
        <v/>
      </c>
      <c r="D129" s="12"/>
      <c r="E129" s="27" t="str">
        <f t="shared" si="17"/>
        <v/>
      </c>
      <c r="F129" s="30" t="str">
        <f t="shared" si="18"/>
        <v/>
      </c>
      <c r="G129" s="29" t="str">
        <f t="shared" si="19"/>
        <v/>
      </c>
      <c r="H129" s="30" t="str">
        <f t="shared" si="20"/>
        <v/>
      </c>
      <c r="I129" s="31" t="str">
        <f t="shared" si="21"/>
        <v/>
      </c>
      <c r="J129" s="30" t="str">
        <f t="shared" si="22"/>
        <v/>
      </c>
      <c r="K129" s="30" t="str">
        <f t="shared" si="23"/>
        <v/>
      </c>
      <c r="L129" s="67" t="str">
        <f t="shared" si="24"/>
        <v/>
      </c>
      <c r="M129" s="68" t="str">
        <f t="shared" si="25"/>
        <v/>
      </c>
      <c r="N129" s="67" t="str">
        <f t="shared" si="26"/>
        <v/>
      </c>
      <c r="O129" s="69" t="str">
        <f>IFERROR(IF($C129="","",VLOOKUP($N129,Feriados!$A$4:$B$5000,2,FALSE)),"")</f>
        <v/>
      </c>
      <c r="P129" s="67" t="str">
        <f t="shared" si="27"/>
        <v/>
      </c>
      <c r="Q129" s="63"/>
      <c r="R129" s="63"/>
      <c r="S129" s="62"/>
      <c r="U129" s="73"/>
      <c r="V129" s="41" t="str">
        <f t="shared" si="28"/>
        <v/>
      </c>
    </row>
    <row r="130" spans="1:22" s="34" customFormat="1" x14ac:dyDescent="0.25">
      <c r="A130" s="24" t="str">
        <f t="shared" si="29"/>
        <v/>
      </c>
      <c r="B130" s="25"/>
      <c r="C130" s="26" t="str">
        <f t="shared" si="16"/>
        <v/>
      </c>
      <c r="D130" s="12"/>
      <c r="E130" s="27" t="str">
        <f t="shared" si="17"/>
        <v/>
      </c>
      <c r="F130" s="30" t="str">
        <f t="shared" si="18"/>
        <v/>
      </c>
      <c r="G130" s="29" t="str">
        <f t="shared" si="19"/>
        <v/>
      </c>
      <c r="H130" s="30" t="str">
        <f t="shared" si="20"/>
        <v/>
      </c>
      <c r="I130" s="31" t="str">
        <f t="shared" si="21"/>
        <v/>
      </c>
      <c r="J130" s="30" t="str">
        <f t="shared" si="22"/>
        <v/>
      </c>
      <c r="K130" s="30" t="str">
        <f t="shared" si="23"/>
        <v/>
      </c>
      <c r="L130" s="67" t="str">
        <f t="shared" si="24"/>
        <v/>
      </c>
      <c r="M130" s="68" t="str">
        <f t="shared" si="25"/>
        <v/>
      </c>
      <c r="N130" s="67" t="str">
        <f t="shared" si="26"/>
        <v/>
      </c>
      <c r="O130" s="69" t="str">
        <f>IFERROR(IF($C130="","",VLOOKUP($N130,Feriados!$A$4:$B$5000,2,FALSE)),"")</f>
        <v/>
      </c>
      <c r="P130" s="67" t="str">
        <f t="shared" si="27"/>
        <v/>
      </c>
      <c r="Q130" s="63"/>
      <c r="R130" s="63"/>
      <c r="S130" s="62"/>
      <c r="U130" s="73"/>
      <c r="V130" s="41" t="str">
        <f t="shared" si="28"/>
        <v/>
      </c>
    </row>
    <row r="131" spans="1:22" s="34" customFormat="1" x14ac:dyDescent="0.25">
      <c r="A131" s="24" t="str">
        <f t="shared" si="29"/>
        <v/>
      </c>
      <c r="B131" s="25"/>
      <c r="C131" s="26" t="str">
        <f t="shared" si="16"/>
        <v/>
      </c>
      <c r="D131" s="12"/>
      <c r="E131" s="27" t="str">
        <f t="shared" si="17"/>
        <v/>
      </c>
      <c r="F131" s="30" t="str">
        <f t="shared" si="18"/>
        <v/>
      </c>
      <c r="G131" s="29" t="str">
        <f t="shared" si="19"/>
        <v/>
      </c>
      <c r="H131" s="30" t="str">
        <f t="shared" si="20"/>
        <v/>
      </c>
      <c r="I131" s="31" t="str">
        <f t="shared" si="21"/>
        <v/>
      </c>
      <c r="J131" s="30" t="str">
        <f t="shared" si="22"/>
        <v/>
      </c>
      <c r="K131" s="30" t="str">
        <f t="shared" si="23"/>
        <v/>
      </c>
      <c r="L131" s="67" t="str">
        <f t="shared" si="24"/>
        <v/>
      </c>
      <c r="M131" s="68" t="str">
        <f t="shared" si="25"/>
        <v/>
      </c>
      <c r="N131" s="67" t="str">
        <f t="shared" si="26"/>
        <v/>
      </c>
      <c r="O131" s="69" t="str">
        <f>IFERROR(IF($C131="","",VLOOKUP($N131,Feriados!$A$4:$B$5000,2,FALSE)),"")</f>
        <v/>
      </c>
      <c r="P131" s="67" t="str">
        <f t="shared" si="27"/>
        <v/>
      </c>
      <c r="Q131" s="63"/>
      <c r="R131" s="63"/>
      <c r="S131" s="62"/>
      <c r="U131" s="73"/>
      <c r="V131" s="41" t="str">
        <f t="shared" si="28"/>
        <v/>
      </c>
    </row>
    <row r="132" spans="1:22" s="34" customFormat="1" x14ac:dyDescent="0.25">
      <c r="A132" s="24" t="str">
        <f t="shared" si="29"/>
        <v/>
      </c>
      <c r="B132" s="25"/>
      <c r="C132" s="26" t="str">
        <f t="shared" si="16"/>
        <v/>
      </c>
      <c r="D132" s="12"/>
      <c r="E132" s="27" t="str">
        <f t="shared" si="17"/>
        <v/>
      </c>
      <c r="F132" s="30" t="str">
        <f t="shared" si="18"/>
        <v/>
      </c>
      <c r="G132" s="29" t="str">
        <f t="shared" si="19"/>
        <v/>
      </c>
      <c r="H132" s="30" t="str">
        <f t="shared" si="20"/>
        <v/>
      </c>
      <c r="I132" s="31" t="str">
        <f t="shared" si="21"/>
        <v/>
      </c>
      <c r="J132" s="30" t="str">
        <f t="shared" si="22"/>
        <v/>
      </c>
      <c r="K132" s="30" t="str">
        <f t="shared" si="23"/>
        <v/>
      </c>
      <c r="L132" s="67" t="str">
        <f t="shared" si="24"/>
        <v/>
      </c>
      <c r="M132" s="68" t="str">
        <f t="shared" si="25"/>
        <v/>
      </c>
      <c r="N132" s="67" t="str">
        <f t="shared" si="26"/>
        <v/>
      </c>
      <c r="O132" s="69" t="str">
        <f>IFERROR(IF($C132="","",VLOOKUP($N132,Feriados!$A$4:$B$5000,2,FALSE)),"")</f>
        <v/>
      </c>
      <c r="P132" s="67" t="str">
        <f t="shared" si="27"/>
        <v/>
      </c>
      <c r="Q132" s="63"/>
      <c r="R132" s="63"/>
      <c r="S132" s="62"/>
      <c r="U132" s="73"/>
      <c r="V132" s="41" t="str">
        <f t="shared" si="28"/>
        <v/>
      </c>
    </row>
    <row r="133" spans="1:22" s="34" customFormat="1" x14ac:dyDescent="0.25">
      <c r="A133" s="24" t="str">
        <f t="shared" si="29"/>
        <v/>
      </c>
      <c r="B133" s="25"/>
      <c r="C133" s="26" t="str">
        <f t="shared" si="16"/>
        <v/>
      </c>
      <c r="D133" s="12"/>
      <c r="E133" s="27" t="str">
        <f t="shared" si="17"/>
        <v/>
      </c>
      <c r="F133" s="30" t="str">
        <f t="shared" si="18"/>
        <v/>
      </c>
      <c r="G133" s="29" t="str">
        <f t="shared" si="19"/>
        <v/>
      </c>
      <c r="H133" s="30" t="str">
        <f t="shared" si="20"/>
        <v/>
      </c>
      <c r="I133" s="31" t="str">
        <f t="shared" si="21"/>
        <v/>
      </c>
      <c r="J133" s="30" t="str">
        <f t="shared" si="22"/>
        <v/>
      </c>
      <c r="K133" s="30" t="str">
        <f t="shared" si="23"/>
        <v/>
      </c>
      <c r="L133" s="67" t="str">
        <f t="shared" si="24"/>
        <v/>
      </c>
      <c r="M133" s="68" t="str">
        <f t="shared" si="25"/>
        <v/>
      </c>
      <c r="N133" s="67" t="str">
        <f t="shared" si="26"/>
        <v/>
      </c>
      <c r="O133" s="69" t="str">
        <f>IFERROR(IF($C133="","",VLOOKUP($N133,Feriados!$A$4:$B$5000,2,FALSE)),"")</f>
        <v/>
      </c>
      <c r="P133" s="67" t="str">
        <f t="shared" si="27"/>
        <v/>
      </c>
      <c r="Q133" s="63"/>
      <c r="R133" s="63"/>
      <c r="S133" s="62"/>
      <c r="U133" s="73"/>
      <c r="V133" s="41" t="str">
        <f t="shared" si="28"/>
        <v/>
      </c>
    </row>
    <row r="134" spans="1:22" s="34" customFormat="1" x14ac:dyDescent="0.25">
      <c r="A134" s="24" t="str">
        <f t="shared" si="29"/>
        <v/>
      </c>
      <c r="B134" s="25"/>
      <c r="C134" s="26" t="str">
        <f t="shared" si="16"/>
        <v/>
      </c>
      <c r="D134" s="12"/>
      <c r="E134" s="27" t="str">
        <f t="shared" si="17"/>
        <v/>
      </c>
      <c r="F134" s="30" t="str">
        <f t="shared" si="18"/>
        <v/>
      </c>
      <c r="G134" s="29" t="str">
        <f t="shared" si="19"/>
        <v/>
      </c>
      <c r="H134" s="30" t="str">
        <f t="shared" si="20"/>
        <v/>
      </c>
      <c r="I134" s="31" t="str">
        <f t="shared" si="21"/>
        <v/>
      </c>
      <c r="J134" s="30" t="str">
        <f t="shared" si="22"/>
        <v/>
      </c>
      <c r="K134" s="30" t="str">
        <f t="shared" si="23"/>
        <v/>
      </c>
      <c r="L134" s="67" t="str">
        <f t="shared" si="24"/>
        <v/>
      </c>
      <c r="M134" s="68" t="str">
        <f t="shared" si="25"/>
        <v/>
      </c>
      <c r="N134" s="67" t="str">
        <f t="shared" si="26"/>
        <v/>
      </c>
      <c r="O134" s="69" t="str">
        <f>IFERROR(IF($C134="","",VLOOKUP($N134,Feriados!$A$4:$B$5000,2,FALSE)),"")</f>
        <v/>
      </c>
      <c r="P134" s="67" t="str">
        <f t="shared" si="27"/>
        <v/>
      </c>
      <c r="Q134" s="63"/>
      <c r="R134" s="63"/>
      <c r="S134" s="62"/>
      <c r="U134" s="73"/>
      <c r="V134" s="41" t="str">
        <f t="shared" si="28"/>
        <v/>
      </c>
    </row>
    <row r="135" spans="1:22" s="34" customFormat="1" x14ac:dyDescent="0.25">
      <c r="A135" s="24" t="str">
        <f t="shared" si="29"/>
        <v/>
      </c>
      <c r="B135" s="25"/>
      <c r="C135" s="26" t="str">
        <f t="shared" si="16"/>
        <v/>
      </c>
      <c r="D135" s="12"/>
      <c r="E135" s="27" t="str">
        <f t="shared" si="17"/>
        <v/>
      </c>
      <c r="F135" s="30" t="str">
        <f t="shared" si="18"/>
        <v/>
      </c>
      <c r="G135" s="29" t="str">
        <f t="shared" si="19"/>
        <v/>
      </c>
      <c r="H135" s="30" t="str">
        <f t="shared" si="20"/>
        <v/>
      </c>
      <c r="I135" s="31" t="str">
        <f t="shared" si="21"/>
        <v/>
      </c>
      <c r="J135" s="30" t="str">
        <f t="shared" si="22"/>
        <v/>
      </c>
      <c r="K135" s="30" t="str">
        <f t="shared" si="23"/>
        <v/>
      </c>
      <c r="L135" s="67" t="str">
        <f t="shared" si="24"/>
        <v/>
      </c>
      <c r="M135" s="68" t="str">
        <f t="shared" si="25"/>
        <v/>
      </c>
      <c r="N135" s="67" t="str">
        <f t="shared" si="26"/>
        <v/>
      </c>
      <c r="O135" s="69" t="str">
        <f>IFERROR(IF($C135="","",VLOOKUP($N135,Feriados!$A$4:$B$5000,2,FALSE)),"")</f>
        <v/>
      </c>
      <c r="P135" s="67" t="str">
        <f t="shared" si="27"/>
        <v/>
      </c>
      <c r="Q135" s="63"/>
      <c r="R135" s="63"/>
      <c r="S135" s="62"/>
      <c r="U135" s="73"/>
      <c r="V135" s="41" t="str">
        <f t="shared" si="28"/>
        <v/>
      </c>
    </row>
    <row r="136" spans="1:22" s="34" customFormat="1" x14ac:dyDescent="0.25">
      <c r="A136" s="24" t="str">
        <f t="shared" si="29"/>
        <v/>
      </c>
      <c r="B136" s="25"/>
      <c r="C136" s="26" t="str">
        <f t="shared" si="16"/>
        <v/>
      </c>
      <c r="D136" s="12"/>
      <c r="E136" s="27" t="str">
        <f t="shared" si="17"/>
        <v/>
      </c>
      <c r="F136" s="30" t="str">
        <f t="shared" si="18"/>
        <v/>
      </c>
      <c r="G136" s="29" t="str">
        <f t="shared" si="19"/>
        <v/>
      </c>
      <c r="H136" s="30" t="str">
        <f t="shared" si="20"/>
        <v/>
      </c>
      <c r="I136" s="31" t="str">
        <f t="shared" si="21"/>
        <v/>
      </c>
      <c r="J136" s="30" t="str">
        <f t="shared" si="22"/>
        <v/>
      </c>
      <c r="K136" s="30" t="str">
        <f t="shared" si="23"/>
        <v/>
      </c>
      <c r="L136" s="67" t="str">
        <f t="shared" si="24"/>
        <v/>
      </c>
      <c r="M136" s="68" t="str">
        <f t="shared" si="25"/>
        <v/>
      </c>
      <c r="N136" s="67" t="str">
        <f t="shared" si="26"/>
        <v/>
      </c>
      <c r="O136" s="69" t="str">
        <f>IFERROR(IF($C136="","",VLOOKUP($N136,Feriados!$A$4:$B$5000,2,FALSE)),"")</f>
        <v/>
      </c>
      <c r="P136" s="67" t="str">
        <f t="shared" si="27"/>
        <v/>
      </c>
      <c r="Q136" s="63"/>
      <c r="R136" s="63"/>
      <c r="S136" s="62"/>
      <c r="U136" s="73"/>
      <c r="V136" s="41" t="str">
        <f t="shared" si="28"/>
        <v/>
      </c>
    </row>
    <row r="137" spans="1:22" s="34" customFormat="1" x14ac:dyDescent="0.25">
      <c r="A137" s="24" t="str">
        <f t="shared" si="29"/>
        <v/>
      </c>
      <c r="B137" s="25"/>
      <c r="C137" s="26" t="str">
        <f t="shared" si="16"/>
        <v/>
      </c>
      <c r="D137" s="12"/>
      <c r="E137" s="27" t="str">
        <f t="shared" si="17"/>
        <v/>
      </c>
      <c r="F137" s="30" t="str">
        <f t="shared" si="18"/>
        <v/>
      </c>
      <c r="G137" s="29" t="str">
        <f t="shared" si="19"/>
        <v/>
      </c>
      <c r="H137" s="30" t="str">
        <f t="shared" si="20"/>
        <v/>
      </c>
      <c r="I137" s="31" t="str">
        <f t="shared" si="21"/>
        <v/>
      </c>
      <c r="J137" s="30" t="str">
        <f t="shared" si="22"/>
        <v/>
      </c>
      <c r="K137" s="30" t="str">
        <f t="shared" si="23"/>
        <v/>
      </c>
      <c r="L137" s="67" t="str">
        <f t="shared" si="24"/>
        <v/>
      </c>
      <c r="M137" s="68" t="str">
        <f t="shared" si="25"/>
        <v/>
      </c>
      <c r="N137" s="67" t="str">
        <f t="shared" si="26"/>
        <v/>
      </c>
      <c r="O137" s="69" t="str">
        <f>IFERROR(IF($C137="","",VLOOKUP($N137,Feriados!$A$4:$B$5000,2,FALSE)),"")</f>
        <v/>
      </c>
      <c r="P137" s="67" t="str">
        <f t="shared" si="27"/>
        <v/>
      </c>
      <c r="Q137" s="63"/>
      <c r="R137" s="63"/>
      <c r="S137" s="62"/>
      <c r="U137" s="73"/>
      <c r="V137" s="41" t="str">
        <f t="shared" si="28"/>
        <v/>
      </c>
    </row>
    <row r="138" spans="1:22" s="34" customFormat="1" x14ac:dyDescent="0.25">
      <c r="A138" s="24" t="str">
        <f t="shared" si="29"/>
        <v/>
      </c>
      <c r="B138" s="25"/>
      <c r="C138" s="26" t="str">
        <f t="shared" si="16"/>
        <v/>
      </c>
      <c r="D138" s="12"/>
      <c r="E138" s="27" t="str">
        <f t="shared" si="17"/>
        <v/>
      </c>
      <c r="F138" s="30" t="str">
        <f t="shared" si="18"/>
        <v/>
      </c>
      <c r="G138" s="29" t="str">
        <f t="shared" si="19"/>
        <v/>
      </c>
      <c r="H138" s="30" t="str">
        <f t="shared" si="20"/>
        <v/>
      </c>
      <c r="I138" s="31" t="str">
        <f t="shared" si="21"/>
        <v/>
      </c>
      <c r="J138" s="30" t="str">
        <f t="shared" si="22"/>
        <v/>
      </c>
      <c r="K138" s="30" t="str">
        <f t="shared" si="23"/>
        <v/>
      </c>
      <c r="L138" s="67" t="str">
        <f t="shared" si="24"/>
        <v/>
      </c>
      <c r="M138" s="68" t="str">
        <f t="shared" si="25"/>
        <v/>
      </c>
      <c r="N138" s="67" t="str">
        <f t="shared" si="26"/>
        <v/>
      </c>
      <c r="O138" s="69" t="str">
        <f>IFERROR(IF($C138="","",VLOOKUP($N138,Feriados!$A$4:$B$5000,2,FALSE)),"")</f>
        <v/>
      </c>
      <c r="P138" s="67" t="str">
        <f t="shared" si="27"/>
        <v/>
      </c>
      <c r="Q138" s="63"/>
      <c r="R138" s="63"/>
      <c r="S138" s="62"/>
      <c r="U138" s="73"/>
      <c r="V138" s="41" t="str">
        <f t="shared" si="28"/>
        <v/>
      </c>
    </row>
    <row r="139" spans="1:22" s="34" customFormat="1" x14ac:dyDescent="0.25">
      <c r="A139" s="24" t="str">
        <f t="shared" si="29"/>
        <v/>
      </c>
      <c r="B139" s="25"/>
      <c r="C139" s="26" t="str">
        <f t="shared" si="16"/>
        <v/>
      </c>
      <c r="D139" s="12"/>
      <c r="E139" s="27" t="str">
        <f t="shared" si="17"/>
        <v/>
      </c>
      <c r="F139" s="30" t="str">
        <f t="shared" si="18"/>
        <v/>
      </c>
      <c r="G139" s="29" t="str">
        <f t="shared" si="19"/>
        <v/>
      </c>
      <c r="H139" s="30" t="str">
        <f t="shared" si="20"/>
        <v/>
      </c>
      <c r="I139" s="31" t="str">
        <f t="shared" si="21"/>
        <v/>
      </c>
      <c r="J139" s="30" t="str">
        <f t="shared" si="22"/>
        <v/>
      </c>
      <c r="K139" s="30" t="str">
        <f t="shared" si="23"/>
        <v/>
      </c>
      <c r="L139" s="67" t="str">
        <f t="shared" si="24"/>
        <v/>
      </c>
      <c r="M139" s="68" t="str">
        <f t="shared" si="25"/>
        <v/>
      </c>
      <c r="N139" s="67" t="str">
        <f t="shared" si="26"/>
        <v/>
      </c>
      <c r="O139" s="69" t="str">
        <f>IFERROR(IF($C139="","",VLOOKUP($N139,Feriados!$A$4:$B$5000,2,FALSE)),"")</f>
        <v/>
      </c>
      <c r="P139" s="67" t="str">
        <f t="shared" si="27"/>
        <v/>
      </c>
      <c r="Q139" s="63"/>
      <c r="R139" s="63"/>
      <c r="S139" s="62"/>
      <c r="U139" s="73"/>
      <c r="V139" s="41" t="str">
        <f t="shared" si="28"/>
        <v/>
      </c>
    </row>
    <row r="140" spans="1:22" s="34" customFormat="1" x14ac:dyDescent="0.25">
      <c r="A140" s="24" t="str">
        <f t="shared" si="29"/>
        <v/>
      </c>
      <c r="B140" s="25"/>
      <c r="C140" s="26" t="str">
        <f t="shared" si="16"/>
        <v/>
      </c>
      <c r="D140" s="12"/>
      <c r="E140" s="27" t="str">
        <f t="shared" si="17"/>
        <v/>
      </c>
      <c r="F140" s="30" t="str">
        <f t="shared" si="18"/>
        <v/>
      </c>
      <c r="G140" s="29" t="str">
        <f t="shared" si="19"/>
        <v/>
      </c>
      <c r="H140" s="30" t="str">
        <f t="shared" si="20"/>
        <v/>
      </c>
      <c r="I140" s="31" t="str">
        <f t="shared" si="21"/>
        <v/>
      </c>
      <c r="J140" s="30" t="str">
        <f t="shared" si="22"/>
        <v/>
      </c>
      <c r="K140" s="30" t="str">
        <f t="shared" si="23"/>
        <v/>
      </c>
      <c r="L140" s="67" t="str">
        <f t="shared" si="24"/>
        <v/>
      </c>
      <c r="M140" s="68" t="str">
        <f t="shared" si="25"/>
        <v/>
      </c>
      <c r="N140" s="67" t="str">
        <f t="shared" si="26"/>
        <v/>
      </c>
      <c r="O140" s="69" t="str">
        <f>IFERROR(IF($C140="","",VLOOKUP($N140,Feriados!$A$4:$B$5000,2,FALSE)),"")</f>
        <v/>
      </c>
      <c r="P140" s="67" t="str">
        <f t="shared" si="27"/>
        <v/>
      </c>
      <c r="Q140" s="63"/>
      <c r="R140" s="63"/>
      <c r="S140" s="62"/>
      <c r="U140" s="73"/>
      <c r="V140" s="41" t="str">
        <f t="shared" si="28"/>
        <v/>
      </c>
    </row>
    <row r="141" spans="1:22" s="34" customFormat="1" x14ac:dyDescent="0.25">
      <c r="A141" s="24" t="str">
        <f t="shared" si="29"/>
        <v/>
      </c>
      <c r="B141" s="25"/>
      <c r="C141" s="26" t="str">
        <f t="shared" si="16"/>
        <v/>
      </c>
      <c r="D141" s="12"/>
      <c r="E141" s="27" t="str">
        <f t="shared" si="17"/>
        <v/>
      </c>
      <c r="F141" s="30" t="str">
        <f t="shared" si="18"/>
        <v/>
      </c>
      <c r="G141" s="29" t="str">
        <f t="shared" si="19"/>
        <v/>
      </c>
      <c r="H141" s="30" t="str">
        <f t="shared" si="20"/>
        <v/>
      </c>
      <c r="I141" s="31" t="str">
        <f t="shared" si="21"/>
        <v/>
      </c>
      <c r="J141" s="30" t="str">
        <f t="shared" si="22"/>
        <v/>
      </c>
      <c r="K141" s="30" t="str">
        <f t="shared" si="23"/>
        <v/>
      </c>
      <c r="L141" s="67" t="str">
        <f t="shared" si="24"/>
        <v/>
      </c>
      <c r="M141" s="68" t="str">
        <f t="shared" si="25"/>
        <v/>
      </c>
      <c r="N141" s="67" t="str">
        <f t="shared" si="26"/>
        <v/>
      </c>
      <c r="O141" s="69" t="str">
        <f>IFERROR(IF($C141="","",VLOOKUP($N141,Feriados!$A$4:$B$5000,2,FALSE)),"")</f>
        <v/>
      </c>
      <c r="P141" s="67" t="str">
        <f t="shared" si="27"/>
        <v/>
      </c>
      <c r="Q141" s="63"/>
      <c r="R141" s="63"/>
      <c r="S141" s="62"/>
      <c r="U141" s="73"/>
      <c r="V141" s="41" t="str">
        <f t="shared" si="28"/>
        <v/>
      </c>
    </row>
    <row r="142" spans="1:22" s="34" customFormat="1" x14ac:dyDescent="0.25">
      <c r="A142" s="24" t="str">
        <f t="shared" si="29"/>
        <v/>
      </c>
      <c r="B142" s="25"/>
      <c r="C142" s="26" t="str">
        <f t="shared" si="16"/>
        <v/>
      </c>
      <c r="D142" s="12"/>
      <c r="E142" s="27" t="str">
        <f t="shared" si="17"/>
        <v/>
      </c>
      <c r="F142" s="30" t="str">
        <f t="shared" si="18"/>
        <v/>
      </c>
      <c r="G142" s="29" t="str">
        <f t="shared" si="19"/>
        <v/>
      </c>
      <c r="H142" s="30" t="str">
        <f t="shared" si="20"/>
        <v/>
      </c>
      <c r="I142" s="31" t="str">
        <f t="shared" si="21"/>
        <v/>
      </c>
      <c r="J142" s="30" t="str">
        <f t="shared" si="22"/>
        <v/>
      </c>
      <c r="K142" s="30" t="str">
        <f t="shared" si="23"/>
        <v/>
      </c>
      <c r="L142" s="67" t="str">
        <f t="shared" si="24"/>
        <v/>
      </c>
      <c r="M142" s="68" t="str">
        <f t="shared" si="25"/>
        <v/>
      </c>
      <c r="N142" s="67" t="str">
        <f t="shared" si="26"/>
        <v/>
      </c>
      <c r="O142" s="69" t="str">
        <f>IFERROR(IF($C142="","",VLOOKUP($N142,Feriados!$A$4:$B$5000,2,FALSE)),"")</f>
        <v/>
      </c>
      <c r="P142" s="67" t="str">
        <f t="shared" si="27"/>
        <v/>
      </c>
      <c r="Q142" s="63"/>
      <c r="R142" s="63"/>
      <c r="S142" s="62"/>
      <c r="U142" s="73"/>
      <c r="V142" s="41" t="str">
        <f t="shared" si="28"/>
        <v/>
      </c>
    </row>
    <row r="143" spans="1:22" s="34" customFormat="1" x14ac:dyDescent="0.25">
      <c r="A143" s="24" t="str">
        <f t="shared" si="29"/>
        <v/>
      </c>
      <c r="B143" s="25"/>
      <c r="C143" s="26" t="str">
        <f t="shared" si="16"/>
        <v/>
      </c>
      <c r="D143" s="12"/>
      <c r="E143" s="27" t="str">
        <f t="shared" si="17"/>
        <v/>
      </c>
      <c r="F143" s="30" t="str">
        <f t="shared" si="18"/>
        <v/>
      </c>
      <c r="G143" s="29" t="str">
        <f t="shared" si="19"/>
        <v/>
      </c>
      <c r="H143" s="30" t="str">
        <f t="shared" si="20"/>
        <v/>
      </c>
      <c r="I143" s="31" t="str">
        <f t="shared" si="21"/>
        <v/>
      </c>
      <c r="J143" s="30" t="str">
        <f t="shared" si="22"/>
        <v/>
      </c>
      <c r="K143" s="30" t="str">
        <f t="shared" si="23"/>
        <v/>
      </c>
      <c r="L143" s="67" t="str">
        <f t="shared" si="24"/>
        <v/>
      </c>
      <c r="M143" s="68" t="str">
        <f t="shared" si="25"/>
        <v/>
      </c>
      <c r="N143" s="67" t="str">
        <f t="shared" si="26"/>
        <v/>
      </c>
      <c r="O143" s="69" t="str">
        <f>IFERROR(IF($C143="","",VLOOKUP($N143,Feriados!$A$4:$B$5000,2,FALSE)),"")</f>
        <v/>
      </c>
      <c r="P143" s="67" t="str">
        <f t="shared" si="27"/>
        <v/>
      </c>
      <c r="Q143" s="63"/>
      <c r="R143" s="63"/>
      <c r="S143" s="62"/>
      <c r="U143" s="73"/>
      <c r="V143" s="41" t="str">
        <f t="shared" si="28"/>
        <v/>
      </c>
    </row>
    <row r="144" spans="1:22" s="34" customFormat="1" x14ac:dyDescent="0.25">
      <c r="A144" s="24" t="str">
        <f t="shared" si="29"/>
        <v/>
      </c>
      <c r="B144" s="25"/>
      <c r="C144" s="26" t="str">
        <f t="shared" si="16"/>
        <v/>
      </c>
      <c r="D144" s="12"/>
      <c r="E144" s="27" t="str">
        <f t="shared" si="17"/>
        <v/>
      </c>
      <c r="F144" s="30" t="str">
        <f t="shared" si="18"/>
        <v/>
      </c>
      <c r="G144" s="29" t="str">
        <f t="shared" si="19"/>
        <v/>
      </c>
      <c r="H144" s="30" t="str">
        <f t="shared" si="20"/>
        <v/>
      </c>
      <c r="I144" s="31" t="str">
        <f t="shared" si="21"/>
        <v/>
      </c>
      <c r="J144" s="30" t="str">
        <f t="shared" si="22"/>
        <v/>
      </c>
      <c r="K144" s="30" t="str">
        <f t="shared" si="23"/>
        <v/>
      </c>
      <c r="L144" s="67" t="str">
        <f t="shared" si="24"/>
        <v/>
      </c>
      <c r="M144" s="68" t="str">
        <f t="shared" si="25"/>
        <v/>
      </c>
      <c r="N144" s="67" t="str">
        <f t="shared" si="26"/>
        <v/>
      </c>
      <c r="O144" s="69" t="str">
        <f>IFERROR(IF($C144="","",VLOOKUP($N144,Feriados!$A$4:$B$5000,2,FALSE)),"")</f>
        <v/>
      </c>
      <c r="P144" s="67" t="str">
        <f t="shared" si="27"/>
        <v/>
      </c>
      <c r="Q144" s="63"/>
      <c r="R144" s="63"/>
      <c r="S144" s="62"/>
      <c r="U144" s="73"/>
      <c r="V144" s="41" t="str">
        <f t="shared" si="28"/>
        <v/>
      </c>
    </row>
    <row r="145" spans="1:22" s="34" customFormat="1" x14ac:dyDescent="0.25">
      <c r="A145" s="24" t="str">
        <f t="shared" si="29"/>
        <v/>
      </c>
      <c r="B145" s="25"/>
      <c r="C145" s="26" t="str">
        <f t="shared" si="16"/>
        <v/>
      </c>
      <c r="D145" s="12"/>
      <c r="E145" s="27" t="str">
        <f t="shared" si="17"/>
        <v/>
      </c>
      <c r="F145" s="30" t="str">
        <f t="shared" si="18"/>
        <v/>
      </c>
      <c r="G145" s="29" t="str">
        <f t="shared" si="19"/>
        <v/>
      </c>
      <c r="H145" s="30" t="str">
        <f t="shared" si="20"/>
        <v/>
      </c>
      <c r="I145" s="31" t="str">
        <f t="shared" si="21"/>
        <v/>
      </c>
      <c r="J145" s="30" t="str">
        <f t="shared" si="22"/>
        <v/>
      </c>
      <c r="K145" s="30" t="str">
        <f t="shared" si="23"/>
        <v/>
      </c>
      <c r="L145" s="67" t="str">
        <f t="shared" si="24"/>
        <v/>
      </c>
      <c r="M145" s="68" t="str">
        <f t="shared" si="25"/>
        <v/>
      </c>
      <c r="N145" s="67" t="str">
        <f t="shared" si="26"/>
        <v/>
      </c>
      <c r="O145" s="69" t="str">
        <f>IFERROR(IF($C145="","",VLOOKUP($N145,Feriados!$A$4:$B$5000,2,FALSE)),"")</f>
        <v/>
      </c>
      <c r="P145" s="67" t="str">
        <f t="shared" si="27"/>
        <v/>
      </c>
      <c r="Q145" s="63"/>
      <c r="R145" s="63"/>
      <c r="S145" s="62"/>
      <c r="U145" s="73"/>
      <c r="V145" s="41" t="str">
        <f t="shared" si="28"/>
        <v/>
      </c>
    </row>
    <row r="146" spans="1:22" s="34" customFormat="1" x14ac:dyDescent="0.25">
      <c r="A146" s="24" t="str">
        <f t="shared" si="29"/>
        <v/>
      </c>
      <c r="B146" s="25"/>
      <c r="C146" s="26" t="str">
        <f t="shared" si="16"/>
        <v/>
      </c>
      <c r="D146" s="12"/>
      <c r="E146" s="27" t="str">
        <f t="shared" si="17"/>
        <v/>
      </c>
      <c r="F146" s="30" t="str">
        <f t="shared" si="18"/>
        <v/>
      </c>
      <c r="G146" s="29" t="str">
        <f t="shared" si="19"/>
        <v/>
      </c>
      <c r="H146" s="30" t="str">
        <f t="shared" si="20"/>
        <v/>
      </c>
      <c r="I146" s="31" t="str">
        <f t="shared" si="21"/>
        <v/>
      </c>
      <c r="J146" s="30" t="str">
        <f t="shared" si="22"/>
        <v/>
      </c>
      <c r="K146" s="30" t="str">
        <f t="shared" si="23"/>
        <v/>
      </c>
      <c r="L146" s="67" t="str">
        <f t="shared" si="24"/>
        <v/>
      </c>
      <c r="M146" s="68" t="str">
        <f t="shared" si="25"/>
        <v/>
      </c>
      <c r="N146" s="67" t="str">
        <f t="shared" si="26"/>
        <v/>
      </c>
      <c r="O146" s="69" t="str">
        <f>IFERROR(IF($C146="","",VLOOKUP($N146,Feriados!$A$4:$B$5000,2,FALSE)),"")</f>
        <v/>
      </c>
      <c r="P146" s="67" t="str">
        <f t="shared" si="27"/>
        <v/>
      </c>
      <c r="Q146" s="63"/>
      <c r="R146" s="63"/>
      <c r="S146" s="62"/>
      <c r="U146" s="73"/>
      <c r="V146" s="41" t="str">
        <f t="shared" si="28"/>
        <v/>
      </c>
    </row>
    <row r="147" spans="1:22" s="34" customFormat="1" x14ac:dyDescent="0.25">
      <c r="A147" s="24" t="str">
        <f t="shared" si="29"/>
        <v/>
      </c>
      <c r="B147" s="25"/>
      <c r="C147" s="26" t="str">
        <f t="shared" ref="C147:C210" si="30">IFERROR(IF($B$17&lt;7,"",IF(ROW(A147)=19,0,IF(ROW(A147)=20,1,IF(C146+1&gt;$H$13,"",C146+1)))),"")</f>
        <v/>
      </c>
      <c r="D147" s="12"/>
      <c r="E147" s="27" t="str">
        <f t="shared" ref="E147:E210" si="31">IF(C147="","",IF(C147=0,$H$7,IF(C147=1,$H$9,P147+D147)))</f>
        <v/>
      </c>
      <c r="F147" s="30" t="str">
        <f t="shared" ref="F147:F210" si="32">IF(C147="","",IF(C147=0,$K$7,J146))</f>
        <v/>
      </c>
      <c r="G147" s="29" t="str">
        <f t="shared" ref="G147:G210" si="33">IF(C147="","",IF(C147=0,0,$E147-$E146))</f>
        <v/>
      </c>
      <c r="H147" s="30" t="str">
        <f t="shared" ref="H147:H210" si="34">IF(C147="","",ROUND(F147*(((1+$K$11)^G147)-1),8))</f>
        <v/>
      </c>
      <c r="I147" s="31" t="str">
        <f t="shared" ref="I147:I210" si="35">IF(C147="","",IF(C147=0,0,IFERROR(IF(C147=VLOOKUP(C147,PV_ParcelasFixas,1,FALSE),-VLOOKUP(C147,PV_ParcelasFixas,2,FALSE)),IF(AND($B$15=FALSE,C147&lt;=$H$11),0,IF(C147&lt;=$H$11,-H147,IF($K$5="SAC",-$K$8-H147,-$K$8))))))</f>
        <v/>
      </c>
      <c r="J147" s="30" t="str">
        <f t="shared" ref="J147:J210" si="36">IF(C147="","",IF(AND(C147=0,B147=""),$F$19,J146+H147+I147))</f>
        <v/>
      </c>
      <c r="K147" s="30" t="str">
        <f t="shared" ref="K147:K210" si="37">IF(C147="","",-H147+-I147)</f>
        <v/>
      </c>
      <c r="L147" s="67" t="str">
        <f t="shared" ref="L147:L210" si="38">IF($C147="","",IF($C147=0,$H$7,IF($C147=1,$B$11,EDATE($B$11,$C146))))</f>
        <v/>
      </c>
      <c r="M147" s="68" t="str">
        <f t="shared" ref="M147:M210" si="39">IF($L147="","",WEEKDAY($L147))</f>
        <v/>
      </c>
      <c r="N147" s="67" t="str">
        <f t="shared" ref="N147:N210" si="40">IFERROR(IF($M147=7,$L147+2,IF($M147=1,$L147+1,$L147)),"")</f>
        <v/>
      </c>
      <c r="O147" s="69" t="str">
        <f>IFERROR(IF($C147="","",VLOOKUP($N147,Feriados!$A$4:$B$5000,2,FALSE)),"")</f>
        <v/>
      </c>
      <c r="P147" s="67" t="str">
        <f t="shared" ref="P147:P210" si="41">IFERROR(IF($O147="",$N147,IF($O147=6,$N147+3,IF($O147&lt;6,$N147+1))),"")</f>
        <v/>
      </c>
      <c r="Q147" s="63"/>
      <c r="R147" s="63"/>
      <c r="S147" s="62"/>
      <c r="U147" s="73"/>
      <c r="V147" s="41" t="str">
        <f t="shared" si="28"/>
        <v/>
      </c>
    </row>
    <row r="148" spans="1:22" s="34" customFormat="1" x14ac:dyDescent="0.25">
      <c r="A148" s="24" t="str">
        <f t="shared" si="29"/>
        <v/>
      </c>
      <c r="B148" s="25"/>
      <c r="C148" s="26" t="str">
        <f t="shared" si="30"/>
        <v/>
      </c>
      <c r="D148" s="12"/>
      <c r="E148" s="27" t="str">
        <f t="shared" si="31"/>
        <v/>
      </c>
      <c r="F148" s="30" t="str">
        <f t="shared" si="32"/>
        <v/>
      </c>
      <c r="G148" s="29" t="str">
        <f t="shared" si="33"/>
        <v/>
      </c>
      <c r="H148" s="30" t="str">
        <f t="shared" si="34"/>
        <v/>
      </c>
      <c r="I148" s="31" t="str">
        <f t="shared" si="35"/>
        <v/>
      </c>
      <c r="J148" s="30" t="str">
        <f t="shared" si="36"/>
        <v/>
      </c>
      <c r="K148" s="30" t="str">
        <f t="shared" si="37"/>
        <v/>
      </c>
      <c r="L148" s="67" t="str">
        <f t="shared" si="38"/>
        <v/>
      </c>
      <c r="M148" s="68" t="str">
        <f t="shared" si="39"/>
        <v/>
      </c>
      <c r="N148" s="67" t="str">
        <f t="shared" si="40"/>
        <v/>
      </c>
      <c r="O148" s="69" t="str">
        <f>IFERROR(IF($C148="","",VLOOKUP($N148,Feriados!$A$4:$B$5000,2,FALSE)),"")</f>
        <v/>
      </c>
      <c r="P148" s="67" t="str">
        <f t="shared" si="41"/>
        <v/>
      </c>
      <c r="Q148" s="63"/>
      <c r="R148" s="63"/>
      <c r="S148" s="62"/>
      <c r="U148" s="73"/>
      <c r="V148" s="41" t="str">
        <f t="shared" si="28"/>
        <v/>
      </c>
    </row>
    <row r="149" spans="1:22" s="34" customFormat="1" x14ac:dyDescent="0.25">
      <c r="A149" s="24" t="str">
        <f t="shared" si="29"/>
        <v/>
      </c>
      <c r="B149" s="25"/>
      <c r="C149" s="26" t="str">
        <f t="shared" si="30"/>
        <v/>
      </c>
      <c r="D149" s="12"/>
      <c r="E149" s="27" t="str">
        <f t="shared" si="31"/>
        <v/>
      </c>
      <c r="F149" s="30" t="str">
        <f t="shared" si="32"/>
        <v/>
      </c>
      <c r="G149" s="29" t="str">
        <f t="shared" si="33"/>
        <v/>
      </c>
      <c r="H149" s="30" t="str">
        <f t="shared" si="34"/>
        <v/>
      </c>
      <c r="I149" s="31" t="str">
        <f t="shared" si="35"/>
        <v/>
      </c>
      <c r="J149" s="30" t="str">
        <f t="shared" si="36"/>
        <v/>
      </c>
      <c r="K149" s="30" t="str">
        <f t="shared" si="37"/>
        <v/>
      </c>
      <c r="L149" s="67" t="str">
        <f t="shared" si="38"/>
        <v/>
      </c>
      <c r="M149" s="68" t="str">
        <f t="shared" si="39"/>
        <v/>
      </c>
      <c r="N149" s="67" t="str">
        <f t="shared" si="40"/>
        <v/>
      </c>
      <c r="O149" s="69" t="str">
        <f>IFERROR(IF($C149="","",VLOOKUP($N149,Feriados!$A$4:$B$5000,2,FALSE)),"")</f>
        <v/>
      </c>
      <c r="P149" s="67" t="str">
        <f t="shared" si="41"/>
        <v/>
      </c>
      <c r="Q149" s="63"/>
      <c r="R149" s="63"/>
      <c r="S149" s="62"/>
      <c r="U149" s="73"/>
      <c r="V149" s="41" t="str">
        <f t="shared" ref="V149:V212" si="42">IF(C149="","",I149)</f>
        <v/>
      </c>
    </row>
    <row r="150" spans="1:22" s="34" customFormat="1" x14ac:dyDescent="0.25">
      <c r="A150" s="24" t="str">
        <f t="shared" si="29"/>
        <v/>
      </c>
      <c r="B150" s="25"/>
      <c r="C150" s="26" t="str">
        <f t="shared" si="30"/>
        <v/>
      </c>
      <c r="D150" s="12"/>
      <c r="E150" s="27" t="str">
        <f t="shared" si="31"/>
        <v/>
      </c>
      <c r="F150" s="30" t="str">
        <f t="shared" si="32"/>
        <v/>
      </c>
      <c r="G150" s="29" t="str">
        <f t="shared" si="33"/>
        <v/>
      </c>
      <c r="H150" s="30" t="str">
        <f t="shared" si="34"/>
        <v/>
      </c>
      <c r="I150" s="31" t="str">
        <f t="shared" si="35"/>
        <v/>
      </c>
      <c r="J150" s="30" t="str">
        <f t="shared" si="36"/>
        <v/>
      </c>
      <c r="K150" s="30" t="str">
        <f t="shared" si="37"/>
        <v/>
      </c>
      <c r="L150" s="67" t="str">
        <f t="shared" si="38"/>
        <v/>
      </c>
      <c r="M150" s="68" t="str">
        <f t="shared" si="39"/>
        <v/>
      </c>
      <c r="N150" s="67" t="str">
        <f t="shared" si="40"/>
        <v/>
      </c>
      <c r="O150" s="69" t="str">
        <f>IFERROR(IF($C150="","",VLOOKUP($N150,Feriados!$A$4:$B$5000,2,FALSE)),"")</f>
        <v/>
      </c>
      <c r="P150" s="67" t="str">
        <f t="shared" si="41"/>
        <v/>
      </c>
      <c r="Q150" s="63"/>
      <c r="R150" s="63"/>
      <c r="S150" s="62"/>
      <c r="U150" s="73"/>
      <c r="V150" s="41" t="str">
        <f t="shared" si="42"/>
        <v/>
      </c>
    </row>
    <row r="151" spans="1:22" s="34" customFormat="1" x14ac:dyDescent="0.25">
      <c r="A151" s="24" t="str">
        <f t="shared" si="29"/>
        <v/>
      </c>
      <c r="B151" s="25"/>
      <c r="C151" s="26" t="str">
        <f t="shared" si="30"/>
        <v/>
      </c>
      <c r="D151" s="12"/>
      <c r="E151" s="27" t="str">
        <f t="shared" si="31"/>
        <v/>
      </c>
      <c r="F151" s="30" t="str">
        <f t="shared" si="32"/>
        <v/>
      </c>
      <c r="G151" s="29" t="str">
        <f t="shared" si="33"/>
        <v/>
      </c>
      <c r="H151" s="30" t="str">
        <f t="shared" si="34"/>
        <v/>
      </c>
      <c r="I151" s="31" t="str">
        <f t="shared" si="35"/>
        <v/>
      </c>
      <c r="J151" s="30" t="str">
        <f t="shared" si="36"/>
        <v/>
      </c>
      <c r="K151" s="30" t="str">
        <f t="shared" si="37"/>
        <v/>
      </c>
      <c r="L151" s="67" t="str">
        <f t="shared" si="38"/>
        <v/>
      </c>
      <c r="M151" s="68" t="str">
        <f t="shared" si="39"/>
        <v/>
      </c>
      <c r="N151" s="67" t="str">
        <f t="shared" si="40"/>
        <v/>
      </c>
      <c r="O151" s="69" t="str">
        <f>IFERROR(IF($C151="","",VLOOKUP($N151,Feriados!$A$4:$B$5000,2,FALSE)),"")</f>
        <v/>
      </c>
      <c r="P151" s="67" t="str">
        <f t="shared" si="41"/>
        <v/>
      </c>
      <c r="Q151" s="63"/>
      <c r="R151" s="63"/>
      <c r="S151" s="62"/>
      <c r="U151" s="73"/>
      <c r="V151" s="41" t="str">
        <f t="shared" si="42"/>
        <v/>
      </c>
    </row>
    <row r="152" spans="1:22" s="34" customFormat="1" x14ac:dyDescent="0.25">
      <c r="A152" s="24" t="str">
        <f t="shared" si="29"/>
        <v/>
      </c>
      <c r="B152" s="25"/>
      <c r="C152" s="26" t="str">
        <f t="shared" si="30"/>
        <v/>
      </c>
      <c r="D152" s="12"/>
      <c r="E152" s="27" t="str">
        <f t="shared" si="31"/>
        <v/>
      </c>
      <c r="F152" s="30" t="str">
        <f t="shared" si="32"/>
        <v/>
      </c>
      <c r="G152" s="29" t="str">
        <f t="shared" si="33"/>
        <v/>
      </c>
      <c r="H152" s="30" t="str">
        <f t="shared" si="34"/>
        <v/>
      </c>
      <c r="I152" s="31" t="str">
        <f t="shared" si="35"/>
        <v/>
      </c>
      <c r="J152" s="30" t="str">
        <f t="shared" si="36"/>
        <v/>
      </c>
      <c r="K152" s="30" t="str">
        <f t="shared" si="37"/>
        <v/>
      </c>
      <c r="L152" s="67" t="str">
        <f t="shared" si="38"/>
        <v/>
      </c>
      <c r="M152" s="68" t="str">
        <f t="shared" si="39"/>
        <v/>
      </c>
      <c r="N152" s="67" t="str">
        <f t="shared" si="40"/>
        <v/>
      </c>
      <c r="O152" s="69" t="str">
        <f>IFERROR(IF($C152="","",VLOOKUP($N152,Feriados!$A$4:$B$5000,2,FALSE)),"")</f>
        <v/>
      </c>
      <c r="P152" s="67" t="str">
        <f t="shared" si="41"/>
        <v/>
      </c>
      <c r="Q152" s="63"/>
      <c r="R152" s="63"/>
      <c r="S152" s="62"/>
      <c r="U152" s="73"/>
      <c r="V152" s="41" t="str">
        <f t="shared" si="42"/>
        <v/>
      </c>
    </row>
    <row r="153" spans="1:22" s="34" customFormat="1" x14ac:dyDescent="0.25">
      <c r="A153" s="24" t="str">
        <f t="shared" si="29"/>
        <v/>
      </c>
      <c r="B153" s="25"/>
      <c r="C153" s="26" t="str">
        <f t="shared" si="30"/>
        <v/>
      </c>
      <c r="D153" s="12"/>
      <c r="E153" s="27" t="str">
        <f t="shared" si="31"/>
        <v/>
      </c>
      <c r="F153" s="30" t="str">
        <f t="shared" si="32"/>
        <v/>
      </c>
      <c r="G153" s="29" t="str">
        <f t="shared" si="33"/>
        <v/>
      </c>
      <c r="H153" s="30" t="str">
        <f t="shared" si="34"/>
        <v/>
      </c>
      <c r="I153" s="31" t="str">
        <f t="shared" si="35"/>
        <v/>
      </c>
      <c r="J153" s="30" t="str">
        <f t="shared" si="36"/>
        <v/>
      </c>
      <c r="K153" s="30" t="str">
        <f t="shared" si="37"/>
        <v/>
      </c>
      <c r="L153" s="67" t="str">
        <f t="shared" si="38"/>
        <v/>
      </c>
      <c r="M153" s="68" t="str">
        <f t="shared" si="39"/>
        <v/>
      </c>
      <c r="N153" s="67" t="str">
        <f t="shared" si="40"/>
        <v/>
      </c>
      <c r="O153" s="69" t="str">
        <f>IFERROR(IF($C153="","",VLOOKUP($N153,Feriados!$A$4:$B$5000,2,FALSE)),"")</f>
        <v/>
      </c>
      <c r="P153" s="67" t="str">
        <f t="shared" si="41"/>
        <v/>
      </c>
      <c r="Q153" s="63"/>
      <c r="R153" s="63"/>
      <c r="S153" s="62"/>
      <c r="U153" s="73"/>
      <c r="V153" s="41" t="str">
        <f t="shared" si="42"/>
        <v/>
      </c>
    </row>
    <row r="154" spans="1:22" s="34" customFormat="1" x14ac:dyDescent="0.25">
      <c r="A154" s="24" t="str">
        <f t="shared" si="29"/>
        <v/>
      </c>
      <c r="B154" s="25"/>
      <c r="C154" s="26" t="str">
        <f t="shared" si="30"/>
        <v/>
      </c>
      <c r="D154" s="12"/>
      <c r="E154" s="27" t="str">
        <f t="shared" si="31"/>
        <v/>
      </c>
      <c r="F154" s="30" t="str">
        <f t="shared" si="32"/>
        <v/>
      </c>
      <c r="G154" s="29" t="str">
        <f t="shared" si="33"/>
        <v/>
      </c>
      <c r="H154" s="30" t="str">
        <f t="shared" si="34"/>
        <v/>
      </c>
      <c r="I154" s="31" t="str">
        <f t="shared" si="35"/>
        <v/>
      </c>
      <c r="J154" s="30" t="str">
        <f t="shared" si="36"/>
        <v/>
      </c>
      <c r="K154" s="30" t="str">
        <f t="shared" si="37"/>
        <v/>
      </c>
      <c r="L154" s="67" t="str">
        <f t="shared" si="38"/>
        <v/>
      </c>
      <c r="M154" s="68" t="str">
        <f t="shared" si="39"/>
        <v/>
      </c>
      <c r="N154" s="67" t="str">
        <f t="shared" si="40"/>
        <v/>
      </c>
      <c r="O154" s="69" t="str">
        <f>IFERROR(IF($C154="","",VLOOKUP($N154,Feriados!$A$4:$B$5000,2,FALSE)),"")</f>
        <v/>
      </c>
      <c r="P154" s="67" t="str">
        <f t="shared" si="41"/>
        <v/>
      </c>
      <c r="Q154" s="63"/>
      <c r="R154" s="63"/>
      <c r="S154" s="62"/>
      <c r="U154" s="73"/>
      <c r="V154" s="41" t="str">
        <f t="shared" si="42"/>
        <v/>
      </c>
    </row>
    <row r="155" spans="1:22" s="34" customFormat="1" x14ac:dyDescent="0.25">
      <c r="A155" s="24" t="str">
        <f t="shared" si="29"/>
        <v/>
      </c>
      <c r="B155" s="25"/>
      <c r="C155" s="26" t="str">
        <f t="shared" si="30"/>
        <v/>
      </c>
      <c r="D155" s="12"/>
      <c r="E155" s="27" t="str">
        <f t="shared" si="31"/>
        <v/>
      </c>
      <c r="F155" s="30" t="str">
        <f t="shared" si="32"/>
        <v/>
      </c>
      <c r="G155" s="29" t="str">
        <f t="shared" si="33"/>
        <v/>
      </c>
      <c r="H155" s="30" t="str">
        <f t="shared" si="34"/>
        <v/>
      </c>
      <c r="I155" s="31" t="str">
        <f t="shared" si="35"/>
        <v/>
      </c>
      <c r="J155" s="30" t="str">
        <f t="shared" si="36"/>
        <v/>
      </c>
      <c r="K155" s="30" t="str">
        <f t="shared" si="37"/>
        <v/>
      </c>
      <c r="L155" s="67" t="str">
        <f t="shared" si="38"/>
        <v/>
      </c>
      <c r="M155" s="68" t="str">
        <f t="shared" si="39"/>
        <v/>
      </c>
      <c r="N155" s="67" t="str">
        <f t="shared" si="40"/>
        <v/>
      </c>
      <c r="O155" s="69" t="str">
        <f>IFERROR(IF($C155="","",VLOOKUP($N155,Feriados!$A$4:$B$5000,2,FALSE)),"")</f>
        <v/>
      </c>
      <c r="P155" s="67" t="str">
        <f t="shared" si="41"/>
        <v/>
      </c>
      <c r="Q155" s="63"/>
      <c r="R155" s="63"/>
      <c r="S155" s="62"/>
      <c r="U155" s="73"/>
      <c r="V155" s="41" t="str">
        <f t="shared" si="42"/>
        <v/>
      </c>
    </row>
    <row r="156" spans="1:22" s="34" customFormat="1" x14ac:dyDescent="0.25">
      <c r="A156" s="24" t="str">
        <f t="shared" si="29"/>
        <v/>
      </c>
      <c r="B156" s="25"/>
      <c r="C156" s="26" t="str">
        <f t="shared" si="30"/>
        <v/>
      </c>
      <c r="D156" s="12"/>
      <c r="E156" s="27" t="str">
        <f t="shared" si="31"/>
        <v/>
      </c>
      <c r="F156" s="30" t="str">
        <f t="shared" si="32"/>
        <v/>
      </c>
      <c r="G156" s="29" t="str">
        <f t="shared" si="33"/>
        <v/>
      </c>
      <c r="H156" s="30" t="str">
        <f t="shared" si="34"/>
        <v/>
      </c>
      <c r="I156" s="31" t="str">
        <f t="shared" si="35"/>
        <v/>
      </c>
      <c r="J156" s="30" t="str">
        <f t="shared" si="36"/>
        <v/>
      </c>
      <c r="K156" s="30" t="str">
        <f t="shared" si="37"/>
        <v/>
      </c>
      <c r="L156" s="67" t="str">
        <f t="shared" si="38"/>
        <v/>
      </c>
      <c r="M156" s="68" t="str">
        <f t="shared" si="39"/>
        <v/>
      </c>
      <c r="N156" s="67" t="str">
        <f t="shared" si="40"/>
        <v/>
      </c>
      <c r="O156" s="69" t="str">
        <f>IFERROR(IF($C156="","",VLOOKUP($N156,Feriados!$A$4:$B$5000,2,FALSE)),"")</f>
        <v/>
      </c>
      <c r="P156" s="67" t="str">
        <f t="shared" si="41"/>
        <v/>
      </c>
      <c r="Q156" s="63"/>
      <c r="R156" s="63"/>
      <c r="S156" s="62"/>
      <c r="U156" s="73"/>
      <c r="V156" s="41" t="str">
        <f t="shared" si="42"/>
        <v/>
      </c>
    </row>
    <row r="157" spans="1:22" s="34" customFormat="1" x14ac:dyDescent="0.25">
      <c r="A157" s="24" t="str">
        <f t="shared" si="29"/>
        <v/>
      </c>
      <c r="B157" s="25"/>
      <c r="C157" s="26" t="str">
        <f t="shared" si="30"/>
        <v/>
      </c>
      <c r="D157" s="12"/>
      <c r="E157" s="27" t="str">
        <f t="shared" si="31"/>
        <v/>
      </c>
      <c r="F157" s="30" t="str">
        <f t="shared" si="32"/>
        <v/>
      </c>
      <c r="G157" s="29" t="str">
        <f t="shared" si="33"/>
        <v/>
      </c>
      <c r="H157" s="30" t="str">
        <f t="shared" si="34"/>
        <v/>
      </c>
      <c r="I157" s="31" t="str">
        <f t="shared" si="35"/>
        <v/>
      </c>
      <c r="J157" s="30" t="str">
        <f t="shared" si="36"/>
        <v/>
      </c>
      <c r="K157" s="30" t="str">
        <f t="shared" si="37"/>
        <v/>
      </c>
      <c r="L157" s="67" t="str">
        <f t="shared" si="38"/>
        <v/>
      </c>
      <c r="M157" s="68" t="str">
        <f t="shared" si="39"/>
        <v/>
      </c>
      <c r="N157" s="67" t="str">
        <f t="shared" si="40"/>
        <v/>
      </c>
      <c r="O157" s="69" t="str">
        <f>IFERROR(IF($C157="","",VLOOKUP($N157,Feriados!$A$4:$B$5000,2,FALSE)),"")</f>
        <v/>
      </c>
      <c r="P157" s="67" t="str">
        <f t="shared" si="41"/>
        <v/>
      </c>
      <c r="Q157" s="63"/>
      <c r="R157" s="63"/>
      <c r="S157" s="62"/>
      <c r="U157" s="73"/>
      <c r="V157" s="41" t="str">
        <f t="shared" si="42"/>
        <v/>
      </c>
    </row>
    <row r="158" spans="1:22" s="34" customFormat="1" x14ac:dyDescent="0.25">
      <c r="A158" s="24" t="str">
        <f t="shared" si="29"/>
        <v/>
      </c>
      <c r="B158" s="25"/>
      <c r="C158" s="26" t="str">
        <f t="shared" si="30"/>
        <v/>
      </c>
      <c r="D158" s="12"/>
      <c r="E158" s="27" t="str">
        <f t="shared" si="31"/>
        <v/>
      </c>
      <c r="F158" s="30" t="str">
        <f t="shared" si="32"/>
        <v/>
      </c>
      <c r="G158" s="29" t="str">
        <f t="shared" si="33"/>
        <v/>
      </c>
      <c r="H158" s="30" t="str">
        <f t="shared" si="34"/>
        <v/>
      </c>
      <c r="I158" s="31" t="str">
        <f t="shared" si="35"/>
        <v/>
      </c>
      <c r="J158" s="30" t="str">
        <f t="shared" si="36"/>
        <v/>
      </c>
      <c r="K158" s="30" t="str">
        <f t="shared" si="37"/>
        <v/>
      </c>
      <c r="L158" s="67" t="str">
        <f t="shared" si="38"/>
        <v/>
      </c>
      <c r="M158" s="68" t="str">
        <f t="shared" si="39"/>
        <v/>
      </c>
      <c r="N158" s="67" t="str">
        <f t="shared" si="40"/>
        <v/>
      </c>
      <c r="O158" s="69" t="str">
        <f>IFERROR(IF($C158="","",VLOOKUP($N158,Feriados!$A$4:$B$5000,2,FALSE)),"")</f>
        <v/>
      </c>
      <c r="P158" s="67" t="str">
        <f t="shared" si="41"/>
        <v/>
      </c>
      <c r="Q158" s="63"/>
      <c r="R158" s="63"/>
      <c r="S158" s="62"/>
      <c r="U158" s="73"/>
      <c r="V158" s="41" t="str">
        <f t="shared" si="42"/>
        <v/>
      </c>
    </row>
    <row r="159" spans="1:22" s="34" customFormat="1" x14ac:dyDescent="0.25">
      <c r="A159" s="24" t="str">
        <f t="shared" si="29"/>
        <v/>
      </c>
      <c r="B159" s="25"/>
      <c r="C159" s="26" t="str">
        <f t="shared" si="30"/>
        <v/>
      </c>
      <c r="D159" s="12"/>
      <c r="E159" s="27" t="str">
        <f t="shared" si="31"/>
        <v/>
      </c>
      <c r="F159" s="30" t="str">
        <f t="shared" si="32"/>
        <v/>
      </c>
      <c r="G159" s="29" t="str">
        <f t="shared" si="33"/>
        <v/>
      </c>
      <c r="H159" s="30" t="str">
        <f t="shared" si="34"/>
        <v/>
      </c>
      <c r="I159" s="31" t="str">
        <f t="shared" si="35"/>
        <v/>
      </c>
      <c r="J159" s="30" t="str">
        <f t="shared" si="36"/>
        <v/>
      </c>
      <c r="K159" s="30" t="str">
        <f t="shared" si="37"/>
        <v/>
      </c>
      <c r="L159" s="67" t="str">
        <f t="shared" si="38"/>
        <v/>
      </c>
      <c r="M159" s="68" t="str">
        <f t="shared" si="39"/>
        <v/>
      </c>
      <c r="N159" s="67" t="str">
        <f t="shared" si="40"/>
        <v/>
      </c>
      <c r="O159" s="69" t="str">
        <f>IFERROR(IF($C159="","",VLOOKUP($N159,Feriados!$A$4:$B$5000,2,FALSE)),"")</f>
        <v/>
      </c>
      <c r="P159" s="67" t="str">
        <f t="shared" si="41"/>
        <v/>
      </c>
      <c r="Q159" s="63"/>
      <c r="R159" s="63"/>
      <c r="S159" s="62"/>
      <c r="U159" s="73"/>
      <c r="V159" s="41" t="str">
        <f t="shared" si="42"/>
        <v/>
      </c>
    </row>
    <row r="160" spans="1:22" s="34" customFormat="1" x14ac:dyDescent="0.25">
      <c r="A160" s="24" t="str">
        <f t="shared" si="29"/>
        <v/>
      </c>
      <c r="B160" s="25"/>
      <c r="C160" s="26" t="str">
        <f t="shared" si="30"/>
        <v/>
      </c>
      <c r="D160" s="12"/>
      <c r="E160" s="27" t="str">
        <f t="shared" si="31"/>
        <v/>
      </c>
      <c r="F160" s="30" t="str">
        <f t="shared" si="32"/>
        <v/>
      </c>
      <c r="G160" s="29" t="str">
        <f t="shared" si="33"/>
        <v/>
      </c>
      <c r="H160" s="30" t="str">
        <f t="shared" si="34"/>
        <v/>
      </c>
      <c r="I160" s="31" t="str">
        <f t="shared" si="35"/>
        <v/>
      </c>
      <c r="J160" s="30" t="str">
        <f t="shared" si="36"/>
        <v/>
      </c>
      <c r="K160" s="30" t="str">
        <f t="shared" si="37"/>
        <v/>
      </c>
      <c r="L160" s="67" t="str">
        <f t="shared" si="38"/>
        <v/>
      </c>
      <c r="M160" s="68" t="str">
        <f t="shared" si="39"/>
        <v/>
      </c>
      <c r="N160" s="67" t="str">
        <f t="shared" si="40"/>
        <v/>
      </c>
      <c r="O160" s="69" t="str">
        <f>IFERROR(IF($C160="","",VLOOKUP($N160,Feriados!$A$4:$B$5000,2,FALSE)),"")</f>
        <v/>
      </c>
      <c r="P160" s="67" t="str">
        <f t="shared" si="41"/>
        <v/>
      </c>
      <c r="Q160" s="63"/>
      <c r="R160" s="63"/>
      <c r="S160" s="62"/>
      <c r="U160" s="73"/>
      <c r="V160" s="41" t="str">
        <f t="shared" si="42"/>
        <v/>
      </c>
    </row>
    <row r="161" spans="1:22" s="34" customFormat="1" x14ac:dyDescent="0.25">
      <c r="A161" s="24" t="str">
        <f t="shared" si="29"/>
        <v/>
      </c>
      <c r="B161" s="25"/>
      <c r="C161" s="26" t="str">
        <f t="shared" si="30"/>
        <v/>
      </c>
      <c r="D161" s="12"/>
      <c r="E161" s="27" t="str">
        <f t="shared" si="31"/>
        <v/>
      </c>
      <c r="F161" s="30" t="str">
        <f t="shared" si="32"/>
        <v/>
      </c>
      <c r="G161" s="29" t="str">
        <f t="shared" si="33"/>
        <v/>
      </c>
      <c r="H161" s="30" t="str">
        <f t="shared" si="34"/>
        <v/>
      </c>
      <c r="I161" s="31" t="str">
        <f t="shared" si="35"/>
        <v/>
      </c>
      <c r="J161" s="30" t="str">
        <f t="shared" si="36"/>
        <v/>
      </c>
      <c r="K161" s="30" t="str">
        <f t="shared" si="37"/>
        <v/>
      </c>
      <c r="L161" s="67" t="str">
        <f t="shared" si="38"/>
        <v/>
      </c>
      <c r="M161" s="68" t="str">
        <f t="shared" si="39"/>
        <v/>
      </c>
      <c r="N161" s="67" t="str">
        <f t="shared" si="40"/>
        <v/>
      </c>
      <c r="O161" s="69" t="str">
        <f>IFERROR(IF($C161="","",VLOOKUP($N161,Feriados!$A$4:$B$5000,2,FALSE)),"")</f>
        <v/>
      </c>
      <c r="P161" s="67" t="str">
        <f t="shared" si="41"/>
        <v/>
      </c>
      <c r="Q161" s="63"/>
      <c r="R161" s="63"/>
      <c r="S161" s="62"/>
      <c r="U161" s="73"/>
      <c r="V161" s="41" t="str">
        <f t="shared" si="42"/>
        <v/>
      </c>
    </row>
    <row r="162" spans="1:22" s="34" customFormat="1" x14ac:dyDescent="0.25">
      <c r="A162" s="24" t="str">
        <f t="shared" si="29"/>
        <v/>
      </c>
      <c r="B162" s="25"/>
      <c r="C162" s="26" t="str">
        <f t="shared" si="30"/>
        <v/>
      </c>
      <c r="D162" s="12"/>
      <c r="E162" s="27" t="str">
        <f t="shared" si="31"/>
        <v/>
      </c>
      <c r="F162" s="30" t="str">
        <f t="shared" si="32"/>
        <v/>
      </c>
      <c r="G162" s="29" t="str">
        <f t="shared" si="33"/>
        <v/>
      </c>
      <c r="H162" s="30" t="str">
        <f t="shared" si="34"/>
        <v/>
      </c>
      <c r="I162" s="31" t="str">
        <f t="shared" si="35"/>
        <v/>
      </c>
      <c r="J162" s="30" t="str">
        <f t="shared" si="36"/>
        <v/>
      </c>
      <c r="K162" s="30" t="str">
        <f t="shared" si="37"/>
        <v/>
      </c>
      <c r="L162" s="67" t="str">
        <f t="shared" si="38"/>
        <v/>
      </c>
      <c r="M162" s="68" t="str">
        <f t="shared" si="39"/>
        <v/>
      </c>
      <c r="N162" s="67" t="str">
        <f t="shared" si="40"/>
        <v/>
      </c>
      <c r="O162" s="69" t="str">
        <f>IFERROR(IF($C162="","",VLOOKUP($N162,Feriados!$A$4:$B$5000,2,FALSE)),"")</f>
        <v/>
      </c>
      <c r="P162" s="67" t="str">
        <f t="shared" si="41"/>
        <v/>
      </c>
      <c r="Q162" s="63"/>
      <c r="R162" s="63"/>
      <c r="S162" s="62"/>
      <c r="U162" s="73"/>
      <c r="V162" s="41" t="str">
        <f t="shared" si="42"/>
        <v/>
      </c>
    </row>
    <row r="163" spans="1:22" s="34" customFormat="1" x14ac:dyDescent="0.25">
      <c r="A163" s="24" t="str">
        <f t="shared" si="29"/>
        <v/>
      </c>
      <c r="B163" s="25"/>
      <c r="C163" s="26" t="str">
        <f t="shared" si="30"/>
        <v/>
      </c>
      <c r="D163" s="12"/>
      <c r="E163" s="27" t="str">
        <f t="shared" si="31"/>
        <v/>
      </c>
      <c r="F163" s="30" t="str">
        <f t="shared" si="32"/>
        <v/>
      </c>
      <c r="G163" s="29" t="str">
        <f t="shared" si="33"/>
        <v/>
      </c>
      <c r="H163" s="30" t="str">
        <f t="shared" si="34"/>
        <v/>
      </c>
      <c r="I163" s="31" t="str">
        <f t="shared" si="35"/>
        <v/>
      </c>
      <c r="J163" s="30" t="str">
        <f t="shared" si="36"/>
        <v/>
      </c>
      <c r="K163" s="30" t="str">
        <f t="shared" si="37"/>
        <v/>
      </c>
      <c r="L163" s="67" t="str">
        <f t="shared" si="38"/>
        <v/>
      </c>
      <c r="M163" s="68" t="str">
        <f t="shared" si="39"/>
        <v/>
      </c>
      <c r="N163" s="67" t="str">
        <f t="shared" si="40"/>
        <v/>
      </c>
      <c r="O163" s="69" t="str">
        <f>IFERROR(IF($C163="","",VLOOKUP($N163,Feriados!$A$4:$B$5000,2,FALSE)),"")</f>
        <v/>
      </c>
      <c r="P163" s="67" t="str">
        <f t="shared" si="41"/>
        <v/>
      </c>
      <c r="Q163" s="63"/>
      <c r="R163" s="63"/>
      <c r="S163" s="62"/>
      <c r="U163" s="73"/>
      <c r="V163" s="41" t="str">
        <f t="shared" si="42"/>
        <v/>
      </c>
    </row>
    <row r="164" spans="1:22" s="34" customFormat="1" x14ac:dyDescent="0.25">
      <c r="A164" s="24" t="str">
        <f t="shared" si="29"/>
        <v/>
      </c>
      <c r="B164" s="25"/>
      <c r="C164" s="26" t="str">
        <f t="shared" si="30"/>
        <v/>
      </c>
      <c r="D164" s="12"/>
      <c r="E164" s="27" t="str">
        <f t="shared" si="31"/>
        <v/>
      </c>
      <c r="F164" s="30" t="str">
        <f t="shared" si="32"/>
        <v/>
      </c>
      <c r="G164" s="29" t="str">
        <f t="shared" si="33"/>
        <v/>
      </c>
      <c r="H164" s="30" t="str">
        <f t="shared" si="34"/>
        <v/>
      </c>
      <c r="I164" s="31" t="str">
        <f t="shared" si="35"/>
        <v/>
      </c>
      <c r="J164" s="30" t="str">
        <f t="shared" si="36"/>
        <v/>
      </c>
      <c r="K164" s="30" t="str">
        <f t="shared" si="37"/>
        <v/>
      </c>
      <c r="L164" s="67" t="str">
        <f t="shared" si="38"/>
        <v/>
      </c>
      <c r="M164" s="68" t="str">
        <f t="shared" si="39"/>
        <v/>
      </c>
      <c r="N164" s="67" t="str">
        <f t="shared" si="40"/>
        <v/>
      </c>
      <c r="O164" s="69" t="str">
        <f>IFERROR(IF($C164="","",VLOOKUP($N164,Feriados!$A$4:$B$5000,2,FALSE)),"")</f>
        <v/>
      </c>
      <c r="P164" s="67" t="str">
        <f t="shared" si="41"/>
        <v/>
      </c>
      <c r="Q164" s="63"/>
      <c r="R164" s="63"/>
      <c r="S164" s="62"/>
      <c r="U164" s="73"/>
      <c r="V164" s="41" t="str">
        <f t="shared" si="42"/>
        <v/>
      </c>
    </row>
    <row r="165" spans="1:22" s="34" customFormat="1" x14ac:dyDescent="0.25">
      <c r="A165" s="24" t="str">
        <f t="shared" si="29"/>
        <v/>
      </c>
      <c r="B165" s="25"/>
      <c r="C165" s="26" t="str">
        <f t="shared" si="30"/>
        <v/>
      </c>
      <c r="D165" s="12"/>
      <c r="E165" s="27" t="str">
        <f t="shared" si="31"/>
        <v/>
      </c>
      <c r="F165" s="30" t="str">
        <f t="shared" si="32"/>
        <v/>
      </c>
      <c r="G165" s="29" t="str">
        <f t="shared" si="33"/>
        <v/>
      </c>
      <c r="H165" s="30" t="str">
        <f t="shared" si="34"/>
        <v/>
      </c>
      <c r="I165" s="31" t="str">
        <f t="shared" si="35"/>
        <v/>
      </c>
      <c r="J165" s="30" t="str">
        <f t="shared" si="36"/>
        <v/>
      </c>
      <c r="K165" s="30" t="str">
        <f t="shared" si="37"/>
        <v/>
      </c>
      <c r="L165" s="67" t="str">
        <f t="shared" si="38"/>
        <v/>
      </c>
      <c r="M165" s="68" t="str">
        <f t="shared" si="39"/>
        <v/>
      </c>
      <c r="N165" s="67" t="str">
        <f t="shared" si="40"/>
        <v/>
      </c>
      <c r="O165" s="69" t="str">
        <f>IFERROR(IF($C165="","",VLOOKUP($N165,Feriados!$A$4:$B$5000,2,FALSE)),"")</f>
        <v/>
      </c>
      <c r="P165" s="67" t="str">
        <f t="shared" si="41"/>
        <v/>
      </c>
      <c r="Q165" s="63"/>
      <c r="R165" s="63"/>
      <c r="S165" s="62"/>
      <c r="U165" s="73"/>
      <c r="V165" s="41" t="str">
        <f t="shared" si="42"/>
        <v/>
      </c>
    </row>
    <row r="166" spans="1:22" s="34" customFormat="1" x14ac:dyDescent="0.25">
      <c r="A166" s="24" t="str">
        <f t="shared" si="29"/>
        <v/>
      </c>
      <c r="B166" s="25"/>
      <c r="C166" s="26" t="str">
        <f t="shared" si="30"/>
        <v/>
      </c>
      <c r="D166" s="12"/>
      <c r="E166" s="27" t="str">
        <f t="shared" si="31"/>
        <v/>
      </c>
      <c r="F166" s="30" t="str">
        <f t="shared" si="32"/>
        <v/>
      </c>
      <c r="G166" s="29" t="str">
        <f t="shared" si="33"/>
        <v/>
      </c>
      <c r="H166" s="30" t="str">
        <f t="shared" si="34"/>
        <v/>
      </c>
      <c r="I166" s="31" t="str">
        <f t="shared" si="35"/>
        <v/>
      </c>
      <c r="J166" s="30" t="str">
        <f t="shared" si="36"/>
        <v/>
      </c>
      <c r="K166" s="30" t="str">
        <f t="shared" si="37"/>
        <v/>
      </c>
      <c r="L166" s="67" t="str">
        <f t="shared" si="38"/>
        <v/>
      </c>
      <c r="M166" s="68" t="str">
        <f t="shared" si="39"/>
        <v/>
      </c>
      <c r="N166" s="67" t="str">
        <f t="shared" si="40"/>
        <v/>
      </c>
      <c r="O166" s="69" t="str">
        <f>IFERROR(IF($C166="","",VLOOKUP($N166,Feriados!$A$4:$B$5000,2,FALSE)),"")</f>
        <v/>
      </c>
      <c r="P166" s="67" t="str">
        <f t="shared" si="41"/>
        <v/>
      </c>
      <c r="Q166" s="63"/>
      <c r="R166" s="63"/>
      <c r="S166" s="62"/>
      <c r="T166" s="41"/>
      <c r="U166" s="73"/>
      <c r="V166" s="41" t="str">
        <f t="shared" si="42"/>
        <v/>
      </c>
    </row>
    <row r="167" spans="1:22" s="34" customFormat="1" x14ac:dyDescent="0.25">
      <c r="A167" s="24" t="str">
        <f t="shared" si="29"/>
        <v/>
      </c>
      <c r="B167" s="25"/>
      <c r="C167" s="26" t="str">
        <f t="shared" si="30"/>
        <v/>
      </c>
      <c r="D167" s="12"/>
      <c r="E167" s="27" t="str">
        <f t="shared" si="31"/>
        <v/>
      </c>
      <c r="F167" s="30" t="str">
        <f t="shared" si="32"/>
        <v/>
      </c>
      <c r="G167" s="29" t="str">
        <f t="shared" si="33"/>
        <v/>
      </c>
      <c r="H167" s="30" t="str">
        <f t="shared" si="34"/>
        <v/>
      </c>
      <c r="I167" s="31" t="str">
        <f t="shared" si="35"/>
        <v/>
      </c>
      <c r="J167" s="30" t="str">
        <f t="shared" si="36"/>
        <v/>
      </c>
      <c r="K167" s="30" t="str">
        <f t="shared" si="37"/>
        <v/>
      </c>
      <c r="L167" s="67" t="str">
        <f t="shared" si="38"/>
        <v/>
      </c>
      <c r="M167" s="68" t="str">
        <f t="shared" si="39"/>
        <v/>
      </c>
      <c r="N167" s="67" t="str">
        <f t="shared" si="40"/>
        <v/>
      </c>
      <c r="O167" s="69" t="str">
        <f>IFERROR(IF($C167="","",VLOOKUP($N167,Feriados!$A$4:$B$5000,2,FALSE)),"")</f>
        <v/>
      </c>
      <c r="P167" s="67" t="str">
        <f t="shared" si="41"/>
        <v/>
      </c>
      <c r="Q167" s="63"/>
      <c r="R167" s="63"/>
      <c r="S167" s="62"/>
      <c r="T167" s="41"/>
      <c r="U167" s="73"/>
      <c r="V167" s="41" t="str">
        <f t="shared" si="42"/>
        <v/>
      </c>
    </row>
    <row r="168" spans="1:22" s="34" customFormat="1" x14ac:dyDescent="0.25">
      <c r="A168" s="24" t="str">
        <f t="shared" si="29"/>
        <v/>
      </c>
      <c r="B168" s="25"/>
      <c r="C168" s="26" t="str">
        <f t="shared" si="30"/>
        <v/>
      </c>
      <c r="D168" s="12"/>
      <c r="E168" s="27" t="str">
        <f t="shared" si="31"/>
        <v/>
      </c>
      <c r="F168" s="30" t="str">
        <f t="shared" si="32"/>
        <v/>
      </c>
      <c r="G168" s="29" t="str">
        <f t="shared" si="33"/>
        <v/>
      </c>
      <c r="H168" s="30" t="str">
        <f t="shared" si="34"/>
        <v/>
      </c>
      <c r="I168" s="31" t="str">
        <f t="shared" si="35"/>
        <v/>
      </c>
      <c r="J168" s="30" t="str">
        <f t="shared" si="36"/>
        <v/>
      </c>
      <c r="K168" s="30" t="str">
        <f t="shared" si="37"/>
        <v/>
      </c>
      <c r="L168" s="67" t="str">
        <f t="shared" si="38"/>
        <v/>
      </c>
      <c r="M168" s="68" t="str">
        <f t="shared" si="39"/>
        <v/>
      </c>
      <c r="N168" s="67" t="str">
        <f t="shared" si="40"/>
        <v/>
      </c>
      <c r="O168" s="69" t="str">
        <f>IFERROR(IF($C168="","",VLOOKUP($N168,Feriados!$A$4:$B$5000,2,FALSE)),"")</f>
        <v/>
      </c>
      <c r="P168" s="67" t="str">
        <f t="shared" si="41"/>
        <v/>
      </c>
      <c r="Q168" s="63"/>
      <c r="R168" s="63"/>
      <c r="S168" s="62"/>
      <c r="T168" s="41"/>
      <c r="U168" s="73"/>
      <c r="V168" s="41" t="str">
        <f t="shared" si="42"/>
        <v/>
      </c>
    </row>
    <row r="169" spans="1:22" s="34" customFormat="1" x14ac:dyDescent="0.25">
      <c r="A169" s="24" t="str">
        <f t="shared" si="29"/>
        <v/>
      </c>
      <c r="B169" s="25"/>
      <c r="C169" s="26" t="str">
        <f t="shared" si="30"/>
        <v/>
      </c>
      <c r="D169" s="12"/>
      <c r="E169" s="27" t="str">
        <f t="shared" si="31"/>
        <v/>
      </c>
      <c r="F169" s="30" t="str">
        <f t="shared" si="32"/>
        <v/>
      </c>
      <c r="G169" s="29" t="str">
        <f t="shared" si="33"/>
        <v/>
      </c>
      <c r="H169" s="30" t="str">
        <f t="shared" si="34"/>
        <v/>
      </c>
      <c r="I169" s="31" t="str">
        <f t="shared" si="35"/>
        <v/>
      </c>
      <c r="J169" s="30" t="str">
        <f t="shared" si="36"/>
        <v/>
      </c>
      <c r="K169" s="30" t="str">
        <f t="shared" si="37"/>
        <v/>
      </c>
      <c r="L169" s="67" t="str">
        <f t="shared" si="38"/>
        <v/>
      </c>
      <c r="M169" s="68" t="str">
        <f t="shared" si="39"/>
        <v/>
      </c>
      <c r="N169" s="67" t="str">
        <f t="shared" si="40"/>
        <v/>
      </c>
      <c r="O169" s="69" t="str">
        <f>IFERROR(IF($C169="","",VLOOKUP($N169,Feriados!$A$4:$B$5000,2,FALSE)),"")</f>
        <v/>
      </c>
      <c r="P169" s="67" t="str">
        <f t="shared" si="41"/>
        <v/>
      </c>
      <c r="Q169" s="63"/>
      <c r="R169" s="63"/>
      <c r="S169" s="62"/>
      <c r="T169" s="41"/>
      <c r="U169" s="73"/>
      <c r="V169" s="41" t="str">
        <f t="shared" si="42"/>
        <v/>
      </c>
    </row>
    <row r="170" spans="1:22" s="34" customFormat="1" x14ac:dyDescent="0.25">
      <c r="A170" s="24" t="str">
        <f t="shared" si="29"/>
        <v/>
      </c>
      <c r="B170" s="25"/>
      <c r="C170" s="26" t="str">
        <f t="shared" si="30"/>
        <v/>
      </c>
      <c r="D170" s="12"/>
      <c r="E170" s="27" t="str">
        <f t="shared" si="31"/>
        <v/>
      </c>
      <c r="F170" s="30" t="str">
        <f t="shared" si="32"/>
        <v/>
      </c>
      <c r="G170" s="29" t="str">
        <f t="shared" si="33"/>
        <v/>
      </c>
      <c r="H170" s="30" t="str">
        <f t="shared" si="34"/>
        <v/>
      </c>
      <c r="I170" s="31" t="str">
        <f t="shared" si="35"/>
        <v/>
      </c>
      <c r="J170" s="30" t="str">
        <f t="shared" si="36"/>
        <v/>
      </c>
      <c r="K170" s="30" t="str">
        <f t="shared" si="37"/>
        <v/>
      </c>
      <c r="L170" s="67" t="str">
        <f t="shared" si="38"/>
        <v/>
      </c>
      <c r="M170" s="68" t="str">
        <f t="shared" si="39"/>
        <v/>
      </c>
      <c r="N170" s="67" t="str">
        <f t="shared" si="40"/>
        <v/>
      </c>
      <c r="O170" s="69" t="str">
        <f>IFERROR(IF($C170="","",VLOOKUP($N170,Feriados!$A$4:$B$5000,2,FALSE)),"")</f>
        <v/>
      </c>
      <c r="P170" s="67" t="str">
        <f t="shared" si="41"/>
        <v/>
      </c>
      <c r="Q170" s="63"/>
      <c r="R170" s="63"/>
      <c r="S170" s="62"/>
      <c r="T170" s="41"/>
      <c r="U170" s="73"/>
      <c r="V170" s="41" t="str">
        <f t="shared" si="42"/>
        <v/>
      </c>
    </row>
    <row r="171" spans="1:22" s="34" customFormat="1" x14ac:dyDescent="0.25">
      <c r="A171" s="24" t="str">
        <f t="shared" si="29"/>
        <v/>
      </c>
      <c r="B171" s="25"/>
      <c r="C171" s="26" t="str">
        <f t="shared" si="30"/>
        <v/>
      </c>
      <c r="D171" s="12"/>
      <c r="E171" s="27" t="str">
        <f t="shared" si="31"/>
        <v/>
      </c>
      <c r="F171" s="30" t="str">
        <f t="shared" si="32"/>
        <v/>
      </c>
      <c r="G171" s="29" t="str">
        <f t="shared" si="33"/>
        <v/>
      </c>
      <c r="H171" s="30" t="str">
        <f t="shared" si="34"/>
        <v/>
      </c>
      <c r="I171" s="31" t="str">
        <f t="shared" si="35"/>
        <v/>
      </c>
      <c r="J171" s="30" t="str">
        <f t="shared" si="36"/>
        <v/>
      </c>
      <c r="K171" s="30" t="str">
        <f t="shared" si="37"/>
        <v/>
      </c>
      <c r="L171" s="67" t="str">
        <f t="shared" si="38"/>
        <v/>
      </c>
      <c r="M171" s="68" t="str">
        <f t="shared" si="39"/>
        <v/>
      </c>
      <c r="N171" s="67" t="str">
        <f t="shared" si="40"/>
        <v/>
      </c>
      <c r="O171" s="69" t="str">
        <f>IFERROR(IF($C171="","",VLOOKUP($N171,Feriados!$A$4:$B$5000,2,FALSE)),"")</f>
        <v/>
      </c>
      <c r="P171" s="67" t="str">
        <f t="shared" si="41"/>
        <v/>
      </c>
      <c r="Q171" s="63"/>
      <c r="R171" s="63"/>
      <c r="S171" s="62"/>
      <c r="T171" s="41"/>
      <c r="U171" s="73"/>
      <c r="V171" s="41" t="str">
        <f t="shared" si="42"/>
        <v/>
      </c>
    </row>
    <row r="172" spans="1:22" s="34" customFormat="1" x14ac:dyDescent="0.25">
      <c r="A172" s="24" t="str">
        <f t="shared" si="29"/>
        <v/>
      </c>
      <c r="B172" s="25"/>
      <c r="C172" s="26" t="str">
        <f t="shared" si="30"/>
        <v/>
      </c>
      <c r="D172" s="12"/>
      <c r="E172" s="27" t="str">
        <f t="shared" si="31"/>
        <v/>
      </c>
      <c r="F172" s="30" t="str">
        <f t="shared" si="32"/>
        <v/>
      </c>
      <c r="G172" s="29" t="str">
        <f t="shared" si="33"/>
        <v/>
      </c>
      <c r="H172" s="30" t="str">
        <f t="shared" si="34"/>
        <v/>
      </c>
      <c r="I172" s="31" t="str">
        <f t="shared" si="35"/>
        <v/>
      </c>
      <c r="J172" s="30" t="str">
        <f t="shared" si="36"/>
        <v/>
      </c>
      <c r="K172" s="30" t="str">
        <f t="shared" si="37"/>
        <v/>
      </c>
      <c r="L172" s="67" t="str">
        <f t="shared" si="38"/>
        <v/>
      </c>
      <c r="M172" s="68" t="str">
        <f t="shared" si="39"/>
        <v/>
      </c>
      <c r="N172" s="67" t="str">
        <f t="shared" si="40"/>
        <v/>
      </c>
      <c r="O172" s="69" t="str">
        <f>IFERROR(IF($C172="","",VLOOKUP($N172,Feriados!$A$4:$B$5000,2,FALSE)),"")</f>
        <v/>
      </c>
      <c r="P172" s="67" t="str">
        <f t="shared" si="41"/>
        <v/>
      </c>
      <c r="Q172" s="63"/>
      <c r="R172" s="63"/>
      <c r="S172" s="62"/>
      <c r="T172" s="41"/>
      <c r="U172" s="73"/>
      <c r="V172" s="41" t="str">
        <f t="shared" si="42"/>
        <v/>
      </c>
    </row>
    <row r="173" spans="1:22" s="34" customFormat="1" x14ac:dyDescent="0.25">
      <c r="A173" s="24" t="str">
        <f t="shared" si="29"/>
        <v/>
      </c>
      <c r="B173" s="25"/>
      <c r="C173" s="26" t="str">
        <f t="shared" si="30"/>
        <v/>
      </c>
      <c r="D173" s="12"/>
      <c r="E173" s="27" t="str">
        <f t="shared" si="31"/>
        <v/>
      </c>
      <c r="F173" s="30" t="str">
        <f t="shared" si="32"/>
        <v/>
      </c>
      <c r="G173" s="29" t="str">
        <f t="shared" si="33"/>
        <v/>
      </c>
      <c r="H173" s="30" t="str">
        <f t="shared" si="34"/>
        <v/>
      </c>
      <c r="I173" s="31" t="str">
        <f t="shared" si="35"/>
        <v/>
      </c>
      <c r="J173" s="30" t="str">
        <f t="shared" si="36"/>
        <v/>
      </c>
      <c r="K173" s="30" t="str">
        <f t="shared" si="37"/>
        <v/>
      </c>
      <c r="L173" s="67" t="str">
        <f t="shared" si="38"/>
        <v/>
      </c>
      <c r="M173" s="68" t="str">
        <f t="shared" si="39"/>
        <v/>
      </c>
      <c r="N173" s="67" t="str">
        <f t="shared" si="40"/>
        <v/>
      </c>
      <c r="O173" s="69" t="str">
        <f>IFERROR(IF($C173="","",VLOOKUP($N173,Feriados!$A$4:$B$5000,2,FALSE)),"")</f>
        <v/>
      </c>
      <c r="P173" s="67" t="str">
        <f t="shared" si="41"/>
        <v/>
      </c>
      <c r="Q173" s="63"/>
      <c r="R173" s="63"/>
      <c r="S173" s="62"/>
      <c r="T173" s="41"/>
      <c r="U173" s="73"/>
      <c r="V173" s="41" t="str">
        <f t="shared" si="42"/>
        <v/>
      </c>
    </row>
    <row r="174" spans="1:22" s="34" customFormat="1" x14ac:dyDescent="0.25">
      <c r="A174" s="24" t="str">
        <f t="shared" si="29"/>
        <v/>
      </c>
      <c r="B174" s="25"/>
      <c r="C174" s="26" t="str">
        <f t="shared" si="30"/>
        <v/>
      </c>
      <c r="D174" s="12"/>
      <c r="E174" s="27" t="str">
        <f t="shared" si="31"/>
        <v/>
      </c>
      <c r="F174" s="30" t="str">
        <f t="shared" si="32"/>
        <v/>
      </c>
      <c r="G174" s="29" t="str">
        <f t="shared" si="33"/>
        <v/>
      </c>
      <c r="H174" s="30" t="str">
        <f t="shared" si="34"/>
        <v/>
      </c>
      <c r="I174" s="31" t="str">
        <f t="shared" si="35"/>
        <v/>
      </c>
      <c r="J174" s="30" t="str">
        <f t="shared" si="36"/>
        <v/>
      </c>
      <c r="K174" s="30" t="str">
        <f t="shared" si="37"/>
        <v/>
      </c>
      <c r="L174" s="67" t="str">
        <f t="shared" si="38"/>
        <v/>
      </c>
      <c r="M174" s="68" t="str">
        <f t="shared" si="39"/>
        <v/>
      </c>
      <c r="N174" s="67" t="str">
        <f t="shared" si="40"/>
        <v/>
      </c>
      <c r="O174" s="69" t="str">
        <f>IFERROR(IF($C174="","",VLOOKUP($N174,Feriados!$A$4:$B$5000,2,FALSE)),"")</f>
        <v/>
      </c>
      <c r="P174" s="67" t="str">
        <f t="shared" si="41"/>
        <v/>
      </c>
      <c r="Q174" s="63"/>
      <c r="R174" s="63"/>
      <c r="S174" s="62"/>
      <c r="T174" s="41"/>
      <c r="U174" s="73"/>
      <c r="V174" s="41" t="str">
        <f t="shared" si="42"/>
        <v/>
      </c>
    </row>
    <row r="175" spans="1:22" s="34" customFormat="1" x14ac:dyDescent="0.25">
      <c r="A175" s="24" t="str">
        <f t="shared" si="29"/>
        <v/>
      </c>
      <c r="B175" s="25"/>
      <c r="C175" s="26" t="str">
        <f t="shared" si="30"/>
        <v/>
      </c>
      <c r="D175" s="12"/>
      <c r="E175" s="27" t="str">
        <f t="shared" si="31"/>
        <v/>
      </c>
      <c r="F175" s="30" t="str">
        <f t="shared" si="32"/>
        <v/>
      </c>
      <c r="G175" s="29" t="str">
        <f t="shared" si="33"/>
        <v/>
      </c>
      <c r="H175" s="30" t="str">
        <f t="shared" si="34"/>
        <v/>
      </c>
      <c r="I175" s="31" t="str">
        <f t="shared" si="35"/>
        <v/>
      </c>
      <c r="J175" s="30" t="str">
        <f t="shared" si="36"/>
        <v/>
      </c>
      <c r="K175" s="30" t="str">
        <f t="shared" si="37"/>
        <v/>
      </c>
      <c r="L175" s="67" t="str">
        <f t="shared" si="38"/>
        <v/>
      </c>
      <c r="M175" s="68" t="str">
        <f t="shared" si="39"/>
        <v/>
      </c>
      <c r="N175" s="67" t="str">
        <f t="shared" si="40"/>
        <v/>
      </c>
      <c r="O175" s="69" t="str">
        <f>IFERROR(IF($C175="","",VLOOKUP($N175,Feriados!$A$4:$B$5000,2,FALSE)),"")</f>
        <v/>
      </c>
      <c r="P175" s="67" t="str">
        <f t="shared" si="41"/>
        <v/>
      </c>
      <c r="Q175" s="63"/>
      <c r="R175" s="63"/>
      <c r="S175" s="62"/>
      <c r="T175" s="41"/>
      <c r="U175" s="73"/>
      <c r="V175" s="41" t="str">
        <f t="shared" si="42"/>
        <v/>
      </c>
    </row>
    <row r="176" spans="1:22" s="34" customFormat="1" x14ac:dyDescent="0.25">
      <c r="A176" s="24" t="str">
        <f t="shared" si="29"/>
        <v/>
      </c>
      <c r="B176" s="25"/>
      <c r="C176" s="26" t="str">
        <f t="shared" si="30"/>
        <v/>
      </c>
      <c r="D176" s="12"/>
      <c r="E176" s="27" t="str">
        <f t="shared" si="31"/>
        <v/>
      </c>
      <c r="F176" s="30" t="str">
        <f t="shared" si="32"/>
        <v/>
      </c>
      <c r="G176" s="29" t="str">
        <f t="shared" si="33"/>
        <v/>
      </c>
      <c r="H176" s="30" t="str">
        <f t="shared" si="34"/>
        <v/>
      </c>
      <c r="I176" s="31" t="str">
        <f t="shared" si="35"/>
        <v/>
      </c>
      <c r="J176" s="30" t="str">
        <f t="shared" si="36"/>
        <v/>
      </c>
      <c r="K176" s="30" t="str">
        <f t="shared" si="37"/>
        <v/>
      </c>
      <c r="L176" s="67" t="str">
        <f t="shared" si="38"/>
        <v/>
      </c>
      <c r="M176" s="68" t="str">
        <f t="shared" si="39"/>
        <v/>
      </c>
      <c r="N176" s="67" t="str">
        <f t="shared" si="40"/>
        <v/>
      </c>
      <c r="O176" s="69" t="str">
        <f>IFERROR(IF($C176="","",VLOOKUP($N176,Feriados!$A$4:$B$5000,2,FALSE)),"")</f>
        <v/>
      </c>
      <c r="P176" s="67" t="str">
        <f t="shared" si="41"/>
        <v/>
      </c>
      <c r="Q176" s="63"/>
      <c r="R176" s="63"/>
      <c r="S176" s="62"/>
      <c r="T176" s="41"/>
      <c r="U176" s="73"/>
      <c r="V176" s="41" t="str">
        <f t="shared" si="42"/>
        <v/>
      </c>
    </row>
    <row r="177" spans="1:22" s="34" customFormat="1" x14ac:dyDescent="0.25">
      <c r="A177" s="24" t="str">
        <f t="shared" si="29"/>
        <v/>
      </c>
      <c r="B177" s="25"/>
      <c r="C177" s="26" t="str">
        <f t="shared" si="30"/>
        <v/>
      </c>
      <c r="D177" s="12"/>
      <c r="E177" s="27" t="str">
        <f t="shared" si="31"/>
        <v/>
      </c>
      <c r="F177" s="30" t="str">
        <f t="shared" si="32"/>
        <v/>
      </c>
      <c r="G177" s="29" t="str">
        <f t="shared" si="33"/>
        <v/>
      </c>
      <c r="H177" s="30" t="str">
        <f t="shared" si="34"/>
        <v/>
      </c>
      <c r="I177" s="31" t="str">
        <f t="shared" si="35"/>
        <v/>
      </c>
      <c r="J177" s="30" t="str">
        <f t="shared" si="36"/>
        <v/>
      </c>
      <c r="K177" s="30" t="str">
        <f t="shared" si="37"/>
        <v/>
      </c>
      <c r="L177" s="67" t="str">
        <f t="shared" si="38"/>
        <v/>
      </c>
      <c r="M177" s="68" t="str">
        <f t="shared" si="39"/>
        <v/>
      </c>
      <c r="N177" s="67" t="str">
        <f t="shared" si="40"/>
        <v/>
      </c>
      <c r="O177" s="69" t="str">
        <f>IFERROR(IF($C177="","",VLOOKUP($N177,Feriados!$A$4:$B$5000,2,FALSE)),"")</f>
        <v/>
      </c>
      <c r="P177" s="67" t="str">
        <f t="shared" si="41"/>
        <v/>
      </c>
      <c r="Q177" s="63"/>
      <c r="R177" s="63"/>
      <c r="S177" s="62"/>
      <c r="T177" s="41"/>
      <c r="U177" s="73"/>
      <c r="V177" s="41" t="str">
        <f t="shared" si="42"/>
        <v/>
      </c>
    </row>
    <row r="178" spans="1:22" s="34" customFormat="1" x14ac:dyDescent="0.25">
      <c r="A178" s="24" t="str">
        <f t="shared" si="29"/>
        <v/>
      </c>
      <c r="B178" s="25"/>
      <c r="C178" s="26" t="str">
        <f t="shared" si="30"/>
        <v/>
      </c>
      <c r="D178" s="12"/>
      <c r="E178" s="27" t="str">
        <f t="shared" si="31"/>
        <v/>
      </c>
      <c r="F178" s="30" t="str">
        <f t="shared" si="32"/>
        <v/>
      </c>
      <c r="G178" s="29" t="str">
        <f t="shared" si="33"/>
        <v/>
      </c>
      <c r="H178" s="30" t="str">
        <f t="shared" si="34"/>
        <v/>
      </c>
      <c r="I178" s="31" t="str">
        <f t="shared" si="35"/>
        <v/>
      </c>
      <c r="J178" s="30" t="str">
        <f t="shared" si="36"/>
        <v/>
      </c>
      <c r="K178" s="30" t="str">
        <f t="shared" si="37"/>
        <v/>
      </c>
      <c r="L178" s="67" t="str">
        <f t="shared" si="38"/>
        <v/>
      </c>
      <c r="M178" s="68" t="str">
        <f t="shared" si="39"/>
        <v/>
      </c>
      <c r="N178" s="67" t="str">
        <f t="shared" si="40"/>
        <v/>
      </c>
      <c r="O178" s="69" t="str">
        <f>IFERROR(IF($C178="","",VLOOKUP($N178,Feriados!$A$4:$B$5000,2,FALSE)),"")</f>
        <v/>
      </c>
      <c r="P178" s="67" t="str">
        <f t="shared" si="41"/>
        <v/>
      </c>
      <c r="Q178" s="63"/>
      <c r="R178" s="63"/>
      <c r="S178" s="62"/>
      <c r="T178" s="41"/>
      <c r="U178" s="73"/>
      <c r="V178" s="41" t="str">
        <f t="shared" si="42"/>
        <v/>
      </c>
    </row>
    <row r="179" spans="1:22" s="34" customFormat="1" x14ac:dyDescent="0.25">
      <c r="A179" s="24" t="str">
        <f t="shared" si="29"/>
        <v/>
      </c>
      <c r="B179" s="25"/>
      <c r="C179" s="26" t="str">
        <f t="shared" si="30"/>
        <v/>
      </c>
      <c r="D179" s="12"/>
      <c r="E179" s="27" t="str">
        <f t="shared" si="31"/>
        <v/>
      </c>
      <c r="F179" s="30" t="str">
        <f t="shared" si="32"/>
        <v/>
      </c>
      <c r="G179" s="29" t="str">
        <f t="shared" si="33"/>
        <v/>
      </c>
      <c r="H179" s="30" t="str">
        <f t="shared" si="34"/>
        <v/>
      </c>
      <c r="I179" s="31" t="str">
        <f t="shared" si="35"/>
        <v/>
      </c>
      <c r="J179" s="30" t="str">
        <f t="shared" si="36"/>
        <v/>
      </c>
      <c r="K179" s="30" t="str">
        <f t="shared" si="37"/>
        <v/>
      </c>
      <c r="L179" s="67" t="str">
        <f t="shared" si="38"/>
        <v/>
      </c>
      <c r="M179" s="68" t="str">
        <f t="shared" si="39"/>
        <v/>
      </c>
      <c r="N179" s="67" t="str">
        <f t="shared" si="40"/>
        <v/>
      </c>
      <c r="O179" s="69" t="str">
        <f>IFERROR(IF($C179="","",VLOOKUP($N179,Feriados!$A$4:$B$5000,2,FALSE)),"")</f>
        <v/>
      </c>
      <c r="P179" s="67" t="str">
        <f t="shared" si="41"/>
        <v/>
      </c>
      <c r="Q179" s="63"/>
      <c r="R179" s="63"/>
      <c r="S179" s="62"/>
      <c r="T179" s="41"/>
      <c r="U179" s="73"/>
      <c r="V179" s="41" t="str">
        <f t="shared" si="42"/>
        <v/>
      </c>
    </row>
    <row r="180" spans="1:22" s="34" customFormat="1" x14ac:dyDescent="0.25">
      <c r="A180" s="24" t="str">
        <f t="shared" ref="A180:A243" si="43">IF(E180="","",EOMONTH(E180,0))</f>
        <v/>
      </c>
      <c r="B180" s="25"/>
      <c r="C180" s="26" t="str">
        <f t="shared" si="30"/>
        <v/>
      </c>
      <c r="D180" s="12"/>
      <c r="E180" s="27" t="str">
        <f t="shared" si="31"/>
        <v/>
      </c>
      <c r="F180" s="30" t="str">
        <f t="shared" si="32"/>
        <v/>
      </c>
      <c r="G180" s="29" t="str">
        <f t="shared" si="33"/>
        <v/>
      </c>
      <c r="H180" s="30" t="str">
        <f t="shared" si="34"/>
        <v/>
      </c>
      <c r="I180" s="31" t="str">
        <f t="shared" si="35"/>
        <v/>
      </c>
      <c r="J180" s="30" t="str">
        <f t="shared" si="36"/>
        <v/>
      </c>
      <c r="K180" s="30" t="str">
        <f t="shared" si="37"/>
        <v/>
      </c>
      <c r="L180" s="67" t="str">
        <f t="shared" si="38"/>
        <v/>
      </c>
      <c r="M180" s="68" t="str">
        <f t="shared" si="39"/>
        <v/>
      </c>
      <c r="N180" s="67" t="str">
        <f t="shared" si="40"/>
        <v/>
      </c>
      <c r="O180" s="69" t="str">
        <f>IFERROR(IF($C180="","",VLOOKUP($N180,Feriados!$A$4:$B$5000,2,FALSE)),"")</f>
        <v/>
      </c>
      <c r="P180" s="67" t="str">
        <f t="shared" si="41"/>
        <v/>
      </c>
      <c r="Q180" s="63"/>
      <c r="R180" s="63"/>
      <c r="S180" s="62"/>
      <c r="T180" s="41"/>
      <c r="U180" s="73"/>
      <c r="V180" s="41" t="str">
        <f t="shared" si="42"/>
        <v/>
      </c>
    </row>
    <row r="181" spans="1:22" s="34" customFormat="1" x14ac:dyDescent="0.25">
      <c r="A181" s="24" t="str">
        <f t="shared" si="43"/>
        <v/>
      </c>
      <c r="B181" s="25"/>
      <c r="C181" s="26" t="str">
        <f t="shared" si="30"/>
        <v/>
      </c>
      <c r="D181" s="12"/>
      <c r="E181" s="27" t="str">
        <f t="shared" si="31"/>
        <v/>
      </c>
      <c r="F181" s="30" t="str">
        <f t="shared" si="32"/>
        <v/>
      </c>
      <c r="G181" s="29" t="str">
        <f t="shared" si="33"/>
        <v/>
      </c>
      <c r="H181" s="30" t="str">
        <f t="shared" si="34"/>
        <v/>
      </c>
      <c r="I181" s="31" t="str">
        <f t="shared" si="35"/>
        <v/>
      </c>
      <c r="J181" s="30" t="str">
        <f t="shared" si="36"/>
        <v/>
      </c>
      <c r="K181" s="30" t="str">
        <f t="shared" si="37"/>
        <v/>
      </c>
      <c r="L181" s="67" t="str">
        <f t="shared" si="38"/>
        <v/>
      </c>
      <c r="M181" s="68" t="str">
        <f t="shared" si="39"/>
        <v/>
      </c>
      <c r="N181" s="67" t="str">
        <f t="shared" si="40"/>
        <v/>
      </c>
      <c r="O181" s="69" t="str">
        <f>IFERROR(IF($C181="","",VLOOKUP($N181,Feriados!$A$4:$B$5000,2,FALSE)),"")</f>
        <v/>
      </c>
      <c r="P181" s="67" t="str">
        <f t="shared" si="41"/>
        <v/>
      </c>
      <c r="Q181" s="63"/>
      <c r="R181" s="63"/>
      <c r="S181" s="62"/>
      <c r="T181" s="41"/>
      <c r="U181" s="73"/>
      <c r="V181" s="41" t="str">
        <f t="shared" si="42"/>
        <v/>
      </c>
    </row>
    <row r="182" spans="1:22" s="34" customFormat="1" x14ac:dyDescent="0.25">
      <c r="A182" s="24" t="str">
        <f t="shared" si="43"/>
        <v/>
      </c>
      <c r="B182" s="25"/>
      <c r="C182" s="26" t="str">
        <f t="shared" si="30"/>
        <v/>
      </c>
      <c r="D182" s="12"/>
      <c r="E182" s="27" t="str">
        <f t="shared" si="31"/>
        <v/>
      </c>
      <c r="F182" s="30" t="str">
        <f t="shared" si="32"/>
        <v/>
      </c>
      <c r="G182" s="29" t="str">
        <f t="shared" si="33"/>
        <v/>
      </c>
      <c r="H182" s="30" t="str">
        <f t="shared" si="34"/>
        <v/>
      </c>
      <c r="I182" s="31" t="str">
        <f t="shared" si="35"/>
        <v/>
      </c>
      <c r="J182" s="30" t="str">
        <f t="shared" si="36"/>
        <v/>
      </c>
      <c r="K182" s="30" t="str">
        <f t="shared" si="37"/>
        <v/>
      </c>
      <c r="L182" s="67" t="str">
        <f t="shared" si="38"/>
        <v/>
      </c>
      <c r="M182" s="68" t="str">
        <f t="shared" si="39"/>
        <v/>
      </c>
      <c r="N182" s="67" t="str">
        <f t="shared" si="40"/>
        <v/>
      </c>
      <c r="O182" s="69" t="str">
        <f>IFERROR(IF($C182="","",VLOOKUP($N182,Feriados!$A$4:$B$5000,2,FALSE)),"")</f>
        <v/>
      </c>
      <c r="P182" s="67" t="str">
        <f t="shared" si="41"/>
        <v/>
      </c>
      <c r="Q182" s="63"/>
      <c r="R182" s="63"/>
      <c r="S182" s="62"/>
      <c r="T182" s="41"/>
      <c r="U182" s="73"/>
      <c r="V182" s="41" t="str">
        <f t="shared" si="42"/>
        <v/>
      </c>
    </row>
    <row r="183" spans="1:22" s="34" customFormat="1" x14ac:dyDescent="0.25">
      <c r="A183" s="24" t="str">
        <f t="shared" si="43"/>
        <v/>
      </c>
      <c r="B183" s="25"/>
      <c r="C183" s="26" t="str">
        <f t="shared" si="30"/>
        <v/>
      </c>
      <c r="D183" s="12"/>
      <c r="E183" s="27" t="str">
        <f t="shared" si="31"/>
        <v/>
      </c>
      <c r="F183" s="30" t="str">
        <f t="shared" si="32"/>
        <v/>
      </c>
      <c r="G183" s="29" t="str">
        <f t="shared" si="33"/>
        <v/>
      </c>
      <c r="H183" s="30" t="str">
        <f t="shared" si="34"/>
        <v/>
      </c>
      <c r="I183" s="31" t="str">
        <f t="shared" si="35"/>
        <v/>
      </c>
      <c r="J183" s="30" t="str">
        <f t="shared" si="36"/>
        <v/>
      </c>
      <c r="K183" s="30" t="str">
        <f t="shared" si="37"/>
        <v/>
      </c>
      <c r="L183" s="67" t="str">
        <f t="shared" si="38"/>
        <v/>
      </c>
      <c r="M183" s="68" t="str">
        <f t="shared" si="39"/>
        <v/>
      </c>
      <c r="N183" s="67" t="str">
        <f t="shared" si="40"/>
        <v/>
      </c>
      <c r="O183" s="69" t="str">
        <f>IFERROR(IF($C183="","",VLOOKUP($N183,Feriados!$A$4:$B$5000,2,FALSE)),"")</f>
        <v/>
      </c>
      <c r="P183" s="67" t="str">
        <f t="shared" si="41"/>
        <v/>
      </c>
      <c r="Q183" s="63"/>
      <c r="R183" s="63"/>
      <c r="S183" s="62"/>
      <c r="T183" s="41"/>
      <c r="U183" s="73"/>
      <c r="V183" s="41" t="str">
        <f t="shared" si="42"/>
        <v/>
      </c>
    </row>
    <row r="184" spans="1:22" s="34" customFormat="1" x14ac:dyDescent="0.25">
      <c r="A184" s="24" t="str">
        <f t="shared" si="43"/>
        <v/>
      </c>
      <c r="B184" s="25"/>
      <c r="C184" s="26" t="str">
        <f t="shared" si="30"/>
        <v/>
      </c>
      <c r="D184" s="12"/>
      <c r="E184" s="27" t="str">
        <f t="shared" si="31"/>
        <v/>
      </c>
      <c r="F184" s="30" t="str">
        <f t="shared" si="32"/>
        <v/>
      </c>
      <c r="G184" s="29" t="str">
        <f t="shared" si="33"/>
        <v/>
      </c>
      <c r="H184" s="30" t="str">
        <f t="shared" si="34"/>
        <v/>
      </c>
      <c r="I184" s="31" t="str">
        <f t="shared" si="35"/>
        <v/>
      </c>
      <c r="J184" s="30" t="str">
        <f t="shared" si="36"/>
        <v/>
      </c>
      <c r="K184" s="30" t="str">
        <f t="shared" si="37"/>
        <v/>
      </c>
      <c r="L184" s="67" t="str">
        <f t="shared" si="38"/>
        <v/>
      </c>
      <c r="M184" s="68" t="str">
        <f t="shared" si="39"/>
        <v/>
      </c>
      <c r="N184" s="67" t="str">
        <f t="shared" si="40"/>
        <v/>
      </c>
      <c r="O184" s="69" t="str">
        <f>IFERROR(IF($C184="","",VLOOKUP($N184,Feriados!$A$4:$B$5000,2,FALSE)),"")</f>
        <v/>
      </c>
      <c r="P184" s="67" t="str">
        <f t="shared" si="41"/>
        <v/>
      </c>
      <c r="Q184" s="63"/>
      <c r="R184" s="63"/>
      <c r="S184" s="62"/>
      <c r="T184" s="41"/>
      <c r="U184" s="73"/>
      <c r="V184" s="41" t="str">
        <f t="shared" si="42"/>
        <v/>
      </c>
    </row>
    <row r="185" spans="1:22" s="34" customFormat="1" x14ac:dyDescent="0.25">
      <c r="A185" s="24" t="str">
        <f t="shared" si="43"/>
        <v/>
      </c>
      <c r="B185" s="25"/>
      <c r="C185" s="26" t="str">
        <f t="shared" si="30"/>
        <v/>
      </c>
      <c r="D185" s="12"/>
      <c r="E185" s="27" t="str">
        <f t="shared" si="31"/>
        <v/>
      </c>
      <c r="F185" s="30" t="str">
        <f t="shared" si="32"/>
        <v/>
      </c>
      <c r="G185" s="29" t="str">
        <f t="shared" si="33"/>
        <v/>
      </c>
      <c r="H185" s="30" t="str">
        <f t="shared" si="34"/>
        <v/>
      </c>
      <c r="I185" s="31" t="str">
        <f t="shared" si="35"/>
        <v/>
      </c>
      <c r="J185" s="30" t="str">
        <f t="shared" si="36"/>
        <v/>
      </c>
      <c r="K185" s="30" t="str">
        <f t="shared" si="37"/>
        <v/>
      </c>
      <c r="L185" s="67" t="str">
        <f t="shared" si="38"/>
        <v/>
      </c>
      <c r="M185" s="68" t="str">
        <f t="shared" si="39"/>
        <v/>
      </c>
      <c r="N185" s="67" t="str">
        <f t="shared" si="40"/>
        <v/>
      </c>
      <c r="O185" s="69" t="str">
        <f>IFERROR(IF($C185="","",VLOOKUP($N185,Feriados!$A$4:$B$5000,2,FALSE)),"")</f>
        <v/>
      </c>
      <c r="P185" s="67" t="str">
        <f t="shared" si="41"/>
        <v/>
      </c>
      <c r="Q185" s="63"/>
      <c r="R185" s="63"/>
      <c r="S185" s="62"/>
      <c r="T185" s="41"/>
      <c r="U185" s="73"/>
      <c r="V185" s="41" t="str">
        <f t="shared" si="42"/>
        <v/>
      </c>
    </row>
    <row r="186" spans="1:22" s="34" customFormat="1" x14ac:dyDescent="0.25">
      <c r="A186" s="24" t="str">
        <f t="shared" si="43"/>
        <v/>
      </c>
      <c r="B186" s="25"/>
      <c r="C186" s="26" t="str">
        <f t="shared" si="30"/>
        <v/>
      </c>
      <c r="D186" s="12"/>
      <c r="E186" s="27" t="str">
        <f t="shared" si="31"/>
        <v/>
      </c>
      <c r="F186" s="30" t="str">
        <f t="shared" si="32"/>
        <v/>
      </c>
      <c r="G186" s="29" t="str">
        <f t="shared" si="33"/>
        <v/>
      </c>
      <c r="H186" s="30" t="str">
        <f t="shared" si="34"/>
        <v/>
      </c>
      <c r="I186" s="31" t="str">
        <f t="shared" si="35"/>
        <v/>
      </c>
      <c r="J186" s="30" t="str">
        <f t="shared" si="36"/>
        <v/>
      </c>
      <c r="K186" s="30" t="str">
        <f t="shared" si="37"/>
        <v/>
      </c>
      <c r="L186" s="67" t="str">
        <f t="shared" si="38"/>
        <v/>
      </c>
      <c r="M186" s="68" t="str">
        <f t="shared" si="39"/>
        <v/>
      </c>
      <c r="N186" s="67" t="str">
        <f t="shared" si="40"/>
        <v/>
      </c>
      <c r="O186" s="69" t="str">
        <f>IFERROR(IF($C186="","",VLOOKUP($N186,Feriados!$A$4:$B$5000,2,FALSE)),"")</f>
        <v/>
      </c>
      <c r="P186" s="67" t="str">
        <f t="shared" si="41"/>
        <v/>
      </c>
      <c r="Q186" s="63"/>
      <c r="R186" s="63"/>
      <c r="S186" s="62"/>
      <c r="T186" s="41"/>
      <c r="U186" s="73"/>
      <c r="V186" s="41" t="str">
        <f t="shared" si="42"/>
        <v/>
      </c>
    </row>
    <row r="187" spans="1:22" s="34" customFormat="1" x14ac:dyDescent="0.25">
      <c r="A187" s="24" t="str">
        <f t="shared" si="43"/>
        <v/>
      </c>
      <c r="B187" s="25"/>
      <c r="C187" s="26" t="str">
        <f t="shared" si="30"/>
        <v/>
      </c>
      <c r="D187" s="12"/>
      <c r="E187" s="27" t="str">
        <f t="shared" si="31"/>
        <v/>
      </c>
      <c r="F187" s="30" t="str">
        <f t="shared" si="32"/>
        <v/>
      </c>
      <c r="G187" s="29" t="str">
        <f t="shared" si="33"/>
        <v/>
      </c>
      <c r="H187" s="30" t="str">
        <f t="shared" si="34"/>
        <v/>
      </c>
      <c r="I187" s="31" t="str">
        <f t="shared" si="35"/>
        <v/>
      </c>
      <c r="J187" s="30" t="str">
        <f t="shared" si="36"/>
        <v/>
      </c>
      <c r="K187" s="30" t="str">
        <f t="shared" si="37"/>
        <v/>
      </c>
      <c r="L187" s="67" t="str">
        <f t="shared" si="38"/>
        <v/>
      </c>
      <c r="M187" s="68" t="str">
        <f t="shared" si="39"/>
        <v/>
      </c>
      <c r="N187" s="67" t="str">
        <f t="shared" si="40"/>
        <v/>
      </c>
      <c r="O187" s="69" t="str">
        <f>IFERROR(IF($C187="","",VLOOKUP($N187,Feriados!$A$4:$B$5000,2,FALSE)),"")</f>
        <v/>
      </c>
      <c r="P187" s="67" t="str">
        <f t="shared" si="41"/>
        <v/>
      </c>
      <c r="Q187" s="63"/>
      <c r="R187" s="63"/>
      <c r="S187" s="62"/>
      <c r="T187" s="41"/>
      <c r="U187" s="73"/>
      <c r="V187" s="41" t="str">
        <f t="shared" si="42"/>
        <v/>
      </c>
    </row>
    <row r="188" spans="1:22" s="34" customFormat="1" x14ac:dyDescent="0.25">
      <c r="A188" s="24" t="str">
        <f t="shared" si="43"/>
        <v/>
      </c>
      <c r="B188" s="25"/>
      <c r="C188" s="26" t="str">
        <f t="shared" si="30"/>
        <v/>
      </c>
      <c r="D188" s="12"/>
      <c r="E188" s="27" t="str">
        <f t="shared" si="31"/>
        <v/>
      </c>
      <c r="F188" s="30" t="str">
        <f t="shared" si="32"/>
        <v/>
      </c>
      <c r="G188" s="29" t="str">
        <f t="shared" si="33"/>
        <v/>
      </c>
      <c r="H188" s="30" t="str">
        <f t="shared" si="34"/>
        <v/>
      </c>
      <c r="I188" s="31" t="str">
        <f t="shared" si="35"/>
        <v/>
      </c>
      <c r="J188" s="30" t="str">
        <f t="shared" si="36"/>
        <v/>
      </c>
      <c r="K188" s="30" t="str">
        <f t="shared" si="37"/>
        <v/>
      </c>
      <c r="L188" s="67" t="str">
        <f t="shared" si="38"/>
        <v/>
      </c>
      <c r="M188" s="68" t="str">
        <f t="shared" si="39"/>
        <v/>
      </c>
      <c r="N188" s="67" t="str">
        <f t="shared" si="40"/>
        <v/>
      </c>
      <c r="O188" s="69" t="str">
        <f>IFERROR(IF($C188="","",VLOOKUP($N188,Feriados!$A$4:$B$5000,2,FALSE)),"")</f>
        <v/>
      </c>
      <c r="P188" s="67" t="str">
        <f t="shared" si="41"/>
        <v/>
      </c>
      <c r="Q188" s="63"/>
      <c r="R188" s="63"/>
      <c r="S188" s="62"/>
      <c r="T188" s="41"/>
      <c r="U188" s="73"/>
      <c r="V188" s="41" t="str">
        <f t="shared" si="42"/>
        <v/>
      </c>
    </row>
    <row r="189" spans="1:22" s="34" customFormat="1" x14ac:dyDescent="0.25">
      <c r="A189" s="24" t="str">
        <f t="shared" si="43"/>
        <v/>
      </c>
      <c r="B189" s="25"/>
      <c r="C189" s="26" t="str">
        <f t="shared" si="30"/>
        <v/>
      </c>
      <c r="D189" s="12"/>
      <c r="E189" s="27" t="str">
        <f t="shared" si="31"/>
        <v/>
      </c>
      <c r="F189" s="30" t="str">
        <f t="shared" si="32"/>
        <v/>
      </c>
      <c r="G189" s="29" t="str">
        <f t="shared" si="33"/>
        <v/>
      </c>
      <c r="H189" s="30" t="str">
        <f t="shared" si="34"/>
        <v/>
      </c>
      <c r="I189" s="31" t="str">
        <f t="shared" si="35"/>
        <v/>
      </c>
      <c r="J189" s="30" t="str">
        <f t="shared" si="36"/>
        <v/>
      </c>
      <c r="K189" s="30" t="str">
        <f t="shared" si="37"/>
        <v/>
      </c>
      <c r="L189" s="67" t="str">
        <f t="shared" si="38"/>
        <v/>
      </c>
      <c r="M189" s="68" t="str">
        <f t="shared" si="39"/>
        <v/>
      </c>
      <c r="N189" s="67" t="str">
        <f t="shared" si="40"/>
        <v/>
      </c>
      <c r="O189" s="69" t="str">
        <f>IFERROR(IF($C189="","",VLOOKUP($N189,Feriados!$A$4:$B$5000,2,FALSE)),"")</f>
        <v/>
      </c>
      <c r="P189" s="67" t="str">
        <f t="shared" si="41"/>
        <v/>
      </c>
      <c r="Q189" s="63"/>
      <c r="R189" s="63"/>
      <c r="S189" s="62"/>
      <c r="T189" s="41"/>
      <c r="U189" s="73"/>
      <c r="V189" s="41" t="str">
        <f t="shared" si="42"/>
        <v/>
      </c>
    </row>
    <row r="190" spans="1:22" s="34" customFormat="1" x14ac:dyDescent="0.25">
      <c r="A190" s="24" t="str">
        <f t="shared" si="43"/>
        <v/>
      </c>
      <c r="B190" s="25"/>
      <c r="C190" s="26" t="str">
        <f t="shared" si="30"/>
        <v/>
      </c>
      <c r="D190" s="12"/>
      <c r="E190" s="27" t="str">
        <f t="shared" si="31"/>
        <v/>
      </c>
      <c r="F190" s="30" t="str">
        <f t="shared" si="32"/>
        <v/>
      </c>
      <c r="G190" s="29" t="str">
        <f t="shared" si="33"/>
        <v/>
      </c>
      <c r="H190" s="30" t="str">
        <f t="shared" si="34"/>
        <v/>
      </c>
      <c r="I190" s="31" t="str">
        <f t="shared" si="35"/>
        <v/>
      </c>
      <c r="J190" s="30" t="str">
        <f t="shared" si="36"/>
        <v/>
      </c>
      <c r="K190" s="30" t="str">
        <f t="shared" si="37"/>
        <v/>
      </c>
      <c r="L190" s="67" t="str">
        <f t="shared" si="38"/>
        <v/>
      </c>
      <c r="M190" s="68" t="str">
        <f t="shared" si="39"/>
        <v/>
      </c>
      <c r="N190" s="67" t="str">
        <f t="shared" si="40"/>
        <v/>
      </c>
      <c r="O190" s="69" t="str">
        <f>IFERROR(IF($C190="","",VLOOKUP($N190,Feriados!$A$4:$B$5000,2,FALSE)),"")</f>
        <v/>
      </c>
      <c r="P190" s="67" t="str">
        <f t="shared" si="41"/>
        <v/>
      </c>
      <c r="Q190" s="63"/>
      <c r="R190" s="63"/>
      <c r="S190" s="62"/>
      <c r="T190" s="41"/>
      <c r="U190" s="73"/>
      <c r="V190" s="41" t="str">
        <f t="shared" si="42"/>
        <v/>
      </c>
    </row>
    <row r="191" spans="1:22" s="34" customFormat="1" x14ac:dyDescent="0.25">
      <c r="A191" s="24" t="str">
        <f t="shared" si="43"/>
        <v/>
      </c>
      <c r="B191" s="25"/>
      <c r="C191" s="26" t="str">
        <f t="shared" si="30"/>
        <v/>
      </c>
      <c r="D191" s="12"/>
      <c r="E191" s="27" t="str">
        <f t="shared" si="31"/>
        <v/>
      </c>
      <c r="F191" s="30" t="str">
        <f t="shared" si="32"/>
        <v/>
      </c>
      <c r="G191" s="29" t="str">
        <f t="shared" si="33"/>
        <v/>
      </c>
      <c r="H191" s="30" t="str">
        <f t="shared" si="34"/>
        <v/>
      </c>
      <c r="I191" s="31" t="str">
        <f t="shared" si="35"/>
        <v/>
      </c>
      <c r="J191" s="30" t="str">
        <f t="shared" si="36"/>
        <v/>
      </c>
      <c r="K191" s="30" t="str">
        <f t="shared" si="37"/>
        <v/>
      </c>
      <c r="L191" s="67" t="str">
        <f t="shared" si="38"/>
        <v/>
      </c>
      <c r="M191" s="68" t="str">
        <f t="shared" si="39"/>
        <v/>
      </c>
      <c r="N191" s="67" t="str">
        <f t="shared" si="40"/>
        <v/>
      </c>
      <c r="O191" s="69" t="str">
        <f>IFERROR(IF($C191="","",VLOOKUP($N191,Feriados!$A$4:$B$5000,2,FALSE)),"")</f>
        <v/>
      </c>
      <c r="P191" s="67" t="str">
        <f t="shared" si="41"/>
        <v/>
      </c>
      <c r="Q191" s="63"/>
      <c r="R191" s="63"/>
      <c r="S191" s="62"/>
      <c r="T191" s="41"/>
      <c r="U191" s="73"/>
      <c r="V191" s="41" t="str">
        <f t="shared" si="42"/>
        <v/>
      </c>
    </row>
    <row r="192" spans="1:22" s="34" customFormat="1" x14ac:dyDescent="0.25">
      <c r="A192" s="24" t="str">
        <f t="shared" si="43"/>
        <v/>
      </c>
      <c r="B192" s="25"/>
      <c r="C192" s="26" t="str">
        <f t="shared" si="30"/>
        <v/>
      </c>
      <c r="D192" s="12"/>
      <c r="E192" s="27" t="str">
        <f t="shared" si="31"/>
        <v/>
      </c>
      <c r="F192" s="30" t="str">
        <f t="shared" si="32"/>
        <v/>
      </c>
      <c r="G192" s="29" t="str">
        <f t="shared" si="33"/>
        <v/>
      </c>
      <c r="H192" s="30" t="str">
        <f t="shared" si="34"/>
        <v/>
      </c>
      <c r="I192" s="31" t="str">
        <f t="shared" si="35"/>
        <v/>
      </c>
      <c r="J192" s="30" t="str">
        <f t="shared" si="36"/>
        <v/>
      </c>
      <c r="K192" s="30" t="str">
        <f t="shared" si="37"/>
        <v/>
      </c>
      <c r="L192" s="67" t="str">
        <f t="shared" si="38"/>
        <v/>
      </c>
      <c r="M192" s="68" t="str">
        <f t="shared" si="39"/>
        <v/>
      </c>
      <c r="N192" s="67" t="str">
        <f t="shared" si="40"/>
        <v/>
      </c>
      <c r="O192" s="69" t="str">
        <f>IFERROR(IF($C192="","",VLOOKUP($N192,Feriados!$A$4:$B$5000,2,FALSE)),"")</f>
        <v/>
      </c>
      <c r="P192" s="67" t="str">
        <f t="shared" si="41"/>
        <v/>
      </c>
      <c r="Q192" s="63"/>
      <c r="R192" s="63"/>
      <c r="S192" s="62"/>
      <c r="T192" s="41"/>
      <c r="U192" s="73"/>
      <c r="V192" s="41" t="str">
        <f t="shared" si="42"/>
        <v/>
      </c>
    </row>
    <row r="193" spans="1:22" s="34" customFormat="1" x14ac:dyDescent="0.25">
      <c r="A193" s="24" t="str">
        <f t="shared" si="43"/>
        <v/>
      </c>
      <c r="B193" s="25"/>
      <c r="C193" s="26" t="str">
        <f t="shared" si="30"/>
        <v/>
      </c>
      <c r="D193" s="12"/>
      <c r="E193" s="27" t="str">
        <f t="shared" si="31"/>
        <v/>
      </c>
      <c r="F193" s="30" t="str">
        <f t="shared" si="32"/>
        <v/>
      </c>
      <c r="G193" s="29" t="str">
        <f t="shared" si="33"/>
        <v/>
      </c>
      <c r="H193" s="30" t="str">
        <f t="shared" si="34"/>
        <v/>
      </c>
      <c r="I193" s="31" t="str">
        <f t="shared" si="35"/>
        <v/>
      </c>
      <c r="J193" s="30" t="str">
        <f t="shared" si="36"/>
        <v/>
      </c>
      <c r="K193" s="30" t="str">
        <f t="shared" si="37"/>
        <v/>
      </c>
      <c r="L193" s="67" t="str">
        <f t="shared" si="38"/>
        <v/>
      </c>
      <c r="M193" s="68" t="str">
        <f t="shared" si="39"/>
        <v/>
      </c>
      <c r="N193" s="67" t="str">
        <f t="shared" si="40"/>
        <v/>
      </c>
      <c r="O193" s="69" t="str">
        <f>IFERROR(IF($C193="","",VLOOKUP($N193,Feriados!$A$4:$B$5000,2,FALSE)),"")</f>
        <v/>
      </c>
      <c r="P193" s="67" t="str">
        <f t="shared" si="41"/>
        <v/>
      </c>
      <c r="Q193" s="63"/>
      <c r="R193" s="63"/>
      <c r="S193" s="62"/>
      <c r="T193" s="41"/>
      <c r="U193" s="73"/>
      <c r="V193" s="41" t="str">
        <f t="shared" si="42"/>
        <v/>
      </c>
    </row>
    <row r="194" spans="1:22" s="34" customFormat="1" x14ac:dyDescent="0.25">
      <c r="A194" s="24" t="str">
        <f t="shared" si="43"/>
        <v/>
      </c>
      <c r="B194" s="25"/>
      <c r="C194" s="26" t="str">
        <f t="shared" si="30"/>
        <v/>
      </c>
      <c r="D194" s="12"/>
      <c r="E194" s="27" t="str">
        <f t="shared" si="31"/>
        <v/>
      </c>
      <c r="F194" s="30" t="str">
        <f t="shared" si="32"/>
        <v/>
      </c>
      <c r="G194" s="29" t="str">
        <f t="shared" si="33"/>
        <v/>
      </c>
      <c r="H194" s="30" t="str">
        <f t="shared" si="34"/>
        <v/>
      </c>
      <c r="I194" s="31" t="str">
        <f t="shared" si="35"/>
        <v/>
      </c>
      <c r="J194" s="30" t="str">
        <f t="shared" si="36"/>
        <v/>
      </c>
      <c r="K194" s="30" t="str">
        <f t="shared" si="37"/>
        <v/>
      </c>
      <c r="L194" s="67" t="str">
        <f t="shared" si="38"/>
        <v/>
      </c>
      <c r="M194" s="68" t="str">
        <f t="shared" si="39"/>
        <v/>
      </c>
      <c r="N194" s="67" t="str">
        <f t="shared" si="40"/>
        <v/>
      </c>
      <c r="O194" s="69" t="str">
        <f>IFERROR(IF($C194="","",VLOOKUP($N194,Feriados!$A$4:$B$5000,2,FALSE)),"")</f>
        <v/>
      </c>
      <c r="P194" s="67" t="str">
        <f t="shared" si="41"/>
        <v/>
      </c>
      <c r="Q194" s="63"/>
      <c r="R194" s="63"/>
      <c r="S194" s="62"/>
      <c r="T194" s="41"/>
      <c r="U194" s="73"/>
      <c r="V194" s="41" t="str">
        <f t="shared" si="42"/>
        <v/>
      </c>
    </row>
    <row r="195" spans="1:22" s="34" customFormat="1" x14ac:dyDescent="0.25">
      <c r="A195" s="24" t="str">
        <f t="shared" si="43"/>
        <v/>
      </c>
      <c r="B195" s="25"/>
      <c r="C195" s="26" t="str">
        <f t="shared" si="30"/>
        <v/>
      </c>
      <c r="D195" s="12"/>
      <c r="E195" s="27" t="str">
        <f t="shared" si="31"/>
        <v/>
      </c>
      <c r="F195" s="30" t="str">
        <f t="shared" si="32"/>
        <v/>
      </c>
      <c r="G195" s="29" t="str">
        <f t="shared" si="33"/>
        <v/>
      </c>
      <c r="H195" s="30" t="str">
        <f t="shared" si="34"/>
        <v/>
      </c>
      <c r="I195" s="31" t="str">
        <f t="shared" si="35"/>
        <v/>
      </c>
      <c r="J195" s="30" t="str">
        <f t="shared" si="36"/>
        <v/>
      </c>
      <c r="K195" s="30" t="str">
        <f t="shared" si="37"/>
        <v/>
      </c>
      <c r="L195" s="67" t="str">
        <f t="shared" si="38"/>
        <v/>
      </c>
      <c r="M195" s="68" t="str">
        <f t="shared" si="39"/>
        <v/>
      </c>
      <c r="N195" s="67" t="str">
        <f t="shared" si="40"/>
        <v/>
      </c>
      <c r="O195" s="69" t="str">
        <f>IFERROR(IF($C195="","",VLOOKUP($N195,Feriados!$A$4:$B$5000,2,FALSE)),"")</f>
        <v/>
      </c>
      <c r="P195" s="67" t="str">
        <f t="shared" si="41"/>
        <v/>
      </c>
      <c r="Q195" s="63"/>
      <c r="R195" s="63"/>
      <c r="S195" s="62"/>
      <c r="T195" s="41"/>
      <c r="U195" s="73"/>
      <c r="V195" s="41" t="str">
        <f t="shared" si="42"/>
        <v/>
      </c>
    </row>
    <row r="196" spans="1:22" s="34" customFormat="1" x14ac:dyDescent="0.25">
      <c r="A196" s="24" t="str">
        <f t="shared" si="43"/>
        <v/>
      </c>
      <c r="B196" s="25"/>
      <c r="C196" s="26" t="str">
        <f t="shared" si="30"/>
        <v/>
      </c>
      <c r="D196" s="12"/>
      <c r="E196" s="27" t="str">
        <f t="shared" si="31"/>
        <v/>
      </c>
      <c r="F196" s="30" t="str">
        <f t="shared" si="32"/>
        <v/>
      </c>
      <c r="G196" s="29" t="str">
        <f t="shared" si="33"/>
        <v/>
      </c>
      <c r="H196" s="30" t="str">
        <f t="shared" si="34"/>
        <v/>
      </c>
      <c r="I196" s="31" t="str">
        <f t="shared" si="35"/>
        <v/>
      </c>
      <c r="J196" s="30" t="str">
        <f t="shared" si="36"/>
        <v/>
      </c>
      <c r="K196" s="30" t="str">
        <f t="shared" si="37"/>
        <v/>
      </c>
      <c r="L196" s="67" t="str">
        <f t="shared" si="38"/>
        <v/>
      </c>
      <c r="M196" s="68" t="str">
        <f t="shared" si="39"/>
        <v/>
      </c>
      <c r="N196" s="67" t="str">
        <f t="shared" si="40"/>
        <v/>
      </c>
      <c r="O196" s="69" t="str">
        <f>IFERROR(IF($C196="","",VLOOKUP($N196,Feriados!$A$4:$B$5000,2,FALSE)),"")</f>
        <v/>
      </c>
      <c r="P196" s="67" t="str">
        <f t="shared" si="41"/>
        <v/>
      </c>
      <c r="Q196" s="63"/>
      <c r="R196" s="63"/>
      <c r="S196" s="62"/>
      <c r="T196" s="41"/>
      <c r="U196" s="73"/>
      <c r="V196" s="41" t="str">
        <f t="shared" si="42"/>
        <v/>
      </c>
    </row>
    <row r="197" spans="1:22" s="34" customFormat="1" x14ac:dyDescent="0.25">
      <c r="A197" s="24" t="str">
        <f t="shared" si="43"/>
        <v/>
      </c>
      <c r="B197" s="25"/>
      <c r="C197" s="26" t="str">
        <f t="shared" si="30"/>
        <v/>
      </c>
      <c r="D197" s="12"/>
      <c r="E197" s="27" t="str">
        <f t="shared" si="31"/>
        <v/>
      </c>
      <c r="F197" s="30" t="str">
        <f t="shared" si="32"/>
        <v/>
      </c>
      <c r="G197" s="29" t="str">
        <f t="shared" si="33"/>
        <v/>
      </c>
      <c r="H197" s="30" t="str">
        <f t="shared" si="34"/>
        <v/>
      </c>
      <c r="I197" s="31" t="str">
        <f t="shared" si="35"/>
        <v/>
      </c>
      <c r="J197" s="30" t="str">
        <f t="shared" si="36"/>
        <v/>
      </c>
      <c r="K197" s="30" t="str">
        <f t="shared" si="37"/>
        <v/>
      </c>
      <c r="L197" s="67" t="str">
        <f t="shared" si="38"/>
        <v/>
      </c>
      <c r="M197" s="68" t="str">
        <f t="shared" si="39"/>
        <v/>
      </c>
      <c r="N197" s="67" t="str">
        <f t="shared" si="40"/>
        <v/>
      </c>
      <c r="O197" s="69" t="str">
        <f>IFERROR(IF($C197="","",VLOOKUP($N197,Feriados!$A$4:$B$5000,2,FALSE)),"")</f>
        <v/>
      </c>
      <c r="P197" s="67" t="str">
        <f t="shared" si="41"/>
        <v/>
      </c>
      <c r="Q197" s="63"/>
      <c r="R197" s="63"/>
      <c r="S197" s="62"/>
      <c r="T197" s="41"/>
      <c r="U197" s="73"/>
      <c r="V197" s="41" t="str">
        <f t="shared" si="42"/>
        <v/>
      </c>
    </row>
    <row r="198" spans="1:22" s="34" customFormat="1" x14ac:dyDescent="0.25">
      <c r="A198" s="24" t="str">
        <f t="shared" si="43"/>
        <v/>
      </c>
      <c r="B198" s="25"/>
      <c r="C198" s="26" t="str">
        <f t="shared" si="30"/>
        <v/>
      </c>
      <c r="D198" s="12"/>
      <c r="E198" s="27" t="str">
        <f t="shared" si="31"/>
        <v/>
      </c>
      <c r="F198" s="30" t="str">
        <f t="shared" si="32"/>
        <v/>
      </c>
      <c r="G198" s="29" t="str">
        <f t="shared" si="33"/>
        <v/>
      </c>
      <c r="H198" s="30" t="str">
        <f t="shared" si="34"/>
        <v/>
      </c>
      <c r="I198" s="31" t="str">
        <f t="shared" si="35"/>
        <v/>
      </c>
      <c r="J198" s="30" t="str">
        <f t="shared" si="36"/>
        <v/>
      </c>
      <c r="K198" s="30" t="str">
        <f t="shared" si="37"/>
        <v/>
      </c>
      <c r="L198" s="67" t="str">
        <f t="shared" si="38"/>
        <v/>
      </c>
      <c r="M198" s="68" t="str">
        <f t="shared" si="39"/>
        <v/>
      </c>
      <c r="N198" s="67" t="str">
        <f t="shared" si="40"/>
        <v/>
      </c>
      <c r="O198" s="69" t="str">
        <f>IFERROR(IF($C198="","",VLOOKUP($N198,Feriados!$A$4:$B$5000,2,FALSE)),"")</f>
        <v/>
      </c>
      <c r="P198" s="67" t="str">
        <f t="shared" si="41"/>
        <v/>
      </c>
      <c r="Q198" s="63"/>
      <c r="R198" s="63"/>
      <c r="S198" s="62"/>
      <c r="T198" s="41"/>
      <c r="U198" s="73"/>
      <c r="V198" s="41" t="str">
        <f t="shared" si="42"/>
        <v/>
      </c>
    </row>
    <row r="199" spans="1:22" s="34" customFormat="1" x14ac:dyDescent="0.25">
      <c r="A199" s="24" t="str">
        <f t="shared" si="43"/>
        <v/>
      </c>
      <c r="B199" s="25"/>
      <c r="C199" s="26" t="str">
        <f t="shared" si="30"/>
        <v/>
      </c>
      <c r="D199" s="12"/>
      <c r="E199" s="27" t="str">
        <f t="shared" si="31"/>
        <v/>
      </c>
      <c r="F199" s="30" t="str">
        <f t="shared" si="32"/>
        <v/>
      </c>
      <c r="G199" s="29" t="str">
        <f t="shared" si="33"/>
        <v/>
      </c>
      <c r="H199" s="30" t="str">
        <f t="shared" si="34"/>
        <v/>
      </c>
      <c r="I199" s="31" t="str">
        <f t="shared" si="35"/>
        <v/>
      </c>
      <c r="J199" s="30" t="str">
        <f t="shared" si="36"/>
        <v/>
      </c>
      <c r="K199" s="30" t="str">
        <f t="shared" si="37"/>
        <v/>
      </c>
      <c r="L199" s="67" t="str">
        <f t="shared" si="38"/>
        <v/>
      </c>
      <c r="M199" s="68" t="str">
        <f t="shared" si="39"/>
        <v/>
      </c>
      <c r="N199" s="67" t="str">
        <f t="shared" si="40"/>
        <v/>
      </c>
      <c r="O199" s="69" t="str">
        <f>IFERROR(IF($C199="","",VLOOKUP($N199,Feriados!$A$4:$B$5000,2,FALSE)),"")</f>
        <v/>
      </c>
      <c r="P199" s="67" t="str">
        <f t="shared" si="41"/>
        <v/>
      </c>
      <c r="Q199" s="63"/>
      <c r="R199" s="63"/>
      <c r="S199" s="62"/>
      <c r="T199" s="41"/>
      <c r="U199" s="73"/>
      <c r="V199" s="41" t="str">
        <f t="shared" si="42"/>
        <v/>
      </c>
    </row>
    <row r="200" spans="1:22" s="34" customFormat="1" x14ac:dyDescent="0.25">
      <c r="A200" s="24" t="str">
        <f t="shared" si="43"/>
        <v/>
      </c>
      <c r="B200" s="25"/>
      <c r="C200" s="26" t="str">
        <f t="shared" si="30"/>
        <v/>
      </c>
      <c r="D200" s="12"/>
      <c r="E200" s="27" t="str">
        <f t="shared" si="31"/>
        <v/>
      </c>
      <c r="F200" s="30" t="str">
        <f t="shared" si="32"/>
        <v/>
      </c>
      <c r="G200" s="29" t="str">
        <f t="shared" si="33"/>
        <v/>
      </c>
      <c r="H200" s="30" t="str">
        <f t="shared" si="34"/>
        <v/>
      </c>
      <c r="I200" s="31" t="str">
        <f t="shared" si="35"/>
        <v/>
      </c>
      <c r="J200" s="30" t="str">
        <f t="shared" si="36"/>
        <v/>
      </c>
      <c r="K200" s="30" t="str">
        <f t="shared" si="37"/>
        <v/>
      </c>
      <c r="L200" s="67" t="str">
        <f t="shared" si="38"/>
        <v/>
      </c>
      <c r="M200" s="68" t="str">
        <f t="shared" si="39"/>
        <v/>
      </c>
      <c r="N200" s="67" t="str">
        <f t="shared" si="40"/>
        <v/>
      </c>
      <c r="O200" s="69" t="str">
        <f>IFERROR(IF($C200="","",VLOOKUP($N200,Feriados!$A$4:$B$5000,2,FALSE)),"")</f>
        <v/>
      </c>
      <c r="P200" s="67" t="str">
        <f t="shared" si="41"/>
        <v/>
      </c>
      <c r="Q200" s="63"/>
      <c r="R200" s="63"/>
      <c r="S200" s="62"/>
      <c r="T200" s="41"/>
      <c r="U200" s="73"/>
      <c r="V200" s="41" t="str">
        <f t="shared" si="42"/>
        <v/>
      </c>
    </row>
    <row r="201" spans="1:22" s="34" customFormat="1" x14ac:dyDescent="0.25">
      <c r="A201" s="24" t="str">
        <f t="shared" si="43"/>
        <v/>
      </c>
      <c r="B201" s="25"/>
      <c r="C201" s="26" t="str">
        <f t="shared" si="30"/>
        <v/>
      </c>
      <c r="D201" s="12"/>
      <c r="E201" s="27" t="str">
        <f t="shared" si="31"/>
        <v/>
      </c>
      <c r="F201" s="30" t="str">
        <f t="shared" si="32"/>
        <v/>
      </c>
      <c r="G201" s="29" t="str">
        <f t="shared" si="33"/>
        <v/>
      </c>
      <c r="H201" s="30" t="str">
        <f t="shared" si="34"/>
        <v/>
      </c>
      <c r="I201" s="31" t="str">
        <f t="shared" si="35"/>
        <v/>
      </c>
      <c r="J201" s="30" t="str">
        <f t="shared" si="36"/>
        <v/>
      </c>
      <c r="K201" s="30" t="str">
        <f t="shared" si="37"/>
        <v/>
      </c>
      <c r="L201" s="67" t="str">
        <f t="shared" si="38"/>
        <v/>
      </c>
      <c r="M201" s="68" t="str">
        <f t="shared" si="39"/>
        <v/>
      </c>
      <c r="N201" s="67" t="str">
        <f t="shared" si="40"/>
        <v/>
      </c>
      <c r="O201" s="69" t="str">
        <f>IFERROR(IF($C201="","",VLOOKUP($N201,Feriados!$A$4:$B$5000,2,FALSE)),"")</f>
        <v/>
      </c>
      <c r="P201" s="67" t="str">
        <f t="shared" si="41"/>
        <v/>
      </c>
      <c r="Q201" s="63"/>
      <c r="R201" s="63"/>
      <c r="S201" s="62"/>
      <c r="T201" s="41"/>
      <c r="U201" s="73"/>
      <c r="V201" s="41" t="str">
        <f t="shared" si="42"/>
        <v/>
      </c>
    </row>
    <row r="202" spans="1:22" s="34" customFormat="1" x14ac:dyDescent="0.25">
      <c r="A202" s="24" t="str">
        <f t="shared" si="43"/>
        <v/>
      </c>
      <c r="B202" s="25"/>
      <c r="C202" s="26" t="str">
        <f t="shared" si="30"/>
        <v/>
      </c>
      <c r="D202" s="12"/>
      <c r="E202" s="27" t="str">
        <f t="shared" si="31"/>
        <v/>
      </c>
      <c r="F202" s="30" t="str">
        <f t="shared" si="32"/>
        <v/>
      </c>
      <c r="G202" s="29" t="str">
        <f t="shared" si="33"/>
        <v/>
      </c>
      <c r="H202" s="30" t="str">
        <f t="shared" si="34"/>
        <v/>
      </c>
      <c r="I202" s="31" t="str">
        <f t="shared" si="35"/>
        <v/>
      </c>
      <c r="J202" s="30" t="str">
        <f t="shared" si="36"/>
        <v/>
      </c>
      <c r="K202" s="30" t="str">
        <f t="shared" si="37"/>
        <v/>
      </c>
      <c r="L202" s="67" t="str">
        <f t="shared" si="38"/>
        <v/>
      </c>
      <c r="M202" s="68" t="str">
        <f t="shared" si="39"/>
        <v/>
      </c>
      <c r="N202" s="67" t="str">
        <f t="shared" si="40"/>
        <v/>
      </c>
      <c r="O202" s="69" t="str">
        <f>IFERROR(IF($C202="","",VLOOKUP($N202,Feriados!$A$4:$B$5000,2,FALSE)),"")</f>
        <v/>
      </c>
      <c r="P202" s="67" t="str">
        <f t="shared" si="41"/>
        <v/>
      </c>
      <c r="Q202" s="63"/>
      <c r="R202" s="63"/>
      <c r="S202" s="62"/>
      <c r="T202" s="41"/>
      <c r="U202" s="73"/>
      <c r="V202" s="41" t="str">
        <f t="shared" si="42"/>
        <v/>
      </c>
    </row>
    <row r="203" spans="1:22" s="34" customFormat="1" x14ac:dyDescent="0.25">
      <c r="A203" s="24" t="str">
        <f t="shared" si="43"/>
        <v/>
      </c>
      <c r="B203" s="25"/>
      <c r="C203" s="26" t="str">
        <f t="shared" si="30"/>
        <v/>
      </c>
      <c r="D203" s="12"/>
      <c r="E203" s="27" t="str">
        <f t="shared" si="31"/>
        <v/>
      </c>
      <c r="F203" s="30" t="str">
        <f t="shared" si="32"/>
        <v/>
      </c>
      <c r="G203" s="29" t="str">
        <f t="shared" si="33"/>
        <v/>
      </c>
      <c r="H203" s="30" t="str">
        <f t="shared" si="34"/>
        <v/>
      </c>
      <c r="I203" s="31" t="str">
        <f t="shared" si="35"/>
        <v/>
      </c>
      <c r="J203" s="30" t="str">
        <f t="shared" si="36"/>
        <v/>
      </c>
      <c r="K203" s="30" t="str">
        <f t="shared" si="37"/>
        <v/>
      </c>
      <c r="L203" s="67" t="str">
        <f t="shared" si="38"/>
        <v/>
      </c>
      <c r="M203" s="68" t="str">
        <f t="shared" si="39"/>
        <v/>
      </c>
      <c r="N203" s="67" t="str">
        <f t="shared" si="40"/>
        <v/>
      </c>
      <c r="O203" s="69" t="str">
        <f>IFERROR(IF($C203="","",VLOOKUP($N203,Feriados!$A$4:$B$5000,2,FALSE)),"")</f>
        <v/>
      </c>
      <c r="P203" s="67" t="str">
        <f t="shared" si="41"/>
        <v/>
      </c>
      <c r="Q203" s="63"/>
      <c r="R203" s="63"/>
      <c r="S203" s="62"/>
      <c r="T203" s="41"/>
      <c r="U203" s="73"/>
      <c r="V203" s="41" t="str">
        <f t="shared" si="42"/>
        <v/>
      </c>
    </row>
    <row r="204" spans="1:22" s="34" customFormat="1" x14ac:dyDescent="0.25">
      <c r="A204" s="24" t="str">
        <f t="shared" si="43"/>
        <v/>
      </c>
      <c r="B204" s="25"/>
      <c r="C204" s="26" t="str">
        <f t="shared" si="30"/>
        <v/>
      </c>
      <c r="D204" s="12"/>
      <c r="E204" s="27" t="str">
        <f t="shared" si="31"/>
        <v/>
      </c>
      <c r="F204" s="30" t="str">
        <f t="shared" si="32"/>
        <v/>
      </c>
      <c r="G204" s="29" t="str">
        <f t="shared" si="33"/>
        <v/>
      </c>
      <c r="H204" s="30" t="str">
        <f t="shared" si="34"/>
        <v/>
      </c>
      <c r="I204" s="31" t="str">
        <f t="shared" si="35"/>
        <v/>
      </c>
      <c r="J204" s="30" t="str">
        <f t="shared" si="36"/>
        <v/>
      </c>
      <c r="K204" s="30" t="str">
        <f t="shared" si="37"/>
        <v/>
      </c>
      <c r="L204" s="67" t="str">
        <f t="shared" si="38"/>
        <v/>
      </c>
      <c r="M204" s="68" t="str">
        <f t="shared" si="39"/>
        <v/>
      </c>
      <c r="N204" s="67" t="str">
        <f t="shared" si="40"/>
        <v/>
      </c>
      <c r="O204" s="69" t="str">
        <f>IFERROR(IF($C204="","",VLOOKUP($N204,Feriados!$A$4:$B$5000,2,FALSE)),"")</f>
        <v/>
      </c>
      <c r="P204" s="67" t="str">
        <f t="shared" si="41"/>
        <v/>
      </c>
      <c r="Q204" s="63"/>
      <c r="R204" s="63"/>
      <c r="S204" s="62"/>
      <c r="T204" s="41"/>
      <c r="U204" s="73"/>
      <c r="V204" s="41" t="str">
        <f t="shared" si="42"/>
        <v/>
      </c>
    </row>
    <row r="205" spans="1:22" s="34" customFormat="1" x14ac:dyDescent="0.25">
      <c r="A205" s="24" t="str">
        <f t="shared" si="43"/>
        <v/>
      </c>
      <c r="B205" s="25"/>
      <c r="C205" s="26" t="str">
        <f t="shared" si="30"/>
        <v/>
      </c>
      <c r="D205" s="12"/>
      <c r="E205" s="27" t="str">
        <f t="shared" si="31"/>
        <v/>
      </c>
      <c r="F205" s="30" t="str">
        <f t="shared" si="32"/>
        <v/>
      </c>
      <c r="G205" s="29" t="str">
        <f t="shared" si="33"/>
        <v/>
      </c>
      <c r="H205" s="30" t="str">
        <f t="shared" si="34"/>
        <v/>
      </c>
      <c r="I205" s="31" t="str">
        <f t="shared" si="35"/>
        <v/>
      </c>
      <c r="J205" s="30" t="str">
        <f t="shared" si="36"/>
        <v/>
      </c>
      <c r="K205" s="30" t="str">
        <f t="shared" si="37"/>
        <v/>
      </c>
      <c r="L205" s="67" t="str">
        <f t="shared" si="38"/>
        <v/>
      </c>
      <c r="M205" s="68" t="str">
        <f t="shared" si="39"/>
        <v/>
      </c>
      <c r="N205" s="67" t="str">
        <f t="shared" si="40"/>
        <v/>
      </c>
      <c r="O205" s="69" t="str">
        <f>IFERROR(IF($C205="","",VLOOKUP($N205,Feriados!$A$4:$B$5000,2,FALSE)),"")</f>
        <v/>
      </c>
      <c r="P205" s="67" t="str">
        <f t="shared" si="41"/>
        <v/>
      </c>
      <c r="Q205" s="63"/>
      <c r="R205" s="63"/>
      <c r="S205" s="62"/>
      <c r="T205" s="41"/>
      <c r="U205" s="73"/>
      <c r="V205" s="41" t="str">
        <f t="shared" si="42"/>
        <v/>
      </c>
    </row>
    <row r="206" spans="1:22" s="34" customFormat="1" x14ac:dyDescent="0.25">
      <c r="A206" s="24" t="str">
        <f t="shared" si="43"/>
        <v/>
      </c>
      <c r="B206" s="25"/>
      <c r="C206" s="26" t="str">
        <f t="shared" si="30"/>
        <v/>
      </c>
      <c r="D206" s="12"/>
      <c r="E206" s="27" t="str">
        <f t="shared" si="31"/>
        <v/>
      </c>
      <c r="F206" s="30" t="str">
        <f t="shared" si="32"/>
        <v/>
      </c>
      <c r="G206" s="29" t="str">
        <f t="shared" si="33"/>
        <v/>
      </c>
      <c r="H206" s="30" t="str">
        <f t="shared" si="34"/>
        <v/>
      </c>
      <c r="I206" s="31" t="str">
        <f t="shared" si="35"/>
        <v/>
      </c>
      <c r="J206" s="30" t="str">
        <f t="shared" si="36"/>
        <v/>
      </c>
      <c r="K206" s="30" t="str">
        <f t="shared" si="37"/>
        <v/>
      </c>
      <c r="L206" s="67" t="str">
        <f t="shared" si="38"/>
        <v/>
      </c>
      <c r="M206" s="68" t="str">
        <f t="shared" si="39"/>
        <v/>
      </c>
      <c r="N206" s="67" t="str">
        <f t="shared" si="40"/>
        <v/>
      </c>
      <c r="O206" s="69" t="str">
        <f>IFERROR(IF($C206="","",VLOOKUP($N206,Feriados!$A$4:$B$5000,2,FALSE)),"")</f>
        <v/>
      </c>
      <c r="P206" s="67" t="str">
        <f t="shared" si="41"/>
        <v/>
      </c>
      <c r="Q206" s="63"/>
      <c r="R206" s="63"/>
      <c r="S206" s="62"/>
      <c r="T206" s="41"/>
      <c r="U206" s="73"/>
      <c r="V206" s="41" t="str">
        <f t="shared" si="42"/>
        <v/>
      </c>
    </row>
    <row r="207" spans="1:22" s="34" customFormat="1" x14ac:dyDescent="0.25">
      <c r="A207" s="24" t="str">
        <f t="shared" si="43"/>
        <v/>
      </c>
      <c r="B207" s="25"/>
      <c r="C207" s="26" t="str">
        <f t="shared" si="30"/>
        <v/>
      </c>
      <c r="D207" s="12"/>
      <c r="E207" s="27" t="str">
        <f t="shared" si="31"/>
        <v/>
      </c>
      <c r="F207" s="30" t="str">
        <f t="shared" si="32"/>
        <v/>
      </c>
      <c r="G207" s="29" t="str">
        <f t="shared" si="33"/>
        <v/>
      </c>
      <c r="H207" s="30" t="str">
        <f t="shared" si="34"/>
        <v/>
      </c>
      <c r="I207" s="31" t="str">
        <f t="shared" si="35"/>
        <v/>
      </c>
      <c r="J207" s="30" t="str">
        <f t="shared" si="36"/>
        <v/>
      </c>
      <c r="K207" s="30" t="str">
        <f t="shared" si="37"/>
        <v/>
      </c>
      <c r="L207" s="67" t="str">
        <f t="shared" si="38"/>
        <v/>
      </c>
      <c r="M207" s="68" t="str">
        <f t="shared" si="39"/>
        <v/>
      </c>
      <c r="N207" s="67" t="str">
        <f t="shared" si="40"/>
        <v/>
      </c>
      <c r="O207" s="69" t="str">
        <f>IFERROR(IF($C207="","",VLOOKUP($N207,Feriados!$A$4:$B$5000,2,FALSE)),"")</f>
        <v/>
      </c>
      <c r="P207" s="67" t="str">
        <f t="shared" si="41"/>
        <v/>
      </c>
      <c r="Q207" s="63"/>
      <c r="R207" s="63"/>
      <c r="S207" s="62"/>
      <c r="T207" s="41"/>
      <c r="U207" s="73"/>
      <c r="V207" s="41" t="str">
        <f t="shared" si="42"/>
        <v/>
      </c>
    </row>
    <row r="208" spans="1:22" s="34" customFormat="1" x14ac:dyDescent="0.25">
      <c r="A208" s="24" t="str">
        <f t="shared" si="43"/>
        <v/>
      </c>
      <c r="B208" s="25"/>
      <c r="C208" s="26" t="str">
        <f t="shared" si="30"/>
        <v/>
      </c>
      <c r="D208" s="12"/>
      <c r="E208" s="27" t="str">
        <f t="shared" si="31"/>
        <v/>
      </c>
      <c r="F208" s="30" t="str">
        <f t="shared" si="32"/>
        <v/>
      </c>
      <c r="G208" s="29" t="str">
        <f t="shared" si="33"/>
        <v/>
      </c>
      <c r="H208" s="30" t="str">
        <f t="shared" si="34"/>
        <v/>
      </c>
      <c r="I208" s="31" t="str">
        <f t="shared" si="35"/>
        <v/>
      </c>
      <c r="J208" s="30" t="str">
        <f t="shared" si="36"/>
        <v/>
      </c>
      <c r="K208" s="30" t="str">
        <f t="shared" si="37"/>
        <v/>
      </c>
      <c r="L208" s="67" t="str">
        <f t="shared" si="38"/>
        <v/>
      </c>
      <c r="M208" s="68" t="str">
        <f t="shared" si="39"/>
        <v/>
      </c>
      <c r="N208" s="67" t="str">
        <f t="shared" si="40"/>
        <v/>
      </c>
      <c r="O208" s="69" t="str">
        <f>IFERROR(IF($C208="","",VLOOKUP($N208,Feriados!$A$4:$B$5000,2,FALSE)),"")</f>
        <v/>
      </c>
      <c r="P208" s="67" t="str">
        <f t="shared" si="41"/>
        <v/>
      </c>
      <c r="Q208" s="63"/>
      <c r="R208" s="63"/>
      <c r="S208" s="62"/>
      <c r="T208" s="41"/>
      <c r="U208" s="73"/>
      <c r="V208" s="41" t="str">
        <f t="shared" si="42"/>
        <v/>
      </c>
    </row>
    <row r="209" spans="1:22" s="34" customFormat="1" x14ac:dyDescent="0.25">
      <c r="A209" s="24" t="str">
        <f t="shared" si="43"/>
        <v/>
      </c>
      <c r="B209" s="25"/>
      <c r="C209" s="26" t="str">
        <f t="shared" si="30"/>
        <v/>
      </c>
      <c r="D209" s="12"/>
      <c r="E209" s="27" t="str">
        <f t="shared" si="31"/>
        <v/>
      </c>
      <c r="F209" s="30" t="str">
        <f t="shared" si="32"/>
        <v/>
      </c>
      <c r="G209" s="29" t="str">
        <f t="shared" si="33"/>
        <v/>
      </c>
      <c r="H209" s="30" t="str">
        <f t="shared" si="34"/>
        <v/>
      </c>
      <c r="I209" s="31" t="str">
        <f t="shared" si="35"/>
        <v/>
      </c>
      <c r="J209" s="30" t="str">
        <f t="shared" si="36"/>
        <v/>
      </c>
      <c r="K209" s="30" t="str">
        <f t="shared" si="37"/>
        <v/>
      </c>
      <c r="L209" s="67" t="str">
        <f t="shared" si="38"/>
        <v/>
      </c>
      <c r="M209" s="68" t="str">
        <f t="shared" si="39"/>
        <v/>
      </c>
      <c r="N209" s="67" t="str">
        <f t="shared" si="40"/>
        <v/>
      </c>
      <c r="O209" s="69" t="str">
        <f>IFERROR(IF($C209="","",VLOOKUP($N209,Feriados!$A$4:$B$5000,2,FALSE)),"")</f>
        <v/>
      </c>
      <c r="P209" s="67" t="str">
        <f t="shared" si="41"/>
        <v/>
      </c>
      <c r="Q209" s="63"/>
      <c r="R209" s="63"/>
      <c r="S209" s="62"/>
      <c r="T209" s="41"/>
      <c r="U209" s="73"/>
      <c r="V209" s="41" t="str">
        <f t="shared" si="42"/>
        <v/>
      </c>
    </row>
    <row r="210" spans="1:22" s="34" customFormat="1" x14ac:dyDescent="0.25">
      <c r="A210" s="24" t="str">
        <f t="shared" si="43"/>
        <v/>
      </c>
      <c r="B210" s="25"/>
      <c r="C210" s="26" t="str">
        <f t="shared" si="30"/>
        <v/>
      </c>
      <c r="D210" s="12"/>
      <c r="E210" s="27" t="str">
        <f t="shared" si="31"/>
        <v/>
      </c>
      <c r="F210" s="30" t="str">
        <f t="shared" si="32"/>
        <v/>
      </c>
      <c r="G210" s="29" t="str">
        <f t="shared" si="33"/>
        <v/>
      </c>
      <c r="H210" s="30" t="str">
        <f t="shared" si="34"/>
        <v/>
      </c>
      <c r="I210" s="31" t="str">
        <f t="shared" si="35"/>
        <v/>
      </c>
      <c r="J210" s="30" t="str">
        <f t="shared" si="36"/>
        <v/>
      </c>
      <c r="K210" s="30" t="str">
        <f t="shared" si="37"/>
        <v/>
      </c>
      <c r="L210" s="67" t="str">
        <f t="shared" si="38"/>
        <v/>
      </c>
      <c r="M210" s="68" t="str">
        <f t="shared" si="39"/>
        <v/>
      </c>
      <c r="N210" s="67" t="str">
        <f t="shared" si="40"/>
        <v/>
      </c>
      <c r="O210" s="69" t="str">
        <f>IFERROR(IF($C210="","",VLOOKUP($N210,Feriados!$A$4:$B$5000,2,FALSE)),"")</f>
        <v/>
      </c>
      <c r="P210" s="67" t="str">
        <f t="shared" si="41"/>
        <v/>
      </c>
      <c r="Q210" s="63"/>
      <c r="R210" s="63"/>
      <c r="S210" s="62"/>
      <c r="T210" s="41"/>
      <c r="U210" s="73"/>
      <c r="V210" s="41" t="str">
        <f t="shared" si="42"/>
        <v/>
      </c>
    </row>
    <row r="211" spans="1:22" s="34" customFormat="1" x14ac:dyDescent="0.25">
      <c r="A211" s="24" t="str">
        <f t="shared" si="43"/>
        <v/>
      </c>
      <c r="B211" s="25"/>
      <c r="C211" s="26" t="str">
        <f t="shared" ref="C211:C274" si="44">IFERROR(IF($B$17&lt;7,"",IF(ROW(A211)=19,0,IF(ROW(A211)=20,1,IF(C210+1&gt;$H$13,"",C210+1)))),"")</f>
        <v/>
      </c>
      <c r="D211" s="12"/>
      <c r="E211" s="27" t="str">
        <f t="shared" ref="E211:E274" si="45">IF(C211="","",IF(C211=0,$H$7,IF(C211=1,$H$9,P211+D211)))</f>
        <v/>
      </c>
      <c r="F211" s="30" t="str">
        <f t="shared" ref="F211:F274" si="46">IF(C211="","",IF(C211=0,$K$7,J210))</f>
        <v/>
      </c>
      <c r="G211" s="29" t="str">
        <f t="shared" ref="G211:G274" si="47">IF(C211="","",IF(C211=0,0,$E211-$E210))</f>
        <v/>
      </c>
      <c r="H211" s="30" t="str">
        <f t="shared" ref="H211:H274" si="48">IF(C211="","",ROUND(F211*(((1+$K$11)^G211)-1),8))</f>
        <v/>
      </c>
      <c r="I211" s="31" t="str">
        <f t="shared" ref="I211:I274" si="49">IF(C211="","",IF(C211=0,0,IFERROR(IF(C211=VLOOKUP(C211,PV_ParcelasFixas,1,FALSE),-VLOOKUP(C211,PV_ParcelasFixas,2,FALSE)),IF(AND($B$15=FALSE,C211&lt;=$H$11),0,IF(C211&lt;=$H$11,-H211,IF($K$5="SAC",-$K$8-H211,-$K$8))))))</f>
        <v/>
      </c>
      <c r="J211" s="30" t="str">
        <f t="shared" ref="J211:J274" si="50">IF(C211="","",IF(AND(C211=0,B211=""),$F$19,J210+H211+I211))</f>
        <v/>
      </c>
      <c r="K211" s="30" t="str">
        <f t="shared" ref="K211:K274" si="51">IF(C211="","",-H211+-I211)</f>
        <v/>
      </c>
      <c r="L211" s="67" t="str">
        <f t="shared" ref="L211:L274" si="52">IF($C211="","",IF($C211=0,$H$7,IF($C211=1,$B$11,EDATE($B$11,$C210))))</f>
        <v/>
      </c>
      <c r="M211" s="68" t="str">
        <f t="shared" ref="M211:M274" si="53">IF($L211="","",WEEKDAY($L211))</f>
        <v/>
      </c>
      <c r="N211" s="67" t="str">
        <f t="shared" ref="N211:N274" si="54">IFERROR(IF($M211=7,$L211+2,IF($M211=1,$L211+1,$L211)),"")</f>
        <v/>
      </c>
      <c r="O211" s="69" t="str">
        <f>IFERROR(IF($C211="","",VLOOKUP($N211,Feriados!$A$4:$B$5000,2,FALSE)),"")</f>
        <v/>
      </c>
      <c r="P211" s="67" t="str">
        <f t="shared" ref="P211:P274" si="55">IFERROR(IF($O211="",$N211,IF($O211=6,$N211+3,IF($O211&lt;6,$N211+1))),"")</f>
        <v/>
      </c>
      <c r="Q211" s="63"/>
      <c r="R211" s="63"/>
      <c r="S211" s="62"/>
      <c r="T211" s="41"/>
      <c r="U211" s="73"/>
      <c r="V211" s="41" t="str">
        <f t="shared" si="42"/>
        <v/>
      </c>
    </row>
    <row r="212" spans="1:22" s="34" customFormat="1" x14ac:dyDescent="0.25">
      <c r="A212" s="24" t="str">
        <f t="shared" si="43"/>
        <v/>
      </c>
      <c r="B212" s="25"/>
      <c r="C212" s="26" t="str">
        <f t="shared" si="44"/>
        <v/>
      </c>
      <c r="D212" s="12"/>
      <c r="E212" s="27" t="str">
        <f t="shared" si="45"/>
        <v/>
      </c>
      <c r="F212" s="30" t="str">
        <f t="shared" si="46"/>
        <v/>
      </c>
      <c r="G212" s="29" t="str">
        <f t="shared" si="47"/>
        <v/>
      </c>
      <c r="H212" s="30" t="str">
        <f t="shared" si="48"/>
        <v/>
      </c>
      <c r="I212" s="31" t="str">
        <f t="shared" si="49"/>
        <v/>
      </c>
      <c r="J212" s="30" t="str">
        <f t="shared" si="50"/>
        <v/>
      </c>
      <c r="K212" s="30" t="str">
        <f t="shared" si="51"/>
        <v/>
      </c>
      <c r="L212" s="67" t="str">
        <f t="shared" si="52"/>
        <v/>
      </c>
      <c r="M212" s="68" t="str">
        <f t="shared" si="53"/>
        <v/>
      </c>
      <c r="N212" s="67" t="str">
        <f t="shared" si="54"/>
        <v/>
      </c>
      <c r="O212" s="69" t="str">
        <f>IFERROR(IF($C212="","",VLOOKUP($N212,Feriados!$A$4:$B$5000,2,FALSE)),"")</f>
        <v/>
      </c>
      <c r="P212" s="67" t="str">
        <f t="shared" si="55"/>
        <v/>
      </c>
      <c r="Q212" s="63"/>
      <c r="R212" s="63"/>
      <c r="S212" s="62"/>
      <c r="T212" s="41"/>
      <c r="U212" s="73"/>
      <c r="V212" s="41" t="str">
        <f t="shared" si="42"/>
        <v/>
      </c>
    </row>
    <row r="213" spans="1:22" s="34" customFormat="1" x14ac:dyDescent="0.25">
      <c r="A213" s="24" t="str">
        <f t="shared" si="43"/>
        <v/>
      </c>
      <c r="B213" s="25"/>
      <c r="C213" s="26" t="str">
        <f t="shared" si="44"/>
        <v/>
      </c>
      <c r="D213" s="12"/>
      <c r="E213" s="27" t="str">
        <f t="shared" si="45"/>
        <v/>
      </c>
      <c r="F213" s="30" t="str">
        <f t="shared" si="46"/>
        <v/>
      </c>
      <c r="G213" s="29" t="str">
        <f t="shared" si="47"/>
        <v/>
      </c>
      <c r="H213" s="30" t="str">
        <f t="shared" si="48"/>
        <v/>
      </c>
      <c r="I213" s="31" t="str">
        <f t="shared" si="49"/>
        <v/>
      </c>
      <c r="J213" s="30" t="str">
        <f t="shared" si="50"/>
        <v/>
      </c>
      <c r="K213" s="30" t="str">
        <f t="shared" si="51"/>
        <v/>
      </c>
      <c r="L213" s="67" t="str">
        <f t="shared" si="52"/>
        <v/>
      </c>
      <c r="M213" s="68" t="str">
        <f t="shared" si="53"/>
        <v/>
      </c>
      <c r="N213" s="67" t="str">
        <f t="shared" si="54"/>
        <v/>
      </c>
      <c r="O213" s="69" t="str">
        <f>IFERROR(IF($C213="","",VLOOKUP($N213,Feriados!$A$4:$B$5000,2,FALSE)),"")</f>
        <v/>
      </c>
      <c r="P213" s="67" t="str">
        <f t="shared" si="55"/>
        <v/>
      </c>
      <c r="Q213" s="63"/>
      <c r="R213" s="63"/>
      <c r="S213" s="62"/>
      <c r="T213" s="41"/>
      <c r="U213" s="73"/>
      <c r="V213" s="41" t="str">
        <f t="shared" ref="V213:V276" si="56">IF(C213="","",I213)</f>
        <v/>
      </c>
    </row>
    <row r="214" spans="1:22" s="34" customFormat="1" x14ac:dyDescent="0.25">
      <c r="A214" s="24" t="str">
        <f t="shared" si="43"/>
        <v/>
      </c>
      <c r="B214" s="25"/>
      <c r="C214" s="26" t="str">
        <f t="shared" si="44"/>
        <v/>
      </c>
      <c r="D214" s="12"/>
      <c r="E214" s="27" t="str">
        <f t="shared" si="45"/>
        <v/>
      </c>
      <c r="F214" s="30" t="str">
        <f t="shared" si="46"/>
        <v/>
      </c>
      <c r="G214" s="29" t="str">
        <f t="shared" si="47"/>
        <v/>
      </c>
      <c r="H214" s="30" t="str">
        <f t="shared" si="48"/>
        <v/>
      </c>
      <c r="I214" s="31" t="str">
        <f t="shared" si="49"/>
        <v/>
      </c>
      <c r="J214" s="30" t="str">
        <f t="shared" si="50"/>
        <v/>
      </c>
      <c r="K214" s="30" t="str">
        <f t="shared" si="51"/>
        <v/>
      </c>
      <c r="L214" s="67" t="str">
        <f t="shared" si="52"/>
        <v/>
      </c>
      <c r="M214" s="68" t="str">
        <f t="shared" si="53"/>
        <v/>
      </c>
      <c r="N214" s="67" t="str">
        <f t="shared" si="54"/>
        <v/>
      </c>
      <c r="O214" s="69" t="str">
        <f>IFERROR(IF($C214="","",VLOOKUP($N214,Feriados!$A$4:$B$5000,2,FALSE)),"")</f>
        <v/>
      </c>
      <c r="P214" s="67" t="str">
        <f t="shared" si="55"/>
        <v/>
      </c>
      <c r="Q214" s="63"/>
      <c r="R214" s="63"/>
      <c r="S214" s="62"/>
      <c r="T214" s="41"/>
      <c r="U214" s="73"/>
      <c r="V214" s="41" t="str">
        <f t="shared" si="56"/>
        <v/>
      </c>
    </row>
    <row r="215" spans="1:22" s="34" customFormat="1" x14ac:dyDescent="0.25">
      <c r="A215" s="24" t="str">
        <f t="shared" si="43"/>
        <v/>
      </c>
      <c r="B215" s="25"/>
      <c r="C215" s="26" t="str">
        <f t="shared" si="44"/>
        <v/>
      </c>
      <c r="D215" s="12"/>
      <c r="E215" s="27" t="str">
        <f t="shared" si="45"/>
        <v/>
      </c>
      <c r="F215" s="30" t="str">
        <f t="shared" si="46"/>
        <v/>
      </c>
      <c r="G215" s="29" t="str">
        <f t="shared" si="47"/>
        <v/>
      </c>
      <c r="H215" s="30" t="str">
        <f t="shared" si="48"/>
        <v/>
      </c>
      <c r="I215" s="31" t="str">
        <f t="shared" si="49"/>
        <v/>
      </c>
      <c r="J215" s="30" t="str">
        <f t="shared" si="50"/>
        <v/>
      </c>
      <c r="K215" s="30" t="str">
        <f t="shared" si="51"/>
        <v/>
      </c>
      <c r="L215" s="67" t="str">
        <f t="shared" si="52"/>
        <v/>
      </c>
      <c r="M215" s="68" t="str">
        <f t="shared" si="53"/>
        <v/>
      </c>
      <c r="N215" s="67" t="str">
        <f t="shared" si="54"/>
        <v/>
      </c>
      <c r="O215" s="69" t="str">
        <f>IFERROR(IF($C215="","",VLOOKUP($N215,Feriados!$A$4:$B$5000,2,FALSE)),"")</f>
        <v/>
      </c>
      <c r="P215" s="67" t="str">
        <f t="shared" si="55"/>
        <v/>
      </c>
      <c r="Q215" s="63"/>
      <c r="R215" s="63"/>
      <c r="S215" s="62"/>
      <c r="T215" s="41"/>
      <c r="U215" s="73"/>
      <c r="V215" s="41" t="str">
        <f t="shared" si="56"/>
        <v/>
      </c>
    </row>
    <row r="216" spans="1:22" s="34" customFormat="1" x14ac:dyDescent="0.25">
      <c r="A216" s="24" t="str">
        <f t="shared" si="43"/>
        <v/>
      </c>
      <c r="B216" s="25"/>
      <c r="C216" s="26" t="str">
        <f t="shared" si="44"/>
        <v/>
      </c>
      <c r="D216" s="12"/>
      <c r="E216" s="27" t="str">
        <f t="shared" si="45"/>
        <v/>
      </c>
      <c r="F216" s="30" t="str">
        <f t="shared" si="46"/>
        <v/>
      </c>
      <c r="G216" s="29" t="str">
        <f t="shared" si="47"/>
        <v/>
      </c>
      <c r="H216" s="30" t="str">
        <f t="shared" si="48"/>
        <v/>
      </c>
      <c r="I216" s="31" t="str">
        <f t="shared" si="49"/>
        <v/>
      </c>
      <c r="J216" s="30" t="str">
        <f t="shared" si="50"/>
        <v/>
      </c>
      <c r="K216" s="30" t="str">
        <f t="shared" si="51"/>
        <v/>
      </c>
      <c r="L216" s="67" t="str">
        <f t="shared" si="52"/>
        <v/>
      </c>
      <c r="M216" s="68" t="str">
        <f t="shared" si="53"/>
        <v/>
      </c>
      <c r="N216" s="67" t="str">
        <f t="shared" si="54"/>
        <v/>
      </c>
      <c r="O216" s="69" t="str">
        <f>IFERROR(IF($C216="","",VLOOKUP($N216,Feriados!$A$4:$B$5000,2,FALSE)),"")</f>
        <v/>
      </c>
      <c r="P216" s="67" t="str">
        <f t="shared" si="55"/>
        <v/>
      </c>
      <c r="Q216" s="63"/>
      <c r="R216" s="63"/>
      <c r="S216" s="62"/>
      <c r="T216" s="41"/>
      <c r="U216" s="73"/>
      <c r="V216" s="41" t="str">
        <f t="shared" si="56"/>
        <v/>
      </c>
    </row>
    <row r="217" spans="1:22" s="34" customFormat="1" x14ac:dyDescent="0.25">
      <c r="A217" s="24" t="str">
        <f t="shared" si="43"/>
        <v/>
      </c>
      <c r="B217" s="25"/>
      <c r="C217" s="26" t="str">
        <f t="shared" si="44"/>
        <v/>
      </c>
      <c r="D217" s="12"/>
      <c r="E217" s="27" t="str">
        <f t="shared" si="45"/>
        <v/>
      </c>
      <c r="F217" s="30" t="str">
        <f t="shared" si="46"/>
        <v/>
      </c>
      <c r="G217" s="29" t="str">
        <f t="shared" si="47"/>
        <v/>
      </c>
      <c r="H217" s="30" t="str">
        <f t="shared" si="48"/>
        <v/>
      </c>
      <c r="I217" s="31" t="str">
        <f t="shared" si="49"/>
        <v/>
      </c>
      <c r="J217" s="30" t="str">
        <f t="shared" si="50"/>
        <v/>
      </c>
      <c r="K217" s="30" t="str">
        <f t="shared" si="51"/>
        <v/>
      </c>
      <c r="L217" s="67" t="str">
        <f t="shared" si="52"/>
        <v/>
      </c>
      <c r="M217" s="68" t="str">
        <f t="shared" si="53"/>
        <v/>
      </c>
      <c r="N217" s="67" t="str">
        <f t="shared" si="54"/>
        <v/>
      </c>
      <c r="O217" s="69" t="str">
        <f>IFERROR(IF($C217="","",VLOOKUP($N217,Feriados!$A$4:$B$5000,2,FALSE)),"")</f>
        <v/>
      </c>
      <c r="P217" s="67" t="str">
        <f t="shared" si="55"/>
        <v/>
      </c>
      <c r="Q217" s="63"/>
      <c r="R217" s="63"/>
      <c r="S217" s="62"/>
      <c r="T217" s="41"/>
      <c r="U217" s="73"/>
      <c r="V217" s="41" t="str">
        <f t="shared" si="56"/>
        <v/>
      </c>
    </row>
    <row r="218" spans="1:22" s="34" customFormat="1" x14ac:dyDescent="0.25">
      <c r="A218" s="24" t="str">
        <f t="shared" si="43"/>
        <v/>
      </c>
      <c r="B218" s="25"/>
      <c r="C218" s="26" t="str">
        <f t="shared" si="44"/>
        <v/>
      </c>
      <c r="D218" s="12"/>
      <c r="E218" s="27" t="str">
        <f t="shared" si="45"/>
        <v/>
      </c>
      <c r="F218" s="30" t="str">
        <f t="shared" si="46"/>
        <v/>
      </c>
      <c r="G218" s="29" t="str">
        <f t="shared" si="47"/>
        <v/>
      </c>
      <c r="H218" s="30" t="str">
        <f t="shared" si="48"/>
        <v/>
      </c>
      <c r="I218" s="31" t="str">
        <f t="shared" si="49"/>
        <v/>
      </c>
      <c r="J218" s="30" t="str">
        <f t="shared" si="50"/>
        <v/>
      </c>
      <c r="K218" s="30" t="str">
        <f t="shared" si="51"/>
        <v/>
      </c>
      <c r="L218" s="67" t="str">
        <f t="shared" si="52"/>
        <v/>
      </c>
      <c r="M218" s="68" t="str">
        <f t="shared" si="53"/>
        <v/>
      </c>
      <c r="N218" s="67" t="str">
        <f t="shared" si="54"/>
        <v/>
      </c>
      <c r="O218" s="69" t="str">
        <f>IFERROR(IF($C218="","",VLOOKUP($N218,Feriados!$A$4:$B$5000,2,FALSE)),"")</f>
        <v/>
      </c>
      <c r="P218" s="67" t="str">
        <f t="shared" si="55"/>
        <v/>
      </c>
      <c r="Q218" s="63"/>
      <c r="R218" s="63"/>
      <c r="S218" s="62"/>
      <c r="T218" s="41"/>
      <c r="U218" s="73"/>
      <c r="V218" s="41" t="str">
        <f t="shared" si="56"/>
        <v/>
      </c>
    </row>
    <row r="219" spans="1:22" s="34" customFormat="1" x14ac:dyDescent="0.25">
      <c r="A219" s="24" t="str">
        <f t="shared" si="43"/>
        <v/>
      </c>
      <c r="B219" s="25"/>
      <c r="C219" s="26" t="str">
        <f t="shared" si="44"/>
        <v/>
      </c>
      <c r="D219" s="12"/>
      <c r="E219" s="27" t="str">
        <f t="shared" si="45"/>
        <v/>
      </c>
      <c r="F219" s="30" t="str">
        <f t="shared" si="46"/>
        <v/>
      </c>
      <c r="G219" s="29" t="str">
        <f t="shared" si="47"/>
        <v/>
      </c>
      <c r="H219" s="30" t="str">
        <f t="shared" si="48"/>
        <v/>
      </c>
      <c r="I219" s="31" t="str">
        <f t="shared" si="49"/>
        <v/>
      </c>
      <c r="J219" s="30" t="str">
        <f t="shared" si="50"/>
        <v/>
      </c>
      <c r="K219" s="30" t="str">
        <f t="shared" si="51"/>
        <v/>
      </c>
      <c r="L219" s="67" t="str">
        <f t="shared" si="52"/>
        <v/>
      </c>
      <c r="M219" s="68" t="str">
        <f t="shared" si="53"/>
        <v/>
      </c>
      <c r="N219" s="67" t="str">
        <f t="shared" si="54"/>
        <v/>
      </c>
      <c r="O219" s="69" t="str">
        <f>IFERROR(IF($C219="","",VLOOKUP($N219,Feriados!$A$4:$B$5000,2,FALSE)),"")</f>
        <v/>
      </c>
      <c r="P219" s="67" t="str">
        <f t="shared" si="55"/>
        <v/>
      </c>
      <c r="Q219" s="63"/>
      <c r="R219" s="63"/>
      <c r="S219" s="62"/>
      <c r="T219" s="41"/>
      <c r="U219" s="73"/>
      <c r="V219" s="41" t="str">
        <f t="shared" si="56"/>
        <v/>
      </c>
    </row>
    <row r="220" spans="1:22" s="34" customFormat="1" x14ac:dyDescent="0.25">
      <c r="A220" s="24" t="str">
        <f t="shared" si="43"/>
        <v/>
      </c>
      <c r="B220" s="25"/>
      <c r="C220" s="26" t="str">
        <f t="shared" si="44"/>
        <v/>
      </c>
      <c r="D220" s="12"/>
      <c r="E220" s="27" t="str">
        <f t="shared" si="45"/>
        <v/>
      </c>
      <c r="F220" s="30" t="str">
        <f t="shared" si="46"/>
        <v/>
      </c>
      <c r="G220" s="29" t="str">
        <f t="shared" si="47"/>
        <v/>
      </c>
      <c r="H220" s="30" t="str">
        <f t="shared" si="48"/>
        <v/>
      </c>
      <c r="I220" s="31" t="str">
        <f t="shared" si="49"/>
        <v/>
      </c>
      <c r="J220" s="30" t="str">
        <f t="shared" si="50"/>
        <v/>
      </c>
      <c r="K220" s="30" t="str">
        <f t="shared" si="51"/>
        <v/>
      </c>
      <c r="L220" s="67" t="str">
        <f t="shared" si="52"/>
        <v/>
      </c>
      <c r="M220" s="68" t="str">
        <f t="shared" si="53"/>
        <v/>
      </c>
      <c r="N220" s="67" t="str">
        <f t="shared" si="54"/>
        <v/>
      </c>
      <c r="O220" s="69" t="str">
        <f>IFERROR(IF($C220="","",VLOOKUP($N220,Feriados!$A$4:$B$5000,2,FALSE)),"")</f>
        <v/>
      </c>
      <c r="P220" s="67" t="str">
        <f t="shared" si="55"/>
        <v/>
      </c>
      <c r="Q220" s="63"/>
      <c r="R220" s="63"/>
      <c r="S220" s="62"/>
      <c r="T220" s="41"/>
      <c r="U220" s="73"/>
      <c r="V220" s="41" t="str">
        <f t="shared" si="56"/>
        <v/>
      </c>
    </row>
    <row r="221" spans="1:22" s="34" customFormat="1" x14ac:dyDescent="0.25">
      <c r="A221" s="24" t="str">
        <f t="shared" si="43"/>
        <v/>
      </c>
      <c r="B221" s="25"/>
      <c r="C221" s="26" t="str">
        <f t="shared" si="44"/>
        <v/>
      </c>
      <c r="D221" s="12"/>
      <c r="E221" s="27" t="str">
        <f t="shared" si="45"/>
        <v/>
      </c>
      <c r="F221" s="30" t="str">
        <f t="shared" si="46"/>
        <v/>
      </c>
      <c r="G221" s="29" t="str">
        <f t="shared" si="47"/>
        <v/>
      </c>
      <c r="H221" s="30" t="str">
        <f t="shared" si="48"/>
        <v/>
      </c>
      <c r="I221" s="31" t="str">
        <f t="shared" si="49"/>
        <v/>
      </c>
      <c r="J221" s="30" t="str">
        <f t="shared" si="50"/>
        <v/>
      </c>
      <c r="K221" s="30" t="str">
        <f t="shared" si="51"/>
        <v/>
      </c>
      <c r="L221" s="67" t="str">
        <f t="shared" si="52"/>
        <v/>
      </c>
      <c r="M221" s="68" t="str">
        <f t="shared" si="53"/>
        <v/>
      </c>
      <c r="N221" s="67" t="str">
        <f t="shared" si="54"/>
        <v/>
      </c>
      <c r="O221" s="69" t="str">
        <f>IFERROR(IF($C221="","",VLOOKUP($N221,Feriados!$A$4:$B$5000,2,FALSE)),"")</f>
        <v/>
      </c>
      <c r="P221" s="67" t="str">
        <f t="shared" si="55"/>
        <v/>
      </c>
      <c r="Q221" s="63"/>
      <c r="R221" s="63"/>
      <c r="S221" s="62"/>
      <c r="T221" s="41"/>
      <c r="U221" s="73"/>
      <c r="V221" s="41" t="str">
        <f t="shared" si="56"/>
        <v/>
      </c>
    </row>
    <row r="222" spans="1:22" s="34" customFormat="1" x14ac:dyDescent="0.25">
      <c r="A222" s="24" t="str">
        <f t="shared" si="43"/>
        <v/>
      </c>
      <c r="B222" s="25"/>
      <c r="C222" s="26" t="str">
        <f t="shared" si="44"/>
        <v/>
      </c>
      <c r="D222" s="12"/>
      <c r="E222" s="27" t="str">
        <f t="shared" si="45"/>
        <v/>
      </c>
      <c r="F222" s="30" t="str">
        <f t="shared" si="46"/>
        <v/>
      </c>
      <c r="G222" s="29" t="str">
        <f t="shared" si="47"/>
        <v/>
      </c>
      <c r="H222" s="30" t="str">
        <f t="shared" si="48"/>
        <v/>
      </c>
      <c r="I222" s="31" t="str">
        <f t="shared" si="49"/>
        <v/>
      </c>
      <c r="J222" s="30" t="str">
        <f t="shared" si="50"/>
        <v/>
      </c>
      <c r="K222" s="30" t="str">
        <f t="shared" si="51"/>
        <v/>
      </c>
      <c r="L222" s="67" t="str">
        <f t="shared" si="52"/>
        <v/>
      </c>
      <c r="M222" s="68" t="str">
        <f t="shared" si="53"/>
        <v/>
      </c>
      <c r="N222" s="67" t="str">
        <f t="shared" si="54"/>
        <v/>
      </c>
      <c r="O222" s="69" t="str">
        <f>IFERROR(IF($C222="","",VLOOKUP($N222,Feriados!$A$4:$B$5000,2,FALSE)),"")</f>
        <v/>
      </c>
      <c r="P222" s="67" t="str">
        <f t="shared" si="55"/>
        <v/>
      </c>
      <c r="Q222" s="63"/>
      <c r="R222" s="63"/>
      <c r="S222" s="62"/>
      <c r="T222" s="41"/>
      <c r="U222" s="73"/>
      <c r="V222" s="41" t="str">
        <f t="shared" si="56"/>
        <v/>
      </c>
    </row>
    <row r="223" spans="1:22" s="34" customFormat="1" x14ac:dyDescent="0.25">
      <c r="A223" s="24" t="str">
        <f t="shared" si="43"/>
        <v/>
      </c>
      <c r="B223" s="25"/>
      <c r="C223" s="26" t="str">
        <f t="shared" si="44"/>
        <v/>
      </c>
      <c r="D223" s="12"/>
      <c r="E223" s="27" t="str">
        <f t="shared" si="45"/>
        <v/>
      </c>
      <c r="F223" s="30" t="str">
        <f t="shared" si="46"/>
        <v/>
      </c>
      <c r="G223" s="29" t="str">
        <f t="shared" si="47"/>
        <v/>
      </c>
      <c r="H223" s="30" t="str">
        <f t="shared" si="48"/>
        <v/>
      </c>
      <c r="I223" s="31" t="str">
        <f t="shared" si="49"/>
        <v/>
      </c>
      <c r="J223" s="30" t="str">
        <f t="shared" si="50"/>
        <v/>
      </c>
      <c r="K223" s="30" t="str">
        <f t="shared" si="51"/>
        <v/>
      </c>
      <c r="L223" s="67" t="str">
        <f t="shared" si="52"/>
        <v/>
      </c>
      <c r="M223" s="68" t="str">
        <f t="shared" si="53"/>
        <v/>
      </c>
      <c r="N223" s="67" t="str">
        <f t="shared" si="54"/>
        <v/>
      </c>
      <c r="O223" s="69" t="str">
        <f>IFERROR(IF($C223="","",VLOOKUP($N223,Feriados!$A$4:$B$5000,2,FALSE)),"")</f>
        <v/>
      </c>
      <c r="P223" s="67" t="str">
        <f t="shared" si="55"/>
        <v/>
      </c>
      <c r="Q223" s="63"/>
      <c r="R223" s="63"/>
      <c r="S223" s="62"/>
      <c r="T223" s="41"/>
      <c r="U223" s="73"/>
      <c r="V223" s="41" t="str">
        <f t="shared" si="56"/>
        <v/>
      </c>
    </row>
    <row r="224" spans="1:22" s="34" customFormat="1" x14ac:dyDescent="0.25">
      <c r="A224" s="24" t="str">
        <f t="shared" si="43"/>
        <v/>
      </c>
      <c r="B224" s="25"/>
      <c r="C224" s="26" t="str">
        <f t="shared" si="44"/>
        <v/>
      </c>
      <c r="D224" s="12"/>
      <c r="E224" s="27" t="str">
        <f t="shared" si="45"/>
        <v/>
      </c>
      <c r="F224" s="30" t="str">
        <f t="shared" si="46"/>
        <v/>
      </c>
      <c r="G224" s="29" t="str">
        <f t="shared" si="47"/>
        <v/>
      </c>
      <c r="H224" s="30" t="str">
        <f t="shared" si="48"/>
        <v/>
      </c>
      <c r="I224" s="31" t="str">
        <f t="shared" si="49"/>
        <v/>
      </c>
      <c r="J224" s="30" t="str">
        <f t="shared" si="50"/>
        <v/>
      </c>
      <c r="K224" s="30" t="str">
        <f t="shared" si="51"/>
        <v/>
      </c>
      <c r="L224" s="67" t="str">
        <f t="shared" si="52"/>
        <v/>
      </c>
      <c r="M224" s="68" t="str">
        <f t="shared" si="53"/>
        <v/>
      </c>
      <c r="N224" s="67" t="str">
        <f t="shared" si="54"/>
        <v/>
      </c>
      <c r="O224" s="69" t="str">
        <f>IFERROR(IF($C224="","",VLOOKUP($N224,Feriados!$A$4:$B$5000,2,FALSE)),"")</f>
        <v/>
      </c>
      <c r="P224" s="67" t="str">
        <f t="shared" si="55"/>
        <v/>
      </c>
      <c r="Q224" s="63"/>
      <c r="R224" s="63"/>
      <c r="S224" s="62"/>
      <c r="T224" s="41"/>
      <c r="U224" s="73"/>
      <c r="V224" s="41" t="str">
        <f t="shared" si="56"/>
        <v/>
      </c>
    </row>
    <row r="225" spans="1:22" s="34" customFormat="1" x14ac:dyDescent="0.25">
      <c r="A225" s="24" t="str">
        <f t="shared" si="43"/>
        <v/>
      </c>
      <c r="B225" s="25"/>
      <c r="C225" s="26" t="str">
        <f t="shared" si="44"/>
        <v/>
      </c>
      <c r="D225" s="12"/>
      <c r="E225" s="27" t="str">
        <f t="shared" si="45"/>
        <v/>
      </c>
      <c r="F225" s="30" t="str">
        <f t="shared" si="46"/>
        <v/>
      </c>
      <c r="G225" s="29" t="str">
        <f t="shared" si="47"/>
        <v/>
      </c>
      <c r="H225" s="30" t="str">
        <f t="shared" si="48"/>
        <v/>
      </c>
      <c r="I225" s="31" t="str">
        <f t="shared" si="49"/>
        <v/>
      </c>
      <c r="J225" s="30" t="str">
        <f t="shared" si="50"/>
        <v/>
      </c>
      <c r="K225" s="30" t="str">
        <f t="shared" si="51"/>
        <v/>
      </c>
      <c r="L225" s="67" t="str">
        <f t="shared" si="52"/>
        <v/>
      </c>
      <c r="M225" s="68" t="str">
        <f t="shared" si="53"/>
        <v/>
      </c>
      <c r="N225" s="67" t="str">
        <f t="shared" si="54"/>
        <v/>
      </c>
      <c r="O225" s="69" t="str">
        <f>IFERROR(IF($C225="","",VLOOKUP($N225,Feriados!$A$4:$B$5000,2,FALSE)),"")</f>
        <v/>
      </c>
      <c r="P225" s="67" t="str">
        <f t="shared" si="55"/>
        <v/>
      </c>
      <c r="Q225" s="63"/>
      <c r="R225" s="63"/>
      <c r="S225" s="62"/>
      <c r="T225" s="41"/>
      <c r="U225" s="73"/>
      <c r="V225" s="41" t="str">
        <f t="shared" si="56"/>
        <v/>
      </c>
    </row>
    <row r="226" spans="1:22" s="34" customFormat="1" x14ac:dyDescent="0.25">
      <c r="A226" s="24" t="str">
        <f t="shared" si="43"/>
        <v/>
      </c>
      <c r="B226" s="25"/>
      <c r="C226" s="26" t="str">
        <f t="shared" si="44"/>
        <v/>
      </c>
      <c r="D226" s="12"/>
      <c r="E226" s="27" t="str">
        <f t="shared" si="45"/>
        <v/>
      </c>
      <c r="F226" s="30" t="str">
        <f t="shared" si="46"/>
        <v/>
      </c>
      <c r="G226" s="29" t="str">
        <f t="shared" si="47"/>
        <v/>
      </c>
      <c r="H226" s="30" t="str">
        <f t="shared" si="48"/>
        <v/>
      </c>
      <c r="I226" s="31" t="str">
        <f t="shared" si="49"/>
        <v/>
      </c>
      <c r="J226" s="30" t="str">
        <f t="shared" si="50"/>
        <v/>
      </c>
      <c r="K226" s="30" t="str">
        <f t="shared" si="51"/>
        <v/>
      </c>
      <c r="L226" s="67" t="str">
        <f t="shared" si="52"/>
        <v/>
      </c>
      <c r="M226" s="68" t="str">
        <f t="shared" si="53"/>
        <v/>
      </c>
      <c r="N226" s="67" t="str">
        <f t="shared" si="54"/>
        <v/>
      </c>
      <c r="O226" s="69" t="str">
        <f>IFERROR(IF($C226="","",VLOOKUP($N226,Feriados!$A$4:$B$5000,2,FALSE)),"")</f>
        <v/>
      </c>
      <c r="P226" s="67" t="str">
        <f t="shared" si="55"/>
        <v/>
      </c>
      <c r="Q226" s="63"/>
      <c r="R226" s="63"/>
      <c r="S226" s="62"/>
      <c r="T226" s="41"/>
      <c r="U226" s="73"/>
      <c r="V226" s="41" t="str">
        <f t="shared" si="56"/>
        <v/>
      </c>
    </row>
    <row r="227" spans="1:22" s="34" customFormat="1" x14ac:dyDescent="0.25">
      <c r="A227" s="24" t="str">
        <f t="shared" si="43"/>
        <v/>
      </c>
      <c r="B227" s="25"/>
      <c r="C227" s="26" t="str">
        <f t="shared" si="44"/>
        <v/>
      </c>
      <c r="D227" s="12"/>
      <c r="E227" s="27" t="str">
        <f t="shared" si="45"/>
        <v/>
      </c>
      <c r="F227" s="30" t="str">
        <f t="shared" si="46"/>
        <v/>
      </c>
      <c r="G227" s="29" t="str">
        <f t="shared" si="47"/>
        <v/>
      </c>
      <c r="H227" s="30" t="str">
        <f t="shared" si="48"/>
        <v/>
      </c>
      <c r="I227" s="31" t="str">
        <f t="shared" si="49"/>
        <v/>
      </c>
      <c r="J227" s="30" t="str">
        <f t="shared" si="50"/>
        <v/>
      </c>
      <c r="K227" s="30" t="str">
        <f t="shared" si="51"/>
        <v/>
      </c>
      <c r="L227" s="67" t="str">
        <f t="shared" si="52"/>
        <v/>
      </c>
      <c r="M227" s="68" t="str">
        <f t="shared" si="53"/>
        <v/>
      </c>
      <c r="N227" s="67" t="str">
        <f t="shared" si="54"/>
        <v/>
      </c>
      <c r="O227" s="69" t="str">
        <f>IFERROR(IF($C227="","",VLOOKUP($N227,Feriados!$A$4:$B$5000,2,FALSE)),"")</f>
        <v/>
      </c>
      <c r="P227" s="67" t="str">
        <f t="shared" si="55"/>
        <v/>
      </c>
      <c r="Q227" s="63"/>
      <c r="R227" s="63"/>
      <c r="S227" s="62"/>
      <c r="T227" s="41"/>
      <c r="U227" s="73"/>
      <c r="V227" s="41" t="str">
        <f t="shared" si="56"/>
        <v/>
      </c>
    </row>
    <row r="228" spans="1:22" s="34" customFormat="1" x14ac:dyDescent="0.25">
      <c r="A228" s="24" t="str">
        <f t="shared" si="43"/>
        <v/>
      </c>
      <c r="B228" s="25"/>
      <c r="C228" s="26" t="str">
        <f t="shared" si="44"/>
        <v/>
      </c>
      <c r="D228" s="12"/>
      <c r="E228" s="27" t="str">
        <f t="shared" si="45"/>
        <v/>
      </c>
      <c r="F228" s="30" t="str">
        <f t="shared" si="46"/>
        <v/>
      </c>
      <c r="G228" s="29" t="str">
        <f t="shared" si="47"/>
        <v/>
      </c>
      <c r="H228" s="30" t="str">
        <f t="shared" si="48"/>
        <v/>
      </c>
      <c r="I228" s="31" t="str">
        <f t="shared" si="49"/>
        <v/>
      </c>
      <c r="J228" s="30" t="str">
        <f t="shared" si="50"/>
        <v/>
      </c>
      <c r="K228" s="30" t="str">
        <f t="shared" si="51"/>
        <v/>
      </c>
      <c r="L228" s="67" t="str">
        <f t="shared" si="52"/>
        <v/>
      </c>
      <c r="M228" s="68" t="str">
        <f t="shared" si="53"/>
        <v/>
      </c>
      <c r="N228" s="67" t="str">
        <f t="shared" si="54"/>
        <v/>
      </c>
      <c r="O228" s="69" t="str">
        <f>IFERROR(IF($C228="","",VLOOKUP($N228,Feriados!$A$4:$B$5000,2,FALSE)),"")</f>
        <v/>
      </c>
      <c r="P228" s="67" t="str">
        <f t="shared" si="55"/>
        <v/>
      </c>
      <c r="Q228" s="63"/>
      <c r="R228" s="63"/>
      <c r="S228" s="62"/>
      <c r="T228" s="41"/>
      <c r="U228" s="73"/>
      <c r="V228" s="41" t="str">
        <f t="shared" si="56"/>
        <v/>
      </c>
    </row>
    <row r="229" spans="1:22" s="34" customFormat="1" x14ac:dyDescent="0.25">
      <c r="A229" s="24" t="str">
        <f t="shared" si="43"/>
        <v/>
      </c>
      <c r="B229" s="25"/>
      <c r="C229" s="26" t="str">
        <f t="shared" si="44"/>
        <v/>
      </c>
      <c r="D229" s="12"/>
      <c r="E229" s="27" t="str">
        <f t="shared" si="45"/>
        <v/>
      </c>
      <c r="F229" s="30" t="str">
        <f t="shared" si="46"/>
        <v/>
      </c>
      <c r="G229" s="29" t="str">
        <f t="shared" si="47"/>
        <v/>
      </c>
      <c r="H229" s="30" t="str">
        <f t="shared" si="48"/>
        <v/>
      </c>
      <c r="I229" s="31" t="str">
        <f t="shared" si="49"/>
        <v/>
      </c>
      <c r="J229" s="30" t="str">
        <f t="shared" si="50"/>
        <v/>
      </c>
      <c r="K229" s="30" t="str">
        <f t="shared" si="51"/>
        <v/>
      </c>
      <c r="L229" s="67" t="str">
        <f t="shared" si="52"/>
        <v/>
      </c>
      <c r="M229" s="68" t="str">
        <f t="shared" si="53"/>
        <v/>
      </c>
      <c r="N229" s="67" t="str">
        <f t="shared" si="54"/>
        <v/>
      </c>
      <c r="O229" s="69" t="str">
        <f>IFERROR(IF($C229="","",VLOOKUP($N229,Feriados!$A$4:$B$5000,2,FALSE)),"")</f>
        <v/>
      </c>
      <c r="P229" s="67" t="str">
        <f t="shared" si="55"/>
        <v/>
      </c>
      <c r="Q229" s="63"/>
      <c r="R229" s="63"/>
      <c r="S229" s="62"/>
      <c r="T229" s="41"/>
      <c r="U229" s="73"/>
      <c r="V229" s="41" t="str">
        <f t="shared" si="56"/>
        <v/>
      </c>
    </row>
    <row r="230" spans="1:22" s="34" customFormat="1" x14ac:dyDescent="0.25">
      <c r="A230" s="24" t="str">
        <f t="shared" si="43"/>
        <v/>
      </c>
      <c r="B230" s="25"/>
      <c r="C230" s="26" t="str">
        <f t="shared" si="44"/>
        <v/>
      </c>
      <c r="D230" s="12"/>
      <c r="E230" s="27" t="str">
        <f t="shared" si="45"/>
        <v/>
      </c>
      <c r="F230" s="30" t="str">
        <f t="shared" si="46"/>
        <v/>
      </c>
      <c r="G230" s="29" t="str">
        <f t="shared" si="47"/>
        <v/>
      </c>
      <c r="H230" s="30" t="str">
        <f t="shared" si="48"/>
        <v/>
      </c>
      <c r="I230" s="31" t="str">
        <f t="shared" si="49"/>
        <v/>
      </c>
      <c r="J230" s="30" t="str">
        <f t="shared" si="50"/>
        <v/>
      </c>
      <c r="K230" s="30" t="str">
        <f t="shared" si="51"/>
        <v/>
      </c>
      <c r="L230" s="67" t="str">
        <f t="shared" si="52"/>
        <v/>
      </c>
      <c r="M230" s="68" t="str">
        <f t="shared" si="53"/>
        <v/>
      </c>
      <c r="N230" s="67" t="str">
        <f t="shared" si="54"/>
        <v/>
      </c>
      <c r="O230" s="69" t="str">
        <f>IFERROR(IF($C230="","",VLOOKUP($N230,Feriados!$A$4:$B$5000,2,FALSE)),"")</f>
        <v/>
      </c>
      <c r="P230" s="67" t="str">
        <f t="shared" si="55"/>
        <v/>
      </c>
      <c r="Q230" s="63"/>
      <c r="R230" s="63"/>
      <c r="S230" s="62"/>
      <c r="T230" s="41"/>
      <c r="U230" s="73"/>
      <c r="V230" s="41" t="str">
        <f t="shared" si="56"/>
        <v/>
      </c>
    </row>
    <row r="231" spans="1:22" s="34" customFormat="1" x14ac:dyDescent="0.25">
      <c r="A231" s="24" t="str">
        <f t="shared" si="43"/>
        <v/>
      </c>
      <c r="B231" s="25"/>
      <c r="C231" s="26" t="str">
        <f t="shared" si="44"/>
        <v/>
      </c>
      <c r="D231" s="12"/>
      <c r="E231" s="27" t="str">
        <f t="shared" si="45"/>
        <v/>
      </c>
      <c r="F231" s="30" t="str">
        <f t="shared" si="46"/>
        <v/>
      </c>
      <c r="G231" s="29" t="str">
        <f t="shared" si="47"/>
        <v/>
      </c>
      <c r="H231" s="30" t="str">
        <f t="shared" si="48"/>
        <v/>
      </c>
      <c r="I231" s="31" t="str">
        <f t="shared" si="49"/>
        <v/>
      </c>
      <c r="J231" s="30" t="str">
        <f t="shared" si="50"/>
        <v/>
      </c>
      <c r="K231" s="30" t="str">
        <f t="shared" si="51"/>
        <v/>
      </c>
      <c r="L231" s="67" t="str">
        <f t="shared" si="52"/>
        <v/>
      </c>
      <c r="M231" s="68" t="str">
        <f t="shared" si="53"/>
        <v/>
      </c>
      <c r="N231" s="67" t="str">
        <f t="shared" si="54"/>
        <v/>
      </c>
      <c r="O231" s="69" t="str">
        <f>IFERROR(IF($C231="","",VLOOKUP($N231,Feriados!$A$4:$B$5000,2,FALSE)),"")</f>
        <v/>
      </c>
      <c r="P231" s="67" t="str">
        <f t="shared" si="55"/>
        <v/>
      </c>
      <c r="Q231" s="63"/>
      <c r="R231" s="63"/>
      <c r="S231" s="62"/>
      <c r="T231" s="41"/>
      <c r="U231" s="73"/>
      <c r="V231" s="41" t="str">
        <f t="shared" si="56"/>
        <v/>
      </c>
    </row>
    <row r="232" spans="1:22" s="34" customFormat="1" x14ac:dyDescent="0.25">
      <c r="A232" s="24" t="str">
        <f t="shared" si="43"/>
        <v/>
      </c>
      <c r="B232" s="25"/>
      <c r="C232" s="26" t="str">
        <f t="shared" si="44"/>
        <v/>
      </c>
      <c r="D232" s="12"/>
      <c r="E232" s="27" t="str">
        <f t="shared" si="45"/>
        <v/>
      </c>
      <c r="F232" s="30" t="str">
        <f t="shared" si="46"/>
        <v/>
      </c>
      <c r="G232" s="29" t="str">
        <f t="shared" si="47"/>
        <v/>
      </c>
      <c r="H232" s="30" t="str">
        <f t="shared" si="48"/>
        <v/>
      </c>
      <c r="I232" s="31" t="str">
        <f t="shared" si="49"/>
        <v/>
      </c>
      <c r="J232" s="30" t="str">
        <f t="shared" si="50"/>
        <v/>
      </c>
      <c r="K232" s="30" t="str">
        <f t="shared" si="51"/>
        <v/>
      </c>
      <c r="L232" s="67" t="str">
        <f t="shared" si="52"/>
        <v/>
      </c>
      <c r="M232" s="68" t="str">
        <f t="shared" si="53"/>
        <v/>
      </c>
      <c r="N232" s="67" t="str">
        <f t="shared" si="54"/>
        <v/>
      </c>
      <c r="O232" s="69" t="str">
        <f>IFERROR(IF($C232="","",VLOOKUP($N232,Feriados!$A$4:$B$5000,2,FALSE)),"")</f>
        <v/>
      </c>
      <c r="P232" s="67" t="str">
        <f t="shared" si="55"/>
        <v/>
      </c>
      <c r="Q232" s="63"/>
      <c r="R232" s="63"/>
      <c r="S232" s="62"/>
      <c r="T232" s="41"/>
      <c r="U232" s="73"/>
      <c r="V232" s="41" t="str">
        <f t="shared" si="56"/>
        <v/>
      </c>
    </row>
    <row r="233" spans="1:22" s="34" customFormat="1" x14ac:dyDescent="0.25">
      <c r="A233" s="24" t="str">
        <f t="shared" si="43"/>
        <v/>
      </c>
      <c r="B233" s="25"/>
      <c r="C233" s="26" t="str">
        <f t="shared" si="44"/>
        <v/>
      </c>
      <c r="D233" s="12"/>
      <c r="E233" s="27" t="str">
        <f t="shared" si="45"/>
        <v/>
      </c>
      <c r="F233" s="30" t="str">
        <f t="shared" si="46"/>
        <v/>
      </c>
      <c r="G233" s="29" t="str">
        <f t="shared" si="47"/>
        <v/>
      </c>
      <c r="H233" s="30" t="str">
        <f t="shared" si="48"/>
        <v/>
      </c>
      <c r="I233" s="31" t="str">
        <f t="shared" si="49"/>
        <v/>
      </c>
      <c r="J233" s="30" t="str">
        <f t="shared" si="50"/>
        <v/>
      </c>
      <c r="K233" s="30" t="str">
        <f t="shared" si="51"/>
        <v/>
      </c>
      <c r="L233" s="67" t="str">
        <f t="shared" si="52"/>
        <v/>
      </c>
      <c r="M233" s="68" t="str">
        <f t="shared" si="53"/>
        <v/>
      </c>
      <c r="N233" s="67" t="str">
        <f t="shared" si="54"/>
        <v/>
      </c>
      <c r="O233" s="69" t="str">
        <f>IFERROR(IF($C233="","",VLOOKUP($N233,Feriados!$A$4:$B$5000,2,FALSE)),"")</f>
        <v/>
      </c>
      <c r="P233" s="67" t="str">
        <f t="shared" si="55"/>
        <v/>
      </c>
      <c r="Q233" s="63"/>
      <c r="R233" s="63"/>
      <c r="S233" s="62"/>
      <c r="T233" s="41"/>
      <c r="U233" s="73"/>
      <c r="V233" s="41" t="str">
        <f t="shared" si="56"/>
        <v/>
      </c>
    </row>
    <row r="234" spans="1:22" s="34" customFormat="1" x14ac:dyDescent="0.25">
      <c r="A234" s="24" t="str">
        <f t="shared" si="43"/>
        <v/>
      </c>
      <c r="B234" s="25"/>
      <c r="C234" s="26" t="str">
        <f t="shared" si="44"/>
        <v/>
      </c>
      <c r="D234" s="12"/>
      <c r="E234" s="27" t="str">
        <f t="shared" si="45"/>
        <v/>
      </c>
      <c r="F234" s="30" t="str">
        <f t="shared" si="46"/>
        <v/>
      </c>
      <c r="G234" s="29" t="str">
        <f t="shared" si="47"/>
        <v/>
      </c>
      <c r="H234" s="30" t="str">
        <f t="shared" si="48"/>
        <v/>
      </c>
      <c r="I234" s="31" t="str">
        <f t="shared" si="49"/>
        <v/>
      </c>
      <c r="J234" s="30" t="str">
        <f t="shared" si="50"/>
        <v/>
      </c>
      <c r="K234" s="30" t="str">
        <f t="shared" si="51"/>
        <v/>
      </c>
      <c r="L234" s="67" t="str">
        <f t="shared" si="52"/>
        <v/>
      </c>
      <c r="M234" s="68" t="str">
        <f t="shared" si="53"/>
        <v/>
      </c>
      <c r="N234" s="67" t="str">
        <f t="shared" si="54"/>
        <v/>
      </c>
      <c r="O234" s="69" t="str">
        <f>IFERROR(IF($C234="","",VLOOKUP($N234,Feriados!$A$4:$B$5000,2,FALSE)),"")</f>
        <v/>
      </c>
      <c r="P234" s="67" t="str">
        <f t="shared" si="55"/>
        <v/>
      </c>
      <c r="Q234" s="63"/>
      <c r="R234" s="63"/>
      <c r="S234" s="62"/>
      <c r="T234" s="41"/>
      <c r="U234" s="73"/>
      <c r="V234" s="41" t="str">
        <f t="shared" si="56"/>
        <v/>
      </c>
    </row>
    <row r="235" spans="1:22" s="34" customFormat="1" x14ac:dyDescent="0.25">
      <c r="A235" s="24" t="str">
        <f t="shared" si="43"/>
        <v/>
      </c>
      <c r="B235" s="25"/>
      <c r="C235" s="26" t="str">
        <f t="shared" si="44"/>
        <v/>
      </c>
      <c r="D235" s="12"/>
      <c r="E235" s="27" t="str">
        <f t="shared" si="45"/>
        <v/>
      </c>
      <c r="F235" s="30" t="str">
        <f t="shared" si="46"/>
        <v/>
      </c>
      <c r="G235" s="29" t="str">
        <f t="shared" si="47"/>
        <v/>
      </c>
      <c r="H235" s="30" t="str">
        <f t="shared" si="48"/>
        <v/>
      </c>
      <c r="I235" s="31" t="str">
        <f t="shared" si="49"/>
        <v/>
      </c>
      <c r="J235" s="30" t="str">
        <f t="shared" si="50"/>
        <v/>
      </c>
      <c r="K235" s="30" t="str">
        <f t="shared" si="51"/>
        <v/>
      </c>
      <c r="L235" s="67" t="str">
        <f t="shared" si="52"/>
        <v/>
      </c>
      <c r="M235" s="68" t="str">
        <f t="shared" si="53"/>
        <v/>
      </c>
      <c r="N235" s="67" t="str">
        <f t="shared" si="54"/>
        <v/>
      </c>
      <c r="O235" s="69" t="str">
        <f>IFERROR(IF($C235="","",VLOOKUP($N235,Feriados!$A$4:$B$5000,2,FALSE)),"")</f>
        <v/>
      </c>
      <c r="P235" s="67" t="str">
        <f t="shared" si="55"/>
        <v/>
      </c>
      <c r="Q235" s="63"/>
      <c r="R235" s="63"/>
      <c r="S235" s="62"/>
      <c r="T235" s="41"/>
      <c r="U235" s="73"/>
      <c r="V235" s="41" t="str">
        <f t="shared" si="56"/>
        <v/>
      </c>
    </row>
    <row r="236" spans="1:22" s="34" customFormat="1" x14ac:dyDescent="0.25">
      <c r="A236" s="24" t="str">
        <f t="shared" si="43"/>
        <v/>
      </c>
      <c r="B236" s="25"/>
      <c r="C236" s="26" t="str">
        <f t="shared" si="44"/>
        <v/>
      </c>
      <c r="D236" s="12"/>
      <c r="E236" s="27" t="str">
        <f t="shared" si="45"/>
        <v/>
      </c>
      <c r="F236" s="30" t="str">
        <f t="shared" si="46"/>
        <v/>
      </c>
      <c r="G236" s="29" t="str">
        <f t="shared" si="47"/>
        <v/>
      </c>
      <c r="H236" s="30" t="str">
        <f t="shared" si="48"/>
        <v/>
      </c>
      <c r="I236" s="31" t="str">
        <f t="shared" si="49"/>
        <v/>
      </c>
      <c r="J236" s="30" t="str">
        <f t="shared" si="50"/>
        <v/>
      </c>
      <c r="K236" s="30" t="str">
        <f t="shared" si="51"/>
        <v/>
      </c>
      <c r="L236" s="67" t="str">
        <f t="shared" si="52"/>
        <v/>
      </c>
      <c r="M236" s="68" t="str">
        <f t="shared" si="53"/>
        <v/>
      </c>
      <c r="N236" s="67" t="str">
        <f t="shared" si="54"/>
        <v/>
      </c>
      <c r="O236" s="69" t="str">
        <f>IFERROR(IF($C236="","",VLOOKUP($N236,Feriados!$A$4:$B$5000,2,FALSE)),"")</f>
        <v/>
      </c>
      <c r="P236" s="67" t="str">
        <f t="shared" si="55"/>
        <v/>
      </c>
      <c r="Q236" s="63"/>
      <c r="R236" s="63"/>
      <c r="S236" s="62"/>
      <c r="T236" s="41"/>
      <c r="U236" s="73"/>
      <c r="V236" s="41" t="str">
        <f t="shared" si="56"/>
        <v/>
      </c>
    </row>
    <row r="237" spans="1:22" s="34" customFormat="1" x14ac:dyDescent="0.25">
      <c r="A237" s="24" t="str">
        <f t="shared" si="43"/>
        <v/>
      </c>
      <c r="B237" s="25"/>
      <c r="C237" s="26" t="str">
        <f t="shared" si="44"/>
        <v/>
      </c>
      <c r="D237" s="12"/>
      <c r="E237" s="27" t="str">
        <f t="shared" si="45"/>
        <v/>
      </c>
      <c r="F237" s="30" t="str">
        <f t="shared" si="46"/>
        <v/>
      </c>
      <c r="G237" s="29" t="str">
        <f t="shared" si="47"/>
        <v/>
      </c>
      <c r="H237" s="30" t="str">
        <f t="shared" si="48"/>
        <v/>
      </c>
      <c r="I237" s="31" t="str">
        <f t="shared" si="49"/>
        <v/>
      </c>
      <c r="J237" s="30" t="str">
        <f t="shared" si="50"/>
        <v/>
      </c>
      <c r="K237" s="30" t="str">
        <f t="shared" si="51"/>
        <v/>
      </c>
      <c r="L237" s="67" t="str">
        <f t="shared" si="52"/>
        <v/>
      </c>
      <c r="M237" s="68" t="str">
        <f t="shared" si="53"/>
        <v/>
      </c>
      <c r="N237" s="67" t="str">
        <f t="shared" si="54"/>
        <v/>
      </c>
      <c r="O237" s="69" t="str">
        <f>IFERROR(IF($C237="","",VLOOKUP($N237,Feriados!$A$4:$B$5000,2,FALSE)),"")</f>
        <v/>
      </c>
      <c r="P237" s="67" t="str">
        <f t="shared" si="55"/>
        <v/>
      </c>
      <c r="Q237" s="63"/>
      <c r="R237" s="63"/>
      <c r="S237" s="62"/>
      <c r="T237" s="41"/>
      <c r="U237" s="73"/>
      <c r="V237" s="41" t="str">
        <f t="shared" si="56"/>
        <v/>
      </c>
    </row>
    <row r="238" spans="1:22" s="34" customFormat="1" x14ac:dyDescent="0.25">
      <c r="A238" s="24" t="str">
        <f t="shared" si="43"/>
        <v/>
      </c>
      <c r="B238" s="25"/>
      <c r="C238" s="26" t="str">
        <f t="shared" si="44"/>
        <v/>
      </c>
      <c r="D238" s="12"/>
      <c r="E238" s="27" t="str">
        <f t="shared" si="45"/>
        <v/>
      </c>
      <c r="F238" s="30" t="str">
        <f t="shared" si="46"/>
        <v/>
      </c>
      <c r="G238" s="29" t="str">
        <f t="shared" si="47"/>
        <v/>
      </c>
      <c r="H238" s="30" t="str">
        <f t="shared" si="48"/>
        <v/>
      </c>
      <c r="I238" s="31" t="str">
        <f t="shared" si="49"/>
        <v/>
      </c>
      <c r="J238" s="30" t="str">
        <f t="shared" si="50"/>
        <v/>
      </c>
      <c r="K238" s="30" t="str">
        <f t="shared" si="51"/>
        <v/>
      </c>
      <c r="L238" s="67" t="str">
        <f t="shared" si="52"/>
        <v/>
      </c>
      <c r="M238" s="68" t="str">
        <f t="shared" si="53"/>
        <v/>
      </c>
      <c r="N238" s="67" t="str">
        <f t="shared" si="54"/>
        <v/>
      </c>
      <c r="O238" s="69" t="str">
        <f>IFERROR(IF($C238="","",VLOOKUP($N238,Feriados!$A$4:$B$5000,2,FALSE)),"")</f>
        <v/>
      </c>
      <c r="P238" s="67" t="str">
        <f t="shared" si="55"/>
        <v/>
      </c>
      <c r="Q238" s="63"/>
      <c r="R238" s="63"/>
      <c r="S238" s="62"/>
      <c r="T238" s="41"/>
      <c r="U238" s="73"/>
      <c r="V238" s="41" t="str">
        <f t="shared" si="56"/>
        <v/>
      </c>
    </row>
    <row r="239" spans="1:22" s="34" customFormat="1" x14ac:dyDescent="0.25">
      <c r="A239" s="24" t="str">
        <f t="shared" si="43"/>
        <v/>
      </c>
      <c r="B239" s="25"/>
      <c r="C239" s="26" t="str">
        <f t="shared" si="44"/>
        <v/>
      </c>
      <c r="D239" s="12"/>
      <c r="E239" s="27" t="str">
        <f t="shared" si="45"/>
        <v/>
      </c>
      <c r="F239" s="30" t="str">
        <f t="shared" si="46"/>
        <v/>
      </c>
      <c r="G239" s="29" t="str">
        <f t="shared" si="47"/>
        <v/>
      </c>
      <c r="H239" s="30" t="str">
        <f t="shared" si="48"/>
        <v/>
      </c>
      <c r="I239" s="31" t="str">
        <f t="shared" si="49"/>
        <v/>
      </c>
      <c r="J239" s="30" t="str">
        <f t="shared" si="50"/>
        <v/>
      </c>
      <c r="K239" s="30" t="str">
        <f t="shared" si="51"/>
        <v/>
      </c>
      <c r="L239" s="67" t="str">
        <f t="shared" si="52"/>
        <v/>
      </c>
      <c r="M239" s="68" t="str">
        <f t="shared" si="53"/>
        <v/>
      </c>
      <c r="N239" s="67" t="str">
        <f t="shared" si="54"/>
        <v/>
      </c>
      <c r="O239" s="69" t="str">
        <f>IFERROR(IF($C239="","",VLOOKUP($N239,Feriados!$A$4:$B$5000,2,FALSE)),"")</f>
        <v/>
      </c>
      <c r="P239" s="67" t="str">
        <f t="shared" si="55"/>
        <v/>
      </c>
      <c r="Q239" s="63"/>
      <c r="R239" s="63"/>
      <c r="S239" s="62"/>
      <c r="T239" s="41"/>
      <c r="U239" s="73"/>
      <c r="V239" s="41" t="str">
        <f t="shared" si="56"/>
        <v/>
      </c>
    </row>
    <row r="240" spans="1:22" s="34" customFormat="1" x14ac:dyDescent="0.25">
      <c r="A240" s="24" t="str">
        <f t="shared" si="43"/>
        <v/>
      </c>
      <c r="B240" s="25"/>
      <c r="C240" s="26" t="str">
        <f t="shared" si="44"/>
        <v/>
      </c>
      <c r="D240" s="12"/>
      <c r="E240" s="27" t="str">
        <f t="shared" si="45"/>
        <v/>
      </c>
      <c r="F240" s="30" t="str">
        <f t="shared" si="46"/>
        <v/>
      </c>
      <c r="G240" s="29" t="str">
        <f t="shared" si="47"/>
        <v/>
      </c>
      <c r="H240" s="30" t="str">
        <f t="shared" si="48"/>
        <v/>
      </c>
      <c r="I240" s="31" t="str">
        <f t="shared" si="49"/>
        <v/>
      </c>
      <c r="J240" s="30" t="str">
        <f t="shared" si="50"/>
        <v/>
      </c>
      <c r="K240" s="30" t="str">
        <f t="shared" si="51"/>
        <v/>
      </c>
      <c r="L240" s="67" t="str">
        <f t="shared" si="52"/>
        <v/>
      </c>
      <c r="M240" s="68" t="str">
        <f t="shared" si="53"/>
        <v/>
      </c>
      <c r="N240" s="67" t="str">
        <f t="shared" si="54"/>
        <v/>
      </c>
      <c r="O240" s="69" t="str">
        <f>IFERROR(IF($C240="","",VLOOKUP($N240,Feriados!$A$4:$B$5000,2,FALSE)),"")</f>
        <v/>
      </c>
      <c r="P240" s="67" t="str">
        <f t="shared" si="55"/>
        <v/>
      </c>
      <c r="Q240" s="63"/>
      <c r="R240" s="63"/>
      <c r="S240" s="62"/>
      <c r="T240" s="41"/>
      <c r="U240" s="73"/>
      <c r="V240" s="41" t="str">
        <f t="shared" si="56"/>
        <v/>
      </c>
    </row>
    <row r="241" spans="1:22" s="34" customFormat="1" x14ac:dyDescent="0.25">
      <c r="A241" s="24" t="str">
        <f t="shared" si="43"/>
        <v/>
      </c>
      <c r="B241" s="25"/>
      <c r="C241" s="26" t="str">
        <f t="shared" si="44"/>
        <v/>
      </c>
      <c r="D241" s="12"/>
      <c r="E241" s="27" t="str">
        <f t="shared" si="45"/>
        <v/>
      </c>
      <c r="F241" s="30" t="str">
        <f t="shared" si="46"/>
        <v/>
      </c>
      <c r="G241" s="29" t="str">
        <f t="shared" si="47"/>
        <v/>
      </c>
      <c r="H241" s="30" t="str">
        <f t="shared" si="48"/>
        <v/>
      </c>
      <c r="I241" s="31" t="str">
        <f t="shared" si="49"/>
        <v/>
      </c>
      <c r="J241" s="30" t="str">
        <f t="shared" si="50"/>
        <v/>
      </c>
      <c r="K241" s="30" t="str">
        <f t="shared" si="51"/>
        <v/>
      </c>
      <c r="L241" s="67" t="str">
        <f t="shared" si="52"/>
        <v/>
      </c>
      <c r="M241" s="68" t="str">
        <f t="shared" si="53"/>
        <v/>
      </c>
      <c r="N241" s="67" t="str">
        <f t="shared" si="54"/>
        <v/>
      </c>
      <c r="O241" s="69" t="str">
        <f>IFERROR(IF($C241="","",VLOOKUP($N241,Feriados!$A$4:$B$5000,2,FALSE)),"")</f>
        <v/>
      </c>
      <c r="P241" s="67" t="str">
        <f t="shared" si="55"/>
        <v/>
      </c>
      <c r="Q241" s="63"/>
      <c r="R241" s="63"/>
      <c r="S241" s="62"/>
      <c r="T241" s="41"/>
      <c r="U241" s="73"/>
      <c r="V241" s="41" t="str">
        <f t="shared" si="56"/>
        <v/>
      </c>
    </row>
    <row r="242" spans="1:22" s="34" customFormat="1" x14ac:dyDescent="0.25">
      <c r="A242" s="24" t="str">
        <f t="shared" si="43"/>
        <v/>
      </c>
      <c r="B242" s="25"/>
      <c r="C242" s="26" t="str">
        <f t="shared" si="44"/>
        <v/>
      </c>
      <c r="D242" s="12"/>
      <c r="E242" s="27" t="str">
        <f t="shared" si="45"/>
        <v/>
      </c>
      <c r="F242" s="30" t="str">
        <f t="shared" si="46"/>
        <v/>
      </c>
      <c r="G242" s="29" t="str">
        <f t="shared" si="47"/>
        <v/>
      </c>
      <c r="H242" s="30" t="str">
        <f t="shared" si="48"/>
        <v/>
      </c>
      <c r="I242" s="31" t="str">
        <f t="shared" si="49"/>
        <v/>
      </c>
      <c r="J242" s="30" t="str">
        <f t="shared" si="50"/>
        <v/>
      </c>
      <c r="K242" s="30" t="str">
        <f t="shared" si="51"/>
        <v/>
      </c>
      <c r="L242" s="67" t="str">
        <f t="shared" si="52"/>
        <v/>
      </c>
      <c r="M242" s="68" t="str">
        <f t="shared" si="53"/>
        <v/>
      </c>
      <c r="N242" s="67" t="str">
        <f t="shared" si="54"/>
        <v/>
      </c>
      <c r="O242" s="69" t="str">
        <f>IFERROR(IF($C242="","",VLOOKUP($N242,Feriados!$A$4:$B$5000,2,FALSE)),"")</f>
        <v/>
      </c>
      <c r="P242" s="67" t="str">
        <f t="shared" si="55"/>
        <v/>
      </c>
      <c r="Q242" s="63"/>
      <c r="R242" s="63"/>
      <c r="S242" s="62"/>
      <c r="T242" s="41"/>
      <c r="U242" s="73"/>
      <c r="V242" s="41" t="str">
        <f t="shared" si="56"/>
        <v/>
      </c>
    </row>
    <row r="243" spans="1:22" s="34" customFormat="1" x14ac:dyDescent="0.25">
      <c r="A243" s="24" t="str">
        <f t="shared" si="43"/>
        <v/>
      </c>
      <c r="B243" s="25"/>
      <c r="C243" s="26" t="str">
        <f t="shared" si="44"/>
        <v/>
      </c>
      <c r="D243" s="12"/>
      <c r="E243" s="27" t="str">
        <f t="shared" si="45"/>
        <v/>
      </c>
      <c r="F243" s="30" t="str">
        <f t="shared" si="46"/>
        <v/>
      </c>
      <c r="G243" s="29" t="str">
        <f t="shared" si="47"/>
        <v/>
      </c>
      <c r="H243" s="30" t="str">
        <f t="shared" si="48"/>
        <v/>
      </c>
      <c r="I243" s="31" t="str">
        <f t="shared" si="49"/>
        <v/>
      </c>
      <c r="J243" s="30" t="str">
        <f t="shared" si="50"/>
        <v/>
      </c>
      <c r="K243" s="30" t="str">
        <f t="shared" si="51"/>
        <v/>
      </c>
      <c r="L243" s="67" t="str">
        <f t="shared" si="52"/>
        <v/>
      </c>
      <c r="M243" s="68" t="str">
        <f t="shared" si="53"/>
        <v/>
      </c>
      <c r="N243" s="67" t="str">
        <f t="shared" si="54"/>
        <v/>
      </c>
      <c r="O243" s="69" t="str">
        <f>IFERROR(IF($C243="","",VLOOKUP($N243,Feriados!$A$4:$B$5000,2,FALSE)),"")</f>
        <v/>
      </c>
      <c r="P243" s="67" t="str">
        <f t="shared" si="55"/>
        <v/>
      </c>
      <c r="Q243" s="63"/>
      <c r="R243" s="63"/>
      <c r="S243" s="62"/>
      <c r="T243" s="41"/>
      <c r="U243" s="73"/>
      <c r="V243" s="41" t="str">
        <f t="shared" si="56"/>
        <v/>
      </c>
    </row>
    <row r="244" spans="1:22" s="34" customFormat="1" x14ac:dyDescent="0.25">
      <c r="A244" s="24" t="str">
        <f t="shared" ref="A244:A307" si="57">IF(E244="","",EOMONTH(E244,0))</f>
        <v/>
      </c>
      <c r="B244" s="25"/>
      <c r="C244" s="26" t="str">
        <f t="shared" si="44"/>
        <v/>
      </c>
      <c r="D244" s="12"/>
      <c r="E244" s="27" t="str">
        <f t="shared" si="45"/>
        <v/>
      </c>
      <c r="F244" s="30" t="str">
        <f t="shared" si="46"/>
        <v/>
      </c>
      <c r="G244" s="29" t="str">
        <f t="shared" si="47"/>
        <v/>
      </c>
      <c r="H244" s="30" t="str">
        <f t="shared" si="48"/>
        <v/>
      </c>
      <c r="I244" s="31" t="str">
        <f t="shared" si="49"/>
        <v/>
      </c>
      <c r="J244" s="30" t="str">
        <f t="shared" si="50"/>
        <v/>
      </c>
      <c r="K244" s="30" t="str">
        <f t="shared" si="51"/>
        <v/>
      </c>
      <c r="L244" s="67" t="str">
        <f t="shared" si="52"/>
        <v/>
      </c>
      <c r="M244" s="68" t="str">
        <f t="shared" si="53"/>
        <v/>
      </c>
      <c r="N244" s="67" t="str">
        <f t="shared" si="54"/>
        <v/>
      </c>
      <c r="O244" s="69" t="str">
        <f>IFERROR(IF($C244="","",VLOOKUP($N244,Feriados!$A$4:$B$5000,2,FALSE)),"")</f>
        <v/>
      </c>
      <c r="P244" s="67" t="str">
        <f t="shared" si="55"/>
        <v/>
      </c>
      <c r="Q244" s="63"/>
      <c r="R244" s="63"/>
      <c r="S244" s="62"/>
      <c r="T244" s="41"/>
      <c r="U244" s="73"/>
      <c r="V244" s="41" t="str">
        <f t="shared" si="56"/>
        <v/>
      </c>
    </row>
    <row r="245" spans="1:22" s="34" customFormat="1" x14ac:dyDescent="0.25">
      <c r="A245" s="24" t="str">
        <f t="shared" si="57"/>
        <v/>
      </c>
      <c r="B245" s="25"/>
      <c r="C245" s="26" t="str">
        <f t="shared" si="44"/>
        <v/>
      </c>
      <c r="D245" s="12"/>
      <c r="E245" s="27" t="str">
        <f t="shared" si="45"/>
        <v/>
      </c>
      <c r="F245" s="30" t="str">
        <f t="shared" si="46"/>
        <v/>
      </c>
      <c r="G245" s="29" t="str">
        <f t="shared" si="47"/>
        <v/>
      </c>
      <c r="H245" s="30" t="str">
        <f t="shared" si="48"/>
        <v/>
      </c>
      <c r="I245" s="31" t="str">
        <f t="shared" si="49"/>
        <v/>
      </c>
      <c r="J245" s="30" t="str">
        <f t="shared" si="50"/>
        <v/>
      </c>
      <c r="K245" s="30" t="str">
        <f t="shared" si="51"/>
        <v/>
      </c>
      <c r="L245" s="67" t="str">
        <f t="shared" si="52"/>
        <v/>
      </c>
      <c r="M245" s="68" t="str">
        <f t="shared" si="53"/>
        <v/>
      </c>
      <c r="N245" s="67" t="str">
        <f t="shared" si="54"/>
        <v/>
      </c>
      <c r="O245" s="69" t="str">
        <f>IFERROR(IF($C245="","",VLOOKUP($N245,Feriados!$A$4:$B$5000,2,FALSE)),"")</f>
        <v/>
      </c>
      <c r="P245" s="67" t="str">
        <f t="shared" si="55"/>
        <v/>
      </c>
      <c r="Q245" s="63"/>
      <c r="R245" s="63"/>
      <c r="S245" s="62"/>
      <c r="T245" s="41"/>
      <c r="U245" s="73"/>
      <c r="V245" s="41" t="str">
        <f t="shared" si="56"/>
        <v/>
      </c>
    </row>
    <row r="246" spans="1:22" s="34" customFormat="1" x14ac:dyDescent="0.25">
      <c r="A246" s="24" t="str">
        <f t="shared" si="57"/>
        <v/>
      </c>
      <c r="B246" s="25"/>
      <c r="C246" s="26" t="str">
        <f t="shared" si="44"/>
        <v/>
      </c>
      <c r="D246" s="12"/>
      <c r="E246" s="27" t="str">
        <f t="shared" si="45"/>
        <v/>
      </c>
      <c r="F246" s="30" t="str">
        <f t="shared" si="46"/>
        <v/>
      </c>
      <c r="G246" s="29" t="str">
        <f t="shared" si="47"/>
        <v/>
      </c>
      <c r="H246" s="30" t="str">
        <f t="shared" si="48"/>
        <v/>
      </c>
      <c r="I246" s="31" t="str">
        <f t="shared" si="49"/>
        <v/>
      </c>
      <c r="J246" s="30" t="str">
        <f t="shared" si="50"/>
        <v/>
      </c>
      <c r="K246" s="30" t="str">
        <f t="shared" si="51"/>
        <v/>
      </c>
      <c r="L246" s="67" t="str">
        <f t="shared" si="52"/>
        <v/>
      </c>
      <c r="M246" s="68" t="str">
        <f t="shared" si="53"/>
        <v/>
      </c>
      <c r="N246" s="67" t="str">
        <f t="shared" si="54"/>
        <v/>
      </c>
      <c r="O246" s="69" t="str">
        <f>IFERROR(IF($C246="","",VLOOKUP($N246,Feriados!$A$4:$B$5000,2,FALSE)),"")</f>
        <v/>
      </c>
      <c r="P246" s="67" t="str">
        <f t="shared" si="55"/>
        <v/>
      </c>
      <c r="Q246" s="63"/>
      <c r="R246" s="63"/>
      <c r="S246" s="62"/>
      <c r="T246" s="41"/>
      <c r="U246" s="73"/>
      <c r="V246" s="41" t="str">
        <f t="shared" si="56"/>
        <v/>
      </c>
    </row>
    <row r="247" spans="1:22" s="34" customFormat="1" x14ac:dyDescent="0.25">
      <c r="A247" s="24" t="str">
        <f t="shared" si="57"/>
        <v/>
      </c>
      <c r="B247" s="25"/>
      <c r="C247" s="26" t="str">
        <f t="shared" si="44"/>
        <v/>
      </c>
      <c r="D247" s="12"/>
      <c r="E247" s="27" t="str">
        <f t="shared" si="45"/>
        <v/>
      </c>
      <c r="F247" s="30" t="str">
        <f t="shared" si="46"/>
        <v/>
      </c>
      <c r="G247" s="29" t="str">
        <f t="shared" si="47"/>
        <v/>
      </c>
      <c r="H247" s="30" t="str">
        <f t="shared" si="48"/>
        <v/>
      </c>
      <c r="I247" s="31" t="str">
        <f t="shared" si="49"/>
        <v/>
      </c>
      <c r="J247" s="30" t="str">
        <f t="shared" si="50"/>
        <v/>
      </c>
      <c r="K247" s="30" t="str">
        <f t="shared" si="51"/>
        <v/>
      </c>
      <c r="L247" s="67" t="str">
        <f t="shared" si="52"/>
        <v/>
      </c>
      <c r="M247" s="68" t="str">
        <f t="shared" si="53"/>
        <v/>
      </c>
      <c r="N247" s="67" t="str">
        <f t="shared" si="54"/>
        <v/>
      </c>
      <c r="O247" s="69" t="str">
        <f>IFERROR(IF($C247="","",VLOOKUP($N247,Feriados!$A$4:$B$5000,2,FALSE)),"")</f>
        <v/>
      </c>
      <c r="P247" s="67" t="str">
        <f t="shared" si="55"/>
        <v/>
      </c>
      <c r="Q247" s="63"/>
      <c r="R247" s="63"/>
      <c r="S247" s="62"/>
      <c r="T247" s="41"/>
      <c r="U247" s="73"/>
      <c r="V247" s="41" t="str">
        <f t="shared" si="56"/>
        <v/>
      </c>
    </row>
    <row r="248" spans="1:22" s="34" customFormat="1" x14ac:dyDescent="0.25">
      <c r="A248" s="24" t="str">
        <f t="shared" si="57"/>
        <v/>
      </c>
      <c r="B248" s="25"/>
      <c r="C248" s="26" t="str">
        <f t="shared" si="44"/>
        <v/>
      </c>
      <c r="D248" s="12"/>
      <c r="E248" s="27" t="str">
        <f t="shared" si="45"/>
        <v/>
      </c>
      <c r="F248" s="30" t="str">
        <f t="shared" si="46"/>
        <v/>
      </c>
      <c r="G248" s="29" t="str">
        <f t="shared" si="47"/>
        <v/>
      </c>
      <c r="H248" s="30" t="str">
        <f t="shared" si="48"/>
        <v/>
      </c>
      <c r="I248" s="31" t="str">
        <f t="shared" si="49"/>
        <v/>
      </c>
      <c r="J248" s="30" t="str">
        <f t="shared" si="50"/>
        <v/>
      </c>
      <c r="K248" s="30" t="str">
        <f t="shared" si="51"/>
        <v/>
      </c>
      <c r="L248" s="67" t="str">
        <f t="shared" si="52"/>
        <v/>
      </c>
      <c r="M248" s="68" t="str">
        <f t="shared" si="53"/>
        <v/>
      </c>
      <c r="N248" s="67" t="str">
        <f t="shared" si="54"/>
        <v/>
      </c>
      <c r="O248" s="69" t="str">
        <f>IFERROR(IF($C248="","",VLOOKUP($N248,Feriados!$A$4:$B$5000,2,FALSE)),"")</f>
        <v/>
      </c>
      <c r="P248" s="67" t="str">
        <f t="shared" si="55"/>
        <v/>
      </c>
      <c r="Q248" s="63"/>
      <c r="R248" s="63"/>
      <c r="S248" s="62"/>
      <c r="T248" s="41"/>
      <c r="U248" s="73"/>
      <c r="V248" s="41" t="str">
        <f t="shared" si="56"/>
        <v/>
      </c>
    </row>
    <row r="249" spans="1:22" s="34" customFormat="1" x14ac:dyDescent="0.25">
      <c r="A249" s="24" t="str">
        <f t="shared" si="57"/>
        <v/>
      </c>
      <c r="B249" s="25"/>
      <c r="C249" s="26" t="str">
        <f t="shared" si="44"/>
        <v/>
      </c>
      <c r="D249" s="12"/>
      <c r="E249" s="27" t="str">
        <f t="shared" si="45"/>
        <v/>
      </c>
      <c r="F249" s="30" t="str">
        <f t="shared" si="46"/>
        <v/>
      </c>
      <c r="G249" s="29" t="str">
        <f t="shared" si="47"/>
        <v/>
      </c>
      <c r="H249" s="30" t="str">
        <f t="shared" si="48"/>
        <v/>
      </c>
      <c r="I249" s="31" t="str">
        <f t="shared" si="49"/>
        <v/>
      </c>
      <c r="J249" s="30" t="str">
        <f t="shared" si="50"/>
        <v/>
      </c>
      <c r="K249" s="30" t="str">
        <f t="shared" si="51"/>
        <v/>
      </c>
      <c r="L249" s="67" t="str">
        <f t="shared" si="52"/>
        <v/>
      </c>
      <c r="M249" s="68" t="str">
        <f t="shared" si="53"/>
        <v/>
      </c>
      <c r="N249" s="67" t="str">
        <f t="shared" si="54"/>
        <v/>
      </c>
      <c r="O249" s="69" t="str">
        <f>IFERROR(IF($C249="","",VLOOKUP($N249,Feriados!$A$4:$B$5000,2,FALSE)),"")</f>
        <v/>
      </c>
      <c r="P249" s="67" t="str">
        <f t="shared" si="55"/>
        <v/>
      </c>
      <c r="Q249" s="63"/>
      <c r="R249" s="63"/>
      <c r="S249" s="62"/>
      <c r="T249" s="41"/>
      <c r="U249" s="73"/>
      <c r="V249" s="41" t="str">
        <f t="shared" si="56"/>
        <v/>
      </c>
    </row>
    <row r="250" spans="1:22" s="34" customFormat="1" x14ac:dyDescent="0.25">
      <c r="A250" s="24" t="str">
        <f t="shared" si="57"/>
        <v/>
      </c>
      <c r="B250" s="25"/>
      <c r="C250" s="26" t="str">
        <f t="shared" si="44"/>
        <v/>
      </c>
      <c r="D250" s="12"/>
      <c r="E250" s="27" t="str">
        <f t="shared" si="45"/>
        <v/>
      </c>
      <c r="F250" s="30" t="str">
        <f t="shared" si="46"/>
        <v/>
      </c>
      <c r="G250" s="29" t="str">
        <f t="shared" si="47"/>
        <v/>
      </c>
      <c r="H250" s="30" t="str">
        <f t="shared" si="48"/>
        <v/>
      </c>
      <c r="I250" s="31" t="str">
        <f t="shared" si="49"/>
        <v/>
      </c>
      <c r="J250" s="30" t="str">
        <f t="shared" si="50"/>
        <v/>
      </c>
      <c r="K250" s="30" t="str">
        <f t="shared" si="51"/>
        <v/>
      </c>
      <c r="L250" s="67" t="str">
        <f t="shared" si="52"/>
        <v/>
      </c>
      <c r="M250" s="68" t="str">
        <f t="shared" si="53"/>
        <v/>
      </c>
      <c r="N250" s="67" t="str">
        <f t="shared" si="54"/>
        <v/>
      </c>
      <c r="O250" s="69" t="str">
        <f>IFERROR(IF($C250="","",VLOOKUP($N250,Feriados!$A$4:$B$5000,2,FALSE)),"")</f>
        <v/>
      </c>
      <c r="P250" s="67" t="str">
        <f t="shared" si="55"/>
        <v/>
      </c>
      <c r="Q250" s="63"/>
      <c r="R250" s="63"/>
      <c r="S250" s="62"/>
      <c r="T250" s="41"/>
      <c r="U250" s="73"/>
      <c r="V250" s="41" t="str">
        <f t="shared" si="56"/>
        <v/>
      </c>
    </row>
    <row r="251" spans="1:22" s="34" customFormat="1" x14ac:dyDescent="0.25">
      <c r="A251" s="24" t="str">
        <f t="shared" si="57"/>
        <v/>
      </c>
      <c r="B251" s="25"/>
      <c r="C251" s="26" t="str">
        <f t="shared" si="44"/>
        <v/>
      </c>
      <c r="D251" s="12"/>
      <c r="E251" s="27" t="str">
        <f t="shared" si="45"/>
        <v/>
      </c>
      <c r="F251" s="30" t="str">
        <f t="shared" si="46"/>
        <v/>
      </c>
      <c r="G251" s="29" t="str">
        <f t="shared" si="47"/>
        <v/>
      </c>
      <c r="H251" s="30" t="str">
        <f t="shared" si="48"/>
        <v/>
      </c>
      <c r="I251" s="31" t="str">
        <f t="shared" si="49"/>
        <v/>
      </c>
      <c r="J251" s="30" t="str">
        <f t="shared" si="50"/>
        <v/>
      </c>
      <c r="K251" s="30" t="str">
        <f t="shared" si="51"/>
        <v/>
      </c>
      <c r="L251" s="67" t="str">
        <f t="shared" si="52"/>
        <v/>
      </c>
      <c r="M251" s="68" t="str">
        <f t="shared" si="53"/>
        <v/>
      </c>
      <c r="N251" s="67" t="str">
        <f t="shared" si="54"/>
        <v/>
      </c>
      <c r="O251" s="69" t="str">
        <f>IFERROR(IF($C251="","",VLOOKUP($N251,Feriados!$A$4:$B$5000,2,FALSE)),"")</f>
        <v/>
      </c>
      <c r="P251" s="67" t="str">
        <f t="shared" si="55"/>
        <v/>
      </c>
      <c r="Q251" s="63"/>
      <c r="R251" s="63"/>
      <c r="S251" s="62"/>
      <c r="T251" s="41"/>
      <c r="U251" s="73"/>
      <c r="V251" s="41" t="str">
        <f t="shared" si="56"/>
        <v/>
      </c>
    </row>
    <row r="252" spans="1:22" s="34" customFormat="1" x14ac:dyDescent="0.25">
      <c r="A252" s="24" t="str">
        <f t="shared" si="57"/>
        <v/>
      </c>
      <c r="B252" s="25"/>
      <c r="C252" s="26" t="str">
        <f t="shared" si="44"/>
        <v/>
      </c>
      <c r="D252" s="12"/>
      <c r="E252" s="27" t="str">
        <f t="shared" si="45"/>
        <v/>
      </c>
      <c r="F252" s="30" t="str">
        <f t="shared" si="46"/>
        <v/>
      </c>
      <c r="G252" s="29" t="str">
        <f t="shared" si="47"/>
        <v/>
      </c>
      <c r="H252" s="30" t="str">
        <f t="shared" si="48"/>
        <v/>
      </c>
      <c r="I252" s="31" t="str">
        <f t="shared" si="49"/>
        <v/>
      </c>
      <c r="J252" s="30" t="str">
        <f t="shared" si="50"/>
        <v/>
      </c>
      <c r="K252" s="30" t="str">
        <f t="shared" si="51"/>
        <v/>
      </c>
      <c r="L252" s="67" t="str">
        <f t="shared" si="52"/>
        <v/>
      </c>
      <c r="M252" s="68" t="str">
        <f t="shared" si="53"/>
        <v/>
      </c>
      <c r="N252" s="67" t="str">
        <f t="shared" si="54"/>
        <v/>
      </c>
      <c r="O252" s="69" t="str">
        <f>IFERROR(IF($C252="","",VLOOKUP($N252,Feriados!$A$4:$B$5000,2,FALSE)),"")</f>
        <v/>
      </c>
      <c r="P252" s="67" t="str">
        <f t="shared" si="55"/>
        <v/>
      </c>
      <c r="Q252" s="63"/>
      <c r="R252" s="63"/>
      <c r="S252" s="62"/>
      <c r="T252" s="41"/>
      <c r="U252" s="73"/>
      <c r="V252" s="41" t="str">
        <f t="shared" si="56"/>
        <v/>
      </c>
    </row>
    <row r="253" spans="1:22" s="34" customFormat="1" x14ac:dyDescent="0.25">
      <c r="A253" s="24" t="str">
        <f t="shared" si="57"/>
        <v/>
      </c>
      <c r="B253" s="25"/>
      <c r="C253" s="26" t="str">
        <f t="shared" si="44"/>
        <v/>
      </c>
      <c r="D253" s="12"/>
      <c r="E253" s="27" t="str">
        <f t="shared" si="45"/>
        <v/>
      </c>
      <c r="F253" s="30" t="str">
        <f t="shared" si="46"/>
        <v/>
      </c>
      <c r="G253" s="29" t="str">
        <f t="shared" si="47"/>
        <v/>
      </c>
      <c r="H253" s="30" t="str">
        <f t="shared" si="48"/>
        <v/>
      </c>
      <c r="I253" s="31" t="str">
        <f t="shared" si="49"/>
        <v/>
      </c>
      <c r="J253" s="30" t="str">
        <f t="shared" si="50"/>
        <v/>
      </c>
      <c r="K253" s="30" t="str">
        <f t="shared" si="51"/>
        <v/>
      </c>
      <c r="L253" s="67" t="str">
        <f t="shared" si="52"/>
        <v/>
      </c>
      <c r="M253" s="68" t="str">
        <f t="shared" si="53"/>
        <v/>
      </c>
      <c r="N253" s="67" t="str">
        <f t="shared" si="54"/>
        <v/>
      </c>
      <c r="O253" s="69" t="str">
        <f>IFERROR(IF($C253="","",VLOOKUP($N253,Feriados!$A$4:$B$5000,2,FALSE)),"")</f>
        <v/>
      </c>
      <c r="P253" s="67" t="str">
        <f t="shared" si="55"/>
        <v/>
      </c>
      <c r="Q253" s="63"/>
      <c r="R253" s="63"/>
      <c r="S253" s="62"/>
      <c r="T253" s="41"/>
      <c r="U253" s="73"/>
      <c r="V253" s="41" t="str">
        <f t="shared" si="56"/>
        <v/>
      </c>
    </row>
    <row r="254" spans="1:22" s="34" customFormat="1" x14ac:dyDescent="0.25">
      <c r="A254" s="24" t="str">
        <f t="shared" si="57"/>
        <v/>
      </c>
      <c r="B254" s="25"/>
      <c r="C254" s="26" t="str">
        <f t="shared" si="44"/>
        <v/>
      </c>
      <c r="D254" s="12"/>
      <c r="E254" s="27" t="str">
        <f t="shared" si="45"/>
        <v/>
      </c>
      <c r="F254" s="30" t="str">
        <f t="shared" si="46"/>
        <v/>
      </c>
      <c r="G254" s="29" t="str">
        <f t="shared" si="47"/>
        <v/>
      </c>
      <c r="H254" s="30" t="str">
        <f t="shared" si="48"/>
        <v/>
      </c>
      <c r="I254" s="31" t="str">
        <f t="shared" si="49"/>
        <v/>
      </c>
      <c r="J254" s="30" t="str">
        <f t="shared" si="50"/>
        <v/>
      </c>
      <c r="K254" s="30" t="str">
        <f t="shared" si="51"/>
        <v/>
      </c>
      <c r="L254" s="67" t="str">
        <f t="shared" si="52"/>
        <v/>
      </c>
      <c r="M254" s="68" t="str">
        <f t="shared" si="53"/>
        <v/>
      </c>
      <c r="N254" s="67" t="str">
        <f t="shared" si="54"/>
        <v/>
      </c>
      <c r="O254" s="69" t="str">
        <f>IFERROR(IF($C254="","",VLOOKUP($N254,Feriados!$A$4:$B$5000,2,FALSE)),"")</f>
        <v/>
      </c>
      <c r="P254" s="67" t="str">
        <f t="shared" si="55"/>
        <v/>
      </c>
      <c r="Q254" s="63"/>
      <c r="R254" s="63"/>
      <c r="S254" s="62"/>
      <c r="T254" s="41"/>
      <c r="U254" s="73"/>
      <c r="V254" s="41" t="str">
        <f t="shared" si="56"/>
        <v/>
      </c>
    </row>
    <row r="255" spans="1:22" s="34" customFormat="1" x14ac:dyDescent="0.25">
      <c r="A255" s="24" t="str">
        <f t="shared" si="57"/>
        <v/>
      </c>
      <c r="B255" s="25"/>
      <c r="C255" s="26" t="str">
        <f t="shared" si="44"/>
        <v/>
      </c>
      <c r="D255" s="12"/>
      <c r="E255" s="27" t="str">
        <f t="shared" si="45"/>
        <v/>
      </c>
      <c r="F255" s="30" t="str">
        <f t="shared" si="46"/>
        <v/>
      </c>
      <c r="G255" s="29" t="str">
        <f t="shared" si="47"/>
        <v/>
      </c>
      <c r="H255" s="30" t="str">
        <f t="shared" si="48"/>
        <v/>
      </c>
      <c r="I255" s="31" t="str">
        <f t="shared" si="49"/>
        <v/>
      </c>
      <c r="J255" s="30" t="str">
        <f t="shared" si="50"/>
        <v/>
      </c>
      <c r="K255" s="30" t="str">
        <f t="shared" si="51"/>
        <v/>
      </c>
      <c r="L255" s="67" t="str">
        <f t="shared" si="52"/>
        <v/>
      </c>
      <c r="M255" s="68" t="str">
        <f t="shared" si="53"/>
        <v/>
      </c>
      <c r="N255" s="67" t="str">
        <f t="shared" si="54"/>
        <v/>
      </c>
      <c r="O255" s="69" t="str">
        <f>IFERROR(IF($C255="","",VLOOKUP($N255,Feriados!$A$4:$B$5000,2,FALSE)),"")</f>
        <v/>
      </c>
      <c r="P255" s="67" t="str">
        <f t="shared" si="55"/>
        <v/>
      </c>
      <c r="Q255" s="63"/>
      <c r="R255" s="63"/>
      <c r="S255" s="62"/>
      <c r="T255" s="41"/>
      <c r="U255" s="73"/>
      <c r="V255" s="41" t="str">
        <f t="shared" si="56"/>
        <v/>
      </c>
    </row>
    <row r="256" spans="1:22" s="34" customFormat="1" x14ac:dyDescent="0.25">
      <c r="A256" s="24" t="str">
        <f t="shared" si="57"/>
        <v/>
      </c>
      <c r="B256" s="25"/>
      <c r="C256" s="26" t="str">
        <f t="shared" si="44"/>
        <v/>
      </c>
      <c r="D256" s="12"/>
      <c r="E256" s="27" t="str">
        <f t="shared" si="45"/>
        <v/>
      </c>
      <c r="F256" s="30" t="str">
        <f t="shared" si="46"/>
        <v/>
      </c>
      <c r="G256" s="29" t="str">
        <f t="shared" si="47"/>
        <v/>
      </c>
      <c r="H256" s="30" t="str">
        <f t="shared" si="48"/>
        <v/>
      </c>
      <c r="I256" s="31" t="str">
        <f t="shared" si="49"/>
        <v/>
      </c>
      <c r="J256" s="30" t="str">
        <f t="shared" si="50"/>
        <v/>
      </c>
      <c r="K256" s="30" t="str">
        <f t="shared" si="51"/>
        <v/>
      </c>
      <c r="L256" s="67" t="str">
        <f t="shared" si="52"/>
        <v/>
      </c>
      <c r="M256" s="68" t="str">
        <f t="shared" si="53"/>
        <v/>
      </c>
      <c r="N256" s="67" t="str">
        <f t="shared" si="54"/>
        <v/>
      </c>
      <c r="O256" s="69" t="str">
        <f>IFERROR(IF($C256="","",VLOOKUP($N256,Feriados!$A$4:$B$5000,2,FALSE)),"")</f>
        <v/>
      </c>
      <c r="P256" s="67" t="str">
        <f t="shared" si="55"/>
        <v/>
      </c>
      <c r="Q256" s="63"/>
      <c r="R256" s="63"/>
      <c r="S256" s="62"/>
      <c r="T256" s="41"/>
      <c r="U256" s="73"/>
      <c r="V256" s="41" t="str">
        <f t="shared" si="56"/>
        <v/>
      </c>
    </row>
    <row r="257" spans="1:22" s="34" customFormat="1" x14ac:dyDescent="0.25">
      <c r="A257" s="24" t="str">
        <f t="shared" si="57"/>
        <v/>
      </c>
      <c r="B257" s="25"/>
      <c r="C257" s="26" t="str">
        <f t="shared" si="44"/>
        <v/>
      </c>
      <c r="D257" s="12"/>
      <c r="E257" s="27" t="str">
        <f t="shared" si="45"/>
        <v/>
      </c>
      <c r="F257" s="30" t="str">
        <f t="shared" si="46"/>
        <v/>
      </c>
      <c r="G257" s="29" t="str">
        <f t="shared" si="47"/>
        <v/>
      </c>
      <c r="H257" s="30" t="str">
        <f t="shared" si="48"/>
        <v/>
      </c>
      <c r="I257" s="31" t="str">
        <f t="shared" si="49"/>
        <v/>
      </c>
      <c r="J257" s="30" t="str">
        <f t="shared" si="50"/>
        <v/>
      </c>
      <c r="K257" s="30" t="str">
        <f t="shared" si="51"/>
        <v/>
      </c>
      <c r="L257" s="67" t="str">
        <f t="shared" si="52"/>
        <v/>
      </c>
      <c r="M257" s="68" t="str">
        <f t="shared" si="53"/>
        <v/>
      </c>
      <c r="N257" s="67" t="str">
        <f t="shared" si="54"/>
        <v/>
      </c>
      <c r="O257" s="69" t="str">
        <f>IFERROR(IF($C257="","",VLOOKUP($N257,Feriados!$A$4:$B$5000,2,FALSE)),"")</f>
        <v/>
      </c>
      <c r="P257" s="67" t="str">
        <f t="shared" si="55"/>
        <v/>
      </c>
      <c r="Q257" s="63"/>
      <c r="R257" s="63"/>
      <c r="S257" s="62"/>
      <c r="T257" s="41"/>
      <c r="U257" s="73"/>
      <c r="V257" s="41" t="str">
        <f t="shared" si="56"/>
        <v/>
      </c>
    </row>
    <row r="258" spans="1:22" s="34" customFormat="1" x14ac:dyDescent="0.25">
      <c r="A258" s="24" t="str">
        <f t="shared" si="57"/>
        <v/>
      </c>
      <c r="B258" s="25"/>
      <c r="C258" s="26" t="str">
        <f t="shared" si="44"/>
        <v/>
      </c>
      <c r="D258" s="12"/>
      <c r="E258" s="27" t="str">
        <f t="shared" si="45"/>
        <v/>
      </c>
      <c r="F258" s="30" t="str">
        <f t="shared" si="46"/>
        <v/>
      </c>
      <c r="G258" s="29" t="str">
        <f t="shared" si="47"/>
        <v/>
      </c>
      <c r="H258" s="30" t="str">
        <f t="shared" si="48"/>
        <v/>
      </c>
      <c r="I258" s="31" t="str">
        <f t="shared" si="49"/>
        <v/>
      </c>
      <c r="J258" s="30" t="str">
        <f t="shared" si="50"/>
        <v/>
      </c>
      <c r="K258" s="30" t="str">
        <f t="shared" si="51"/>
        <v/>
      </c>
      <c r="L258" s="67" t="str">
        <f t="shared" si="52"/>
        <v/>
      </c>
      <c r="M258" s="68" t="str">
        <f t="shared" si="53"/>
        <v/>
      </c>
      <c r="N258" s="67" t="str">
        <f t="shared" si="54"/>
        <v/>
      </c>
      <c r="O258" s="69" t="str">
        <f>IFERROR(IF($C258="","",VLOOKUP($N258,Feriados!$A$4:$B$5000,2,FALSE)),"")</f>
        <v/>
      </c>
      <c r="P258" s="67" t="str">
        <f t="shared" si="55"/>
        <v/>
      </c>
      <c r="Q258" s="63"/>
      <c r="R258" s="63"/>
      <c r="S258" s="62"/>
      <c r="T258" s="41"/>
      <c r="U258" s="73"/>
      <c r="V258" s="41" t="str">
        <f t="shared" si="56"/>
        <v/>
      </c>
    </row>
    <row r="259" spans="1:22" s="34" customFormat="1" x14ac:dyDescent="0.25">
      <c r="A259" s="24" t="str">
        <f t="shared" si="57"/>
        <v/>
      </c>
      <c r="B259" s="25"/>
      <c r="C259" s="26" t="str">
        <f t="shared" si="44"/>
        <v/>
      </c>
      <c r="D259" s="12"/>
      <c r="E259" s="27" t="str">
        <f t="shared" si="45"/>
        <v/>
      </c>
      <c r="F259" s="30" t="str">
        <f t="shared" si="46"/>
        <v/>
      </c>
      <c r="G259" s="29" t="str">
        <f t="shared" si="47"/>
        <v/>
      </c>
      <c r="H259" s="30" t="str">
        <f t="shared" si="48"/>
        <v/>
      </c>
      <c r="I259" s="31" t="str">
        <f t="shared" si="49"/>
        <v/>
      </c>
      <c r="J259" s="30" t="str">
        <f t="shared" si="50"/>
        <v/>
      </c>
      <c r="K259" s="30" t="str">
        <f t="shared" si="51"/>
        <v/>
      </c>
      <c r="L259" s="67" t="str">
        <f t="shared" si="52"/>
        <v/>
      </c>
      <c r="M259" s="68" t="str">
        <f t="shared" si="53"/>
        <v/>
      </c>
      <c r="N259" s="67" t="str">
        <f t="shared" si="54"/>
        <v/>
      </c>
      <c r="O259" s="69" t="str">
        <f>IFERROR(IF($C259="","",VLOOKUP($N259,Feriados!$A$4:$B$5000,2,FALSE)),"")</f>
        <v/>
      </c>
      <c r="P259" s="67" t="str">
        <f t="shared" si="55"/>
        <v/>
      </c>
      <c r="Q259" s="63"/>
      <c r="R259" s="63"/>
      <c r="S259" s="62"/>
      <c r="T259" s="41"/>
      <c r="U259" s="73"/>
      <c r="V259" s="41" t="str">
        <f t="shared" si="56"/>
        <v/>
      </c>
    </row>
    <row r="260" spans="1:22" s="34" customFormat="1" x14ac:dyDescent="0.25">
      <c r="A260" s="24" t="str">
        <f t="shared" si="57"/>
        <v/>
      </c>
      <c r="B260" s="25"/>
      <c r="C260" s="26" t="str">
        <f t="shared" si="44"/>
        <v/>
      </c>
      <c r="D260" s="12"/>
      <c r="E260" s="27" t="str">
        <f t="shared" si="45"/>
        <v/>
      </c>
      <c r="F260" s="30" t="str">
        <f t="shared" si="46"/>
        <v/>
      </c>
      <c r="G260" s="29" t="str">
        <f t="shared" si="47"/>
        <v/>
      </c>
      <c r="H260" s="30" t="str">
        <f t="shared" si="48"/>
        <v/>
      </c>
      <c r="I260" s="31" t="str">
        <f t="shared" si="49"/>
        <v/>
      </c>
      <c r="J260" s="30" t="str">
        <f t="shared" si="50"/>
        <v/>
      </c>
      <c r="K260" s="30" t="str">
        <f t="shared" si="51"/>
        <v/>
      </c>
      <c r="L260" s="67" t="str">
        <f t="shared" si="52"/>
        <v/>
      </c>
      <c r="M260" s="68" t="str">
        <f t="shared" si="53"/>
        <v/>
      </c>
      <c r="N260" s="67" t="str">
        <f t="shared" si="54"/>
        <v/>
      </c>
      <c r="O260" s="69" t="str">
        <f>IFERROR(IF($C260="","",VLOOKUP($N260,Feriados!$A$4:$B$5000,2,FALSE)),"")</f>
        <v/>
      </c>
      <c r="P260" s="67" t="str">
        <f t="shared" si="55"/>
        <v/>
      </c>
      <c r="Q260" s="63"/>
      <c r="R260" s="63"/>
      <c r="S260" s="62"/>
      <c r="T260" s="41"/>
      <c r="U260" s="73"/>
      <c r="V260" s="41" t="str">
        <f t="shared" si="56"/>
        <v/>
      </c>
    </row>
    <row r="261" spans="1:22" s="34" customFormat="1" x14ac:dyDescent="0.25">
      <c r="A261" s="24" t="str">
        <f t="shared" si="57"/>
        <v/>
      </c>
      <c r="B261" s="25"/>
      <c r="C261" s="26" t="str">
        <f t="shared" si="44"/>
        <v/>
      </c>
      <c r="D261" s="12"/>
      <c r="E261" s="27" t="str">
        <f t="shared" si="45"/>
        <v/>
      </c>
      <c r="F261" s="30" t="str">
        <f t="shared" si="46"/>
        <v/>
      </c>
      <c r="G261" s="29" t="str">
        <f t="shared" si="47"/>
        <v/>
      </c>
      <c r="H261" s="30" t="str">
        <f t="shared" si="48"/>
        <v/>
      </c>
      <c r="I261" s="31" t="str">
        <f t="shared" si="49"/>
        <v/>
      </c>
      <c r="J261" s="30" t="str">
        <f t="shared" si="50"/>
        <v/>
      </c>
      <c r="K261" s="30" t="str">
        <f t="shared" si="51"/>
        <v/>
      </c>
      <c r="L261" s="67" t="str">
        <f t="shared" si="52"/>
        <v/>
      </c>
      <c r="M261" s="68" t="str">
        <f t="shared" si="53"/>
        <v/>
      </c>
      <c r="N261" s="67" t="str">
        <f t="shared" si="54"/>
        <v/>
      </c>
      <c r="O261" s="69" t="str">
        <f>IFERROR(IF($C261="","",VLOOKUP($N261,Feriados!$A$4:$B$5000,2,FALSE)),"")</f>
        <v/>
      </c>
      <c r="P261" s="67" t="str">
        <f t="shared" si="55"/>
        <v/>
      </c>
      <c r="Q261" s="63"/>
      <c r="R261" s="63"/>
      <c r="S261" s="62"/>
      <c r="T261" s="41"/>
      <c r="U261" s="73"/>
      <c r="V261" s="41" t="str">
        <f t="shared" si="56"/>
        <v/>
      </c>
    </row>
    <row r="262" spans="1:22" s="34" customFormat="1" x14ac:dyDescent="0.25">
      <c r="A262" s="24" t="str">
        <f t="shared" si="57"/>
        <v/>
      </c>
      <c r="B262" s="25"/>
      <c r="C262" s="26" t="str">
        <f t="shared" si="44"/>
        <v/>
      </c>
      <c r="D262" s="12"/>
      <c r="E262" s="27" t="str">
        <f t="shared" si="45"/>
        <v/>
      </c>
      <c r="F262" s="30" t="str">
        <f t="shared" si="46"/>
        <v/>
      </c>
      <c r="G262" s="29" t="str">
        <f t="shared" si="47"/>
        <v/>
      </c>
      <c r="H262" s="30" t="str">
        <f t="shared" si="48"/>
        <v/>
      </c>
      <c r="I262" s="31" t="str">
        <f t="shared" si="49"/>
        <v/>
      </c>
      <c r="J262" s="30" t="str">
        <f t="shared" si="50"/>
        <v/>
      </c>
      <c r="K262" s="30" t="str">
        <f t="shared" si="51"/>
        <v/>
      </c>
      <c r="L262" s="67" t="str">
        <f t="shared" si="52"/>
        <v/>
      </c>
      <c r="M262" s="68" t="str">
        <f t="shared" si="53"/>
        <v/>
      </c>
      <c r="N262" s="67" t="str">
        <f t="shared" si="54"/>
        <v/>
      </c>
      <c r="O262" s="69" t="str">
        <f>IFERROR(IF($C262="","",VLOOKUP($N262,Feriados!$A$4:$B$5000,2,FALSE)),"")</f>
        <v/>
      </c>
      <c r="P262" s="67" t="str">
        <f t="shared" si="55"/>
        <v/>
      </c>
      <c r="Q262" s="63"/>
      <c r="R262" s="63"/>
      <c r="S262" s="62"/>
      <c r="T262" s="41"/>
      <c r="U262" s="73"/>
      <c r="V262" s="41" t="str">
        <f t="shared" si="56"/>
        <v/>
      </c>
    </row>
    <row r="263" spans="1:22" s="34" customFormat="1" x14ac:dyDescent="0.25">
      <c r="A263" s="24" t="str">
        <f t="shared" si="57"/>
        <v/>
      </c>
      <c r="B263" s="25"/>
      <c r="C263" s="26" t="str">
        <f t="shared" si="44"/>
        <v/>
      </c>
      <c r="D263" s="12"/>
      <c r="E263" s="27" t="str">
        <f t="shared" si="45"/>
        <v/>
      </c>
      <c r="F263" s="30" t="str">
        <f t="shared" si="46"/>
        <v/>
      </c>
      <c r="G263" s="29" t="str">
        <f t="shared" si="47"/>
        <v/>
      </c>
      <c r="H263" s="30" t="str">
        <f t="shared" si="48"/>
        <v/>
      </c>
      <c r="I263" s="31" t="str">
        <f t="shared" si="49"/>
        <v/>
      </c>
      <c r="J263" s="30" t="str">
        <f t="shared" si="50"/>
        <v/>
      </c>
      <c r="K263" s="30" t="str">
        <f t="shared" si="51"/>
        <v/>
      </c>
      <c r="L263" s="67" t="str">
        <f t="shared" si="52"/>
        <v/>
      </c>
      <c r="M263" s="68" t="str">
        <f t="shared" si="53"/>
        <v/>
      </c>
      <c r="N263" s="67" t="str">
        <f t="shared" si="54"/>
        <v/>
      </c>
      <c r="O263" s="69" t="str">
        <f>IFERROR(IF($C263="","",VLOOKUP($N263,Feriados!$A$4:$B$5000,2,FALSE)),"")</f>
        <v/>
      </c>
      <c r="P263" s="67" t="str">
        <f t="shared" si="55"/>
        <v/>
      </c>
      <c r="Q263" s="63"/>
      <c r="R263" s="63"/>
      <c r="S263" s="62"/>
      <c r="T263" s="41"/>
      <c r="U263" s="73"/>
      <c r="V263" s="41" t="str">
        <f t="shared" si="56"/>
        <v/>
      </c>
    </row>
    <row r="264" spans="1:22" s="34" customFormat="1" x14ac:dyDescent="0.25">
      <c r="A264" s="24" t="str">
        <f t="shared" si="57"/>
        <v/>
      </c>
      <c r="B264" s="25"/>
      <c r="C264" s="26" t="str">
        <f t="shared" si="44"/>
        <v/>
      </c>
      <c r="D264" s="12"/>
      <c r="E264" s="27" t="str">
        <f t="shared" si="45"/>
        <v/>
      </c>
      <c r="F264" s="30" t="str">
        <f t="shared" si="46"/>
        <v/>
      </c>
      <c r="G264" s="29" t="str">
        <f t="shared" si="47"/>
        <v/>
      </c>
      <c r="H264" s="30" t="str">
        <f t="shared" si="48"/>
        <v/>
      </c>
      <c r="I264" s="31" t="str">
        <f t="shared" si="49"/>
        <v/>
      </c>
      <c r="J264" s="30" t="str">
        <f t="shared" si="50"/>
        <v/>
      </c>
      <c r="K264" s="30" t="str">
        <f t="shared" si="51"/>
        <v/>
      </c>
      <c r="L264" s="67" t="str">
        <f t="shared" si="52"/>
        <v/>
      </c>
      <c r="M264" s="68" t="str">
        <f t="shared" si="53"/>
        <v/>
      </c>
      <c r="N264" s="67" t="str">
        <f t="shared" si="54"/>
        <v/>
      </c>
      <c r="O264" s="69" t="str">
        <f>IFERROR(IF($C264="","",VLOOKUP($N264,Feriados!$A$4:$B$5000,2,FALSE)),"")</f>
        <v/>
      </c>
      <c r="P264" s="67" t="str">
        <f t="shared" si="55"/>
        <v/>
      </c>
      <c r="Q264" s="63"/>
      <c r="R264" s="63"/>
      <c r="S264" s="62"/>
      <c r="T264" s="41"/>
      <c r="U264" s="73"/>
      <c r="V264" s="41" t="str">
        <f t="shared" si="56"/>
        <v/>
      </c>
    </row>
    <row r="265" spans="1:22" s="34" customFormat="1" x14ac:dyDescent="0.25">
      <c r="A265" s="24" t="str">
        <f t="shared" si="57"/>
        <v/>
      </c>
      <c r="B265" s="25"/>
      <c r="C265" s="26" t="str">
        <f t="shared" si="44"/>
        <v/>
      </c>
      <c r="D265" s="12"/>
      <c r="E265" s="27" t="str">
        <f t="shared" si="45"/>
        <v/>
      </c>
      <c r="F265" s="30" t="str">
        <f t="shared" si="46"/>
        <v/>
      </c>
      <c r="G265" s="29" t="str">
        <f t="shared" si="47"/>
        <v/>
      </c>
      <c r="H265" s="30" t="str">
        <f t="shared" si="48"/>
        <v/>
      </c>
      <c r="I265" s="31" t="str">
        <f t="shared" si="49"/>
        <v/>
      </c>
      <c r="J265" s="30" t="str">
        <f t="shared" si="50"/>
        <v/>
      </c>
      <c r="K265" s="30" t="str">
        <f t="shared" si="51"/>
        <v/>
      </c>
      <c r="L265" s="67" t="str">
        <f t="shared" si="52"/>
        <v/>
      </c>
      <c r="M265" s="68" t="str">
        <f t="shared" si="53"/>
        <v/>
      </c>
      <c r="N265" s="67" t="str">
        <f t="shared" si="54"/>
        <v/>
      </c>
      <c r="O265" s="69" t="str">
        <f>IFERROR(IF($C265="","",VLOOKUP($N265,Feriados!$A$4:$B$5000,2,FALSE)),"")</f>
        <v/>
      </c>
      <c r="P265" s="67" t="str">
        <f t="shared" si="55"/>
        <v/>
      </c>
      <c r="Q265" s="63"/>
      <c r="R265" s="63"/>
      <c r="S265" s="62"/>
      <c r="T265" s="41"/>
      <c r="U265" s="73"/>
      <c r="V265" s="41" t="str">
        <f t="shared" si="56"/>
        <v/>
      </c>
    </row>
    <row r="266" spans="1:22" s="34" customFormat="1" x14ac:dyDescent="0.25">
      <c r="A266" s="24" t="str">
        <f t="shared" si="57"/>
        <v/>
      </c>
      <c r="B266" s="25"/>
      <c r="C266" s="26" t="str">
        <f t="shared" si="44"/>
        <v/>
      </c>
      <c r="D266" s="12"/>
      <c r="E266" s="27" t="str">
        <f t="shared" si="45"/>
        <v/>
      </c>
      <c r="F266" s="30" t="str">
        <f t="shared" si="46"/>
        <v/>
      </c>
      <c r="G266" s="29" t="str">
        <f t="shared" si="47"/>
        <v/>
      </c>
      <c r="H266" s="30" t="str">
        <f t="shared" si="48"/>
        <v/>
      </c>
      <c r="I266" s="31" t="str">
        <f t="shared" si="49"/>
        <v/>
      </c>
      <c r="J266" s="30" t="str">
        <f t="shared" si="50"/>
        <v/>
      </c>
      <c r="K266" s="30" t="str">
        <f t="shared" si="51"/>
        <v/>
      </c>
      <c r="L266" s="67" t="str">
        <f t="shared" si="52"/>
        <v/>
      </c>
      <c r="M266" s="68" t="str">
        <f t="shared" si="53"/>
        <v/>
      </c>
      <c r="N266" s="67" t="str">
        <f t="shared" si="54"/>
        <v/>
      </c>
      <c r="O266" s="69" t="str">
        <f>IFERROR(IF($C266="","",VLOOKUP($N266,Feriados!$A$4:$B$5000,2,FALSE)),"")</f>
        <v/>
      </c>
      <c r="P266" s="67" t="str">
        <f t="shared" si="55"/>
        <v/>
      </c>
      <c r="Q266" s="63"/>
      <c r="R266" s="63"/>
      <c r="S266" s="62"/>
      <c r="T266" s="41"/>
      <c r="U266" s="73"/>
      <c r="V266" s="41" t="str">
        <f t="shared" si="56"/>
        <v/>
      </c>
    </row>
    <row r="267" spans="1:22" s="34" customFormat="1" x14ac:dyDescent="0.25">
      <c r="A267" s="24" t="str">
        <f t="shared" si="57"/>
        <v/>
      </c>
      <c r="B267" s="25"/>
      <c r="C267" s="26" t="str">
        <f t="shared" si="44"/>
        <v/>
      </c>
      <c r="D267" s="12"/>
      <c r="E267" s="27" t="str">
        <f t="shared" si="45"/>
        <v/>
      </c>
      <c r="F267" s="30" t="str">
        <f t="shared" si="46"/>
        <v/>
      </c>
      <c r="G267" s="29" t="str">
        <f t="shared" si="47"/>
        <v/>
      </c>
      <c r="H267" s="30" t="str">
        <f t="shared" si="48"/>
        <v/>
      </c>
      <c r="I267" s="31" t="str">
        <f t="shared" si="49"/>
        <v/>
      </c>
      <c r="J267" s="30" t="str">
        <f t="shared" si="50"/>
        <v/>
      </c>
      <c r="K267" s="30" t="str">
        <f t="shared" si="51"/>
        <v/>
      </c>
      <c r="L267" s="67" t="str">
        <f t="shared" si="52"/>
        <v/>
      </c>
      <c r="M267" s="68" t="str">
        <f t="shared" si="53"/>
        <v/>
      </c>
      <c r="N267" s="67" t="str">
        <f t="shared" si="54"/>
        <v/>
      </c>
      <c r="O267" s="69" t="str">
        <f>IFERROR(IF($C267="","",VLOOKUP($N267,Feriados!$A$4:$B$5000,2,FALSE)),"")</f>
        <v/>
      </c>
      <c r="P267" s="67" t="str">
        <f t="shared" si="55"/>
        <v/>
      </c>
      <c r="Q267" s="63"/>
      <c r="R267" s="63"/>
      <c r="S267" s="62"/>
      <c r="T267" s="41"/>
      <c r="U267" s="73"/>
      <c r="V267" s="41" t="str">
        <f t="shared" si="56"/>
        <v/>
      </c>
    </row>
    <row r="268" spans="1:22" s="34" customFormat="1" x14ac:dyDescent="0.25">
      <c r="A268" s="24" t="str">
        <f t="shared" si="57"/>
        <v/>
      </c>
      <c r="B268" s="25"/>
      <c r="C268" s="26" t="str">
        <f t="shared" si="44"/>
        <v/>
      </c>
      <c r="D268" s="12"/>
      <c r="E268" s="27" t="str">
        <f t="shared" si="45"/>
        <v/>
      </c>
      <c r="F268" s="30" t="str">
        <f t="shared" si="46"/>
        <v/>
      </c>
      <c r="G268" s="29" t="str">
        <f t="shared" si="47"/>
        <v/>
      </c>
      <c r="H268" s="30" t="str">
        <f t="shared" si="48"/>
        <v/>
      </c>
      <c r="I268" s="31" t="str">
        <f t="shared" si="49"/>
        <v/>
      </c>
      <c r="J268" s="30" t="str">
        <f t="shared" si="50"/>
        <v/>
      </c>
      <c r="K268" s="30" t="str">
        <f t="shared" si="51"/>
        <v/>
      </c>
      <c r="L268" s="67" t="str">
        <f t="shared" si="52"/>
        <v/>
      </c>
      <c r="M268" s="68" t="str">
        <f t="shared" si="53"/>
        <v/>
      </c>
      <c r="N268" s="67" t="str">
        <f t="shared" si="54"/>
        <v/>
      </c>
      <c r="O268" s="69" t="str">
        <f>IFERROR(IF($C268="","",VLOOKUP($N268,Feriados!$A$4:$B$5000,2,FALSE)),"")</f>
        <v/>
      </c>
      <c r="P268" s="67" t="str">
        <f t="shared" si="55"/>
        <v/>
      </c>
      <c r="Q268" s="63"/>
      <c r="R268" s="63"/>
      <c r="S268" s="62"/>
      <c r="T268" s="41"/>
      <c r="U268" s="73"/>
      <c r="V268" s="41" t="str">
        <f t="shared" si="56"/>
        <v/>
      </c>
    </row>
    <row r="269" spans="1:22" s="34" customFormat="1" x14ac:dyDescent="0.25">
      <c r="A269" s="24" t="str">
        <f t="shared" si="57"/>
        <v/>
      </c>
      <c r="B269" s="25"/>
      <c r="C269" s="26" t="str">
        <f t="shared" si="44"/>
        <v/>
      </c>
      <c r="D269" s="12"/>
      <c r="E269" s="27" t="str">
        <f t="shared" si="45"/>
        <v/>
      </c>
      <c r="F269" s="30" t="str">
        <f t="shared" si="46"/>
        <v/>
      </c>
      <c r="G269" s="29" t="str">
        <f t="shared" si="47"/>
        <v/>
      </c>
      <c r="H269" s="30" t="str">
        <f t="shared" si="48"/>
        <v/>
      </c>
      <c r="I269" s="31" t="str">
        <f t="shared" si="49"/>
        <v/>
      </c>
      <c r="J269" s="30" t="str">
        <f t="shared" si="50"/>
        <v/>
      </c>
      <c r="K269" s="30" t="str">
        <f t="shared" si="51"/>
        <v/>
      </c>
      <c r="L269" s="67" t="str">
        <f t="shared" si="52"/>
        <v/>
      </c>
      <c r="M269" s="68" t="str">
        <f t="shared" si="53"/>
        <v/>
      </c>
      <c r="N269" s="67" t="str">
        <f t="shared" si="54"/>
        <v/>
      </c>
      <c r="O269" s="69" t="str">
        <f>IFERROR(IF($C269="","",VLOOKUP($N269,Feriados!$A$4:$B$5000,2,FALSE)),"")</f>
        <v/>
      </c>
      <c r="P269" s="67" t="str">
        <f t="shared" si="55"/>
        <v/>
      </c>
      <c r="Q269" s="63"/>
      <c r="R269" s="63"/>
      <c r="S269" s="62"/>
      <c r="T269" s="41"/>
      <c r="U269" s="73"/>
      <c r="V269" s="41" t="str">
        <f t="shared" si="56"/>
        <v/>
      </c>
    </row>
    <row r="270" spans="1:22" s="34" customFormat="1" x14ac:dyDescent="0.25">
      <c r="A270" s="24" t="str">
        <f t="shared" si="57"/>
        <v/>
      </c>
      <c r="B270" s="25"/>
      <c r="C270" s="26" t="str">
        <f t="shared" si="44"/>
        <v/>
      </c>
      <c r="D270" s="12"/>
      <c r="E270" s="27" t="str">
        <f t="shared" si="45"/>
        <v/>
      </c>
      <c r="F270" s="30" t="str">
        <f t="shared" si="46"/>
        <v/>
      </c>
      <c r="G270" s="29" t="str">
        <f t="shared" si="47"/>
        <v/>
      </c>
      <c r="H270" s="30" t="str">
        <f t="shared" si="48"/>
        <v/>
      </c>
      <c r="I270" s="31" t="str">
        <f t="shared" si="49"/>
        <v/>
      </c>
      <c r="J270" s="30" t="str">
        <f t="shared" si="50"/>
        <v/>
      </c>
      <c r="K270" s="30" t="str">
        <f t="shared" si="51"/>
        <v/>
      </c>
      <c r="L270" s="67" t="str">
        <f t="shared" si="52"/>
        <v/>
      </c>
      <c r="M270" s="68" t="str">
        <f t="shared" si="53"/>
        <v/>
      </c>
      <c r="N270" s="67" t="str">
        <f t="shared" si="54"/>
        <v/>
      </c>
      <c r="O270" s="69" t="str">
        <f>IFERROR(IF($C270="","",VLOOKUP($N270,Feriados!$A$4:$B$5000,2,FALSE)),"")</f>
        <v/>
      </c>
      <c r="P270" s="67" t="str">
        <f t="shared" si="55"/>
        <v/>
      </c>
      <c r="Q270" s="63"/>
      <c r="R270" s="63"/>
      <c r="S270" s="62"/>
      <c r="T270" s="41"/>
      <c r="U270" s="73"/>
      <c r="V270" s="41" t="str">
        <f t="shared" si="56"/>
        <v/>
      </c>
    </row>
    <row r="271" spans="1:22" s="34" customFormat="1" x14ac:dyDescent="0.25">
      <c r="A271" s="24" t="str">
        <f t="shared" si="57"/>
        <v/>
      </c>
      <c r="B271" s="25"/>
      <c r="C271" s="26" t="str">
        <f t="shared" si="44"/>
        <v/>
      </c>
      <c r="D271" s="12"/>
      <c r="E271" s="27" t="str">
        <f t="shared" si="45"/>
        <v/>
      </c>
      <c r="F271" s="30" t="str">
        <f t="shared" si="46"/>
        <v/>
      </c>
      <c r="G271" s="29" t="str">
        <f t="shared" si="47"/>
        <v/>
      </c>
      <c r="H271" s="30" t="str">
        <f t="shared" si="48"/>
        <v/>
      </c>
      <c r="I271" s="31" t="str">
        <f t="shared" si="49"/>
        <v/>
      </c>
      <c r="J271" s="30" t="str">
        <f t="shared" si="50"/>
        <v/>
      </c>
      <c r="K271" s="30" t="str">
        <f t="shared" si="51"/>
        <v/>
      </c>
      <c r="L271" s="67" t="str">
        <f t="shared" si="52"/>
        <v/>
      </c>
      <c r="M271" s="68" t="str">
        <f t="shared" si="53"/>
        <v/>
      </c>
      <c r="N271" s="67" t="str">
        <f t="shared" si="54"/>
        <v/>
      </c>
      <c r="O271" s="69" t="str">
        <f>IFERROR(IF($C271="","",VLOOKUP($N271,Feriados!$A$4:$B$5000,2,FALSE)),"")</f>
        <v/>
      </c>
      <c r="P271" s="67" t="str">
        <f t="shared" si="55"/>
        <v/>
      </c>
      <c r="Q271" s="63"/>
      <c r="R271" s="63"/>
      <c r="S271" s="62"/>
      <c r="T271" s="41"/>
      <c r="U271" s="73"/>
      <c r="V271" s="41" t="str">
        <f t="shared" si="56"/>
        <v/>
      </c>
    </row>
    <row r="272" spans="1:22" s="34" customFormat="1" x14ac:dyDescent="0.25">
      <c r="A272" s="24" t="str">
        <f t="shared" si="57"/>
        <v/>
      </c>
      <c r="B272" s="25"/>
      <c r="C272" s="26" t="str">
        <f t="shared" si="44"/>
        <v/>
      </c>
      <c r="D272" s="12"/>
      <c r="E272" s="27" t="str">
        <f t="shared" si="45"/>
        <v/>
      </c>
      <c r="F272" s="30" t="str">
        <f t="shared" si="46"/>
        <v/>
      </c>
      <c r="G272" s="29" t="str">
        <f t="shared" si="47"/>
        <v/>
      </c>
      <c r="H272" s="30" t="str">
        <f t="shared" si="48"/>
        <v/>
      </c>
      <c r="I272" s="31" t="str">
        <f t="shared" si="49"/>
        <v/>
      </c>
      <c r="J272" s="30" t="str">
        <f t="shared" si="50"/>
        <v/>
      </c>
      <c r="K272" s="30" t="str">
        <f t="shared" si="51"/>
        <v/>
      </c>
      <c r="L272" s="67" t="str">
        <f t="shared" si="52"/>
        <v/>
      </c>
      <c r="M272" s="68" t="str">
        <f t="shared" si="53"/>
        <v/>
      </c>
      <c r="N272" s="67" t="str">
        <f t="shared" si="54"/>
        <v/>
      </c>
      <c r="O272" s="69" t="str">
        <f>IFERROR(IF($C272="","",VLOOKUP($N272,Feriados!$A$4:$B$5000,2,FALSE)),"")</f>
        <v/>
      </c>
      <c r="P272" s="67" t="str">
        <f t="shared" si="55"/>
        <v/>
      </c>
      <c r="Q272" s="63"/>
      <c r="R272" s="63"/>
      <c r="S272" s="62"/>
      <c r="T272" s="41"/>
      <c r="U272" s="73"/>
      <c r="V272" s="41" t="str">
        <f t="shared" si="56"/>
        <v/>
      </c>
    </row>
    <row r="273" spans="1:22" s="34" customFormat="1" x14ac:dyDescent="0.25">
      <c r="A273" s="24" t="str">
        <f t="shared" si="57"/>
        <v/>
      </c>
      <c r="B273" s="25"/>
      <c r="C273" s="26" t="str">
        <f t="shared" si="44"/>
        <v/>
      </c>
      <c r="D273" s="12"/>
      <c r="E273" s="27" t="str">
        <f t="shared" si="45"/>
        <v/>
      </c>
      <c r="F273" s="30" t="str">
        <f t="shared" si="46"/>
        <v/>
      </c>
      <c r="G273" s="29" t="str">
        <f t="shared" si="47"/>
        <v/>
      </c>
      <c r="H273" s="30" t="str">
        <f t="shared" si="48"/>
        <v/>
      </c>
      <c r="I273" s="31" t="str">
        <f t="shared" si="49"/>
        <v/>
      </c>
      <c r="J273" s="30" t="str">
        <f t="shared" si="50"/>
        <v/>
      </c>
      <c r="K273" s="30" t="str">
        <f t="shared" si="51"/>
        <v/>
      </c>
      <c r="L273" s="67" t="str">
        <f t="shared" si="52"/>
        <v/>
      </c>
      <c r="M273" s="68" t="str">
        <f t="shared" si="53"/>
        <v/>
      </c>
      <c r="N273" s="67" t="str">
        <f t="shared" si="54"/>
        <v/>
      </c>
      <c r="O273" s="69" t="str">
        <f>IFERROR(IF($C273="","",VLOOKUP($N273,Feriados!$A$4:$B$5000,2,FALSE)),"")</f>
        <v/>
      </c>
      <c r="P273" s="67" t="str">
        <f t="shared" si="55"/>
        <v/>
      </c>
      <c r="Q273" s="63"/>
      <c r="R273" s="63"/>
      <c r="S273" s="62"/>
      <c r="T273" s="41"/>
      <c r="U273" s="73"/>
      <c r="V273" s="41" t="str">
        <f t="shared" si="56"/>
        <v/>
      </c>
    </row>
    <row r="274" spans="1:22" s="34" customFormat="1" x14ac:dyDescent="0.25">
      <c r="A274" s="24" t="str">
        <f t="shared" si="57"/>
        <v/>
      </c>
      <c r="B274" s="25"/>
      <c r="C274" s="26" t="str">
        <f t="shared" si="44"/>
        <v/>
      </c>
      <c r="D274" s="12"/>
      <c r="E274" s="27" t="str">
        <f t="shared" si="45"/>
        <v/>
      </c>
      <c r="F274" s="30" t="str">
        <f t="shared" si="46"/>
        <v/>
      </c>
      <c r="G274" s="29" t="str">
        <f t="shared" si="47"/>
        <v/>
      </c>
      <c r="H274" s="30" t="str">
        <f t="shared" si="48"/>
        <v/>
      </c>
      <c r="I274" s="31" t="str">
        <f t="shared" si="49"/>
        <v/>
      </c>
      <c r="J274" s="30" t="str">
        <f t="shared" si="50"/>
        <v/>
      </c>
      <c r="K274" s="30" t="str">
        <f t="shared" si="51"/>
        <v/>
      </c>
      <c r="L274" s="67" t="str">
        <f t="shared" si="52"/>
        <v/>
      </c>
      <c r="M274" s="68" t="str">
        <f t="shared" si="53"/>
        <v/>
      </c>
      <c r="N274" s="67" t="str">
        <f t="shared" si="54"/>
        <v/>
      </c>
      <c r="O274" s="69" t="str">
        <f>IFERROR(IF($C274="","",VLOOKUP($N274,Feriados!$A$4:$B$5000,2,FALSE)),"")</f>
        <v/>
      </c>
      <c r="P274" s="67" t="str">
        <f t="shared" si="55"/>
        <v/>
      </c>
      <c r="Q274" s="63"/>
      <c r="R274" s="63"/>
      <c r="S274" s="62"/>
      <c r="T274" s="41"/>
      <c r="U274" s="73"/>
      <c r="V274" s="41" t="str">
        <f t="shared" si="56"/>
        <v/>
      </c>
    </row>
    <row r="275" spans="1:22" s="34" customFormat="1" x14ac:dyDescent="0.25">
      <c r="A275" s="24" t="str">
        <f t="shared" si="57"/>
        <v/>
      </c>
      <c r="B275" s="25"/>
      <c r="C275" s="26" t="str">
        <f t="shared" ref="C275:C338" si="58">IFERROR(IF($B$17&lt;7,"",IF(ROW(A275)=19,0,IF(ROW(A275)=20,1,IF(C274+1&gt;$H$13,"",C274+1)))),"")</f>
        <v/>
      </c>
      <c r="D275" s="12"/>
      <c r="E275" s="27" t="str">
        <f t="shared" ref="E275:E338" si="59">IF(C275="","",IF(C275=0,$H$7,IF(C275=1,$H$9,P275+D275)))</f>
        <v/>
      </c>
      <c r="F275" s="30" t="str">
        <f t="shared" ref="F275:F338" si="60">IF(C275="","",IF(C275=0,$K$7,J274))</f>
        <v/>
      </c>
      <c r="G275" s="29" t="str">
        <f t="shared" ref="G275:G338" si="61">IF(C275="","",IF(C275=0,0,$E275-$E274))</f>
        <v/>
      </c>
      <c r="H275" s="30" t="str">
        <f t="shared" ref="H275:H338" si="62">IF(C275="","",ROUND(F275*(((1+$K$11)^G275)-1),8))</f>
        <v/>
      </c>
      <c r="I275" s="31" t="str">
        <f t="shared" ref="I275:I338" si="63">IF(C275="","",IF(C275=0,0,IFERROR(IF(C275=VLOOKUP(C275,PV_ParcelasFixas,1,FALSE),-VLOOKUP(C275,PV_ParcelasFixas,2,FALSE)),IF(AND($B$15=FALSE,C275&lt;=$H$11),0,IF(C275&lt;=$H$11,-H275,IF($K$5="SAC",-$K$8-H275,-$K$8))))))</f>
        <v/>
      </c>
      <c r="J275" s="30" t="str">
        <f t="shared" ref="J275:J338" si="64">IF(C275="","",IF(AND(C275=0,B275=""),$F$19,J274+H275+I275))</f>
        <v/>
      </c>
      <c r="K275" s="30" t="str">
        <f t="shared" ref="K275:K338" si="65">IF(C275="","",-H275+-I275)</f>
        <v/>
      </c>
      <c r="L275" s="67" t="str">
        <f t="shared" ref="L275:L338" si="66">IF($C275="","",IF($C275=0,$H$7,IF($C275=1,$B$11,EDATE($B$11,$C274))))</f>
        <v/>
      </c>
      <c r="M275" s="68" t="str">
        <f t="shared" ref="M275:M338" si="67">IF($L275="","",WEEKDAY($L275))</f>
        <v/>
      </c>
      <c r="N275" s="67" t="str">
        <f t="shared" ref="N275:N338" si="68">IFERROR(IF($M275=7,$L275+2,IF($M275=1,$L275+1,$L275)),"")</f>
        <v/>
      </c>
      <c r="O275" s="69" t="str">
        <f>IFERROR(IF($C275="","",VLOOKUP($N275,Feriados!$A$4:$B$5000,2,FALSE)),"")</f>
        <v/>
      </c>
      <c r="P275" s="67" t="str">
        <f t="shared" ref="P275:P338" si="69">IFERROR(IF($O275="",$N275,IF($O275=6,$N275+3,IF($O275&lt;6,$N275+1))),"")</f>
        <v/>
      </c>
      <c r="Q275" s="63"/>
      <c r="R275" s="63"/>
      <c r="S275" s="62"/>
      <c r="T275" s="41"/>
      <c r="U275" s="73"/>
      <c r="V275" s="41" t="str">
        <f t="shared" si="56"/>
        <v/>
      </c>
    </row>
    <row r="276" spans="1:22" s="34" customFormat="1" x14ac:dyDescent="0.25">
      <c r="A276" s="24" t="str">
        <f t="shared" si="57"/>
        <v/>
      </c>
      <c r="B276" s="25"/>
      <c r="C276" s="26" t="str">
        <f t="shared" si="58"/>
        <v/>
      </c>
      <c r="D276" s="12"/>
      <c r="E276" s="27" t="str">
        <f t="shared" si="59"/>
        <v/>
      </c>
      <c r="F276" s="30" t="str">
        <f t="shared" si="60"/>
        <v/>
      </c>
      <c r="G276" s="29" t="str">
        <f t="shared" si="61"/>
        <v/>
      </c>
      <c r="H276" s="30" t="str">
        <f t="shared" si="62"/>
        <v/>
      </c>
      <c r="I276" s="31" t="str">
        <f t="shared" si="63"/>
        <v/>
      </c>
      <c r="J276" s="30" t="str">
        <f t="shared" si="64"/>
        <v/>
      </c>
      <c r="K276" s="30" t="str">
        <f t="shared" si="65"/>
        <v/>
      </c>
      <c r="L276" s="67" t="str">
        <f t="shared" si="66"/>
        <v/>
      </c>
      <c r="M276" s="68" t="str">
        <f t="shared" si="67"/>
        <v/>
      </c>
      <c r="N276" s="67" t="str">
        <f t="shared" si="68"/>
        <v/>
      </c>
      <c r="O276" s="69" t="str">
        <f>IFERROR(IF($C276="","",VLOOKUP($N276,Feriados!$A$4:$B$5000,2,FALSE)),"")</f>
        <v/>
      </c>
      <c r="P276" s="67" t="str">
        <f t="shared" si="69"/>
        <v/>
      </c>
      <c r="Q276" s="63"/>
      <c r="R276" s="63"/>
      <c r="S276" s="62"/>
      <c r="T276" s="41"/>
      <c r="U276" s="73"/>
      <c r="V276" s="41" t="str">
        <f t="shared" si="56"/>
        <v/>
      </c>
    </row>
    <row r="277" spans="1:22" s="34" customFormat="1" x14ac:dyDescent="0.25">
      <c r="A277" s="24" t="str">
        <f t="shared" si="57"/>
        <v/>
      </c>
      <c r="B277" s="33"/>
      <c r="C277" s="34" t="str">
        <f t="shared" si="58"/>
        <v/>
      </c>
      <c r="D277" s="58"/>
      <c r="E277" s="27" t="str">
        <f t="shared" si="59"/>
        <v/>
      </c>
      <c r="F277" s="34" t="str">
        <f t="shared" si="60"/>
        <v/>
      </c>
      <c r="G277" s="29" t="str">
        <f t="shared" si="61"/>
        <v/>
      </c>
      <c r="H277" s="30" t="str">
        <f t="shared" si="62"/>
        <v/>
      </c>
      <c r="I277" s="31" t="str">
        <f t="shared" si="63"/>
        <v/>
      </c>
      <c r="J277" s="30" t="str">
        <f t="shared" si="64"/>
        <v/>
      </c>
      <c r="K277" s="34" t="str">
        <f t="shared" si="65"/>
        <v/>
      </c>
      <c r="L277" s="34" t="str">
        <f t="shared" si="66"/>
        <v/>
      </c>
      <c r="M277" s="34" t="str">
        <f t="shared" si="67"/>
        <v/>
      </c>
      <c r="N277" s="34" t="str">
        <f t="shared" si="68"/>
        <v/>
      </c>
      <c r="O277" s="69" t="str">
        <f>IFERROR(IF($C277="","",VLOOKUP($N277,Feriados!$A$4:$B$5000,2,FALSE)),"")</f>
        <v/>
      </c>
      <c r="P277" s="34" t="str">
        <f t="shared" si="69"/>
        <v/>
      </c>
      <c r="Q277" s="63"/>
      <c r="R277" s="63"/>
      <c r="S277" s="62"/>
      <c r="T277" s="41"/>
      <c r="U277" s="73"/>
      <c r="V277" s="41" t="str">
        <f t="shared" ref="V277:V340" si="70">IF(C277="","",I277)</f>
        <v/>
      </c>
    </row>
    <row r="278" spans="1:22" s="34" customFormat="1" x14ac:dyDescent="0.25">
      <c r="A278" s="24" t="str">
        <f t="shared" si="57"/>
        <v/>
      </c>
      <c r="B278" s="33"/>
      <c r="C278" s="34" t="str">
        <f t="shared" si="58"/>
        <v/>
      </c>
      <c r="D278" s="58"/>
      <c r="E278" s="27" t="str">
        <f t="shared" si="59"/>
        <v/>
      </c>
      <c r="F278" s="34" t="str">
        <f t="shared" si="60"/>
        <v/>
      </c>
      <c r="G278" s="29" t="str">
        <f t="shared" si="61"/>
        <v/>
      </c>
      <c r="H278" s="30" t="str">
        <f t="shared" si="62"/>
        <v/>
      </c>
      <c r="I278" s="31" t="str">
        <f t="shared" si="63"/>
        <v/>
      </c>
      <c r="J278" s="30" t="str">
        <f t="shared" si="64"/>
        <v/>
      </c>
      <c r="K278" s="34" t="str">
        <f t="shared" si="65"/>
        <v/>
      </c>
      <c r="L278" s="34" t="str">
        <f t="shared" si="66"/>
        <v/>
      </c>
      <c r="M278" s="34" t="str">
        <f t="shared" si="67"/>
        <v/>
      </c>
      <c r="N278" s="34" t="str">
        <f t="shared" si="68"/>
        <v/>
      </c>
      <c r="O278" s="69" t="str">
        <f>IFERROR(IF($C278="","",VLOOKUP($N278,Feriados!$A$4:$B$5000,2,FALSE)),"")</f>
        <v/>
      </c>
      <c r="P278" s="34" t="str">
        <f t="shared" si="69"/>
        <v/>
      </c>
      <c r="Q278" s="63"/>
      <c r="R278" s="63"/>
      <c r="S278" s="62"/>
      <c r="T278" s="41"/>
      <c r="U278" s="73"/>
      <c r="V278" s="41" t="str">
        <f t="shared" si="70"/>
        <v/>
      </c>
    </row>
    <row r="279" spans="1:22" s="34" customFormat="1" x14ac:dyDescent="0.25">
      <c r="A279" s="24" t="str">
        <f t="shared" si="57"/>
        <v/>
      </c>
      <c r="B279" s="33"/>
      <c r="C279" s="34" t="str">
        <f t="shared" si="58"/>
        <v/>
      </c>
      <c r="D279" s="58"/>
      <c r="E279" s="27" t="str">
        <f t="shared" si="59"/>
        <v/>
      </c>
      <c r="F279" s="34" t="str">
        <f t="shared" si="60"/>
        <v/>
      </c>
      <c r="G279" s="29" t="str">
        <f t="shared" si="61"/>
        <v/>
      </c>
      <c r="H279" s="30" t="str">
        <f t="shared" si="62"/>
        <v/>
      </c>
      <c r="I279" s="31" t="str">
        <f t="shared" si="63"/>
        <v/>
      </c>
      <c r="J279" s="30" t="str">
        <f t="shared" si="64"/>
        <v/>
      </c>
      <c r="K279" s="34" t="str">
        <f t="shared" si="65"/>
        <v/>
      </c>
      <c r="L279" s="34" t="str">
        <f t="shared" si="66"/>
        <v/>
      </c>
      <c r="M279" s="34" t="str">
        <f t="shared" si="67"/>
        <v/>
      </c>
      <c r="N279" s="34" t="str">
        <f t="shared" si="68"/>
        <v/>
      </c>
      <c r="O279" s="69" t="str">
        <f>IFERROR(IF($C279="","",VLOOKUP($N279,Feriados!$A$4:$B$5000,2,FALSE)),"")</f>
        <v/>
      </c>
      <c r="P279" s="34" t="str">
        <f t="shared" si="69"/>
        <v/>
      </c>
      <c r="Q279" s="63"/>
      <c r="R279" s="63"/>
      <c r="S279" s="62"/>
      <c r="T279" s="41"/>
      <c r="U279" s="73"/>
      <c r="V279" s="41" t="str">
        <f t="shared" si="70"/>
        <v/>
      </c>
    </row>
    <row r="280" spans="1:22" s="34" customFormat="1" x14ac:dyDescent="0.25">
      <c r="A280" s="24" t="str">
        <f t="shared" si="57"/>
        <v/>
      </c>
      <c r="B280" s="33"/>
      <c r="C280" s="34" t="str">
        <f t="shared" si="58"/>
        <v/>
      </c>
      <c r="D280" s="58"/>
      <c r="E280" s="27" t="str">
        <f t="shared" si="59"/>
        <v/>
      </c>
      <c r="F280" s="34" t="str">
        <f t="shared" si="60"/>
        <v/>
      </c>
      <c r="G280" s="29" t="str">
        <f t="shared" si="61"/>
        <v/>
      </c>
      <c r="H280" s="30" t="str">
        <f t="shared" si="62"/>
        <v/>
      </c>
      <c r="I280" s="31" t="str">
        <f t="shared" si="63"/>
        <v/>
      </c>
      <c r="J280" s="30" t="str">
        <f t="shared" si="64"/>
        <v/>
      </c>
      <c r="K280" s="34" t="str">
        <f t="shared" si="65"/>
        <v/>
      </c>
      <c r="L280" s="34" t="str">
        <f t="shared" si="66"/>
        <v/>
      </c>
      <c r="M280" s="34" t="str">
        <f t="shared" si="67"/>
        <v/>
      </c>
      <c r="N280" s="34" t="str">
        <f t="shared" si="68"/>
        <v/>
      </c>
      <c r="O280" s="69" t="str">
        <f>IFERROR(IF($C280="","",VLOOKUP($N280,Feriados!$A$4:$B$5000,2,FALSE)),"")</f>
        <v/>
      </c>
      <c r="P280" s="34" t="str">
        <f t="shared" si="69"/>
        <v/>
      </c>
      <c r="Q280" s="63"/>
      <c r="R280" s="63"/>
      <c r="S280" s="62"/>
      <c r="T280" s="41"/>
      <c r="U280" s="73"/>
      <c r="V280" s="41" t="str">
        <f t="shared" si="70"/>
        <v/>
      </c>
    </row>
    <row r="281" spans="1:22" s="34" customFormat="1" x14ac:dyDescent="0.25">
      <c r="A281" s="24" t="str">
        <f t="shared" si="57"/>
        <v/>
      </c>
      <c r="B281" s="33"/>
      <c r="C281" s="34" t="str">
        <f t="shared" si="58"/>
        <v/>
      </c>
      <c r="D281" s="58"/>
      <c r="E281" s="27" t="str">
        <f t="shared" si="59"/>
        <v/>
      </c>
      <c r="F281" s="34" t="str">
        <f t="shared" si="60"/>
        <v/>
      </c>
      <c r="G281" s="29" t="str">
        <f t="shared" si="61"/>
        <v/>
      </c>
      <c r="H281" s="30" t="str">
        <f t="shared" si="62"/>
        <v/>
      </c>
      <c r="I281" s="31" t="str">
        <f t="shared" si="63"/>
        <v/>
      </c>
      <c r="J281" s="30" t="str">
        <f t="shared" si="64"/>
        <v/>
      </c>
      <c r="K281" s="34" t="str">
        <f t="shared" si="65"/>
        <v/>
      </c>
      <c r="L281" s="34" t="str">
        <f t="shared" si="66"/>
        <v/>
      </c>
      <c r="M281" s="34" t="str">
        <f t="shared" si="67"/>
        <v/>
      </c>
      <c r="N281" s="34" t="str">
        <f t="shared" si="68"/>
        <v/>
      </c>
      <c r="O281" s="69" t="str">
        <f>IFERROR(IF($C281="","",VLOOKUP($N281,Feriados!$A$4:$B$5000,2,FALSE)),"")</f>
        <v/>
      </c>
      <c r="P281" s="34" t="str">
        <f t="shared" si="69"/>
        <v/>
      </c>
      <c r="Q281" s="63"/>
      <c r="R281" s="63"/>
      <c r="S281" s="62"/>
      <c r="T281" s="41"/>
      <c r="U281" s="73"/>
      <c r="V281" s="41" t="str">
        <f t="shared" si="70"/>
        <v/>
      </c>
    </row>
    <row r="282" spans="1:22" s="34" customFormat="1" x14ac:dyDescent="0.25">
      <c r="A282" s="24" t="str">
        <f t="shared" si="57"/>
        <v/>
      </c>
      <c r="B282" s="33"/>
      <c r="C282" s="34" t="str">
        <f t="shared" si="58"/>
        <v/>
      </c>
      <c r="D282" s="58"/>
      <c r="E282" s="27" t="str">
        <f t="shared" si="59"/>
        <v/>
      </c>
      <c r="F282" s="34" t="str">
        <f t="shared" si="60"/>
        <v/>
      </c>
      <c r="G282" s="29" t="str">
        <f t="shared" si="61"/>
        <v/>
      </c>
      <c r="H282" s="30" t="str">
        <f t="shared" si="62"/>
        <v/>
      </c>
      <c r="I282" s="31" t="str">
        <f t="shared" si="63"/>
        <v/>
      </c>
      <c r="J282" s="30" t="str">
        <f t="shared" si="64"/>
        <v/>
      </c>
      <c r="K282" s="34" t="str">
        <f t="shared" si="65"/>
        <v/>
      </c>
      <c r="L282" s="34" t="str">
        <f t="shared" si="66"/>
        <v/>
      </c>
      <c r="M282" s="34" t="str">
        <f t="shared" si="67"/>
        <v/>
      </c>
      <c r="N282" s="34" t="str">
        <f t="shared" si="68"/>
        <v/>
      </c>
      <c r="O282" s="69" t="str">
        <f>IFERROR(IF($C282="","",VLOOKUP($N282,Feriados!$A$4:$B$5000,2,FALSE)),"")</f>
        <v/>
      </c>
      <c r="P282" s="34" t="str">
        <f t="shared" si="69"/>
        <v/>
      </c>
      <c r="Q282" s="63"/>
      <c r="R282" s="63"/>
      <c r="S282" s="62"/>
      <c r="T282" s="41"/>
      <c r="U282" s="73"/>
      <c r="V282" s="41" t="str">
        <f t="shared" si="70"/>
        <v/>
      </c>
    </row>
    <row r="283" spans="1:22" s="34" customFormat="1" x14ac:dyDescent="0.25">
      <c r="A283" s="24" t="str">
        <f t="shared" si="57"/>
        <v/>
      </c>
      <c r="B283" s="33"/>
      <c r="C283" s="34" t="str">
        <f t="shared" si="58"/>
        <v/>
      </c>
      <c r="D283" s="58"/>
      <c r="E283" s="27" t="str">
        <f t="shared" si="59"/>
        <v/>
      </c>
      <c r="F283" s="34" t="str">
        <f t="shared" si="60"/>
        <v/>
      </c>
      <c r="G283" s="29" t="str">
        <f t="shared" si="61"/>
        <v/>
      </c>
      <c r="H283" s="30" t="str">
        <f t="shared" si="62"/>
        <v/>
      </c>
      <c r="I283" s="31" t="str">
        <f t="shared" si="63"/>
        <v/>
      </c>
      <c r="J283" s="30" t="str">
        <f t="shared" si="64"/>
        <v/>
      </c>
      <c r="K283" s="34" t="str">
        <f t="shared" si="65"/>
        <v/>
      </c>
      <c r="L283" s="34" t="str">
        <f t="shared" si="66"/>
        <v/>
      </c>
      <c r="M283" s="34" t="str">
        <f t="shared" si="67"/>
        <v/>
      </c>
      <c r="N283" s="34" t="str">
        <f t="shared" si="68"/>
        <v/>
      </c>
      <c r="O283" s="69" t="str">
        <f>IFERROR(IF($C283="","",VLOOKUP($N283,Feriados!$A$4:$B$5000,2,FALSE)),"")</f>
        <v/>
      </c>
      <c r="P283" s="34" t="str">
        <f t="shared" si="69"/>
        <v/>
      </c>
      <c r="Q283" s="63"/>
      <c r="R283" s="63"/>
      <c r="S283" s="62"/>
      <c r="T283" s="41"/>
      <c r="U283" s="73"/>
      <c r="V283" s="41" t="str">
        <f t="shared" si="70"/>
        <v/>
      </c>
    </row>
    <row r="284" spans="1:22" s="34" customFormat="1" x14ac:dyDescent="0.25">
      <c r="A284" s="24" t="str">
        <f t="shared" si="57"/>
        <v/>
      </c>
      <c r="B284" s="33"/>
      <c r="C284" s="34" t="str">
        <f t="shared" si="58"/>
        <v/>
      </c>
      <c r="D284" s="58"/>
      <c r="E284" s="27" t="str">
        <f t="shared" si="59"/>
        <v/>
      </c>
      <c r="F284" s="34" t="str">
        <f t="shared" si="60"/>
        <v/>
      </c>
      <c r="G284" s="29" t="str">
        <f t="shared" si="61"/>
        <v/>
      </c>
      <c r="H284" s="30" t="str">
        <f t="shared" si="62"/>
        <v/>
      </c>
      <c r="I284" s="31" t="str">
        <f t="shared" si="63"/>
        <v/>
      </c>
      <c r="J284" s="30" t="str">
        <f t="shared" si="64"/>
        <v/>
      </c>
      <c r="K284" s="34" t="str">
        <f t="shared" si="65"/>
        <v/>
      </c>
      <c r="L284" s="34" t="str">
        <f t="shared" si="66"/>
        <v/>
      </c>
      <c r="M284" s="34" t="str">
        <f t="shared" si="67"/>
        <v/>
      </c>
      <c r="N284" s="34" t="str">
        <f t="shared" si="68"/>
        <v/>
      </c>
      <c r="O284" s="69" t="str">
        <f>IFERROR(IF($C284="","",VLOOKUP($N284,Feriados!$A$4:$B$5000,2,FALSE)),"")</f>
        <v/>
      </c>
      <c r="P284" s="34" t="str">
        <f t="shared" si="69"/>
        <v/>
      </c>
      <c r="Q284" s="63"/>
      <c r="R284" s="63"/>
      <c r="S284" s="62"/>
      <c r="T284" s="41"/>
      <c r="U284" s="73"/>
      <c r="V284" s="41" t="str">
        <f t="shared" si="70"/>
        <v/>
      </c>
    </row>
    <row r="285" spans="1:22" s="34" customFormat="1" x14ac:dyDescent="0.25">
      <c r="A285" s="24" t="str">
        <f t="shared" si="57"/>
        <v/>
      </c>
      <c r="B285" s="33"/>
      <c r="C285" s="34" t="str">
        <f t="shared" si="58"/>
        <v/>
      </c>
      <c r="D285" s="58"/>
      <c r="E285" s="27" t="str">
        <f t="shared" si="59"/>
        <v/>
      </c>
      <c r="F285" s="34" t="str">
        <f t="shared" si="60"/>
        <v/>
      </c>
      <c r="G285" s="29" t="str">
        <f t="shared" si="61"/>
        <v/>
      </c>
      <c r="H285" s="30" t="str">
        <f t="shared" si="62"/>
        <v/>
      </c>
      <c r="I285" s="31" t="str">
        <f t="shared" si="63"/>
        <v/>
      </c>
      <c r="J285" s="30" t="str">
        <f t="shared" si="64"/>
        <v/>
      </c>
      <c r="K285" s="34" t="str">
        <f t="shared" si="65"/>
        <v/>
      </c>
      <c r="L285" s="34" t="str">
        <f t="shared" si="66"/>
        <v/>
      </c>
      <c r="M285" s="34" t="str">
        <f t="shared" si="67"/>
        <v/>
      </c>
      <c r="N285" s="34" t="str">
        <f t="shared" si="68"/>
        <v/>
      </c>
      <c r="O285" s="69" t="str">
        <f>IFERROR(IF($C285="","",VLOOKUP($N285,Feriados!$A$4:$B$5000,2,FALSE)),"")</f>
        <v/>
      </c>
      <c r="P285" s="34" t="str">
        <f t="shared" si="69"/>
        <v/>
      </c>
      <c r="Q285" s="63"/>
      <c r="R285" s="63"/>
      <c r="S285" s="62"/>
      <c r="T285" s="41"/>
      <c r="U285" s="73"/>
      <c r="V285" s="41" t="str">
        <f t="shared" si="70"/>
        <v/>
      </c>
    </row>
    <row r="286" spans="1:22" s="34" customFormat="1" x14ac:dyDescent="0.25">
      <c r="A286" s="24" t="str">
        <f t="shared" si="57"/>
        <v/>
      </c>
      <c r="B286" s="33"/>
      <c r="C286" s="34" t="str">
        <f t="shared" si="58"/>
        <v/>
      </c>
      <c r="D286" s="58"/>
      <c r="E286" s="27" t="str">
        <f t="shared" si="59"/>
        <v/>
      </c>
      <c r="F286" s="34" t="str">
        <f t="shared" si="60"/>
        <v/>
      </c>
      <c r="G286" s="29" t="str">
        <f t="shared" si="61"/>
        <v/>
      </c>
      <c r="H286" s="30" t="str">
        <f t="shared" si="62"/>
        <v/>
      </c>
      <c r="I286" s="31" t="str">
        <f t="shared" si="63"/>
        <v/>
      </c>
      <c r="J286" s="30" t="str">
        <f t="shared" si="64"/>
        <v/>
      </c>
      <c r="K286" s="34" t="str">
        <f t="shared" si="65"/>
        <v/>
      </c>
      <c r="L286" s="34" t="str">
        <f t="shared" si="66"/>
        <v/>
      </c>
      <c r="M286" s="34" t="str">
        <f t="shared" si="67"/>
        <v/>
      </c>
      <c r="N286" s="34" t="str">
        <f t="shared" si="68"/>
        <v/>
      </c>
      <c r="O286" s="69" t="str">
        <f>IFERROR(IF($C286="","",VLOOKUP($N286,Feriados!$A$4:$B$5000,2,FALSE)),"")</f>
        <v/>
      </c>
      <c r="P286" s="34" t="str">
        <f t="shared" si="69"/>
        <v/>
      </c>
      <c r="Q286" s="63"/>
      <c r="R286" s="63"/>
      <c r="S286" s="62"/>
      <c r="T286" s="41"/>
      <c r="U286" s="73"/>
      <c r="V286" s="41" t="str">
        <f t="shared" si="70"/>
        <v/>
      </c>
    </row>
    <row r="287" spans="1:22" s="34" customFormat="1" x14ac:dyDescent="0.25">
      <c r="A287" s="24" t="str">
        <f t="shared" si="57"/>
        <v/>
      </c>
      <c r="B287" s="33"/>
      <c r="C287" s="34" t="str">
        <f t="shared" si="58"/>
        <v/>
      </c>
      <c r="D287" s="58"/>
      <c r="E287" s="27" t="str">
        <f t="shared" si="59"/>
        <v/>
      </c>
      <c r="F287" s="34" t="str">
        <f t="shared" si="60"/>
        <v/>
      </c>
      <c r="G287" s="29" t="str">
        <f t="shared" si="61"/>
        <v/>
      </c>
      <c r="H287" s="30" t="str">
        <f t="shared" si="62"/>
        <v/>
      </c>
      <c r="I287" s="31" t="str">
        <f t="shared" si="63"/>
        <v/>
      </c>
      <c r="J287" s="30" t="str">
        <f t="shared" si="64"/>
        <v/>
      </c>
      <c r="K287" s="34" t="str">
        <f t="shared" si="65"/>
        <v/>
      </c>
      <c r="L287" s="34" t="str">
        <f t="shared" si="66"/>
        <v/>
      </c>
      <c r="M287" s="34" t="str">
        <f t="shared" si="67"/>
        <v/>
      </c>
      <c r="N287" s="34" t="str">
        <f t="shared" si="68"/>
        <v/>
      </c>
      <c r="O287" s="69" t="str">
        <f>IFERROR(IF($C287="","",VLOOKUP($N287,Feriados!$A$4:$B$5000,2,FALSE)),"")</f>
        <v/>
      </c>
      <c r="P287" s="34" t="str">
        <f t="shared" si="69"/>
        <v/>
      </c>
      <c r="Q287" s="63"/>
      <c r="R287" s="63"/>
      <c r="S287" s="62"/>
      <c r="T287" s="41"/>
      <c r="U287" s="73"/>
      <c r="V287" s="41" t="str">
        <f t="shared" si="70"/>
        <v/>
      </c>
    </row>
    <row r="288" spans="1:22" x14ac:dyDescent="0.25">
      <c r="A288" s="24" t="str">
        <f t="shared" si="57"/>
        <v/>
      </c>
      <c r="B288" s="35"/>
      <c r="C288" s="36" t="str">
        <f t="shared" si="58"/>
        <v/>
      </c>
      <c r="D288" s="9"/>
      <c r="E288" s="27" t="str">
        <f t="shared" si="59"/>
        <v/>
      </c>
      <c r="F288" s="36" t="str">
        <f t="shared" si="60"/>
        <v/>
      </c>
      <c r="G288" s="29" t="str">
        <f t="shared" si="61"/>
        <v/>
      </c>
      <c r="H288" s="30" t="str">
        <f t="shared" si="62"/>
        <v/>
      </c>
      <c r="I288" s="31" t="str">
        <f t="shared" si="63"/>
        <v/>
      </c>
      <c r="J288" s="30" t="str">
        <f t="shared" si="64"/>
        <v/>
      </c>
      <c r="K288" s="36" t="str">
        <f t="shared" si="65"/>
        <v/>
      </c>
      <c r="L288" s="36" t="str">
        <f t="shared" si="66"/>
        <v/>
      </c>
      <c r="M288" s="36" t="str">
        <f t="shared" si="67"/>
        <v/>
      </c>
      <c r="N288" s="36" t="str">
        <f t="shared" si="68"/>
        <v/>
      </c>
      <c r="O288" s="69" t="str">
        <f>IFERROR(IF($C288="","",VLOOKUP($N288,Feriados!$A$4:$B$5000,2,FALSE)),"")</f>
        <v/>
      </c>
      <c r="P288" s="36" t="str">
        <f t="shared" si="69"/>
        <v/>
      </c>
      <c r="S288" s="62"/>
      <c r="T288" s="41"/>
      <c r="U288" s="73"/>
      <c r="V288" s="41" t="str">
        <f t="shared" si="70"/>
        <v/>
      </c>
    </row>
    <row r="289" spans="1:22" x14ac:dyDescent="0.25">
      <c r="A289" s="24" t="str">
        <f t="shared" si="57"/>
        <v/>
      </c>
      <c r="B289" s="35"/>
      <c r="C289" s="36" t="str">
        <f t="shared" si="58"/>
        <v/>
      </c>
      <c r="D289" s="9"/>
      <c r="E289" s="27" t="str">
        <f t="shared" si="59"/>
        <v/>
      </c>
      <c r="F289" s="36" t="str">
        <f t="shared" si="60"/>
        <v/>
      </c>
      <c r="G289" s="29" t="str">
        <f t="shared" si="61"/>
        <v/>
      </c>
      <c r="H289" s="30" t="str">
        <f t="shared" si="62"/>
        <v/>
      </c>
      <c r="I289" s="31" t="str">
        <f t="shared" si="63"/>
        <v/>
      </c>
      <c r="J289" s="30" t="str">
        <f t="shared" si="64"/>
        <v/>
      </c>
      <c r="K289" s="36" t="str">
        <f t="shared" si="65"/>
        <v/>
      </c>
      <c r="L289" s="36" t="str">
        <f t="shared" si="66"/>
        <v/>
      </c>
      <c r="M289" s="36" t="str">
        <f t="shared" si="67"/>
        <v/>
      </c>
      <c r="N289" s="36" t="str">
        <f t="shared" si="68"/>
        <v/>
      </c>
      <c r="O289" s="69" t="str">
        <f>IFERROR(IF($C289="","",VLOOKUP($N289,Feriados!$A$4:$B$5000,2,FALSE)),"")</f>
        <v/>
      </c>
      <c r="P289" s="36" t="str">
        <f t="shared" si="69"/>
        <v/>
      </c>
      <c r="S289" s="62"/>
      <c r="T289" s="41"/>
      <c r="U289" s="73"/>
      <c r="V289" s="41" t="str">
        <f t="shared" si="70"/>
        <v/>
      </c>
    </row>
    <row r="290" spans="1:22" x14ac:dyDescent="0.25">
      <c r="A290" s="24" t="str">
        <f t="shared" si="57"/>
        <v/>
      </c>
      <c r="B290" s="35"/>
      <c r="C290" s="36" t="str">
        <f t="shared" si="58"/>
        <v/>
      </c>
      <c r="D290" s="9"/>
      <c r="E290" s="27" t="str">
        <f t="shared" si="59"/>
        <v/>
      </c>
      <c r="F290" s="36" t="str">
        <f t="shared" si="60"/>
        <v/>
      </c>
      <c r="G290" s="29" t="str">
        <f t="shared" si="61"/>
        <v/>
      </c>
      <c r="H290" s="30" t="str">
        <f t="shared" si="62"/>
        <v/>
      </c>
      <c r="I290" s="31" t="str">
        <f t="shared" si="63"/>
        <v/>
      </c>
      <c r="J290" s="30" t="str">
        <f t="shared" si="64"/>
        <v/>
      </c>
      <c r="K290" s="36" t="str">
        <f t="shared" si="65"/>
        <v/>
      </c>
      <c r="L290" s="36" t="str">
        <f t="shared" si="66"/>
        <v/>
      </c>
      <c r="M290" s="36" t="str">
        <f t="shared" si="67"/>
        <v/>
      </c>
      <c r="N290" s="36" t="str">
        <f t="shared" si="68"/>
        <v/>
      </c>
      <c r="O290" s="69" t="str">
        <f>IFERROR(IF($C290="","",VLOOKUP($N290,Feriados!$A$4:$B$5000,2,FALSE)),"")</f>
        <v/>
      </c>
      <c r="P290" s="36" t="str">
        <f t="shared" si="69"/>
        <v/>
      </c>
      <c r="S290" s="62"/>
      <c r="T290" s="41"/>
      <c r="U290" s="73"/>
      <c r="V290" s="41" t="str">
        <f t="shared" si="70"/>
        <v/>
      </c>
    </row>
    <row r="291" spans="1:22" x14ac:dyDescent="0.25">
      <c r="A291" s="24" t="str">
        <f t="shared" si="57"/>
        <v/>
      </c>
      <c r="B291" s="35"/>
      <c r="C291" s="36" t="str">
        <f t="shared" si="58"/>
        <v/>
      </c>
      <c r="D291" s="9"/>
      <c r="E291" s="27" t="str">
        <f t="shared" si="59"/>
        <v/>
      </c>
      <c r="F291" s="36" t="str">
        <f t="shared" si="60"/>
        <v/>
      </c>
      <c r="G291" s="29" t="str">
        <f t="shared" si="61"/>
        <v/>
      </c>
      <c r="H291" s="30" t="str">
        <f t="shared" si="62"/>
        <v/>
      </c>
      <c r="I291" s="31" t="str">
        <f t="shared" si="63"/>
        <v/>
      </c>
      <c r="J291" s="30" t="str">
        <f t="shared" si="64"/>
        <v/>
      </c>
      <c r="K291" s="36" t="str">
        <f t="shared" si="65"/>
        <v/>
      </c>
      <c r="L291" s="36" t="str">
        <f t="shared" si="66"/>
        <v/>
      </c>
      <c r="M291" s="36" t="str">
        <f t="shared" si="67"/>
        <v/>
      </c>
      <c r="N291" s="36" t="str">
        <f t="shared" si="68"/>
        <v/>
      </c>
      <c r="O291" s="69" t="str">
        <f>IFERROR(IF($C291="","",VLOOKUP($N291,Feriados!$A$4:$B$5000,2,FALSE)),"")</f>
        <v/>
      </c>
      <c r="P291" s="36" t="str">
        <f t="shared" si="69"/>
        <v/>
      </c>
      <c r="S291" s="62"/>
      <c r="T291" s="41"/>
      <c r="U291" s="73"/>
      <c r="V291" s="41" t="str">
        <f t="shared" si="70"/>
        <v/>
      </c>
    </row>
    <row r="292" spans="1:22" x14ac:dyDescent="0.25">
      <c r="A292" s="24" t="str">
        <f t="shared" si="57"/>
        <v/>
      </c>
      <c r="B292" s="35"/>
      <c r="C292" s="36" t="str">
        <f t="shared" si="58"/>
        <v/>
      </c>
      <c r="D292" s="9"/>
      <c r="E292" s="27" t="str">
        <f t="shared" si="59"/>
        <v/>
      </c>
      <c r="F292" s="36" t="str">
        <f t="shared" si="60"/>
        <v/>
      </c>
      <c r="G292" s="29" t="str">
        <f t="shared" si="61"/>
        <v/>
      </c>
      <c r="H292" s="30" t="str">
        <f t="shared" si="62"/>
        <v/>
      </c>
      <c r="I292" s="31" t="str">
        <f t="shared" si="63"/>
        <v/>
      </c>
      <c r="J292" s="30" t="str">
        <f t="shared" si="64"/>
        <v/>
      </c>
      <c r="K292" s="36" t="str">
        <f t="shared" si="65"/>
        <v/>
      </c>
      <c r="L292" s="36" t="str">
        <f t="shared" si="66"/>
        <v/>
      </c>
      <c r="M292" s="36" t="str">
        <f t="shared" si="67"/>
        <v/>
      </c>
      <c r="N292" s="36" t="str">
        <f t="shared" si="68"/>
        <v/>
      </c>
      <c r="O292" s="69" t="str">
        <f>IFERROR(IF($C292="","",VLOOKUP($N292,Feriados!$A$4:$B$5000,2,FALSE)),"")</f>
        <v/>
      </c>
      <c r="P292" s="36" t="str">
        <f t="shared" si="69"/>
        <v/>
      </c>
      <c r="S292" s="62"/>
      <c r="T292" s="41"/>
      <c r="U292" s="73"/>
      <c r="V292" s="41" t="str">
        <f t="shared" si="70"/>
        <v/>
      </c>
    </row>
    <row r="293" spans="1:22" x14ac:dyDescent="0.25">
      <c r="A293" s="24" t="str">
        <f t="shared" si="57"/>
        <v/>
      </c>
      <c r="B293" s="35"/>
      <c r="C293" s="36" t="str">
        <f t="shared" si="58"/>
        <v/>
      </c>
      <c r="D293" s="9"/>
      <c r="E293" s="27" t="str">
        <f t="shared" si="59"/>
        <v/>
      </c>
      <c r="F293" s="36" t="str">
        <f t="shared" si="60"/>
        <v/>
      </c>
      <c r="G293" s="29" t="str">
        <f t="shared" si="61"/>
        <v/>
      </c>
      <c r="H293" s="30" t="str">
        <f t="shared" si="62"/>
        <v/>
      </c>
      <c r="I293" s="31" t="str">
        <f t="shared" si="63"/>
        <v/>
      </c>
      <c r="J293" s="30" t="str">
        <f t="shared" si="64"/>
        <v/>
      </c>
      <c r="K293" s="36" t="str">
        <f t="shared" si="65"/>
        <v/>
      </c>
      <c r="L293" s="36" t="str">
        <f t="shared" si="66"/>
        <v/>
      </c>
      <c r="M293" s="36" t="str">
        <f t="shared" si="67"/>
        <v/>
      </c>
      <c r="N293" s="36" t="str">
        <f t="shared" si="68"/>
        <v/>
      </c>
      <c r="O293" s="69" t="str">
        <f>IFERROR(IF($C293="","",VLOOKUP($N293,Feriados!$A$4:$B$5000,2,FALSE)),"")</f>
        <v/>
      </c>
      <c r="P293" s="36" t="str">
        <f t="shared" si="69"/>
        <v/>
      </c>
      <c r="S293" s="62"/>
      <c r="T293" s="41"/>
      <c r="U293" s="73"/>
      <c r="V293" s="41" t="str">
        <f t="shared" si="70"/>
        <v/>
      </c>
    </row>
    <row r="294" spans="1:22" x14ac:dyDescent="0.25">
      <c r="A294" s="24" t="str">
        <f t="shared" si="57"/>
        <v/>
      </c>
      <c r="B294" s="35"/>
      <c r="C294" s="36" t="str">
        <f t="shared" si="58"/>
        <v/>
      </c>
      <c r="D294" s="9"/>
      <c r="E294" s="27" t="str">
        <f t="shared" si="59"/>
        <v/>
      </c>
      <c r="F294" s="36" t="str">
        <f t="shared" si="60"/>
        <v/>
      </c>
      <c r="G294" s="29" t="str">
        <f t="shared" si="61"/>
        <v/>
      </c>
      <c r="H294" s="30" t="str">
        <f t="shared" si="62"/>
        <v/>
      </c>
      <c r="I294" s="31" t="str">
        <f t="shared" si="63"/>
        <v/>
      </c>
      <c r="J294" s="30" t="str">
        <f t="shared" si="64"/>
        <v/>
      </c>
      <c r="K294" s="36" t="str">
        <f t="shared" si="65"/>
        <v/>
      </c>
      <c r="L294" s="36" t="str">
        <f t="shared" si="66"/>
        <v/>
      </c>
      <c r="M294" s="36" t="str">
        <f t="shared" si="67"/>
        <v/>
      </c>
      <c r="N294" s="36" t="str">
        <f t="shared" si="68"/>
        <v/>
      </c>
      <c r="O294" s="69" t="str">
        <f>IFERROR(IF($C294="","",VLOOKUP($N294,Feriados!$A$4:$B$5000,2,FALSE)),"")</f>
        <v/>
      </c>
      <c r="P294" s="36" t="str">
        <f t="shared" si="69"/>
        <v/>
      </c>
      <c r="S294" s="62"/>
      <c r="T294" s="41"/>
      <c r="U294" s="73"/>
      <c r="V294" s="41" t="str">
        <f t="shared" si="70"/>
        <v/>
      </c>
    </row>
    <row r="295" spans="1:22" x14ac:dyDescent="0.25">
      <c r="A295" s="24" t="str">
        <f t="shared" si="57"/>
        <v/>
      </c>
      <c r="B295" s="35"/>
      <c r="C295" s="36" t="str">
        <f t="shared" si="58"/>
        <v/>
      </c>
      <c r="D295" s="9"/>
      <c r="E295" s="27" t="str">
        <f t="shared" si="59"/>
        <v/>
      </c>
      <c r="F295" s="36" t="str">
        <f t="shared" si="60"/>
        <v/>
      </c>
      <c r="G295" s="29" t="str">
        <f t="shared" si="61"/>
        <v/>
      </c>
      <c r="H295" s="30" t="str">
        <f t="shared" si="62"/>
        <v/>
      </c>
      <c r="I295" s="31" t="str">
        <f t="shared" si="63"/>
        <v/>
      </c>
      <c r="J295" s="30" t="str">
        <f t="shared" si="64"/>
        <v/>
      </c>
      <c r="K295" s="36" t="str">
        <f t="shared" si="65"/>
        <v/>
      </c>
      <c r="L295" s="36" t="str">
        <f t="shared" si="66"/>
        <v/>
      </c>
      <c r="M295" s="36" t="str">
        <f t="shared" si="67"/>
        <v/>
      </c>
      <c r="N295" s="36" t="str">
        <f t="shared" si="68"/>
        <v/>
      </c>
      <c r="O295" s="69" t="str">
        <f>IFERROR(IF($C295="","",VLOOKUP($N295,Feriados!$A$4:$B$5000,2,FALSE)),"")</f>
        <v/>
      </c>
      <c r="P295" s="36" t="str">
        <f t="shared" si="69"/>
        <v/>
      </c>
      <c r="S295" s="62"/>
      <c r="T295" s="41"/>
      <c r="U295" s="73"/>
      <c r="V295" s="41" t="str">
        <f t="shared" si="70"/>
        <v/>
      </c>
    </row>
    <row r="296" spans="1:22" x14ac:dyDescent="0.25">
      <c r="A296" s="24" t="str">
        <f t="shared" si="57"/>
        <v/>
      </c>
      <c r="B296" s="35"/>
      <c r="C296" s="36" t="str">
        <f t="shared" si="58"/>
        <v/>
      </c>
      <c r="D296" s="9"/>
      <c r="E296" s="27" t="str">
        <f t="shared" si="59"/>
        <v/>
      </c>
      <c r="F296" s="36" t="str">
        <f t="shared" si="60"/>
        <v/>
      </c>
      <c r="G296" s="29" t="str">
        <f t="shared" si="61"/>
        <v/>
      </c>
      <c r="H296" s="30" t="str">
        <f t="shared" si="62"/>
        <v/>
      </c>
      <c r="I296" s="31" t="str">
        <f t="shared" si="63"/>
        <v/>
      </c>
      <c r="J296" s="30" t="str">
        <f t="shared" si="64"/>
        <v/>
      </c>
      <c r="K296" s="36" t="str">
        <f t="shared" si="65"/>
        <v/>
      </c>
      <c r="L296" s="36" t="str">
        <f t="shared" si="66"/>
        <v/>
      </c>
      <c r="M296" s="36" t="str">
        <f t="shared" si="67"/>
        <v/>
      </c>
      <c r="N296" s="36" t="str">
        <f t="shared" si="68"/>
        <v/>
      </c>
      <c r="O296" s="69" t="str">
        <f>IFERROR(IF($C296="","",VLOOKUP($N296,Feriados!$A$4:$B$5000,2,FALSE)),"")</f>
        <v/>
      </c>
      <c r="P296" s="36" t="str">
        <f t="shared" si="69"/>
        <v/>
      </c>
      <c r="S296" s="62"/>
      <c r="T296" s="41"/>
      <c r="U296" s="73"/>
      <c r="V296" s="41" t="str">
        <f t="shared" si="70"/>
        <v/>
      </c>
    </row>
    <row r="297" spans="1:22" x14ac:dyDescent="0.25">
      <c r="A297" s="24" t="str">
        <f t="shared" si="57"/>
        <v/>
      </c>
      <c r="B297" s="35"/>
      <c r="C297" s="36" t="str">
        <f t="shared" si="58"/>
        <v/>
      </c>
      <c r="D297" s="9"/>
      <c r="E297" s="27" t="str">
        <f t="shared" si="59"/>
        <v/>
      </c>
      <c r="F297" s="36" t="str">
        <f t="shared" si="60"/>
        <v/>
      </c>
      <c r="G297" s="29" t="str">
        <f t="shared" si="61"/>
        <v/>
      </c>
      <c r="H297" s="30" t="str">
        <f t="shared" si="62"/>
        <v/>
      </c>
      <c r="I297" s="31" t="str">
        <f t="shared" si="63"/>
        <v/>
      </c>
      <c r="J297" s="30" t="str">
        <f t="shared" si="64"/>
        <v/>
      </c>
      <c r="K297" s="36" t="str">
        <f t="shared" si="65"/>
        <v/>
      </c>
      <c r="L297" s="36" t="str">
        <f t="shared" si="66"/>
        <v/>
      </c>
      <c r="M297" s="36" t="str">
        <f t="shared" si="67"/>
        <v/>
      </c>
      <c r="N297" s="36" t="str">
        <f t="shared" si="68"/>
        <v/>
      </c>
      <c r="O297" s="69" t="str">
        <f>IFERROR(IF($C297="","",VLOOKUP($N297,Feriados!$A$4:$B$5000,2,FALSE)),"")</f>
        <v/>
      </c>
      <c r="P297" s="36" t="str">
        <f t="shared" si="69"/>
        <v/>
      </c>
      <c r="S297" s="62"/>
      <c r="T297" s="41"/>
      <c r="U297" s="73"/>
      <c r="V297" s="41" t="str">
        <f t="shared" si="70"/>
        <v/>
      </c>
    </row>
    <row r="298" spans="1:22" x14ac:dyDescent="0.25">
      <c r="A298" s="24" t="str">
        <f t="shared" si="57"/>
        <v/>
      </c>
      <c r="B298" s="35"/>
      <c r="C298" s="36" t="str">
        <f t="shared" si="58"/>
        <v/>
      </c>
      <c r="D298" s="9"/>
      <c r="E298" s="27" t="str">
        <f t="shared" si="59"/>
        <v/>
      </c>
      <c r="F298" s="36" t="str">
        <f t="shared" si="60"/>
        <v/>
      </c>
      <c r="G298" s="29" t="str">
        <f t="shared" si="61"/>
        <v/>
      </c>
      <c r="H298" s="30" t="str">
        <f t="shared" si="62"/>
        <v/>
      </c>
      <c r="I298" s="31" t="str">
        <f t="shared" si="63"/>
        <v/>
      </c>
      <c r="J298" s="30" t="str">
        <f t="shared" si="64"/>
        <v/>
      </c>
      <c r="K298" s="36" t="str">
        <f t="shared" si="65"/>
        <v/>
      </c>
      <c r="L298" s="36" t="str">
        <f t="shared" si="66"/>
        <v/>
      </c>
      <c r="M298" s="36" t="str">
        <f t="shared" si="67"/>
        <v/>
      </c>
      <c r="N298" s="36" t="str">
        <f t="shared" si="68"/>
        <v/>
      </c>
      <c r="O298" s="69" t="str">
        <f>IFERROR(IF($C298="","",VLOOKUP($N298,Feriados!$A$4:$B$5000,2,FALSE)),"")</f>
        <v/>
      </c>
      <c r="P298" s="36" t="str">
        <f t="shared" si="69"/>
        <v/>
      </c>
      <c r="S298" s="62"/>
      <c r="T298" s="41"/>
      <c r="U298" s="73"/>
      <c r="V298" s="41" t="str">
        <f t="shared" si="70"/>
        <v/>
      </c>
    </row>
    <row r="299" spans="1:22" x14ac:dyDescent="0.25">
      <c r="A299" s="24" t="str">
        <f t="shared" si="57"/>
        <v/>
      </c>
      <c r="B299" s="35"/>
      <c r="C299" s="36" t="str">
        <f t="shared" si="58"/>
        <v/>
      </c>
      <c r="D299" s="9"/>
      <c r="E299" s="27" t="str">
        <f t="shared" si="59"/>
        <v/>
      </c>
      <c r="F299" s="36" t="str">
        <f t="shared" si="60"/>
        <v/>
      </c>
      <c r="G299" s="29" t="str">
        <f t="shared" si="61"/>
        <v/>
      </c>
      <c r="H299" s="30" t="str">
        <f t="shared" si="62"/>
        <v/>
      </c>
      <c r="I299" s="31" t="str">
        <f t="shared" si="63"/>
        <v/>
      </c>
      <c r="J299" s="30" t="str">
        <f t="shared" si="64"/>
        <v/>
      </c>
      <c r="K299" s="36" t="str">
        <f t="shared" si="65"/>
        <v/>
      </c>
      <c r="L299" s="36" t="str">
        <f t="shared" si="66"/>
        <v/>
      </c>
      <c r="M299" s="36" t="str">
        <f t="shared" si="67"/>
        <v/>
      </c>
      <c r="N299" s="36" t="str">
        <f t="shared" si="68"/>
        <v/>
      </c>
      <c r="O299" s="69" t="str">
        <f>IFERROR(IF($C299="","",VLOOKUP($N299,Feriados!$A$4:$B$5000,2,FALSE)),"")</f>
        <v/>
      </c>
      <c r="P299" s="36" t="str">
        <f t="shared" si="69"/>
        <v/>
      </c>
      <c r="S299" s="62"/>
      <c r="T299" s="41"/>
      <c r="U299" s="73"/>
      <c r="V299" s="41" t="str">
        <f t="shared" si="70"/>
        <v/>
      </c>
    </row>
    <row r="300" spans="1:22" x14ac:dyDescent="0.25">
      <c r="A300" s="24" t="str">
        <f t="shared" si="57"/>
        <v/>
      </c>
      <c r="B300" s="35"/>
      <c r="C300" s="36" t="str">
        <f t="shared" si="58"/>
        <v/>
      </c>
      <c r="D300" s="9"/>
      <c r="E300" s="27" t="str">
        <f t="shared" si="59"/>
        <v/>
      </c>
      <c r="F300" s="36" t="str">
        <f t="shared" si="60"/>
        <v/>
      </c>
      <c r="G300" s="29" t="str">
        <f t="shared" si="61"/>
        <v/>
      </c>
      <c r="H300" s="30" t="str">
        <f t="shared" si="62"/>
        <v/>
      </c>
      <c r="I300" s="31" t="str">
        <f t="shared" si="63"/>
        <v/>
      </c>
      <c r="J300" s="30" t="str">
        <f t="shared" si="64"/>
        <v/>
      </c>
      <c r="K300" s="36" t="str">
        <f t="shared" si="65"/>
        <v/>
      </c>
      <c r="L300" s="36" t="str">
        <f t="shared" si="66"/>
        <v/>
      </c>
      <c r="M300" s="36" t="str">
        <f t="shared" si="67"/>
        <v/>
      </c>
      <c r="N300" s="36" t="str">
        <f t="shared" si="68"/>
        <v/>
      </c>
      <c r="O300" s="69" t="str">
        <f>IFERROR(IF($C300="","",VLOOKUP($N300,Feriados!$A$4:$B$5000,2,FALSE)),"")</f>
        <v/>
      </c>
      <c r="P300" s="36" t="str">
        <f t="shared" si="69"/>
        <v/>
      </c>
      <c r="S300" s="62"/>
      <c r="T300" s="41"/>
      <c r="U300" s="73"/>
      <c r="V300" s="41" t="str">
        <f t="shared" si="70"/>
        <v/>
      </c>
    </row>
    <row r="301" spans="1:22" x14ac:dyDescent="0.25">
      <c r="A301" s="24" t="str">
        <f t="shared" si="57"/>
        <v/>
      </c>
      <c r="B301" s="35"/>
      <c r="C301" s="36" t="str">
        <f t="shared" si="58"/>
        <v/>
      </c>
      <c r="D301" s="9"/>
      <c r="E301" s="27" t="str">
        <f t="shared" si="59"/>
        <v/>
      </c>
      <c r="F301" s="36" t="str">
        <f t="shared" si="60"/>
        <v/>
      </c>
      <c r="G301" s="29" t="str">
        <f t="shared" si="61"/>
        <v/>
      </c>
      <c r="H301" s="30" t="str">
        <f t="shared" si="62"/>
        <v/>
      </c>
      <c r="I301" s="31" t="str">
        <f t="shared" si="63"/>
        <v/>
      </c>
      <c r="J301" s="30" t="str">
        <f t="shared" si="64"/>
        <v/>
      </c>
      <c r="K301" s="36" t="str">
        <f t="shared" si="65"/>
        <v/>
      </c>
      <c r="L301" s="36" t="str">
        <f t="shared" si="66"/>
        <v/>
      </c>
      <c r="M301" s="36" t="str">
        <f t="shared" si="67"/>
        <v/>
      </c>
      <c r="N301" s="36" t="str">
        <f t="shared" si="68"/>
        <v/>
      </c>
      <c r="O301" s="69" t="str">
        <f>IFERROR(IF($C301="","",VLOOKUP($N301,Feriados!$A$4:$B$5000,2,FALSE)),"")</f>
        <v/>
      </c>
      <c r="P301" s="36" t="str">
        <f t="shared" si="69"/>
        <v/>
      </c>
      <c r="S301" s="62"/>
      <c r="T301" s="41"/>
      <c r="U301" s="73"/>
      <c r="V301" s="41" t="str">
        <f t="shared" si="70"/>
        <v/>
      </c>
    </row>
    <row r="302" spans="1:22" x14ac:dyDescent="0.25">
      <c r="A302" s="24" t="str">
        <f t="shared" si="57"/>
        <v/>
      </c>
      <c r="B302" s="35"/>
      <c r="C302" s="36" t="str">
        <f t="shared" si="58"/>
        <v/>
      </c>
      <c r="D302" s="9"/>
      <c r="E302" s="27" t="str">
        <f t="shared" si="59"/>
        <v/>
      </c>
      <c r="F302" s="36" t="str">
        <f t="shared" si="60"/>
        <v/>
      </c>
      <c r="G302" s="29" t="str">
        <f t="shared" si="61"/>
        <v/>
      </c>
      <c r="H302" s="30" t="str">
        <f t="shared" si="62"/>
        <v/>
      </c>
      <c r="I302" s="31" t="str">
        <f t="shared" si="63"/>
        <v/>
      </c>
      <c r="J302" s="30" t="str">
        <f t="shared" si="64"/>
        <v/>
      </c>
      <c r="K302" s="36" t="str">
        <f t="shared" si="65"/>
        <v/>
      </c>
      <c r="L302" s="36" t="str">
        <f t="shared" si="66"/>
        <v/>
      </c>
      <c r="M302" s="36" t="str">
        <f t="shared" si="67"/>
        <v/>
      </c>
      <c r="N302" s="36" t="str">
        <f t="shared" si="68"/>
        <v/>
      </c>
      <c r="O302" s="69" t="str">
        <f>IFERROR(IF($C302="","",VLOOKUP($N302,Feriados!$A$4:$B$5000,2,FALSE)),"")</f>
        <v/>
      </c>
      <c r="P302" s="36" t="str">
        <f t="shared" si="69"/>
        <v/>
      </c>
      <c r="S302" s="62"/>
      <c r="T302" s="41"/>
      <c r="U302" s="73"/>
      <c r="V302" s="41" t="str">
        <f t="shared" si="70"/>
        <v/>
      </c>
    </row>
    <row r="303" spans="1:22" x14ac:dyDescent="0.25">
      <c r="A303" s="24" t="str">
        <f t="shared" si="57"/>
        <v/>
      </c>
      <c r="B303" s="35"/>
      <c r="C303" s="36" t="str">
        <f t="shared" si="58"/>
        <v/>
      </c>
      <c r="D303" s="9"/>
      <c r="E303" s="27" t="str">
        <f t="shared" si="59"/>
        <v/>
      </c>
      <c r="F303" s="36" t="str">
        <f t="shared" si="60"/>
        <v/>
      </c>
      <c r="G303" s="29" t="str">
        <f t="shared" si="61"/>
        <v/>
      </c>
      <c r="H303" s="30" t="str">
        <f t="shared" si="62"/>
        <v/>
      </c>
      <c r="I303" s="31" t="str">
        <f t="shared" si="63"/>
        <v/>
      </c>
      <c r="J303" s="30" t="str">
        <f t="shared" si="64"/>
        <v/>
      </c>
      <c r="K303" s="36" t="str">
        <f t="shared" si="65"/>
        <v/>
      </c>
      <c r="L303" s="36" t="str">
        <f t="shared" si="66"/>
        <v/>
      </c>
      <c r="M303" s="36" t="str">
        <f t="shared" si="67"/>
        <v/>
      </c>
      <c r="N303" s="36" t="str">
        <f t="shared" si="68"/>
        <v/>
      </c>
      <c r="O303" s="69" t="str">
        <f>IFERROR(IF($C303="","",VLOOKUP($N303,Feriados!$A$4:$B$5000,2,FALSE)),"")</f>
        <v/>
      </c>
      <c r="P303" s="36" t="str">
        <f t="shared" si="69"/>
        <v/>
      </c>
      <c r="S303" s="62"/>
      <c r="T303" s="41"/>
      <c r="U303" s="73"/>
      <c r="V303" s="41" t="str">
        <f t="shared" si="70"/>
        <v/>
      </c>
    </row>
    <row r="304" spans="1:22" x14ac:dyDescent="0.25">
      <c r="A304" s="24" t="str">
        <f t="shared" si="57"/>
        <v/>
      </c>
      <c r="B304" s="35"/>
      <c r="C304" s="36" t="str">
        <f t="shared" si="58"/>
        <v/>
      </c>
      <c r="D304" s="9"/>
      <c r="E304" s="27" t="str">
        <f t="shared" si="59"/>
        <v/>
      </c>
      <c r="F304" s="36" t="str">
        <f t="shared" si="60"/>
        <v/>
      </c>
      <c r="G304" s="29" t="str">
        <f t="shared" si="61"/>
        <v/>
      </c>
      <c r="H304" s="30" t="str">
        <f t="shared" si="62"/>
        <v/>
      </c>
      <c r="I304" s="31" t="str">
        <f t="shared" si="63"/>
        <v/>
      </c>
      <c r="J304" s="30" t="str">
        <f t="shared" si="64"/>
        <v/>
      </c>
      <c r="K304" s="36" t="str">
        <f t="shared" si="65"/>
        <v/>
      </c>
      <c r="L304" s="36" t="str">
        <f t="shared" si="66"/>
        <v/>
      </c>
      <c r="M304" s="36" t="str">
        <f t="shared" si="67"/>
        <v/>
      </c>
      <c r="N304" s="36" t="str">
        <f t="shared" si="68"/>
        <v/>
      </c>
      <c r="O304" s="69" t="str">
        <f>IFERROR(IF($C304="","",VLOOKUP($N304,Feriados!$A$4:$B$5000,2,FALSE)),"")</f>
        <v/>
      </c>
      <c r="P304" s="36" t="str">
        <f t="shared" si="69"/>
        <v/>
      </c>
      <c r="S304" s="62"/>
      <c r="T304" s="41"/>
      <c r="U304" s="73"/>
      <c r="V304" s="41" t="str">
        <f t="shared" si="70"/>
        <v/>
      </c>
    </row>
    <row r="305" spans="1:22" x14ac:dyDescent="0.25">
      <c r="A305" s="24" t="str">
        <f t="shared" si="57"/>
        <v/>
      </c>
      <c r="B305" s="35"/>
      <c r="C305" s="36" t="str">
        <f t="shared" si="58"/>
        <v/>
      </c>
      <c r="D305" s="9"/>
      <c r="E305" s="27" t="str">
        <f t="shared" si="59"/>
        <v/>
      </c>
      <c r="F305" s="36" t="str">
        <f t="shared" si="60"/>
        <v/>
      </c>
      <c r="G305" s="29" t="str">
        <f t="shared" si="61"/>
        <v/>
      </c>
      <c r="H305" s="30" t="str">
        <f t="shared" si="62"/>
        <v/>
      </c>
      <c r="I305" s="31" t="str">
        <f t="shared" si="63"/>
        <v/>
      </c>
      <c r="J305" s="30" t="str">
        <f t="shared" si="64"/>
        <v/>
      </c>
      <c r="K305" s="36" t="str">
        <f t="shared" si="65"/>
        <v/>
      </c>
      <c r="L305" s="36" t="str">
        <f t="shared" si="66"/>
        <v/>
      </c>
      <c r="M305" s="36" t="str">
        <f t="shared" si="67"/>
        <v/>
      </c>
      <c r="N305" s="36" t="str">
        <f t="shared" si="68"/>
        <v/>
      </c>
      <c r="O305" s="69" t="str">
        <f>IFERROR(IF($C305="","",VLOOKUP($N305,Feriados!$A$4:$B$5000,2,FALSE)),"")</f>
        <v/>
      </c>
      <c r="P305" s="36" t="str">
        <f t="shared" si="69"/>
        <v/>
      </c>
      <c r="S305" s="62"/>
      <c r="T305" s="41"/>
      <c r="U305" s="73"/>
      <c r="V305" s="41" t="str">
        <f t="shared" si="70"/>
        <v/>
      </c>
    </row>
    <row r="306" spans="1:22" x14ac:dyDescent="0.25">
      <c r="A306" s="24" t="str">
        <f t="shared" si="57"/>
        <v/>
      </c>
      <c r="B306" s="35"/>
      <c r="C306" s="36" t="str">
        <f t="shared" si="58"/>
        <v/>
      </c>
      <c r="D306" s="9"/>
      <c r="E306" s="27" t="str">
        <f t="shared" si="59"/>
        <v/>
      </c>
      <c r="F306" s="36" t="str">
        <f t="shared" si="60"/>
        <v/>
      </c>
      <c r="G306" s="29" t="str">
        <f t="shared" si="61"/>
        <v/>
      </c>
      <c r="H306" s="30" t="str">
        <f t="shared" si="62"/>
        <v/>
      </c>
      <c r="I306" s="31" t="str">
        <f t="shared" si="63"/>
        <v/>
      </c>
      <c r="J306" s="30" t="str">
        <f t="shared" si="64"/>
        <v/>
      </c>
      <c r="K306" s="36" t="str">
        <f t="shared" si="65"/>
        <v/>
      </c>
      <c r="L306" s="36" t="str">
        <f t="shared" si="66"/>
        <v/>
      </c>
      <c r="M306" s="36" t="str">
        <f t="shared" si="67"/>
        <v/>
      </c>
      <c r="N306" s="36" t="str">
        <f t="shared" si="68"/>
        <v/>
      </c>
      <c r="O306" s="69" t="str">
        <f>IFERROR(IF($C306="","",VLOOKUP($N306,Feriados!$A$4:$B$5000,2,FALSE)),"")</f>
        <v/>
      </c>
      <c r="P306" s="36" t="str">
        <f t="shared" si="69"/>
        <v/>
      </c>
      <c r="S306" s="62"/>
      <c r="T306" s="41"/>
      <c r="U306" s="73"/>
      <c r="V306" s="41" t="str">
        <f t="shared" si="70"/>
        <v/>
      </c>
    </row>
    <row r="307" spans="1:22" x14ac:dyDescent="0.25">
      <c r="A307" s="24" t="str">
        <f t="shared" si="57"/>
        <v/>
      </c>
      <c r="B307" s="35"/>
      <c r="C307" s="36" t="str">
        <f t="shared" si="58"/>
        <v/>
      </c>
      <c r="D307" s="9"/>
      <c r="E307" s="27" t="str">
        <f t="shared" si="59"/>
        <v/>
      </c>
      <c r="F307" s="36" t="str">
        <f t="shared" si="60"/>
        <v/>
      </c>
      <c r="G307" s="29" t="str">
        <f t="shared" si="61"/>
        <v/>
      </c>
      <c r="H307" s="30" t="str">
        <f t="shared" si="62"/>
        <v/>
      </c>
      <c r="I307" s="31" t="str">
        <f t="shared" si="63"/>
        <v/>
      </c>
      <c r="J307" s="30" t="str">
        <f t="shared" si="64"/>
        <v/>
      </c>
      <c r="K307" s="36" t="str">
        <f t="shared" si="65"/>
        <v/>
      </c>
      <c r="L307" s="36" t="str">
        <f t="shared" si="66"/>
        <v/>
      </c>
      <c r="M307" s="36" t="str">
        <f t="shared" si="67"/>
        <v/>
      </c>
      <c r="N307" s="36" t="str">
        <f t="shared" si="68"/>
        <v/>
      </c>
      <c r="O307" s="69" t="str">
        <f>IFERROR(IF($C307="","",VLOOKUP($N307,Feriados!$A$4:$B$5000,2,FALSE)),"")</f>
        <v/>
      </c>
      <c r="P307" s="36" t="str">
        <f t="shared" si="69"/>
        <v/>
      </c>
      <c r="S307" s="62"/>
      <c r="T307" s="41"/>
      <c r="U307" s="73"/>
      <c r="V307" s="41" t="str">
        <f t="shared" si="70"/>
        <v/>
      </c>
    </row>
    <row r="308" spans="1:22" x14ac:dyDescent="0.25">
      <c r="A308" s="24" t="str">
        <f t="shared" ref="A308:A371" si="71">IF(E308="","",EOMONTH(E308,0))</f>
        <v/>
      </c>
      <c r="B308" s="35"/>
      <c r="C308" s="36" t="str">
        <f t="shared" si="58"/>
        <v/>
      </c>
      <c r="D308" s="9"/>
      <c r="E308" s="27" t="str">
        <f t="shared" si="59"/>
        <v/>
      </c>
      <c r="F308" s="36" t="str">
        <f t="shared" si="60"/>
        <v/>
      </c>
      <c r="G308" s="29" t="str">
        <f t="shared" si="61"/>
        <v/>
      </c>
      <c r="H308" s="30" t="str">
        <f t="shared" si="62"/>
        <v/>
      </c>
      <c r="I308" s="31" t="str">
        <f t="shared" si="63"/>
        <v/>
      </c>
      <c r="J308" s="30" t="str">
        <f t="shared" si="64"/>
        <v/>
      </c>
      <c r="K308" s="36" t="str">
        <f t="shared" si="65"/>
        <v/>
      </c>
      <c r="L308" s="36" t="str">
        <f t="shared" si="66"/>
        <v/>
      </c>
      <c r="M308" s="36" t="str">
        <f t="shared" si="67"/>
        <v/>
      </c>
      <c r="N308" s="36" t="str">
        <f t="shared" si="68"/>
        <v/>
      </c>
      <c r="O308" s="69" t="str">
        <f>IFERROR(IF($C308="","",VLOOKUP($N308,Feriados!$A$4:$B$5000,2,FALSE)),"")</f>
        <v/>
      </c>
      <c r="P308" s="36" t="str">
        <f t="shared" si="69"/>
        <v/>
      </c>
      <c r="S308" s="62"/>
      <c r="T308" s="41"/>
      <c r="U308" s="73"/>
      <c r="V308" s="41" t="str">
        <f t="shared" si="70"/>
        <v/>
      </c>
    </row>
    <row r="309" spans="1:22" x14ac:dyDescent="0.25">
      <c r="A309" s="24" t="str">
        <f t="shared" si="71"/>
        <v/>
      </c>
      <c r="B309" s="35"/>
      <c r="C309" s="36" t="str">
        <f t="shared" si="58"/>
        <v/>
      </c>
      <c r="D309" s="9"/>
      <c r="E309" s="27" t="str">
        <f t="shared" si="59"/>
        <v/>
      </c>
      <c r="F309" s="36" t="str">
        <f t="shared" si="60"/>
        <v/>
      </c>
      <c r="G309" s="29" t="str">
        <f t="shared" si="61"/>
        <v/>
      </c>
      <c r="H309" s="30" t="str">
        <f t="shared" si="62"/>
        <v/>
      </c>
      <c r="I309" s="31" t="str">
        <f t="shared" si="63"/>
        <v/>
      </c>
      <c r="J309" s="30" t="str">
        <f t="shared" si="64"/>
        <v/>
      </c>
      <c r="K309" s="36" t="str">
        <f t="shared" si="65"/>
        <v/>
      </c>
      <c r="L309" s="36" t="str">
        <f t="shared" si="66"/>
        <v/>
      </c>
      <c r="M309" s="36" t="str">
        <f t="shared" si="67"/>
        <v/>
      </c>
      <c r="N309" s="36" t="str">
        <f t="shared" si="68"/>
        <v/>
      </c>
      <c r="O309" s="69" t="str">
        <f>IFERROR(IF($C309="","",VLOOKUP($N309,Feriados!$A$4:$B$5000,2,FALSE)),"")</f>
        <v/>
      </c>
      <c r="P309" s="36" t="str">
        <f t="shared" si="69"/>
        <v/>
      </c>
      <c r="S309" s="62"/>
      <c r="T309" s="41"/>
      <c r="U309" s="73"/>
      <c r="V309" s="41" t="str">
        <f t="shared" si="70"/>
        <v/>
      </c>
    </row>
    <row r="310" spans="1:22" x14ac:dyDescent="0.25">
      <c r="A310" s="24" t="str">
        <f t="shared" si="71"/>
        <v/>
      </c>
      <c r="B310" s="35"/>
      <c r="C310" s="36" t="str">
        <f t="shared" si="58"/>
        <v/>
      </c>
      <c r="D310" s="9"/>
      <c r="E310" s="27" t="str">
        <f t="shared" si="59"/>
        <v/>
      </c>
      <c r="F310" s="36" t="str">
        <f t="shared" si="60"/>
        <v/>
      </c>
      <c r="G310" s="29" t="str">
        <f t="shared" si="61"/>
        <v/>
      </c>
      <c r="H310" s="30" t="str">
        <f t="shared" si="62"/>
        <v/>
      </c>
      <c r="I310" s="31" t="str">
        <f t="shared" si="63"/>
        <v/>
      </c>
      <c r="J310" s="30" t="str">
        <f t="shared" si="64"/>
        <v/>
      </c>
      <c r="K310" s="36" t="str">
        <f t="shared" si="65"/>
        <v/>
      </c>
      <c r="L310" s="36" t="str">
        <f t="shared" si="66"/>
        <v/>
      </c>
      <c r="M310" s="36" t="str">
        <f t="shared" si="67"/>
        <v/>
      </c>
      <c r="N310" s="36" t="str">
        <f t="shared" si="68"/>
        <v/>
      </c>
      <c r="O310" s="69" t="str">
        <f>IFERROR(IF($C310="","",VLOOKUP($N310,Feriados!$A$4:$B$5000,2,FALSE)),"")</f>
        <v/>
      </c>
      <c r="P310" s="36" t="str">
        <f t="shared" si="69"/>
        <v/>
      </c>
      <c r="S310" s="62"/>
      <c r="T310" s="41"/>
      <c r="U310" s="73"/>
      <c r="V310" s="41" t="str">
        <f t="shared" si="70"/>
        <v/>
      </c>
    </row>
    <row r="311" spans="1:22" x14ac:dyDescent="0.25">
      <c r="A311" s="24" t="str">
        <f t="shared" si="71"/>
        <v/>
      </c>
      <c r="B311" s="35"/>
      <c r="C311" s="36" t="str">
        <f t="shared" si="58"/>
        <v/>
      </c>
      <c r="D311" s="9"/>
      <c r="E311" s="27" t="str">
        <f t="shared" si="59"/>
        <v/>
      </c>
      <c r="F311" s="36" t="str">
        <f t="shared" si="60"/>
        <v/>
      </c>
      <c r="G311" s="29" t="str">
        <f t="shared" si="61"/>
        <v/>
      </c>
      <c r="H311" s="30" t="str">
        <f t="shared" si="62"/>
        <v/>
      </c>
      <c r="I311" s="31" t="str">
        <f t="shared" si="63"/>
        <v/>
      </c>
      <c r="J311" s="30" t="str">
        <f t="shared" si="64"/>
        <v/>
      </c>
      <c r="K311" s="36" t="str">
        <f t="shared" si="65"/>
        <v/>
      </c>
      <c r="L311" s="36" t="str">
        <f t="shared" si="66"/>
        <v/>
      </c>
      <c r="M311" s="36" t="str">
        <f t="shared" si="67"/>
        <v/>
      </c>
      <c r="N311" s="36" t="str">
        <f t="shared" si="68"/>
        <v/>
      </c>
      <c r="O311" s="69" t="str">
        <f>IFERROR(IF($C311="","",VLOOKUP($N311,Feriados!$A$4:$B$5000,2,FALSE)),"")</f>
        <v/>
      </c>
      <c r="P311" s="36" t="str">
        <f t="shared" si="69"/>
        <v/>
      </c>
      <c r="S311" s="62"/>
      <c r="T311" s="41"/>
      <c r="U311" s="73"/>
      <c r="V311" s="41" t="str">
        <f t="shared" si="70"/>
        <v/>
      </c>
    </row>
    <row r="312" spans="1:22" x14ac:dyDescent="0.25">
      <c r="A312" s="24" t="str">
        <f t="shared" si="71"/>
        <v/>
      </c>
      <c r="B312" s="35"/>
      <c r="C312" s="36" t="str">
        <f t="shared" si="58"/>
        <v/>
      </c>
      <c r="D312" s="9"/>
      <c r="E312" s="27" t="str">
        <f t="shared" si="59"/>
        <v/>
      </c>
      <c r="F312" s="36" t="str">
        <f t="shared" si="60"/>
        <v/>
      </c>
      <c r="G312" s="29" t="str">
        <f t="shared" si="61"/>
        <v/>
      </c>
      <c r="H312" s="30" t="str">
        <f t="shared" si="62"/>
        <v/>
      </c>
      <c r="I312" s="31" t="str">
        <f t="shared" si="63"/>
        <v/>
      </c>
      <c r="J312" s="30" t="str">
        <f t="shared" si="64"/>
        <v/>
      </c>
      <c r="K312" s="36" t="str">
        <f t="shared" si="65"/>
        <v/>
      </c>
      <c r="L312" s="36" t="str">
        <f t="shared" si="66"/>
        <v/>
      </c>
      <c r="M312" s="36" t="str">
        <f t="shared" si="67"/>
        <v/>
      </c>
      <c r="N312" s="36" t="str">
        <f t="shared" si="68"/>
        <v/>
      </c>
      <c r="O312" s="69" t="str">
        <f>IFERROR(IF($C312="","",VLOOKUP($N312,Feriados!$A$4:$B$5000,2,FALSE)),"")</f>
        <v/>
      </c>
      <c r="P312" s="36" t="str">
        <f t="shared" si="69"/>
        <v/>
      </c>
      <c r="S312" s="62"/>
      <c r="T312" s="41"/>
      <c r="U312" s="73"/>
      <c r="V312" s="41" t="str">
        <f t="shared" si="70"/>
        <v/>
      </c>
    </row>
    <row r="313" spans="1:22" x14ac:dyDescent="0.25">
      <c r="A313" s="24" t="str">
        <f t="shared" si="71"/>
        <v/>
      </c>
      <c r="B313" s="35"/>
      <c r="C313" s="36" t="str">
        <f t="shared" si="58"/>
        <v/>
      </c>
      <c r="D313" s="9"/>
      <c r="E313" s="27" t="str">
        <f t="shared" si="59"/>
        <v/>
      </c>
      <c r="F313" s="36" t="str">
        <f t="shared" si="60"/>
        <v/>
      </c>
      <c r="G313" s="29" t="str">
        <f t="shared" si="61"/>
        <v/>
      </c>
      <c r="H313" s="30" t="str">
        <f t="shared" si="62"/>
        <v/>
      </c>
      <c r="I313" s="31" t="str">
        <f t="shared" si="63"/>
        <v/>
      </c>
      <c r="J313" s="30" t="str">
        <f t="shared" si="64"/>
        <v/>
      </c>
      <c r="K313" s="36" t="str">
        <f t="shared" si="65"/>
        <v/>
      </c>
      <c r="L313" s="36" t="str">
        <f t="shared" si="66"/>
        <v/>
      </c>
      <c r="M313" s="36" t="str">
        <f t="shared" si="67"/>
        <v/>
      </c>
      <c r="N313" s="36" t="str">
        <f t="shared" si="68"/>
        <v/>
      </c>
      <c r="O313" s="69" t="str">
        <f>IFERROR(IF($C313="","",VLOOKUP($N313,Feriados!$A$4:$B$5000,2,FALSE)),"")</f>
        <v/>
      </c>
      <c r="P313" s="36" t="str">
        <f t="shared" si="69"/>
        <v/>
      </c>
      <c r="S313" s="62"/>
      <c r="T313" s="41"/>
      <c r="U313" s="73"/>
      <c r="V313" s="41" t="str">
        <f t="shared" si="70"/>
        <v/>
      </c>
    </row>
    <row r="314" spans="1:22" x14ac:dyDescent="0.25">
      <c r="A314" s="24" t="str">
        <f t="shared" si="71"/>
        <v/>
      </c>
      <c r="B314" s="35"/>
      <c r="C314" s="36" t="str">
        <f t="shared" si="58"/>
        <v/>
      </c>
      <c r="D314" s="9"/>
      <c r="E314" s="27" t="str">
        <f t="shared" si="59"/>
        <v/>
      </c>
      <c r="F314" s="36" t="str">
        <f t="shared" si="60"/>
        <v/>
      </c>
      <c r="G314" s="29" t="str">
        <f t="shared" si="61"/>
        <v/>
      </c>
      <c r="H314" s="30" t="str">
        <f t="shared" si="62"/>
        <v/>
      </c>
      <c r="I314" s="31" t="str">
        <f t="shared" si="63"/>
        <v/>
      </c>
      <c r="J314" s="30" t="str">
        <f t="shared" si="64"/>
        <v/>
      </c>
      <c r="K314" s="36" t="str">
        <f t="shared" si="65"/>
        <v/>
      </c>
      <c r="L314" s="36" t="str">
        <f t="shared" si="66"/>
        <v/>
      </c>
      <c r="M314" s="36" t="str">
        <f t="shared" si="67"/>
        <v/>
      </c>
      <c r="N314" s="36" t="str">
        <f t="shared" si="68"/>
        <v/>
      </c>
      <c r="O314" s="69" t="str">
        <f>IFERROR(IF($C314="","",VLOOKUP($N314,Feriados!$A$4:$B$5000,2,FALSE)),"")</f>
        <v/>
      </c>
      <c r="P314" s="36" t="str">
        <f t="shared" si="69"/>
        <v/>
      </c>
      <c r="S314" s="62"/>
      <c r="T314" s="41"/>
      <c r="U314" s="73"/>
      <c r="V314" s="41" t="str">
        <f t="shared" si="70"/>
        <v/>
      </c>
    </row>
    <row r="315" spans="1:22" x14ac:dyDescent="0.25">
      <c r="A315" s="24" t="str">
        <f t="shared" si="71"/>
        <v/>
      </c>
      <c r="B315" s="35"/>
      <c r="C315" s="36" t="str">
        <f t="shared" si="58"/>
        <v/>
      </c>
      <c r="D315" s="9"/>
      <c r="E315" s="27" t="str">
        <f t="shared" si="59"/>
        <v/>
      </c>
      <c r="F315" s="36" t="str">
        <f t="shared" si="60"/>
        <v/>
      </c>
      <c r="G315" s="29" t="str">
        <f t="shared" si="61"/>
        <v/>
      </c>
      <c r="H315" s="30" t="str">
        <f t="shared" si="62"/>
        <v/>
      </c>
      <c r="I315" s="31" t="str">
        <f t="shared" si="63"/>
        <v/>
      </c>
      <c r="J315" s="30" t="str">
        <f t="shared" si="64"/>
        <v/>
      </c>
      <c r="K315" s="36" t="str">
        <f t="shared" si="65"/>
        <v/>
      </c>
      <c r="L315" s="36" t="str">
        <f t="shared" si="66"/>
        <v/>
      </c>
      <c r="M315" s="36" t="str">
        <f t="shared" si="67"/>
        <v/>
      </c>
      <c r="N315" s="36" t="str">
        <f t="shared" si="68"/>
        <v/>
      </c>
      <c r="O315" s="69" t="str">
        <f>IFERROR(IF($C315="","",VLOOKUP($N315,Feriados!$A$4:$B$5000,2,FALSE)),"")</f>
        <v/>
      </c>
      <c r="P315" s="36" t="str">
        <f t="shared" si="69"/>
        <v/>
      </c>
      <c r="S315" s="62"/>
      <c r="T315" s="41"/>
      <c r="U315" s="73"/>
      <c r="V315" s="41" t="str">
        <f t="shared" si="70"/>
        <v/>
      </c>
    </row>
    <row r="316" spans="1:22" x14ac:dyDescent="0.25">
      <c r="A316" s="24" t="str">
        <f t="shared" si="71"/>
        <v/>
      </c>
      <c r="B316" s="35"/>
      <c r="C316" s="36" t="str">
        <f t="shared" si="58"/>
        <v/>
      </c>
      <c r="D316" s="9"/>
      <c r="E316" s="27" t="str">
        <f t="shared" si="59"/>
        <v/>
      </c>
      <c r="F316" s="36" t="str">
        <f t="shared" si="60"/>
        <v/>
      </c>
      <c r="G316" s="29" t="str">
        <f t="shared" si="61"/>
        <v/>
      </c>
      <c r="H316" s="30" t="str">
        <f t="shared" si="62"/>
        <v/>
      </c>
      <c r="I316" s="31" t="str">
        <f t="shared" si="63"/>
        <v/>
      </c>
      <c r="J316" s="30" t="str">
        <f t="shared" si="64"/>
        <v/>
      </c>
      <c r="K316" s="36" t="str">
        <f t="shared" si="65"/>
        <v/>
      </c>
      <c r="L316" s="36" t="str">
        <f t="shared" si="66"/>
        <v/>
      </c>
      <c r="M316" s="36" t="str">
        <f t="shared" si="67"/>
        <v/>
      </c>
      <c r="N316" s="36" t="str">
        <f t="shared" si="68"/>
        <v/>
      </c>
      <c r="O316" s="69" t="str">
        <f>IFERROR(IF($C316="","",VLOOKUP($N316,Feriados!$A$4:$B$5000,2,FALSE)),"")</f>
        <v/>
      </c>
      <c r="P316" s="36" t="str">
        <f t="shared" si="69"/>
        <v/>
      </c>
      <c r="S316" s="62"/>
      <c r="T316" s="41"/>
      <c r="U316" s="73"/>
      <c r="V316" s="41" t="str">
        <f t="shared" si="70"/>
        <v/>
      </c>
    </row>
    <row r="317" spans="1:22" x14ac:dyDescent="0.25">
      <c r="A317" s="24" t="str">
        <f t="shared" si="71"/>
        <v/>
      </c>
      <c r="B317" s="35"/>
      <c r="C317" s="36" t="str">
        <f t="shared" si="58"/>
        <v/>
      </c>
      <c r="D317" s="9"/>
      <c r="E317" s="27" t="str">
        <f t="shared" si="59"/>
        <v/>
      </c>
      <c r="F317" s="36" t="str">
        <f t="shared" si="60"/>
        <v/>
      </c>
      <c r="G317" s="29" t="str">
        <f t="shared" si="61"/>
        <v/>
      </c>
      <c r="H317" s="30" t="str">
        <f t="shared" si="62"/>
        <v/>
      </c>
      <c r="I317" s="31" t="str">
        <f t="shared" si="63"/>
        <v/>
      </c>
      <c r="J317" s="30" t="str">
        <f t="shared" si="64"/>
        <v/>
      </c>
      <c r="K317" s="36" t="str">
        <f t="shared" si="65"/>
        <v/>
      </c>
      <c r="L317" s="36" t="str">
        <f t="shared" si="66"/>
        <v/>
      </c>
      <c r="M317" s="36" t="str">
        <f t="shared" si="67"/>
        <v/>
      </c>
      <c r="N317" s="36" t="str">
        <f t="shared" si="68"/>
        <v/>
      </c>
      <c r="O317" s="69" t="str">
        <f>IFERROR(IF($C317="","",VLOOKUP($N317,Feriados!$A$4:$B$5000,2,FALSE)),"")</f>
        <v/>
      </c>
      <c r="P317" s="36" t="str">
        <f t="shared" si="69"/>
        <v/>
      </c>
      <c r="S317" s="62"/>
      <c r="T317" s="41"/>
      <c r="U317" s="73"/>
      <c r="V317" s="41" t="str">
        <f t="shared" si="70"/>
        <v/>
      </c>
    </row>
    <row r="318" spans="1:22" x14ac:dyDescent="0.25">
      <c r="A318" s="24" t="str">
        <f t="shared" si="71"/>
        <v/>
      </c>
      <c r="B318" s="35"/>
      <c r="C318" s="36" t="str">
        <f t="shared" si="58"/>
        <v/>
      </c>
      <c r="D318" s="9"/>
      <c r="E318" s="27" t="str">
        <f t="shared" si="59"/>
        <v/>
      </c>
      <c r="F318" s="36" t="str">
        <f t="shared" si="60"/>
        <v/>
      </c>
      <c r="G318" s="29" t="str">
        <f t="shared" si="61"/>
        <v/>
      </c>
      <c r="H318" s="30" t="str">
        <f t="shared" si="62"/>
        <v/>
      </c>
      <c r="I318" s="31" t="str">
        <f t="shared" si="63"/>
        <v/>
      </c>
      <c r="J318" s="30" t="str">
        <f t="shared" si="64"/>
        <v/>
      </c>
      <c r="K318" s="36" t="str">
        <f t="shared" si="65"/>
        <v/>
      </c>
      <c r="L318" s="36" t="str">
        <f t="shared" si="66"/>
        <v/>
      </c>
      <c r="M318" s="36" t="str">
        <f t="shared" si="67"/>
        <v/>
      </c>
      <c r="N318" s="36" t="str">
        <f t="shared" si="68"/>
        <v/>
      </c>
      <c r="O318" s="69" t="str">
        <f>IFERROR(IF($C318="","",VLOOKUP($N318,Feriados!$A$4:$B$5000,2,FALSE)),"")</f>
        <v/>
      </c>
      <c r="P318" s="36" t="str">
        <f t="shared" si="69"/>
        <v/>
      </c>
      <c r="S318" s="62"/>
      <c r="T318" s="41"/>
      <c r="U318" s="73"/>
      <c r="V318" s="41" t="str">
        <f t="shared" si="70"/>
        <v/>
      </c>
    </row>
    <row r="319" spans="1:22" x14ac:dyDescent="0.25">
      <c r="A319" s="24" t="str">
        <f t="shared" si="71"/>
        <v/>
      </c>
      <c r="B319" s="35"/>
      <c r="C319" s="36" t="str">
        <f t="shared" si="58"/>
        <v/>
      </c>
      <c r="D319" s="9"/>
      <c r="E319" s="27" t="str">
        <f t="shared" si="59"/>
        <v/>
      </c>
      <c r="F319" s="36" t="str">
        <f t="shared" si="60"/>
        <v/>
      </c>
      <c r="G319" s="29" t="str">
        <f t="shared" si="61"/>
        <v/>
      </c>
      <c r="H319" s="30" t="str">
        <f t="shared" si="62"/>
        <v/>
      </c>
      <c r="I319" s="31" t="str">
        <f t="shared" si="63"/>
        <v/>
      </c>
      <c r="J319" s="30" t="str">
        <f t="shared" si="64"/>
        <v/>
      </c>
      <c r="K319" s="36" t="str">
        <f t="shared" si="65"/>
        <v/>
      </c>
      <c r="L319" s="36" t="str">
        <f t="shared" si="66"/>
        <v/>
      </c>
      <c r="M319" s="36" t="str">
        <f t="shared" si="67"/>
        <v/>
      </c>
      <c r="N319" s="36" t="str">
        <f t="shared" si="68"/>
        <v/>
      </c>
      <c r="O319" s="69" t="str">
        <f>IFERROR(IF($C319="","",VLOOKUP($N319,Feriados!$A$4:$B$5000,2,FALSE)),"")</f>
        <v/>
      </c>
      <c r="P319" s="36" t="str">
        <f t="shared" si="69"/>
        <v/>
      </c>
      <c r="S319" s="62"/>
      <c r="T319" s="41"/>
      <c r="U319" s="73"/>
      <c r="V319" s="41" t="str">
        <f t="shared" si="70"/>
        <v/>
      </c>
    </row>
    <row r="320" spans="1:22" x14ac:dyDescent="0.25">
      <c r="A320" s="24" t="str">
        <f t="shared" si="71"/>
        <v/>
      </c>
      <c r="B320" s="35"/>
      <c r="C320" s="36" t="str">
        <f t="shared" si="58"/>
        <v/>
      </c>
      <c r="D320" s="9"/>
      <c r="E320" s="27" t="str">
        <f t="shared" si="59"/>
        <v/>
      </c>
      <c r="F320" s="36" t="str">
        <f t="shared" si="60"/>
        <v/>
      </c>
      <c r="G320" s="29" t="str">
        <f t="shared" si="61"/>
        <v/>
      </c>
      <c r="H320" s="30" t="str">
        <f t="shared" si="62"/>
        <v/>
      </c>
      <c r="I320" s="31" t="str">
        <f t="shared" si="63"/>
        <v/>
      </c>
      <c r="J320" s="30" t="str">
        <f t="shared" si="64"/>
        <v/>
      </c>
      <c r="K320" s="36" t="str">
        <f t="shared" si="65"/>
        <v/>
      </c>
      <c r="L320" s="36" t="str">
        <f t="shared" si="66"/>
        <v/>
      </c>
      <c r="M320" s="36" t="str">
        <f t="shared" si="67"/>
        <v/>
      </c>
      <c r="N320" s="36" t="str">
        <f t="shared" si="68"/>
        <v/>
      </c>
      <c r="O320" s="69" t="str">
        <f>IFERROR(IF($C320="","",VLOOKUP($N320,Feriados!$A$4:$B$5000,2,FALSE)),"")</f>
        <v/>
      </c>
      <c r="P320" s="36" t="str">
        <f t="shared" si="69"/>
        <v/>
      </c>
      <c r="S320" s="62"/>
      <c r="T320" s="41"/>
      <c r="U320" s="73"/>
      <c r="V320" s="41" t="str">
        <f t="shared" si="70"/>
        <v/>
      </c>
    </row>
    <row r="321" spans="1:22" x14ac:dyDescent="0.25">
      <c r="A321" s="24" t="str">
        <f t="shared" si="71"/>
        <v/>
      </c>
      <c r="B321" s="35"/>
      <c r="C321" s="36" t="str">
        <f t="shared" si="58"/>
        <v/>
      </c>
      <c r="D321" s="9"/>
      <c r="E321" s="27" t="str">
        <f t="shared" si="59"/>
        <v/>
      </c>
      <c r="F321" s="36" t="str">
        <f t="shared" si="60"/>
        <v/>
      </c>
      <c r="G321" s="29" t="str">
        <f t="shared" si="61"/>
        <v/>
      </c>
      <c r="H321" s="30" t="str">
        <f t="shared" si="62"/>
        <v/>
      </c>
      <c r="I321" s="31" t="str">
        <f t="shared" si="63"/>
        <v/>
      </c>
      <c r="J321" s="30" t="str">
        <f t="shared" si="64"/>
        <v/>
      </c>
      <c r="K321" s="36" t="str">
        <f t="shared" si="65"/>
        <v/>
      </c>
      <c r="L321" s="36" t="str">
        <f t="shared" si="66"/>
        <v/>
      </c>
      <c r="M321" s="36" t="str">
        <f t="shared" si="67"/>
        <v/>
      </c>
      <c r="N321" s="36" t="str">
        <f t="shared" si="68"/>
        <v/>
      </c>
      <c r="O321" s="69" t="str">
        <f>IFERROR(IF($C321="","",VLOOKUP($N321,Feriados!$A$4:$B$5000,2,FALSE)),"")</f>
        <v/>
      </c>
      <c r="P321" s="36" t="str">
        <f t="shared" si="69"/>
        <v/>
      </c>
      <c r="S321" s="62"/>
      <c r="T321" s="41"/>
      <c r="U321" s="73"/>
      <c r="V321" s="41" t="str">
        <f t="shared" si="70"/>
        <v/>
      </c>
    </row>
    <row r="322" spans="1:22" x14ac:dyDescent="0.25">
      <c r="A322" s="24" t="str">
        <f t="shared" si="71"/>
        <v/>
      </c>
      <c r="B322" s="35"/>
      <c r="C322" s="36" t="str">
        <f t="shared" si="58"/>
        <v/>
      </c>
      <c r="D322" s="9"/>
      <c r="E322" s="27" t="str">
        <f t="shared" si="59"/>
        <v/>
      </c>
      <c r="F322" s="36" t="str">
        <f t="shared" si="60"/>
        <v/>
      </c>
      <c r="G322" s="29" t="str">
        <f t="shared" si="61"/>
        <v/>
      </c>
      <c r="H322" s="30" t="str">
        <f t="shared" si="62"/>
        <v/>
      </c>
      <c r="I322" s="31" t="str">
        <f t="shared" si="63"/>
        <v/>
      </c>
      <c r="J322" s="30" t="str">
        <f t="shared" si="64"/>
        <v/>
      </c>
      <c r="K322" s="36" t="str">
        <f t="shared" si="65"/>
        <v/>
      </c>
      <c r="L322" s="36" t="str">
        <f t="shared" si="66"/>
        <v/>
      </c>
      <c r="M322" s="36" t="str">
        <f t="shared" si="67"/>
        <v/>
      </c>
      <c r="N322" s="36" t="str">
        <f t="shared" si="68"/>
        <v/>
      </c>
      <c r="O322" s="69" t="str">
        <f>IFERROR(IF($C322="","",VLOOKUP($N322,Feriados!$A$4:$B$5000,2,FALSE)),"")</f>
        <v/>
      </c>
      <c r="P322" s="36" t="str">
        <f t="shared" si="69"/>
        <v/>
      </c>
      <c r="S322" s="62"/>
      <c r="T322" s="41"/>
      <c r="U322" s="73"/>
      <c r="V322" s="41" t="str">
        <f t="shared" si="70"/>
        <v/>
      </c>
    </row>
    <row r="323" spans="1:22" x14ac:dyDescent="0.25">
      <c r="A323" s="24" t="str">
        <f t="shared" si="71"/>
        <v/>
      </c>
      <c r="B323" s="35"/>
      <c r="C323" s="36" t="str">
        <f t="shared" si="58"/>
        <v/>
      </c>
      <c r="D323" s="9"/>
      <c r="E323" s="27" t="str">
        <f t="shared" si="59"/>
        <v/>
      </c>
      <c r="F323" s="36" t="str">
        <f t="shared" si="60"/>
        <v/>
      </c>
      <c r="G323" s="29" t="str">
        <f t="shared" si="61"/>
        <v/>
      </c>
      <c r="H323" s="30" t="str">
        <f t="shared" si="62"/>
        <v/>
      </c>
      <c r="I323" s="31" t="str">
        <f t="shared" si="63"/>
        <v/>
      </c>
      <c r="J323" s="30" t="str">
        <f t="shared" si="64"/>
        <v/>
      </c>
      <c r="K323" s="36" t="str">
        <f t="shared" si="65"/>
        <v/>
      </c>
      <c r="L323" s="36" t="str">
        <f t="shared" si="66"/>
        <v/>
      </c>
      <c r="M323" s="36" t="str">
        <f t="shared" si="67"/>
        <v/>
      </c>
      <c r="N323" s="36" t="str">
        <f t="shared" si="68"/>
        <v/>
      </c>
      <c r="O323" s="69" t="str">
        <f>IFERROR(IF($C323="","",VLOOKUP($N323,Feriados!$A$4:$B$5000,2,FALSE)),"")</f>
        <v/>
      </c>
      <c r="P323" s="36" t="str">
        <f t="shared" si="69"/>
        <v/>
      </c>
      <c r="S323" s="62"/>
      <c r="T323" s="41"/>
      <c r="U323" s="73"/>
      <c r="V323" s="41" t="str">
        <f t="shared" si="70"/>
        <v/>
      </c>
    </row>
    <row r="324" spans="1:22" x14ac:dyDescent="0.25">
      <c r="A324" s="24" t="str">
        <f t="shared" si="71"/>
        <v/>
      </c>
      <c r="B324" s="35"/>
      <c r="C324" s="36" t="str">
        <f t="shared" si="58"/>
        <v/>
      </c>
      <c r="D324" s="9"/>
      <c r="E324" s="27" t="str">
        <f t="shared" si="59"/>
        <v/>
      </c>
      <c r="F324" s="36" t="str">
        <f t="shared" si="60"/>
        <v/>
      </c>
      <c r="G324" s="29" t="str">
        <f t="shared" si="61"/>
        <v/>
      </c>
      <c r="H324" s="30" t="str">
        <f t="shared" si="62"/>
        <v/>
      </c>
      <c r="I324" s="31" t="str">
        <f t="shared" si="63"/>
        <v/>
      </c>
      <c r="J324" s="30" t="str">
        <f t="shared" si="64"/>
        <v/>
      </c>
      <c r="K324" s="36" t="str">
        <f t="shared" si="65"/>
        <v/>
      </c>
      <c r="L324" s="36" t="str">
        <f t="shared" si="66"/>
        <v/>
      </c>
      <c r="M324" s="36" t="str">
        <f t="shared" si="67"/>
        <v/>
      </c>
      <c r="N324" s="36" t="str">
        <f t="shared" si="68"/>
        <v/>
      </c>
      <c r="O324" s="69" t="str">
        <f>IFERROR(IF($C324="","",VLOOKUP($N324,Feriados!$A$4:$B$5000,2,FALSE)),"")</f>
        <v/>
      </c>
      <c r="P324" s="36" t="str">
        <f t="shared" si="69"/>
        <v/>
      </c>
      <c r="S324" s="62"/>
      <c r="T324" s="41"/>
      <c r="U324" s="73"/>
      <c r="V324" s="41" t="str">
        <f t="shared" si="70"/>
        <v/>
      </c>
    </row>
    <row r="325" spans="1:22" x14ac:dyDescent="0.25">
      <c r="A325" s="24" t="str">
        <f t="shared" si="71"/>
        <v/>
      </c>
      <c r="B325" s="35"/>
      <c r="C325" s="36" t="str">
        <f t="shared" si="58"/>
        <v/>
      </c>
      <c r="D325" s="9"/>
      <c r="E325" s="27" t="str">
        <f t="shared" si="59"/>
        <v/>
      </c>
      <c r="F325" s="36" t="str">
        <f t="shared" si="60"/>
        <v/>
      </c>
      <c r="G325" s="29" t="str">
        <f t="shared" si="61"/>
        <v/>
      </c>
      <c r="H325" s="30" t="str">
        <f t="shared" si="62"/>
        <v/>
      </c>
      <c r="I325" s="31" t="str">
        <f t="shared" si="63"/>
        <v/>
      </c>
      <c r="J325" s="30" t="str">
        <f t="shared" si="64"/>
        <v/>
      </c>
      <c r="K325" s="36" t="str">
        <f t="shared" si="65"/>
        <v/>
      </c>
      <c r="L325" s="36" t="str">
        <f t="shared" si="66"/>
        <v/>
      </c>
      <c r="M325" s="36" t="str">
        <f t="shared" si="67"/>
        <v/>
      </c>
      <c r="N325" s="36" t="str">
        <f t="shared" si="68"/>
        <v/>
      </c>
      <c r="O325" s="69" t="str">
        <f>IFERROR(IF($C325="","",VLOOKUP($N325,Feriados!$A$4:$B$5000,2,FALSE)),"")</f>
        <v/>
      </c>
      <c r="P325" s="36" t="str">
        <f t="shared" si="69"/>
        <v/>
      </c>
      <c r="S325" s="62"/>
      <c r="T325" s="41"/>
      <c r="U325" s="73"/>
      <c r="V325" s="41" t="str">
        <f t="shared" si="70"/>
        <v/>
      </c>
    </row>
    <row r="326" spans="1:22" x14ac:dyDescent="0.25">
      <c r="A326" s="24" t="str">
        <f t="shared" si="71"/>
        <v/>
      </c>
      <c r="B326" s="35"/>
      <c r="C326" s="36" t="str">
        <f t="shared" si="58"/>
        <v/>
      </c>
      <c r="D326" s="9"/>
      <c r="E326" s="27" t="str">
        <f t="shared" si="59"/>
        <v/>
      </c>
      <c r="F326" s="36" t="str">
        <f t="shared" si="60"/>
        <v/>
      </c>
      <c r="G326" s="29" t="str">
        <f t="shared" si="61"/>
        <v/>
      </c>
      <c r="H326" s="30" t="str">
        <f t="shared" si="62"/>
        <v/>
      </c>
      <c r="I326" s="31" t="str">
        <f t="shared" si="63"/>
        <v/>
      </c>
      <c r="J326" s="30" t="str">
        <f t="shared" si="64"/>
        <v/>
      </c>
      <c r="K326" s="36" t="str">
        <f t="shared" si="65"/>
        <v/>
      </c>
      <c r="L326" s="36" t="str">
        <f t="shared" si="66"/>
        <v/>
      </c>
      <c r="M326" s="36" t="str">
        <f t="shared" si="67"/>
        <v/>
      </c>
      <c r="N326" s="36" t="str">
        <f t="shared" si="68"/>
        <v/>
      </c>
      <c r="O326" s="69" t="str">
        <f>IFERROR(IF($C326="","",VLOOKUP($N326,Feriados!$A$4:$B$5000,2,FALSE)),"")</f>
        <v/>
      </c>
      <c r="P326" s="36" t="str">
        <f t="shared" si="69"/>
        <v/>
      </c>
      <c r="S326" s="62"/>
      <c r="T326" s="41"/>
      <c r="U326" s="73"/>
      <c r="V326" s="41" t="str">
        <f t="shared" si="70"/>
        <v/>
      </c>
    </row>
    <row r="327" spans="1:22" x14ac:dyDescent="0.25">
      <c r="A327" s="24" t="str">
        <f t="shared" si="71"/>
        <v/>
      </c>
      <c r="B327" s="35"/>
      <c r="C327" s="36" t="str">
        <f t="shared" si="58"/>
        <v/>
      </c>
      <c r="D327" s="9"/>
      <c r="E327" s="27" t="str">
        <f t="shared" si="59"/>
        <v/>
      </c>
      <c r="F327" s="36" t="str">
        <f t="shared" si="60"/>
        <v/>
      </c>
      <c r="G327" s="29" t="str">
        <f t="shared" si="61"/>
        <v/>
      </c>
      <c r="H327" s="30" t="str">
        <f t="shared" si="62"/>
        <v/>
      </c>
      <c r="I327" s="31" t="str">
        <f t="shared" si="63"/>
        <v/>
      </c>
      <c r="J327" s="30" t="str">
        <f t="shared" si="64"/>
        <v/>
      </c>
      <c r="K327" s="36" t="str">
        <f t="shared" si="65"/>
        <v/>
      </c>
      <c r="L327" s="36" t="str">
        <f t="shared" si="66"/>
        <v/>
      </c>
      <c r="M327" s="36" t="str">
        <f t="shared" si="67"/>
        <v/>
      </c>
      <c r="N327" s="36" t="str">
        <f t="shared" si="68"/>
        <v/>
      </c>
      <c r="O327" s="69" t="str">
        <f>IFERROR(IF($C327="","",VLOOKUP($N327,Feriados!$A$4:$B$5000,2,FALSE)),"")</f>
        <v/>
      </c>
      <c r="P327" s="36" t="str">
        <f t="shared" si="69"/>
        <v/>
      </c>
      <c r="S327" s="62"/>
      <c r="T327" s="41"/>
      <c r="U327" s="73"/>
      <c r="V327" s="41" t="str">
        <f t="shared" si="70"/>
        <v/>
      </c>
    </row>
    <row r="328" spans="1:22" x14ac:dyDescent="0.25">
      <c r="A328" s="24" t="str">
        <f t="shared" si="71"/>
        <v/>
      </c>
      <c r="B328" s="35"/>
      <c r="C328" s="36" t="str">
        <f t="shared" si="58"/>
        <v/>
      </c>
      <c r="D328" s="9"/>
      <c r="E328" s="27" t="str">
        <f t="shared" si="59"/>
        <v/>
      </c>
      <c r="F328" s="36" t="str">
        <f t="shared" si="60"/>
        <v/>
      </c>
      <c r="G328" s="29" t="str">
        <f t="shared" si="61"/>
        <v/>
      </c>
      <c r="H328" s="30" t="str">
        <f t="shared" si="62"/>
        <v/>
      </c>
      <c r="I328" s="31" t="str">
        <f t="shared" si="63"/>
        <v/>
      </c>
      <c r="J328" s="30" t="str">
        <f t="shared" si="64"/>
        <v/>
      </c>
      <c r="K328" s="36" t="str">
        <f t="shared" si="65"/>
        <v/>
      </c>
      <c r="L328" s="36" t="str">
        <f t="shared" si="66"/>
        <v/>
      </c>
      <c r="M328" s="36" t="str">
        <f t="shared" si="67"/>
        <v/>
      </c>
      <c r="N328" s="36" t="str">
        <f t="shared" si="68"/>
        <v/>
      </c>
      <c r="O328" s="69" t="str">
        <f>IFERROR(IF($C328="","",VLOOKUP($N328,Feriados!$A$4:$B$5000,2,FALSE)),"")</f>
        <v/>
      </c>
      <c r="P328" s="36" t="str">
        <f t="shared" si="69"/>
        <v/>
      </c>
      <c r="S328" s="62"/>
      <c r="T328" s="41"/>
      <c r="U328" s="73"/>
      <c r="V328" s="41" t="str">
        <f t="shared" si="70"/>
        <v/>
      </c>
    </row>
    <row r="329" spans="1:22" x14ac:dyDescent="0.25">
      <c r="A329" s="24" t="str">
        <f t="shared" si="71"/>
        <v/>
      </c>
      <c r="B329" s="35"/>
      <c r="C329" s="36" t="str">
        <f t="shared" si="58"/>
        <v/>
      </c>
      <c r="D329" s="9"/>
      <c r="E329" s="27" t="str">
        <f t="shared" si="59"/>
        <v/>
      </c>
      <c r="F329" s="36" t="str">
        <f t="shared" si="60"/>
        <v/>
      </c>
      <c r="G329" s="29" t="str">
        <f t="shared" si="61"/>
        <v/>
      </c>
      <c r="H329" s="30" t="str">
        <f t="shared" si="62"/>
        <v/>
      </c>
      <c r="I329" s="31" t="str">
        <f t="shared" si="63"/>
        <v/>
      </c>
      <c r="J329" s="30" t="str">
        <f t="shared" si="64"/>
        <v/>
      </c>
      <c r="K329" s="36" t="str">
        <f t="shared" si="65"/>
        <v/>
      </c>
      <c r="L329" s="36" t="str">
        <f t="shared" si="66"/>
        <v/>
      </c>
      <c r="M329" s="36" t="str">
        <f t="shared" si="67"/>
        <v/>
      </c>
      <c r="N329" s="36" t="str">
        <f t="shared" si="68"/>
        <v/>
      </c>
      <c r="O329" s="69" t="str">
        <f>IFERROR(IF($C329="","",VLOOKUP($N329,Feriados!$A$4:$B$5000,2,FALSE)),"")</f>
        <v/>
      </c>
      <c r="P329" s="36" t="str">
        <f t="shared" si="69"/>
        <v/>
      </c>
      <c r="S329" s="62"/>
      <c r="T329" s="41"/>
      <c r="U329" s="73"/>
      <c r="V329" s="41" t="str">
        <f t="shared" si="70"/>
        <v/>
      </c>
    </row>
    <row r="330" spans="1:22" x14ac:dyDescent="0.25">
      <c r="A330" s="24" t="str">
        <f t="shared" si="71"/>
        <v/>
      </c>
      <c r="B330" s="35"/>
      <c r="C330" s="36" t="str">
        <f t="shared" si="58"/>
        <v/>
      </c>
      <c r="D330" s="9"/>
      <c r="E330" s="27" t="str">
        <f t="shared" si="59"/>
        <v/>
      </c>
      <c r="F330" s="36" t="str">
        <f t="shared" si="60"/>
        <v/>
      </c>
      <c r="G330" s="29" t="str">
        <f t="shared" si="61"/>
        <v/>
      </c>
      <c r="H330" s="30" t="str">
        <f t="shared" si="62"/>
        <v/>
      </c>
      <c r="I330" s="31" t="str">
        <f t="shared" si="63"/>
        <v/>
      </c>
      <c r="J330" s="30" t="str">
        <f t="shared" si="64"/>
        <v/>
      </c>
      <c r="K330" s="36" t="str">
        <f t="shared" si="65"/>
        <v/>
      </c>
      <c r="L330" s="36" t="str">
        <f t="shared" si="66"/>
        <v/>
      </c>
      <c r="M330" s="36" t="str">
        <f t="shared" si="67"/>
        <v/>
      </c>
      <c r="N330" s="36" t="str">
        <f t="shared" si="68"/>
        <v/>
      </c>
      <c r="O330" s="69" t="str">
        <f>IFERROR(IF($C330="","",VLOOKUP($N330,Feriados!$A$4:$B$5000,2,FALSE)),"")</f>
        <v/>
      </c>
      <c r="P330" s="36" t="str">
        <f t="shared" si="69"/>
        <v/>
      </c>
      <c r="S330" s="62"/>
      <c r="T330" s="41"/>
      <c r="U330" s="73"/>
      <c r="V330" s="41" t="str">
        <f t="shared" si="70"/>
        <v/>
      </c>
    </row>
    <row r="331" spans="1:22" x14ac:dyDescent="0.25">
      <c r="A331" s="24" t="str">
        <f t="shared" si="71"/>
        <v/>
      </c>
      <c r="B331" s="35"/>
      <c r="C331" s="36" t="str">
        <f t="shared" si="58"/>
        <v/>
      </c>
      <c r="D331" s="9"/>
      <c r="E331" s="27" t="str">
        <f t="shared" si="59"/>
        <v/>
      </c>
      <c r="F331" s="36" t="str">
        <f t="shared" si="60"/>
        <v/>
      </c>
      <c r="G331" s="29" t="str">
        <f t="shared" si="61"/>
        <v/>
      </c>
      <c r="H331" s="30" t="str">
        <f t="shared" si="62"/>
        <v/>
      </c>
      <c r="I331" s="31" t="str">
        <f t="shared" si="63"/>
        <v/>
      </c>
      <c r="J331" s="30" t="str">
        <f t="shared" si="64"/>
        <v/>
      </c>
      <c r="K331" s="36" t="str">
        <f t="shared" si="65"/>
        <v/>
      </c>
      <c r="L331" s="36" t="str">
        <f t="shared" si="66"/>
        <v/>
      </c>
      <c r="M331" s="36" t="str">
        <f t="shared" si="67"/>
        <v/>
      </c>
      <c r="N331" s="36" t="str">
        <f t="shared" si="68"/>
        <v/>
      </c>
      <c r="O331" s="69" t="str">
        <f>IFERROR(IF($C331="","",VLOOKUP($N331,Feriados!$A$4:$B$5000,2,FALSE)),"")</f>
        <v/>
      </c>
      <c r="P331" s="36" t="str">
        <f t="shared" si="69"/>
        <v/>
      </c>
      <c r="S331" s="62"/>
      <c r="T331" s="41"/>
      <c r="U331" s="73"/>
      <c r="V331" s="41" t="str">
        <f t="shared" si="70"/>
        <v/>
      </c>
    </row>
    <row r="332" spans="1:22" x14ac:dyDescent="0.25">
      <c r="A332" s="24" t="str">
        <f t="shared" si="71"/>
        <v/>
      </c>
      <c r="B332" s="35"/>
      <c r="C332" s="36" t="str">
        <f t="shared" si="58"/>
        <v/>
      </c>
      <c r="D332" s="9"/>
      <c r="E332" s="27" t="str">
        <f t="shared" si="59"/>
        <v/>
      </c>
      <c r="F332" s="36" t="str">
        <f t="shared" si="60"/>
        <v/>
      </c>
      <c r="G332" s="29" t="str">
        <f t="shared" si="61"/>
        <v/>
      </c>
      <c r="H332" s="30" t="str">
        <f t="shared" si="62"/>
        <v/>
      </c>
      <c r="I332" s="31" t="str">
        <f t="shared" si="63"/>
        <v/>
      </c>
      <c r="J332" s="30" t="str">
        <f t="shared" si="64"/>
        <v/>
      </c>
      <c r="K332" s="36" t="str">
        <f t="shared" si="65"/>
        <v/>
      </c>
      <c r="L332" s="36" t="str">
        <f t="shared" si="66"/>
        <v/>
      </c>
      <c r="M332" s="36" t="str">
        <f t="shared" si="67"/>
        <v/>
      </c>
      <c r="N332" s="36" t="str">
        <f t="shared" si="68"/>
        <v/>
      </c>
      <c r="O332" s="69" t="str">
        <f>IFERROR(IF($C332="","",VLOOKUP($N332,Feriados!$A$4:$B$5000,2,FALSE)),"")</f>
        <v/>
      </c>
      <c r="P332" s="36" t="str">
        <f t="shared" si="69"/>
        <v/>
      </c>
      <c r="S332" s="62"/>
      <c r="T332" s="41"/>
      <c r="U332" s="73"/>
      <c r="V332" s="41" t="str">
        <f t="shared" si="70"/>
        <v/>
      </c>
    </row>
    <row r="333" spans="1:22" x14ac:dyDescent="0.25">
      <c r="A333" s="24" t="str">
        <f t="shared" si="71"/>
        <v/>
      </c>
      <c r="B333" s="35"/>
      <c r="C333" s="36" t="str">
        <f t="shared" si="58"/>
        <v/>
      </c>
      <c r="D333" s="9"/>
      <c r="E333" s="27" t="str">
        <f t="shared" si="59"/>
        <v/>
      </c>
      <c r="F333" s="36" t="str">
        <f t="shared" si="60"/>
        <v/>
      </c>
      <c r="G333" s="29" t="str">
        <f t="shared" si="61"/>
        <v/>
      </c>
      <c r="H333" s="30" t="str">
        <f t="shared" si="62"/>
        <v/>
      </c>
      <c r="I333" s="31" t="str">
        <f t="shared" si="63"/>
        <v/>
      </c>
      <c r="J333" s="30" t="str">
        <f t="shared" si="64"/>
        <v/>
      </c>
      <c r="K333" s="36" t="str">
        <f t="shared" si="65"/>
        <v/>
      </c>
      <c r="L333" s="36" t="str">
        <f t="shared" si="66"/>
        <v/>
      </c>
      <c r="M333" s="36" t="str">
        <f t="shared" si="67"/>
        <v/>
      </c>
      <c r="N333" s="36" t="str">
        <f t="shared" si="68"/>
        <v/>
      </c>
      <c r="O333" s="69" t="str">
        <f>IFERROR(IF($C333="","",VLOOKUP($N333,Feriados!$A$4:$B$5000,2,FALSE)),"")</f>
        <v/>
      </c>
      <c r="P333" s="36" t="str">
        <f t="shared" si="69"/>
        <v/>
      </c>
      <c r="S333" s="62"/>
      <c r="T333" s="41"/>
      <c r="U333" s="73"/>
      <c r="V333" s="41" t="str">
        <f t="shared" si="70"/>
        <v/>
      </c>
    </row>
    <row r="334" spans="1:22" x14ac:dyDescent="0.25">
      <c r="A334" s="24" t="str">
        <f t="shared" si="71"/>
        <v/>
      </c>
      <c r="B334" s="35"/>
      <c r="C334" s="36" t="str">
        <f t="shared" si="58"/>
        <v/>
      </c>
      <c r="D334" s="9"/>
      <c r="E334" s="27" t="str">
        <f t="shared" si="59"/>
        <v/>
      </c>
      <c r="F334" s="36" t="str">
        <f t="shared" si="60"/>
        <v/>
      </c>
      <c r="G334" s="29" t="str">
        <f t="shared" si="61"/>
        <v/>
      </c>
      <c r="H334" s="30" t="str">
        <f t="shared" si="62"/>
        <v/>
      </c>
      <c r="I334" s="31" t="str">
        <f t="shared" si="63"/>
        <v/>
      </c>
      <c r="J334" s="30" t="str">
        <f t="shared" si="64"/>
        <v/>
      </c>
      <c r="K334" s="36" t="str">
        <f t="shared" si="65"/>
        <v/>
      </c>
      <c r="L334" s="36" t="str">
        <f t="shared" si="66"/>
        <v/>
      </c>
      <c r="M334" s="36" t="str">
        <f t="shared" si="67"/>
        <v/>
      </c>
      <c r="N334" s="36" t="str">
        <f t="shared" si="68"/>
        <v/>
      </c>
      <c r="O334" s="69" t="str">
        <f>IFERROR(IF($C334="","",VLOOKUP($N334,Feriados!$A$4:$B$5000,2,FALSE)),"")</f>
        <v/>
      </c>
      <c r="P334" s="36" t="str">
        <f t="shared" si="69"/>
        <v/>
      </c>
      <c r="S334" s="62"/>
      <c r="T334" s="41"/>
      <c r="U334" s="73"/>
      <c r="V334" s="41" t="str">
        <f t="shared" si="70"/>
        <v/>
      </c>
    </row>
    <row r="335" spans="1:22" x14ac:dyDescent="0.25">
      <c r="A335" s="24" t="str">
        <f t="shared" si="71"/>
        <v/>
      </c>
      <c r="B335" s="35"/>
      <c r="C335" s="36" t="str">
        <f t="shared" si="58"/>
        <v/>
      </c>
      <c r="D335" s="9"/>
      <c r="E335" s="27" t="str">
        <f t="shared" si="59"/>
        <v/>
      </c>
      <c r="F335" s="36" t="str">
        <f t="shared" si="60"/>
        <v/>
      </c>
      <c r="G335" s="29" t="str">
        <f t="shared" si="61"/>
        <v/>
      </c>
      <c r="H335" s="30" t="str">
        <f t="shared" si="62"/>
        <v/>
      </c>
      <c r="I335" s="31" t="str">
        <f t="shared" si="63"/>
        <v/>
      </c>
      <c r="J335" s="30" t="str">
        <f t="shared" si="64"/>
        <v/>
      </c>
      <c r="K335" s="36" t="str">
        <f t="shared" si="65"/>
        <v/>
      </c>
      <c r="L335" s="36" t="str">
        <f t="shared" si="66"/>
        <v/>
      </c>
      <c r="M335" s="36" t="str">
        <f t="shared" si="67"/>
        <v/>
      </c>
      <c r="N335" s="36" t="str">
        <f t="shared" si="68"/>
        <v/>
      </c>
      <c r="O335" s="69" t="str">
        <f>IFERROR(IF($C335="","",VLOOKUP($N335,Feriados!$A$4:$B$5000,2,FALSE)),"")</f>
        <v/>
      </c>
      <c r="P335" s="36" t="str">
        <f t="shared" si="69"/>
        <v/>
      </c>
      <c r="S335" s="62"/>
      <c r="T335" s="41"/>
      <c r="U335" s="73"/>
      <c r="V335" s="41" t="str">
        <f t="shared" si="70"/>
        <v/>
      </c>
    </row>
    <row r="336" spans="1:22" x14ac:dyDescent="0.25">
      <c r="A336" s="24" t="str">
        <f t="shared" si="71"/>
        <v/>
      </c>
      <c r="B336" s="35"/>
      <c r="C336" s="36" t="str">
        <f t="shared" si="58"/>
        <v/>
      </c>
      <c r="D336" s="9"/>
      <c r="E336" s="27" t="str">
        <f t="shared" si="59"/>
        <v/>
      </c>
      <c r="F336" s="36" t="str">
        <f t="shared" si="60"/>
        <v/>
      </c>
      <c r="G336" s="29" t="str">
        <f t="shared" si="61"/>
        <v/>
      </c>
      <c r="H336" s="30" t="str">
        <f t="shared" si="62"/>
        <v/>
      </c>
      <c r="I336" s="31" t="str">
        <f t="shared" si="63"/>
        <v/>
      </c>
      <c r="J336" s="30" t="str">
        <f t="shared" si="64"/>
        <v/>
      </c>
      <c r="K336" s="36" t="str">
        <f t="shared" si="65"/>
        <v/>
      </c>
      <c r="L336" s="36" t="str">
        <f t="shared" si="66"/>
        <v/>
      </c>
      <c r="M336" s="36" t="str">
        <f t="shared" si="67"/>
        <v/>
      </c>
      <c r="N336" s="36" t="str">
        <f t="shared" si="68"/>
        <v/>
      </c>
      <c r="O336" s="69" t="str">
        <f>IFERROR(IF($C336="","",VLOOKUP($N336,Feriados!$A$4:$B$5000,2,FALSE)),"")</f>
        <v/>
      </c>
      <c r="P336" s="36" t="str">
        <f t="shared" si="69"/>
        <v/>
      </c>
      <c r="S336" s="62"/>
      <c r="T336" s="41"/>
      <c r="U336" s="73"/>
      <c r="V336" s="41" t="str">
        <f t="shared" si="70"/>
        <v/>
      </c>
    </row>
    <row r="337" spans="1:22" x14ac:dyDescent="0.25">
      <c r="A337" s="24" t="str">
        <f t="shared" si="71"/>
        <v/>
      </c>
      <c r="B337" s="35"/>
      <c r="C337" s="36" t="str">
        <f t="shared" si="58"/>
        <v/>
      </c>
      <c r="D337" s="9"/>
      <c r="E337" s="27" t="str">
        <f t="shared" si="59"/>
        <v/>
      </c>
      <c r="F337" s="36" t="str">
        <f t="shared" si="60"/>
        <v/>
      </c>
      <c r="G337" s="29" t="str">
        <f t="shared" si="61"/>
        <v/>
      </c>
      <c r="H337" s="30" t="str">
        <f t="shared" si="62"/>
        <v/>
      </c>
      <c r="I337" s="31" t="str">
        <f t="shared" si="63"/>
        <v/>
      </c>
      <c r="J337" s="30" t="str">
        <f t="shared" si="64"/>
        <v/>
      </c>
      <c r="K337" s="36" t="str">
        <f t="shared" si="65"/>
        <v/>
      </c>
      <c r="L337" s="36" t="str">
        <f t="shared" si="66"/>
        <v/>
      </c>
      <c r="M337" s="36" t="str">
        <f t="shared" si="67"/>
        <v/>
      </c>
      <c r="N337" s="36" t="str">
        <f t="shared" si="68"/>
        <v/>
      </c>
      <c r="O337" s="69" t="str">
        <f>IFERROR(IF($C337="","",VLOOKUP($N337,Feriados!$A$4:$B$5000,2,FALSE)),"")</f>
        <v/>
      </c>
      <c r="P337" s="36" t="str">
        <f t="shared" si="69"/>
        <v/>
      </c>
      <c r="S337" s="62"/>
      <c r="T337" s="41"/>
      <c r="U337" s="73"/>
      <c r="V337" s="41" t="str">
        <f t="shared" si="70"/>
        <v/>
      </c>
    </row>
    <row r="338" spans="1:22" x14ac:dyDescent="0.25">
      <c r="A338" s="24" t="str">
        <f t="shared" si="71"/>
        <v/>
      </c>
      <c r="B338" s="35"/>
      <c r="C338" s="36" t="str">
        <f t="shared" si="58"/>
        <v/>
      </c>
      <c r="D338" s="9"/>
      <c r="E338" s="27" t="str">
        <f t="shared" si="59"/>
        <v/>
      </c>
      <c r="F338" s="36" t="str">
        <f t="shared" si="60"/>
        <v/>
      </c>
      <c r="G338" s="29" t="str">
        <f t="shared" si="61"/>
        <v/>
      </c>
      <c r="H338" s="30" t="str">
        <f t="shared" si="62"/>
        <v/>
      </c>
      <c r="I338" s="31" t="str">
        <f t="shared" si="63"/>
        <v/>
      </c>
      <c r="J338" s="30" t="str">
        <f t="shared" si="64"/>
        <v/>
      </c>
      <c r="K338" s="36" t="str">
        <f t="shared" si="65"/>
        <v/>
      </c>
      <c r="L338" s="36" t="str">
        <f t="shared" si="66"/>
        <v/>
      </c>
      <c r="M338" s="36" t="str">
        <f t="shared" si="67"/>
        <v/>
      </c>
      <c r="N338" s="36" t="str">
        <f t="shared" si="68"/>
        <v/>
      </c>
      <c r="O338" s="69" t="str">
        <f>IFERROR(IF($C338="","",VLOOKUP($N338,Feriados!$A$4:$B$5000,2,FALSE)),"")</f>
        <v/>
      </c>
      <c r="P338" s="36" t="str">
        <f t="shared" si="69"/>
        <v/>
      </c>
      <c r="S338" s="62"/>
      <c r="T338" s="41"/>
      <c r="U338" s="73"/>
      <c r="V338" s="41" t="str">
        <f t="shared" si="70"/>
        <v/>
      </c>
    </row>
    <row r="339" spans="1:22" x14ac:dyDescent="0.25">
      <c r="A339" s="24" t="str">
        <f t="shared" si="71"/>
        <v/>
      </c>
      <c r="B339" s="35"/>
      <c r="C339" s="36" t="str">
        <f t="shared" ref="C339:C402" si="72">IFERROR(IF($B$17&lt;7,"",IF(ROW(A339)=19,0,IF(ROW(A339)=20,1,IF(C338+1&gt;$H$13,"",C338+1)))),"")</f>
        <v/>
      </c>
      <c r="D339" s="9"/>
      <c r="E339" s="27" t="str">
        <f t="shared" ref="E339:E402" si="73">IF(C339="","",IF(C339=0,$H$7,IF(C339=1,$H$9,P339+D339)))</f>
        <v/>
      </c>
      <c r="F339" s="36" t="str">
        <f t="shared" ref="F339:F402" si="74">IF(C339="","",IF(C339=0,$K$7,J338))</f>
        <v/>
      </c>
      <c r="G339" s="29" t="str">
        <f t="shared" ref="G339:G402" si="75">IF(C339="","",IF(C339=0,0,$E339-$E338))</f>
        <v/>
      </c>
      <c r="H339" s="30" t="str">
        <f t="shared" ref="H339:H402" si="76">IF(C339="","",ROUND(F339*(((1+$K$11)^G339)-1),8))</f>
        <v/>
      </c>
      <c r="I339" s="31" t="str">
        <f t="shared" ref="I339:I402" si="77">IF(C339="","",IF(C339=0,0,IFERROR(IF(C339=VLOOKUP(C339,PV_ParcelasFixas,1,FALSE),-VLOOKUP(C339,PV_ParcelasFixas,2,FALSE)),IF(AND($B$15=FALSE,C339&lt;=$H$11),0,IF(C339&lt;=$H$11,-H339,IF($K$5="SAC",-$K$8-H339,-$K$8))))))</f>
        <v/>
      </c>
      <c r="J339" s="30" t="str">
        <f t="shared" ref="J339:J402" si="78">IF(C339="","",IF(AND(C339=0,B339=""),$F$19,J338+H339+I339))</f>
        <v/>
      </c>
      <c r="K339" s="36" t="str">
        <f t="shared" ref="K339:K402" si="79">IF(C339="","",-H339+-I339)</f>
        <v/>
      </c>
      <c r="L339" s="36" t="str">
        <f t="shared" ref="L339:L402" si="80">IF($C339="","",IF($C339=0,$H$7,IF($C339=1,$B$11,EDATE($B$11,$C338))))</f>
        <v/>
      </c>
      <c r="M339" s="36" t="str">
        <f t="shared" ref="M339:M402" si="81">IF($L339="","",WEEKDAY($L339))</f>
        <v/>
      </c>
      <c r="N339" s="36" t="str">
        <f t="shared" ref="N339:N402" si="82">IFERROR(IF($M339=7,$L339+2,IF($M339=1,$L339+1,$L339)),"")</f>
        <v/>
      </c>
      <c r="O339" s="69" t="str">
        <f>IFERROR(IF($C339="","",VLOOKUP($N339,Feriados!$A$4:$B$5000,2,FALSE)),"")</f>
        <v/>
      </c>
      <c r="P339" s="36" t="str">
        <f t="shared" ref="P339:P402" si="83">IFERROR(IF($O339="",$N339,IF($O339=6,$N339+3,IF($O339&lt;6,$N339+1))),"")</f>
        <v/>
      </c>
      <c r="S339" s="62"/>
      <c r="T339" s="41"/>
      <c r="U339" s="73"/>
      <c r="V339" s="41" t="str">
        <f t="shared" si="70"/>
        <v/>
      </c>
    </row>
    <row r="340" spans="1:22" x14ac:dyDescent="0.25">
      <c r="A340" s="24" t="str">
        <f t="shared" si="71"/>
        <v/>
      </c>
      <c r="B340" s="35"/>
      <c r="C340" s="36" t="str">
        <f t="shared" si="72"/>
        <v/>
      </c>
      <c r="D340" s="9"/>
      <c r="E340" s="27" t="str">
        <f t="shared" si="73"/>
        <v/>
      </c>
      <c r="F340" s="36" t="str">
        <f t="shared" si="74"/>
        <v/>
      </c>
      <c r="G340" s="29" t="str">
        <f t="shared" si="75"/>
        <v/>
      </c>
      <c r="H340" s="30" t="str">
        <f t="shared" si="76"/>
        <v/>
      </c>
      <c r="I340" s="31" t="str">
        <f t="shared" si="77"/>
        <v/>
      </c>
      <c r="J340" s="30" t="str">
        <f t="shared" si="78"/>
        <v/>
      </c>
      <c r="K340" s="36" t="str">
        <f t="shared" si="79"/>
        <v/>
      </c>
      <c r="L340" s="36" t="str">
        <f t="shared" si="80"/>
        <v/>
      </c>
      <c r="M340" s="36" t="str">
        <f t="shared" si="81"/>
        <v/>
      </c>
      <c r="N340" s="36" t="str">
        <f t="shared" si="82"/>
        <v/>
      </c>
      <c r="O340" s="69" t="str">
        <f>IFERROR(IF($C340="","",VLOOKUP($N340,Feriados!$A$4:$B$5000,2,FALSE)),"")</f>
        <v/>
      </c>
      <c r="P340" s="36" t="str">
        <f t="shared" si="83"/>
        <v/>
      </c>
      <c r="S340" s="62"/>
      <c r="T340" s="41"/>
      <c r="U340" s="73"/>
      <c r="V340" s="41" t="str">
        <f t="shared" si="70"/>
        <v/>
      </c>
    </row>
    <row r="341" spans="1:22" x14ac:dyDescent="0.25">
      <c r="A341" s="24" t="str">
        <f t="shared" si="71"/>
        <v/>
      </c>
      <c r="B341" s="35"/>
      <c r="C341" s="36" t="str">
        <f t="shared" si="72"/>
        <v/>
      </c>
      <c r="D341" s="9"/>
      <c r="E341" s="27" t="str">
        <f t="shared" si="73"/>
        <v/>
      </c>
      <c r="F341" s="36" t="str">
        <f t="shared" si="74"/>
        <v/>
      </c>
      <c r="G341" s="29" t="str">
        <f t="shared" si="75"/>
        <v/>
      </c>
      <c r="H341" s="30" t="str">
        <f t="shared" si="76"/>
        <v/>
      </c>
      <c r="I341" s="31" t="str">
        <f t="shared" si="77"/>
        <v/>
      </c>
      <c r="J341" s="30" t="str">
        <f t="shared" si="78"/>
        <v/>
      </c>
      <c r="K341" s="36" t="str">
        <f t="shared" si="79"/>
        <v/>
      </c>
      <c r="L341" s="36" t="str">
        <f t="shared" si="80"/>
        <v/>
      </c>
      <c r="M341" s="36" t="str">
        <f t="shared" si="81"/>
        <v/>
      </c>
      <c r="N341" s="36" t="str">
        <f t="shared" si="82"/>
        <v/>
      </c>
      <c r="O341" s="69" t="str">
        <f>IFERROR(IF($C341="","",VLOOKUP($N341,Feriados!$A$4:$B$5000,2,FALSE)),"")</f>
        <v/>
      </c>
      <c r="P341" s="36" t="str">
        <f t="shared" si="83"/>
        <v/>
      </c>
      <c r="S341" s="62"/>
      <c r="T341" s="41"/>
      <c r="U341" s="73"/>
      <c r="V341" s="41" t="str">
        <f t="shared" ref="V341:V404" si="84">IF(C341="","",I341)</f>
        <v/>
      </c>
    </row>
    <row r="342" spans="1:22" x14ac:dyDescent="0.25">
      <c r="A342" s="24" t="str">
        <f t="shared" si="71"/>
        <v/>
      </c>
      <c r="B342" s="35"/>
      <c r="C342" s="36" t="str">
        <f t="shared" si="72"/>
        <v/>
      </c>
      <c r="D342" s="9"/>
      <c r="E342" s="27" t="str">
        <f t="shared" si="73"/>
        <v/>
      </c>
      <c r="F342" s="36" t="str">
        <f t="shared" si="74"/>
        <v/>
      </c>
      <c r="G342" s="29" t="str">
        <f t="shared" si="75"/>
        <v/>
      </c>
      <c r="H342" s="30" t="str">
        <f t="shared" si="76"/>
        <v/>
      </c>
      <c r="I342" s="31" t="str">
        <f t="shared" si="77"/>
        <v/>
      </c>
      <c r="J342" s="30" t="str">
        <f t="shared" si="78"/>
        <v/>
      </c>
      <c r="K342" s="36" t="str">
        <f t="shared" si="79"/>
        <v/>
      </c>
      <c r="L342" s="36" t="str">
        <f t="shared" si="80"/>
        <v/>
      </c>
      <c r="M342" s="36" t="str">
        <f t="shared" si="81"/>
        <v/>
      </c>
      <c r="N342" s="36" t="str">
        <f t="shared" si="82"/>
        <v/>
      </c>
      <c r="O342" s="69" t="str">
        <f>IFERROR(IF($C342="","",VLOOKUP($N342,Feriados!$A$4:$B$5000,2,FALSE)),"")</f>
        <v/>
      </c>
      <c r="P342" s="36" t="str">
        <f t="shared" si="83"/>
        <v/>
      </c>
      <c r="S342" s="62"/>
      <c r="T342" s="41"/>
      <c r="U342" s="73"/>
      <c r="V342" s="41" t="str">
        <f t="shared" si="84"/>
        <v/>
      </c>
    </row>
    <row r="343" spans="1:22" x14ac:dyDescent="0.25">
      <c r="A343" s="24" t="str">
        <f t="shared" si="71"/>
        <v/>
      </c>
      <c r="B343" s="35"/>
      <c r="C343" s="36" t="str">
        <f t="shared" si="72"/>
        <v/>
      </c>
      <c r="D343" s="9"/>
      <c r="E343" s="27" t="str">
        <f t="shared" si="73"/>
        <v/>
      </c>
      <c r="F343" s="36" t="str">
        <f t="shared" si="74"/>
        <v/>
      </c>
      <c r="G343" s="29" t="str">
        <f t="shared" si="75"/>
        <v/>
      </c>
      <c r="H343" s="30" t="str">
        <f t="shared" si="76"/>
        <v/>
      </c>
      <c r="I343" s="31" t="str">
        <f t="shared" si="77"/>
        <v/>
      </c>
      <c r="J343" s="30" t="str">
        <f t="shared" si="78"/>
        <v/>
      </c>
      <c r="K343" s="36" t="str">
        <f t="shared" si="79"/>
        <v/>
      </c>
      <c r="L343" s="36" t="str">
        <f t="shared" si="80"/>
        <v/>
      </c>
      <c r="M343" s="36" t="str">
        <f t="shared" si="81"/>
        <v/>
      </c>
      <c r="N343" s="36" t="str">
        <f t="shared" si="82"/>
        <v/>
      </c>
      <c r="O343" s="69" t="str">
        <f>IFERROR(IF($C343="","",VLOOKUP($N343,Feriados!$A$4:$B$5000,2,FALSE)),"")</f>
        <v/>
      </c>
      <c r="P343" s="36" t="str">
        <f t="shared" si="83"/>
        <v/>
      </c>
      <c r="S343" s="62"/>
      <c r="T343" s="41"/>
      <c r="U343" s="73"/>
      <c r="V343" s="41" t="str">
        <f t="shared" si="84"/>
        <v/>
      </c>
    </row>
    <row r="344" spans="1:22" x14ac:dyDescent="0.25">
      <c r="A344" s="24" t="str">
        <f t="shared" si="71"/>
        <v/>
      </c>
      <c r="B344" s="35"/>
      <c r="C344" s="36" t="str">
        <f t="shared" si="72"/>
        <v/>
      </c>
      <c r="D344" s="9"/>
      <c r="E344" s="27" t="str">
        <f t="shared" si="73"/>
        <v/>
      </c>
      <c r="F344" s="36" t="str">
        <f t="shared" si="74"/>
        <v/>
      </c>
      <c r="G344" s="29" t="str">
        <f t="shared" si="75"/>
        <v/>
      </c>
      <c r="H344" s="30" t="str">
        <f t="shared" si="76"/>
        <v/>
      </c>
      <c r="I344" s="31" t="str">
        <f t="shared" si="77"/>
        <v/>
      </c>
      <c r="J344" s="30" t="str">
        <f t="shared" si="78"/>
        <v/>
      </c>
      <c r="K344" s="36" t="str">
        <f t="shared" si="79"/>
        <v/>
      </c>
      <c r="L344" s="36" t="str">
        <f t="shared" si="80"/>
        <v/>
      </c>
      <c r="M344" s="36" t="str">
        <f t="shared" si="81"/>
        <v/>
      </c>
      <c r="N344" s="36" t="str">
        <f t="shared" si="82"/>
        <v/>
      </c>
      <c r="O344" s="69" t="str">
        <f>IFERROR(IF($C344="","",VLOOKUP($N344,Feriados!$A$4:$B$5000,2,FALSE)),"")</f>
        <v/>
      </c>
      <c r="P344" s="36" t="str">
        <f t="shared" si="83"/>
        <v/>
      </c>
      <c r="S344" s="62"/>
      <c r="T344" s="41"/>
      <c r="U344" s="73"/>
      <c r="V344" s="41" t="str">
        <f t="shared" si="84"/>
        <v/>
      </c>
    </row>
    <row r="345" spans="1:22" x14ac:dyDescent="0.25">
      <c r="A345" s="24" t="str">
        <f t="shared" si="71"/>
        <v/>
      </c>
      <c r="B345" s="35"/>
      <c r="C345" s="36" t="str">
        <f t="shared" si="72"/>
        <v/>
      </c>
      <c r="D345" s="9"/>
      <c r="E345" s="27" t="str">
        <f t="shared" si="73"/>
        <v/>
      </c>
      <c r="F345" s="36" t="str">
        <f t="shared" si="74"/>
        <v/>
      </c>
      <c r="G345" s="29" t="str">
        <f t="shared" si="75"/>
        <v/>
      </c>
      <c r="H345" s="30" t="str">
        <f t="shared" si="76"/>
        <v/>
      </c>
      <c r="I345" s="31" t="str">
        <f t="shared" si="77"/>
        <v/>
      </c>
      <c r="J345" s="30" t="str">
        <f t="shared" si="78"/>
        <v/>
      </c>
      <c r="K345" s="36" t="str">
        <f t="shared" si="79"/>
        <v/>
      </c>
      <c r="L345" s="36" t="str">
        <f t="shared" si="80"/>
        <v/>
      </c>
      <c r="M345" s="36" t="str">
        <f t="shared" si="81"/>
        <v/>
      </c>
      <c r="N345" s="36" t="str">
        <f t="shared" si="82"/>
        <v/>
      </c>
      <c r="O345" s="69" t="str">
        <f>IFERROR(IF($C345="","",VLOOKUP($N345,Feriados!$A$4:$B$5000,2,FALSE)),"")</f>
        <v/>
      </c>
      <c r="P345" s="36" t="str">
        <f t="shared" si="83"/>
        <v/>
      </c>
      <c r="S345" s="62"/>
      <c r="T345" s="41"/>
      <c r="U345" s="73"/>
      <c r="V345" s="41" t="str">
        <f t="shared" si="84"/>
        <v/>
      </c>
    </row>
    <row r="346" spans="1:22" x14ac:dyDescent="0.25">
      <c r="A346" s="24" t="str">
        <f t="shared" si="71"/>
        <v/>
      </c>
      <c r="B346" s="35"/>
      <c r="C346" s="36" t="str">
        <f t="shared" si="72"/>
        <v/>
      </c>
      <c r="D346" s="9"/>
      <c r="E346" s="27" t="str">
        <f t="shared" si="73"/>
        <v/>
      </c>
      <c r="F346" s="36" t="str">
        <f t="shared" si="74"/>
        <v/>
      </c>
      <c r="G346" s="29" t="str">
        <f t="shared" si="75"/>
        <v/>
      </c>
      <c r="H346" s="30" t="str">
        <f t="shared" si="76"/>
        <v/>
      </c>
      <c r="I346" s="31" t="str">
        <f t="shared" si="77"/>
        <v/>
      </c>
      <c r="J346" s="30" t="str">
        <f t="shared" si="78"/>
        <v/>
      </c>
      <c r="K346" s="36" t="str">
        <f t="shared" si="79"/>
        <v/>
      </c>
      <c r="L346" s="36" t="str">
        <f t="shared" si="80"/>
        <v/>
      </c>
      <c r="M346" s="36" t="str">
        <f t="shared" si="81"/>
        <v/>
      </c>
      <c r="N346" s="36" t="str">
        <f t="shared" si="82"/>
        <v/>
      </c>
      <c r="O346" s="69" t="str">
        <f>IFERROR(IF($C346="","",VLOOKUP($N346,Feriados!$A$4:$B$5000,2,FALSE)),"")</f>
        <v/>
      </c>
      <c r="P346" s="36" t="str">
        <f t="shared" si="83"/>
        <v/>
      </c>
      <c r="S346" s="62"/>
      <c r="T346" s="41"/>
      <c r="U346" s="73"/>
      <c r="V346" s="41" t="str">
        <f t="shared" si="84"/>
        <v/>
      </c>
    </row>
    <row r="347" spans="1:22" x14ac:dyDescent="0.25">
      <c r="A347" s="24" t="str">
        <f t="shared" si="71"/>
        <v/>
      </c>
      <c r="B347" s="35"/>
      <c r="C347" s="36" t="str">
        <f t="shared" si="72"/>
        <v/>
      </c>
      <c r="D347" s="9"/>
      <c r="E347" s="27" t="str">
        <f t="shared" si="73"/>
        <v/>
      </c>
      <c r="F347" s="36" t="str">
        <f t="shared" si="74"/>
        <v/>
      </c>
      <c r="G347" s="29" t="str">
        <f t="shared" si="75"/>
        <v/>
      </c>
      <c r="H347" s="30" t="str">
        <f t="shared" si="76"/>
        <v/>
      </c>
      <c r="I347" s="31" t="str">
        <f t="shared" si="77"/>
        <v/>
      </c>
      <c r="J347" s="30" t="str">
        <f t="shared" si="78"/>
        <v/>
      </c>
      <c r="K347" s="36" t="str">
        <f t="shared" si="79"/>
        <v/>
      </c>
      <c r="L347" s="36" t="str">
        <f t="shared" si="80"/>
        <v/>
      </c>
      <c r="M347" s="36" t="str">
        <f t="shared" si="81"/>
        <v/>
      </c>
      <c r="N347" s="36" t="str">
        <f t="shared" si="82"/>
        <v/>
      </c>
      <c r="O347" s="69" t="str">
        <f>IFERROR(IF($C347="","",VLOOKUP($N347,Feriados!$A$4:$B$5000,2,FALSE)),"")</f>
        <v/>
      </c>
      <c r="P347" s="36" t="str">
        <f t="shared" si="83"/>
        <v/>
      </c>
      <c r="S347" s="62"/>
      <c r="T347" s="41"/>
      <c r="U347" s="73"/>
      <c r="V347" s="41" t="str">
        <f t="shared" si="84"/>
        <v/>
      </c>
    </row>
    <row r="348" spans="1:22" x14ac:dyDescent="0.25">
      <c r="A348" s="24" t="str">
        <f t="shared" si="71"/>
        <v/>
      </c>
      <c r="B348" s="35"/>
      <c r="C348" s="36" t="str">
        <f t="shared" si="72"/>
        <v/>
      </c>
      <c r="D348" s="9"/>
      <c r="E348" s="27" t="str">
        <f t="shared" si="73"/>
        <v/>
      </c>
      <c r="F348" s="36" t="str">
        <f t="shared" si="74"/>
        <v/>
      </c>
      <c r="G348" s="29" t="str">
        <f t="shared" si="75"/>
        <v/>
      </c>
      <c r="H348" s="30" t="str">
        <f t="shared" si="76"/>
        <v/>
      </c>
      <c r="I348" s="31" t="str">
        <f t="shared" si="77"/>
        <v/>
      </c>
      <c r="J348" s="30" t="str">
        <f t="shared" si="78"/>
        <v/>
      </c>
      <c r="K348" s="36" t="str">
        <f t="shared" si="79"/>
        <v/>
      </c>
      <c r="L348" s="36" t="str">
        <f t="shared" si="80"/>
        <v/>
      </c>
      <c r="M348" s="36" t="str">
        <f t="shared" si="81"/>
        <v/>
      </c>
      <c r="N348" s="36" t="str">
        <f t="shared" si="82"/>
        <v/>
      </c>
      <c r="O348" s="69" t="str">
        <f>IFERROR(IF($C348="","",VLOOKUP($N348,Feriados!$A$4:$B$5000,2,FALSE)),"")</f>
        <v/>
      </c>
      <c r="P348" s="36" t="str">
        <f t="shared" si="83"/>
        <v/>
      </c>
      <c r="S348" s="62"/>
      <c r="T348" s="41"/>
      <c r="U348" s="73"/>
      <c r="V348" s="41" t="str">
        <f t="shared" si="84"/>
        <v/>
      </c>
    </row>
    <row r="349" spans="1:22" x14ac:dyDescent="0.25">
      <c r="A349" s="24" t="str">
        <f t="shared" si="71"/>
        <v/>
      </c>
      <c r="B349" s="35"/>
      <c r="C349" s="36" t="str">
        <f t="shared" si="72"/>
        <v/>
      </c>
      <c r="D349" s="9"/>
      <c r="E349" s="27" t="str">
        <f t="shared" si="73"/>
        <v/>
      </c>
      <c r="F349" s="36" t="str">
        <f t="shared" si="74"/>
        <v/>
      </c>
      <c r="G349" s="29" t="str">
        <f t="shared" si="75"/>
        <v/>
      </c>
      <c r="H349" s="30" t="str">
        <f t="shared" si="76"/>
        <v/>
      </c>
      <c r="I349" s="31" t="str">
        <f t="shared" si="77"/>
        <v/>
      </c>
      <c r="J349" s="30" t="str">
        <f t="shared" si="78"/>
        <v/>
      </c>
      <c r="K349" s="36" t="str">
        <f t="shared" si="79"/>
        <v/>
      </c>
      <c r="L349" s="36" t="str">
        <f t="shared" si="80"/>
        <v/>
      </c>
      <c r="M349" s="36" t="str">
        <f t="shared" si="81"/>
        <v/>
      </c>
      <c r="N349" s="36" t="str">
        <f t="shared" si="82"/>
        <v/>
      </c>
      <c r="O349" s="69" t="str">
        <f>IFERROR(IF($C349="","",VLOOKUP($N349,Feriados!$A$4:$B$5000,2,FALSE)),"")</f>
        <v/>
      </c>
      <c r="P349" s="36" t="str">
        <f t="shared" si="83"/>
        <v/>
      </c>
      <c r="S349" s="62"/>
      <c r="T349" s="41"/>
      <c r="U349" s="73"/>
      <c r="V349" s="41" t="str">
        <f t="shared" si="84"/>
        <v/>
      </c>
    </row>
    <row r="350" spans="1:22" x14ac:dyDescent="0.25">
      <c r="A350" s="24" t="str">
        <f t="shared" si="71"/>
        <v/>
      </c>
      <c r="B350" s="35"/>
      <c r="C350" s="36" t="str">
        <f t="shared" si="72"/>
        <v/>
      </c>
      <c r="D350" s="9"/>
      <c r="E350" s="27" t="str">
        <f t="shared" si="73"/>
        <v/>
      </c>
      <c r="F350" s="36" t="str">
        <f t="shared" si="74"/>
        <v/>
      </c>
      <c r="G350" s="29" t="str">
        <f t="shared" si="75"/>
        <v/>
      </c>
      <c r="H350" s="30" t="str">
        <f t="shared" si="76"/>
        <v/>
      </c>
      <c r="I350" s="31" t="str">
        <f t="shared" si="77"/>
        <v/>
      </c>
      <c r="J350" s="30" t="str">
        <f t="shared" si="78"/>
        <v/>
      </c>
      <c r="K350" s="36" t="str">
        <f t="shared" si="79"/>
        <v/>
      </c>
      <c r="L350" s="36" t="str">
        <f t="shared" si="80"/>
        <v/>
      </c>
      <c r="M350" s="36" t="str">
        <f t="shared" si="81"/>
        <v/>
      </c>
      <c r="N350" s="36" t="str">
        <f t="shared" si="82"/>
        <v/>
      </c>
      <c r="O350" s="69" t="str">
        <f>IFERROR(IF($C350="","",VLOOKUP($N350,Feriados!$A$4:$B$5000,2,FALSE)),"")</f>
        <v/>
      </c>
      <c r="P350" s="36" t="str">
        <f t="shared" si="83"/>
        <v/>
      </c>
      <c r="S350" s="62"/>
      <c r="T350" s="41"/>
      <c r="U350" s="73"/>
      <c r="V350" s="41" t="str">
        <f t="shared" si="84"/>
        <v/>
      </c>
    </row>
    <row r="351" spans="1:22" x14ac:dyDescent="0.25">
      <c r="A351" s="24" t="str">
        <f t="shared" si="71"/>
        <v/>
      </c>
      <c r="B351" s="35"/>
      <c r="C351" s="36" t="str">
        <f t="shared" si="72"/>
        <v/>
      </c>
      <c r="D351" s="9"/>
      <c r="E351" s="27" t="str">
        <f t="shared" si="73"/>
        <v/>
      </c>
      <c r="F351" s="36" t="str">
        <f t="shared" si="74"/>
        <v/>
      </c>
      <c r="G351" s="29" t="str">
        <f t="shared" si="75"/>
        <v/>
      </c>
      <c r="H351" s="30" t="str">
        <f t="shared" si="76"/>
        <v/>
      </c>
      <c r="I351" s="31" t="str">
        <f t="shared" si="77"/>
        <v/>
      </c>
      <c r="J351" s="30" t="str">
        <f t="shared" si="78"/>
        <v/>
      </c>
      <c r="K351" s="36" t="str">
        <f t="shared" si="79"/>
        <v/>
      </c>
      <c r="L351" s="36" t="str">
        <f t="shared" si="80"/>
        <v/>
      </c>
      <c r="M351" s="36" t="str">
        <f t="shared" si="81"/>
        <v/>
      </c>
      <c r="N351" s="36" t="str">
        <f t="shared" si="82"/>
        <v/>
      </c>
      <c r="O351" s="69" t="str">
        <f>IFERROR(IF($C351="","",VLOOKUP($N351,Feriados!$A$4:$B$5000,2,FALSE)),"")</f>
        <v/>
      </c>
      <c r="P351" s="36" t="str">
        <f t="shared" si="83"/>
        <v/>
      </c>
      <c r="S351" s="62"/>
      <c r="T351" s="41"/>
      <c r="U351" s="73"/>
      <c r="V351" s="41" t="str">
        <f t="shared" si="84"/>
        <v/>
      </c>
    </row>
    <row r="352" spans="1:22" x14ac:dyDescent="0.25">
      <c r="A352" s="24" t="str">
        <f t="shared" si="71"/>
        <v/>
      </c>
      <c r="B352" s="35"/>
      <c r="C352" s="36" t="str">
        <f t="shared" si="72"/>
        <v/>
      </c>
      <c r="D352" s="9"/>
      <c r="E352" s="27" t="str">
        <f t="shared" si="73"/>
        <v/>
      </c>
      <c r="F352" s="36" t="str">
        <f t="shared" si="74"/>
        <v/>
      </c>
      <c r="G352" s="29" t="str">
        <f t="shared" si="75"/>
        <v/>
      </c>
      <c r="H352" s="30" t="str">
        <f t="shared" si="76"/>
        <v/>
      </c>
      <c r="I352" s="31" t="str">
        <f t="shared" si="77"/>
        <v/>
      </c>
      <c r="J352" s="30" t="str">
        <f t="shared" si="78"/>
        <v/>
      </c>
      <c r="K352" s="36" t="str">
        <f t="shared" si="79"/>
        <v/>
      </c>
      <c r="L352" s="36" t="str">
        <f t="shared" si="80"/>
        <v/>
      </c>
      <c r="M352" s="36" t="str">
        <f t="shared" si="81"/>
        <v/>
      </c>
      <c r="N352" s="36" t="str">
        <f t="shared" si="82"/>
        <v/>
      </c>
      <c r="O352" s="69" t="str">
        <f>IFERROR(IF($C352="","",VLOOKUP($N352,Feriados!$A$4:$B$5000,2,FALSE)),"")</f>
        <v/>
      </c>
      <c r="P352" s="36" t="str">
        <f t="shared" si="83"/>
        <v/>
      </c>
      <c r="S352" s="62"/>
      <c r="T352" s="41"/>
      <c r="U352" s="73"/>
      <c r="V352" s="41" t="str">
        <f t="shared" si="84"/>
        <v/>
      </c>
    </row>
    <row r="353" spans="1:22" x14ac:dyDescent="0.25">
      <c r="A353" s="24" t="str">
        <f t="shared" si="71"/>
        <v/>
      </c>
      <c r="B353" s="35"/>
      <c r="C353" s="36" t="str">
        <f t="shared" si="72"/>
        <v/>
      </c>
      <c r="D353" s="9"/>
      <c r="E353" s="27" t="str">
        <f t="shared" si="73"/>
        <v/>
      </c>
      <c r="F353" s="36" t="str">
        <f t="shared" si="74"/>
        <v/>
      </c>
      <c r="G353" s="29" t="str">
        <f t="shared" si="75"/>
        <v/>
      </c>
      <c r="H353" s="30" t="str">
        <f t="shared" si="76"/>
        <v/>
      </c>
      <c r="I353" s="31" t="str">
        <f t="shared" si="77"/>
        <v/>
      </c>
      <c r="J353" s="30" t="str">
        <f t="shared" si="78"/>
        <v/>
      </c>
      <c r="K353" s="36" t="str">
        <f t="shared" si="79"/>
        <v/>
      </c>
      <c r="L353" s="36" t="str">
        <f t="shared" si="80"/>
        <v/>
      </c>
      <c r="M353" s="36" t="str">
        <f t="shared" si="81"/>
        <v/>
      </c>
      <c r="N353" s="36" t="str">
        <f t="shared" si="82"/>
        <v/>
      </c>
      <c r="O353" s="69" t="str">
        <f>IFERROR(IF($C353="","",VLOOKUP($N353,Feriados!$A$4:$B$5000,2,FALSE)),"")</f>
        <v/>
      </c>
      <c r="P353" s="36" t="str">
        <f t="shared" si="83"/>
        <v/>
      </c>
      <c r="S353" s="62"/>
      <c r="T353" s="41"/>
      <c r="U353" s="73"/>
      <c r="V353" s="41" t="str">
        <f t="shared" si="84"/>
        <v/>
      </c>
    </row>
    <row r="354" spans="1:22" x14ac:dyDescent="0.25">
      <c r="A354" s="24" t="str">
        <f t="shared" si="71"/>
        <v/>
      </c>
      <c r="B354" s="35"/>
      <c r="C354" s="36" t="str">
        <f t="shared" si="72"/>
        <v/>
      </c>
      <c r="D354" s="9"/>
      <c r="E354" s="27" t="str">
        <f t="shared" si="73"/>
        <v/>
      </c>
      <c r="F354" s="36" t="str">
        <f t="shared" si="74"/>
        <v/>
      </c>
      <c r="G354" s="29" t="str">
        <f t="shared" si="75"/>
        <v/>
      </c>
      <c r="H354" s="30" t="str">
        <f t="shared" si="76"/>
        <v/>
      </c>
      <c r="I354" s="31" t="str">
        <f t="shared" si="77"/>
        <v/>
      </c>
      <c r="J354" s="30" t="str">
        <f t="shared" si="78"/>
        <v/>
      </c>
      <c r="K354" s="36" t="str">
        <f t="shared" si="79"/>
        <v/>
      </c>
      <c r="L354" s="36" t="str">
        <f t="shared" si="80"/>
        <v/>
      </c>
      <c r="M354" s="36" t="str">
        <f t="shared" si="81"/>
        <v/>
      </c>
      <c r="N354" s="36" t="str">
        <f t="shared" si="82"/>
        <v/>
      </c>
      <c r="O354" s="69" t="str">
        <f>IFERROR(IF($C354="","",VLOOKUP($N354,Feriados!$A$4:$B$5000,2,FALSE)),"")</f>
        <v/>
      </c>
      <c r="P354" s="36" t="str">
        <f t="shared" si="83"/>
        <v/>
      </c>
      <c r="S354" s="62"/>
      <c r="T354" s="41"/>
      <c r="U354" s="73"/>
      <c r="V354" s="41" t="str">
        <f t="shared" si="84"/>
        <v/>
      </c>
    </row>
    <row r="355" spans="1:22" x14ac:dyDescent="0.25">
      <c r="A355" s="24" t="str">
        <f t="shared" si="71"/>
        <v/>
      </c>
      <c r="B355" s="35"/>
      <c r="C355" s="36" t="str">
        <f t="shared" si="72"/>
        <v/>
      </c>
      <c r="D355" s="9"/>
      <c r="E355" s="27" t="str">
        <f t="shared" si="73"/>
        <v/>
      </c>
      <c r="F355" s="36" t="str">
        <f t="shared" si="74"/>
        <v/>
      </c>
      <c r="G355" s="29" t="str">
        <f t="shared" si="75"/>
        <v/>
      </c>
      <c r="H355" s="30" t="str">
        <f t="shared" si="76"/>
        <v/>
      </c>
      <c r="I355" s="31" t="str">
        <f t="shared" si="77"/>
        <v/>
      </c>
      <c r="J355" s="30" t="str">
        <f t="shared" si="78"/>
        <v/>
      </c>
      <c r="K355" s="36" t="str">
        <f t="shared" si="79"/>
        <v/>
      </c>
      <c r="L355" s="36" t="str">
        <f t="shared" si="80"/>
        <v/>
      </c>
      <c r="M355" s="36" t="str">
        <f t="shared" si="81"/>
        <v/>
      </c>
      <c r="N355" s="36" t="str">
        <f t="shared" si="82"/>
        <v/>
      </c>
      <c r="O355" s="69" t="str">
        <f>IFERROR(IF($C355="","",VLOOKUP($N355,Feriados!$A$4:$B$5000,2,FALSE)),"")</f>
        <v/>
      </c>
      <c r="P355" s="36" t="str">
        <f t="shared" si="83"/>
        <v/>
      </c>
      <c r="S355" s="62"/>
      <c r="T355" s="41"/>
      <c r="U355" s="73"/>
      <c r="V355" s="41" t="str">
        <f t="shared" si="84"/>
        <v/>
      </c>
    </row>
    <row r="356" spans="1:22" x14ac:dyDescent="0.25">
      <c r="A356" s="24" t="str">
        <f t="shared" si="71"/>
        <v/>
      </c>
      <c r="B356" s="35"/>
      <c r="C356" s="36" t="str">
        <f t="shared" si="72"/>
        <v/>
      </c>
      <c r="D356" s="9"/>
      <c r="E356" s="27" t="str">
        <f t="shared" si="73"/>
        <v/>
      </c>
      <c r="F356" s="36" t="str">
        <f t="shared" si="74"/>
        <v/>
      </c>
      <c r="G356" s="29" t="str">
        <f t="shared" si="75"/>
        <v/>
      </c>
      <c r="H356" s="30" t="str">
        <f t="shared" si="76"/>
        <v/>
      </c>
      <c r="I356" s="31" t="str">
        <f t="shared" si="77"/>
        <v/>
      </c>
      <c r="J356" s="30" t="str">
        <f t="shared" si="78"/>
        <v/>
      </c>
      <c r="K356" s="36" t="str">
        <f t="shared" si="79"/>
        <v/>
      </c>
      <c r="L356" s="36" t="str">
        <f t="shared" si="80"/>
        <v/>
      </c>
      <c r="M356" s="36" t="str">
        <f t="shared" si="81"/>
        <v/>
      </c>
      <c r="N356" s="36" t="str">
        <f t="shared" si="82"/>
        <v/>
      </c>
      <c r="O356" s="69" t="str">
        <f>IFERROR(IF($C356="","",VLOOKUP($N356,Feriados!$A$4:$B$5000,2,FALSE)),"")</f>
        <v/>
      </c>
      <c r="P356" s="36" t="str">
        <f t="shared" si="83"/>
        <v/>
      </c>
      <c r="S356" s="62"/>
      <c r="T356" s="41"/>
      <c r="U356" s="73"/>
      <c r="V356" s="41" t="str">
        <f t="shared" si="84"/>
        <v/>
      </c>
    </row>
    <row r="357" spans="1:22" x14ac:dyDescent="0.25">
      <c r="A357" s="24" t="str">
        <f t="shared" si="71"/>
        <v/>
      </c>
      <c r="B357" s="35"/>
      <c r="C357" s="36" t="str">
        <f t="shared" si="72"/>
        <v/>
      </c>
      <c r="D357" s="9"/>
      <c r="E357" s="27" t="str">
        <f t="shared" si="73"/>
        <v/>
      </c>
      <c r="F357" s="36" t="str">
        <f t="shared" si="74"/>
        <v/>
      </c>
      <c r="G357" s="29" t="str">
        <f t="shared" si="75"/>
        <v/>
      </c>
      <c r="H357" s="30" t="str">
        <f t="shared" si="76"/>
        <v/>
      </c>
      <c r="I357" s="31" t="str">
        <f t="shared" si="77"/>
        <v/>
      </c>
      <c r="J357" s="30" t="str">
        <f t="shared" si="78"/>
        <v/>
      </c>
      <c r="K357" s="36" t="str">
        <f t="shared" si="79"/>
        <v/>
      </c>
      <c r="L357" s="36" t="str">
        <f t="shared" si="80"/>
        <v/>
      </c>
      <c r="M357" s="36" t="str">
        <f t="shared" si="81"/>
        <v/>
      </c>
      <c r="N357" s="36" t="str">
        <f t="shared" si="82"/>
        <v/>
      </c>
      <c r="O357" s="69" t="str">
        <f>IFERROR(IF($C357="","",VLOOKUP($N357,Feriados!$A$4:$B$5000,2,FALSE)),"")</f>
        <v/>
      </c>
      <c r="P357" s="36" t="str">
        <f t="shared" si="83"/>
        <v/>
      </c>
      <c r="S357" s="62"/>
      <c r="T357" s="41"/>
      <c r="U357" s="73"/>
      <c r="V357" s="41" t="str">
        <f t="shared" si="84"/>
        <v/>
      </c>
    </row>
    <row r="358" spans="1:22" x14ac:dyDescent="0.25">
      <c r="A358" s="24" t="str">
        <f t="shared" si="71"/>
        <v/>
      </c>
      <c r="B358" s="35"/>
      <c r="C358" s="36" t="str">
        <f t="shared" si="72"/>
        <v/>
      </c>
      <c r="D358" s="9"/>
      <c r="E358" s="27" t="str">
        <f t="shared" si="73"/>
        <v/>
      </c>
      <c r="F358" s="36" t="str">
        <f t="shared" si="74"/>
        <v/>
      </c>
      <c r="G358" s="29" t="str">
        <f t="shared" si="75"/>
        <v/>
      </c>
      <c r="H358" s="30" t="str">
        <f t="shared" si="76"/>
        <v/>
      </c>
      <c r="I358" s="31" t="str">
        <f t="shared" si="77"/>
        <v/>
      </c>
      <c r="J358" s="30" t="str">
        <f t="shared" si="78"/>
        <v/>
      </c>
      <c r="K358" s="36" t="str">
        <f t="shared" si="79"/>
        <v/>
      </c>
      <c r="L358" s="36" t="str">
        <f t="shared" si="80"/>
        <v/>
      </c>
      <c r="M358" s="36" t="str">
        <f t="shared" si="81"/>
        <v/>
      </c>
      <c r="N358" s="36" t="str">
        <f t="shared" si="82"/>
        <v/>
      </c>
      <c r="O358" s="69" t="str">
        <f>IFERROR(IF($C358="","",VLOOKUP($N358,Feriados!$A$4:$B$5000,2,FALSE)),"")</f>
        <v/>
      </c>
      <c r="P358" s="36" t="str">
        <f t="shared" si="83"/>
        <v/>
      </c>
      <c r="S358" s="62"/>
      <c r="T358" s="41"/>
      <c r="U358" s="73"/>
      <c r="V358" s="41" t="str">
        <f t="shared" si="84"/>
        <v/>
      </c>
    </row>
    <row r="359" spans="1:22" x14ac:dyDescent="0.25">
      <c r="A359" s="24" t="str">
        <f t="shared" si="71"/>
        <v/>
      </c>
      <c r="B359" s="35"/>
      <c r="C359" s="36" t="str">
        <f t="shared" si="72"/>
        <v/>
      </c>
      <c r="D359" s="9"/>
      <c r="E359" s="27" t="str">
        <f t="shared" si="73"/>
        <v/>
      </c>
      <c r="F359" s="36" t="str">
        <f t="shared" si="74"/>
        <v/>
      </c>
      <c r="G359" s="29" t="str">
        <f t="shared" si="75"/>
        <v/>
      </c>
      <c r="H359" s="30" t="str">
        <f t="shared" si="76"/>
        <v/>
      </c>
      <c r="I359" s="31" t="str">
        <f t="shared" si="77"/>
        <v/>
      </c>
      <c r="J359" s="30" t="str">
        <f t="shared" si="78"/>
        <v/>
      </c>
      <c r="K359" s="36" t="str">
        <f t="shared" si="79"/>
        <v/>
      </c>
      <c r="L359" s="36" t="str">
        <f t="shared" si="80"/>
        <v/>
      </c>
      <c r="M359" s="36" t="str">
        <f t="shared" si="81"/>
        <v/>
      </c>
      <c r="N359" s="36" t="str">
        <f t="shared" si="82"/>
        <v/>
      </c>
      <c r="O359" s="69" t="str">
        <f>IFERROR(IF($C359="","",VLOOKUP($N359,Feriados!$A$4:$B$5000,2,FALSE)),"")</f>
        <v/>
      </c>
      <c r="P359" s="36" t="str">
        <f t="shared" si="83"/>
        <v/>
      </c>
      <c r="S359" s="62"/>
      <c r="T359" s="41"/>
      <c r="U359" s="73"/>
      <c r="V359" s="41" t="str">
        <f t="shared" si="84"/>
        <v/>
      </c>
    </row>
    <row r="360" spans="1:22" x14ac:dyDescent="0.25">
      <c r="A360" s="24" t="str">
        <f t="shared" si="71"/>
        <v/>
      </c>
      <c r="B360" s="35"/>
      <c r="C360" s="36" t="str">
        <f t="shared" si="72"/>
        <v/>
      </c>
      <c r="D360" s="9"/>
      <c r="E360" s="27" t="str">
        <f t="shared" si="73"/>
        <v/>
      </c>
      <c r="F360" s="36" t="str">
        <f t="shared" si="74"/>
        <v/>
      </c>
      <c r="G360" s="29" t="str">
        <f t="shared" si="75"/>
        <v/>
      </c>
      <c r="H360" s="30" t="str">
        <f t="shared" si="76"/>
        <v/>
      </c>
      <c r="I360" s="31" t="str">
        <f t="shared" si="77"/>
        <v/>
      </c>
      <c r="J360" s="30" t="str">
        <f t="shared" si="78"/>
        <v/>
      </c>
      <c r="K360" s="36" t="str">
        <f t="shared" si="79"/>
        <v/>
      </c>
      <c r="L360" s="36" t="str">
        <f t="shared" si="80"/>
        <v/>
      </c>
      <c r="M360" s="36" t="str">
        <f t="shared" si="81"/>
        <v/>
      </c>
      <c r="N360" s="36" t="str">
        <f t="shared" si="82"/>
        <v/>
      </c>
      <c r="O360" s="69" t="str">
        <f>IFERROR(IF($C360="","",VLOOKUP($N360,Feriados!$A$4:$B$5000,2,FALSE)),"")</f>
        <v/>
      </c>
      <c r="P360" s="36" t="str">
        <f t="shared" si="83"/>
        <v/>
      </c>
      <c r="S360" s="62"/>
      <c r="T360" s="41"/>
      <c r="U360" s="73"/>
      <c r="V360" s="41" t="str">
        <f t="shared" si="84"/>
        <v/>
      </c>
    </row>
    <row r="361" spans="1:22" x14ac:dyDescent="0.25">
      <c r="A361" s="24" t="str">
        <f t="shared" si="71"/>
        <v/>
      </c>
      <c r="B361" s="35"/>
      <c r="C361" s="36" t="str">
        <f t="shared" si="72"/>
        <v/>
      </c>
      <c r="D361" s="9"/>
      <c r="E361" s="27" t="str">
        <f t="shared" si="73"/>
        <v/>
      </c>
      <c r="F361" s="36" t="str">
        <f t="shared" si="74"/>
        <v/>
      </c>
      <c r="G361" s="29" t="str">
        <f t="shared" si="75"/>
        <v/>
      </c>
      <c r="H361" s="30" t="str">
        <f t="shared" si="76"/>
        <v/>
      </c>
      <c r="I361" s="31" t="str">
        <f t="shared" si="77"/>
        <v/>
      </c>
      <c r="J361" s="30" t="str">
        <f t="shared" si="78"/>
        <v/>
      </c>
      <c r="K361" s="36" t="str">
        <f t="shared" si="79"/>
        <v/>
      </c>
      <c r="L361" s="36" t="str">
        <f t="shared" si="80"/>
        <v/>
      </c>
      <c r="M361" s="36" t="str">
        <f t="shared" si="81"/>
        <v/>
      </c>
      <c r="N361" s="36" t="str">
        <f t="shared" si="82"/>
        <v/>
      </c>
      <c r="O361" s="69" t="str">
        <f>IFERROR(IF($C361="","",VLOOKUP($N361,Feriados!$A$4:$B$5000,2,FALSE)),"")</f>
        <v/>
      </c>
      <c r="P361" s="36" t="str">
        <f t="shared" si="83"/>
        <v/>
      </c>
      <c r="S361" s="62"/>
      <c r="T361" s="41"/>
      <c r="U361" s="73"/>
      <c r="V361" s="41" t="str">
        <f t="shared" si="84"/>
        <v/>
      </c>
    </row>
    <row r="362" spans="1:22" x14ac:dyDescent="0.25">
      <c r="A362" s="24" t="str">
        <f t="shared" si="71"/>
        <v/>
      </c>
      <c r="B362" s="35"/>
      <c r="C362" s="36" t="str">
        <f t="shared" si="72"/>
        <v/>
      </c>
      <c r="D362" s="9"/>
      <c r="E362" s="27" t="str">
        <f t="shared" si="73"/>
        <v/>
      </c>
      <c r="F362" s="36" t="str">
        <f t="shared" si="74"/>
        <v/>
      </c>
      <c r="G362" s="29" t="str">
        <f t="shared" si="75"/>
        <v/>
      </c>
      <c r="H362" s="30" t="str">
        <f t="shared" si="76"/>
        <v/>
      </c>
      <c r="I362" s="31" t="str">
        <f t="shared" si="77"/>
        <v/>
      </c>
      <c r="J362" s="30" t="str">
        <f t="shared" si="78"/>
        <v/>
      </c>
      <c r="K362" s="36" t="str">
        <f t="shared" si="79"/>
        <v/>
      </c>
      <c r="L362" s="36" t="str">
        <f t="shared" si="80"/>
        <v/>
      </c>
      <c r="M362" s="36" t="str">
        <f t="shared" si="81"/>
        <v/>
      </c>
      <c r="N362" s="36" t="str">
        <f t="shared" si="82"/>
        <v/>
      </c>
      <c r="O362" s="69" t="str">
        <f>IFERROR(IF($C362="","",VLOOKUP($N362,Feriados!$A$4:$B$5000,2,FALSE)),"")</f>
        <v/>
      </c>
      <c r="P362" s="36" t="str">
        <f t="shared" si="83"/>
        <v/>
      </c>
      <c r="S362" s="62"/>
      <c r="T362" s="41"/>
      <c r="U362" s="73"/>
      <c r="V362" s="41" t="str">
        <f t="shared" si="84"/>
        <v/>
      </c>
    </row>
    <row r="363" spans="1:22" x14ac:dyDescent="0.25">
      <c r="A363" s="24" t="str">
        <f t="shared" si="71"/>
        <v/>
      </c>
      <c r="B363" s="35"/>
      <c r="C363" s="36" t="str">
        <f t="shared" si="72"/>
        <v/>
      </c>
      <c r="D363" s="9"/>
      <c r="E363" s="27" t="str">
        <f t="shared" si="73"/>
        <v/>
      </c>
      <c r="F363" s="36" t="str">
        <f t="shared" si="74"/>
        <v/>
      </c>
      <c r="G363" s="29" t="str">
        <f t="shared" si="75"/>
        <v/>
      </c>
      <c r="H363" s="30" t="str">
        <f t="shared" si="76"/>
        <v/>
      </c>
      <c r="I363" s="31" t="str">
        <f t="shared" si="77"/>
        <v/>
      </c>
      <c r="J363" s="30" t="str">
        <f t="shared" si="78"/>
        <v/>
      </c>
      <c r="K363" s="36" t="str">
        <f t="shared" si="79"/>
        <v/>
      </c>
      <c r="L363" s="36" t="str">
        <f t="shared" si="80"/>
        <v/>
      </c>
      <c r="M363" s="36" t="str">
        <f t="shared" si="81"/>
        <v/>
      </c>
      <c r="N363" s="36" t="str">
        <f t="shared" si="82"/>
        <v/>
      </c>
      <c r="O363" s="69" t="str">
        <f>IFERROR(IF($C363="","",VLOOKUP($N363,Feriados!$A$4:$B$5000,2,FALSE)),"")</f>
        <v/>
      </c>
      <c r="P363" s="36" t="str">
        <f t="shared" si="83"/>
        <v/>
      </c>
      <c r="S363" s="62"/>
      <c r="T363" s="41"/>
      <c r="U363" s="73"/>
      <c r="V363" s="41" t="str">
        <f t="shared" si="84"/>
        <v/>
      </c>
    </row>
    <row r="364" spans="1:22" x14ac:dyDescent="0.25">
      <c r="A364" s="24" t="str">
        <f t="shared" si="71"/>
        <v/>
      </c>
      <c r="B364" s="35"/>
      <c r="C364" s="36" t="str">
        <f t="shared" si="72"/>
        <v/>
      </c>
      <c r="D364" s="9"/>
      <c r="E364" s="27" t="str">
        <f t="shared" si="73"/>
        <v/>
      </c>
      <c r="F364" s="36" t="str">
        <f t="shared" si="74"/>
        <v/>
      </c>
      <c r="G364" s="29" t="str">
        <f t="shared" si="75"/>
        <v/>
      </c>
      <c r="H364" s="30" t="str">
        <f t="shared" si="76"/>
        <v/>
      </c>
      <c r="I364" s="31" t="str">
        <f t="shared" si="77"/>
        <v/>
      </c>
      <c r="J364" s="30" t="str">
        <f t="shared" si="78"/>
        <v/>
      </c>
      <c r="K364" s="36" t="str">
        <f t="shared" si="79"/>
        <v/>
      </c>
      <c r="L364" s="36" t="str">
        <f t="shared" si="80"/>
        <v/>
      </c>
      <c r="M364" s="36" t="str">
        <f t="shared" si="81"/>
        <v/>
      </c>
      <c r="N364" s="36" t="str">
        <f t="shared" si="82"/>
        <v/>
      </c>
      <c r="O364" s="69" t="str">
        <f>IFERROR(IF($C364="","",VLOOKUP($N364,Feriados!$A$4:$B$5000,2,FALSE)),"")</f>
        <v/>
      </c>
      <c r="P364" s="36" t="str">
        <f t="shared" si="83"/>
        <v/>
      </c>
      <c r="S364" s="62"/>
      <c r="T364" s="41"/>
      <c r="U364" s="73"/>
      <c r="V364" s="41" t="str">
        <f t="shared" si="84"/>
        <v/>
      </c>
    </row>
    <row r="365" spans="1:22" x14ac:dyDescent="0.25">
      <c r="A365" s="24" t="str">
        <f t="shared" si="71"/>
        <v/>
      </c>
      <c r="B365" s="35"/>
      <c r="C365" s="36" t="str">
        <f t="shared" si="72"/>
        <v/>
      </c>
      <c r="D365" s="9"/>
      <c r="E365" s="27" t="str">
        <f t="shared" si="73"/>
        <v/>
      </c>
      <c r="F365" s="36" t="str">
        <f t="shared" si="74"/>
        <v/>
      </c>
      <c r="G365" s="29" t="str">
        <f t="shared" si="75"/>
        <v/>
      </c>
      <c r="H365" s="30" t="str">
        <f t="shared" si="76"/>
        <v/>
      </c>
      <c r="I365" s="31" t="str">
        <f t="shared" si="77"/>
        <v/>
      </c>
      <c r="J365" s="30" t="str">
        <f t="shared" si="78"/>
        <v/>
      </c>
      <c r="K365" s="36" t="str">
        <f t="shared" si="79"/>
        <v/>
      </c>
      <c r="L365" s="36" t="str">
        <f t="shared" si="80"/>
        <v/>
      </c>
      <c r="M365" s="36" t="str">
        <f t="shared" si="81"/>
        <v/>
      </c>
      <c r="N365" s="36" t="str">
        <f t="shared" si="82"/>
        <v/>
      </c>
      <c r="O365" s="69" t="str">
        <f>IFERROR(IF($C365="","",VLOOKUP($N365,Feriados!$A$4:$B$5000,2,FALSE)),"")</f>
        <v/>
      </c>
      <c r="P365" s="36" t="str">
        <f t="shared" si="83"/>
        <v/>
      </c>
      <c r="S365" s="62"/>
      <c r="T365" s="41"/>
      <c r="U365" s="73"/>
      <c r="V365" s="41" t="str">
        <f t="shared" si="84"/>
        <v/>
      </c>
    </row>
    <row r="366" spans="1:22" x14ac:dyDescent="0.25">
      <c r="A366" s="24" t="str">
        <f t="shared" si="71"/>
        <v/>
      </c>
      <c r="B366" s="35"/>
      <c r="C366" s="36" t="str">
        <f t="shared" si="72"/>
        <v/>
      </c>
      <c r="D366" s="9"/>
      <c r="E366" s="27" t="str">
        <f t="shared" si="73"/>
        <v/>
      </c>
      <c r="F366" s="36" t="str">
        <f t="shared" si="74"/>
        <v/>
      </c>
      <c r="G366" s="29" t="str">
        <f t="shared" si="75"/>
        <v/>
      </c>
      <c r="H366" s="30" t="str">
        <f t="shared" si="76"/>
        <v/>
      </c>
      <c r="I366" s="31" t="str">
        <f t="shared" si="77"/>
        <v/>
      </c>
      <c r="J366" s="30" t="str">
        <f t="shared" si="78"/>
        <v/>
      </c>
      <c r="K366" s="36" t="str">
        <f t="shared" si="79"/>
        <v/>
      </c>
      <c r="L366" s="36" t="str">
        <f t="shared" si="80"/>
        <v/>
      </c>
      <c r="M366" s="36" t="str">
        <f t="shared" si="81"/>
        <v/>
      </c>
      <c r="N366" s="36" t="str">
        <f t="shared" si="82"/>
        <v/>
      </c>
      <c r="O366" s="69" t="str">
        <f>IFERROR(IF($C366="","",VLOOKUP($N366,Feriados!$A$4:$B$5000,2,FALSE)),"")</f>
        <v/>
      </c>
      <c r="P366" s="36" t="str">
        <f t="shared" si="83"/>
        <v/>
      </c>
      <c r="S366" s="62"/>
      <c r="T366" s="41"/>
      <c r="U366" s="73"/>
      <c r="V366" s="41" t="str">
        <f t="shared" si="84"/>
        <v/>
      </c>
    </row>
    <row r="367" spans="1:22" x14ac:dyDescent="0.25">
      <c r="A367" s="24" t="str">
        <f t="shared" si="71"/>
        <v/>
      </c>
      <c r="B367" s="35"/>
      <c r="C367" s="36" t="str">
        <f t="shared" si="72"/>
        <v/>
      </c>
      <c r="D367" s="9"/>
      <c r="E367" s="27" t="str">
        <f t="shared" si="73"/>
        <v/>
      </c>
      <c r="F367" s="36" t="str">
        <f t="shared" si="74"/>
        <v/>
      </c>
      <c r="G367" s="29" t="str">
        <f t="shared" si="75"/>
        <v/>
      </c>
      <c r="H367" s="30" t="str">
        <f t="shared" si="76"/>
        <v/>
      </c>
      <c r="I367" s="31" t="str">
        <f t="shared" si="77"/>
        <v/>
      </c>
      <c r="J367" s="30" t="str">
        <f t="shared" si="78"/>
        <v/>
      </c>
      <c r="K367" s="36" t="str">
        <f t="shared" si="79"/>
        <v/>
      </c>
      <c r="L367" s="36" t="str">
        <f t="shared" si="80"/>
        <v/>
      </c>
      <c r="M367" s="36" t="str">
        <f t="shared" si="81"/>
        <v/>
      </c>
      <c r="N367" s="36" t="str">
        <f t="shared" si="82"/>
        <v/>
      </c>
      <c r="O367" s="69" t="str">
        <f>IFERROR(IF($C367="","",VLOOKUP($N367,Feriados!$A$4:$B$5000,2,FALSE)),"")</f>
        <v/>
      </c>
      <c r="P367" s="36" t="str">
        <f t="shared" si="83"/>
        <v/>
      </c>
      <c r="S367" s="62"/>
      <c r="T367" s="41"/>
      <c r="U367" s="73"/>
      <c r="V367" s="41" t="str">
        <f t="shared" si="84"/>
        <v/>
      </c>
    </row>
    <row r="368" spans="1:22" x14ac:dyDescent="0.25">
      <c r="A368" s="24" t="str">
        <f t="shared" si="71"/>
        <v/>
      </c>
      <c r="B368" s="35"/>
      <c r="C368" s="36" t="str">
        <f t="shared" si="72"/>
        <v/>
      </c>
      <c r="D368" s="9"/>
      <c r="E368" s="27" t="str">
        <f t="shared" si="73"/>
        <v/>
      </c>
      <c r="F368" s="36" t="str">
        <f t="shared" si="74"/>
        <v/>
      </c>
      <c r="G368" s="29" t="str">
        <f t="shared" si="75"/>
        <v/>
      </c>
      <c r="H368" s="30" t="str">
        <f t="shared" si="76"/>
        <v/>
      </c>
      <c r="I368" s="31" t="str">
        <f t="shared" si="77"/>
        <v/>
      </c>
      <c r="J368" s="30" t="str">
        <f t="shared" si="78"/>
        <v/>
      </c>
      <c r="K368" s="36" t="str">
        <f t="shared" si="79"/>
        <v/>
      </c>
      <c r="L368" s="36" t="str">
        <f t="shared" si="80"/>
        <v/>
      </c>
      <c r="M368" s="36" t="str">
        <f t="shared" si="81"/>
        <v/>
      </c>
      <c r="N368" s="36" t="str">
        <f t="shared" si="82"/>
        <v/>
      </c>
      <c r="O368" s="69" t="str">
        <f>IFERROR(IF($C368="","",VLOOKUP($N368,Feriados!$A$4:$B$5000,2,FALSE)),"")</f>
        <v/>
      </c>
      <c r="P368" s="36" t="str">
        <f t="shared" si="83"/>
        <v/>
      </c>
      <c r="S368" s="62"/>
      <c r="T368" s="41"/>
      <c r="U368" s="73"/>
      <c r="V368" s="41" t="str">
        <f t="shared" si="84"/>
        <v/>
      </c>
    </row>
    <row r="369" spans="1:22" x14ac:dyDescent="0.25">
      <c r="A369" s="24" t="str">
        <f t="shared" si="71"/>
        <v/>
      </c>
      <c r="B369" s="35"/>
      <c r="C369" s="36" t="str">
        <f t="shared" si="72"/>
        <v/>
      </c>
      <c r="D369" s="9"/>
      <c r="E369" s="27" t="str">
        <f t="shared" si="73"/>
        <v/>
      </c>
      <c r="F369" s="36" t="str">
        <f t="shared" si="74"/>
        <v/>
      </c>
      <c r="G369" s="29" t="str">
        <f t="shared" si="75"/>
        <v/>
      </c>
      <c r="H369" s="30" t="str">
        <f t="shared" si="76"/>
        <v/>
      </c>
      <c r="I369" s="31" t="str">
        <f t="shared" si="77"/>
        <v/>
      </c>
      <c r="J369" s="30" t="str">
        <f t="shared" si="78"/>
        <v/>
      </c>
      <c r="K369" s="36" t="str">
        <f t="shared" si="79"/>
        <v/>
      </c>
      <c r="L369" s="36" t="str">
        <f t="shared" si="80"/>
        <v/>
      </c>
      <c r="M369" s="36" t="str">
        <f t="shared" si="81"/>
        <v/>
      </c>
      <c r="N369" s="36" t="str">
        <f t="shared" si="82"/>
        <v/>
      </c>
      <c r="O369" s="69" t="str">
        <f>IFERROR(IF($C369="","",VLOOKUP($N369,Feriados!$A$4:$B$5000,2,FALSE)),"")</f>
        <v/>
      </c>
      <c r="P369" s="36" t="str">
        <f t="shared" si="83"/>
        <v/>
      </c>
      <c r="S369" s="62"/>
      <c r="T369" s="41"/>
      <c r="U369" s="73"/>
      <c r="V369" s="41" t="str">
        <f t="shared" si="84"/>
        <v/>
      </c>
    </row>
    <row r="370" spans="1:22" x14ac:dyDescent="0.25">
      <c r="A370" s="24" t="str">
        <f t="shared" si="71"/>
        <v/>
      </c>
      <c r="B370" s="35"/>
      <c r="C370" s="36" t="str">
        <f t="shared" si="72"/>
        <v/>
      </c>
      <c r="D370" s="9"/>
      <c r="E370" s="27" t="str">
        <f t="shared" si="73"/>
        <v/>
      </c>
      <c r="F370" s="36" t="str">
        <f t="shared" si="74"/>
        <v/>
      </c>
      <c r="G370" s="29" t="str">
        <f t="shared" si="75"/>
        <v/>
      </c>
      <c r="H370" s="30" t="str">
        <f t="shared" si="76"/>
        <v/>
      </c>
      <c r="I370" s="31" t="str">
        <f t="shared" si="77"/>
        <v/>
      </c>
      <c r="J370" s="30" t="str">
        <f t="shared" si="78"/>
        <v/>
      </c>
      <c r="K370" s="36" t="str">
        <f t="shared" si="79"/>
        <v/>
      </c>
      <c r="L370" s="36" t="str">
        <f t="shared" si="80"/>
        <v/>
      </c>
      <c r="M370" s="36" t="str">
        <f t="shared" si="81"/>
        <v/>
      </c>
      <c r="N370" s="36" t="str">
        <f t="shared" si="82"/>
        <v/>
      </c>
      <c r="O370" s="69" t="str">
        <f>IFERROR(IF($C370="","",VLOOKUP($N370,Feriados!$A$4:$B$5000,2,FALSE)),"")</f>
        <v/>
      </c>
      <c r="P370" s="36" t="str">
        <f t="shared" si="83"/>
        <v/>
      </c>
      <c r="S370" s="62"/>
      <c r="T370" s="41"/>
      <c r="U370" s="73"/>
      <c r="V370" s="41" t="str">
        <f t="shared" si="84"/>
        <v/>
      </c>
    </row>
    <row r="371" spans="1:22" x14ac:dyDescent="0.25">
      <c r="A371" s="24" t="str">
        <f t="shared" si="71"/>
        <v/>
      </c>
      <c r="B371" s="35"/>
      <c r="C371" s="36" t="str">
        <f t="shared" si="72"/>
        <v/>
      </c>
      <c r="D371" s="9"/>
      <c r="E371" s="27" t="str">
        <f t="shared" si="73"/>
        <v/>
      </c>
      <c r="F371" s="36" t="str">
        <f t="shared" si="74"/>
        <v/>
      </c>
      <c r="G371" s="29" t="str">
        <f t="shared" si="75"/>
        <v/>
      </c>
      <c r="H371" s="30" t="str">
        <f t="shared" si="76"/>
        <v/>
      </c>
      <c r="I371" s="31" t="str">
        <f t="shared" si="77"/>
        <v/>
      </c>
      <c r="J371" s="30" t="str">
        <f t="shared" si="78"/>
        <v/>
      </c>
      <c r="K371" s="36" t="str">
        <f t="shared" si="79"/>
        <v/>
      </c>
      <c r="L371" s="36" t="str">
        <f t="shared" si="80"/>
        <v/>
      </c>
      <c r="M371" s="36" t="str">
        <f t="shared" si="81"/>
        <v/>
      </c>
      <c r="N371" s="36" t="str">
        <f t="shared" si="82"/>
        <v/>
      </c>
      <c r="O371" s="69" t="str">
        <f>IFERROR(IF($C371="","",VLOOKUP($N371,Feriados!$A$4:$B$5000,2,FALSE)),"")</f>
        <v/>
      </c>
      <c r="P371" s="36" t="str">
        <f t="shared" si="83"/>
        <v/>
      </c>
      <c r="S371" s="62"/>
      <c r="T371" s="41"/>
      <c r="U371" s="73"/>
      <c r="V371" s="41" t="str">
        <f t="shared" si="84"/>
        <v/>
      </c>
    </row>
    <row r="372" spans="1:22" x14ac:dyDescent="0.25">
      <c r="A372" s="24" t="str">
        <f t="shared" ref="A372:A435" si="85">IF(E372="","",EOMONTH(E372,0))</f>
        <v/>
      </c>
      <c r="B372" s="35"/>
      <c r="C372" s="36" t="str">
        <f t="shared" si="72"/>
        <v/>
      </c>
      <c r="D372" s="9"/>
      <c r="E372" s="27" t="str">
        <f t="shared" si="73"/>
        <v/>
      </c>
      <c r="F372" s="36" t="str">
        <f t="shared" si="74"/>
        <v/>
      </c>
      <c r="G372" s="29" t="str">
        <f t="shared" si="75"/>
        <v/>
      </c>
      <c r="H372" s="30" t="str">
        <f t="shared" si="76"/>
        <v/>
      </c>
      <c r="I372" s="31" t="str">
        <f t="shared" si="77"/>
        <v/>
      </c>
      <c r="J372" s="30" t="str">
        <f t="shared" si="78"/>
        <v/>
      </c>
      <c r="K372" s="36" t="str">
        <f t="shared" si="79"/>
        <v/>
      </c>
      <c r="L372" s="36" t="str">
        <f t="shared" si="80"/>
        <v/>
      </c>
      <c r="M372" s="36" t="str">
        <f t="shared" si="81"/>
        <v/>
      </c>
      <c r="N372" s="36" t="str">
        <f t="shared" si="82"/>
        <v/>
      </c>
      <c r="O372" s="69" t="str">
        <f>IFERROR(IF($C372="","",VLOOKUP($N372,Feriados!$A$4:$B$5000,2,FALSE)),"")</f>
        <v/>
      </c>
      <c r="P372" s="36" t="str">
        <f t="shared" si="83"/>
        <v/>
      </c>
      <c r="S372" s="62"/>
      <c r="T372" s="41"/>
      <c r="U372" s="73"/>
      <c r="V372" s="41" t="str">
        <f t="shared" si="84"/>
        <v/>
      </c>
    </row>
    <row r="373" spans="1:22" x14ac:dyDescent="0.25">
      <c r="A373" s="24" t="str">
        <f t="shared" si="85"/>
        <v/>
      </c>
      <c r="B373" s="35"/>
      <c r="C373" s="36" t="str">
        <f t="shared" si="72"/>
        <v/>
      </c>
      <c r="D373" s="9"/>
      <c r="E373" s="27" t="str">
        <f t="shared" si="73"/>
        <v/>
      </c>
      <c r="F373" s="36" t="str">
        <f t="shared" si="74"/>
        <v/>
      </c>
      <c r="G373" s="29" t="str">
        <f t="shared" si="75"/>
        <v/>
      </c>
      <c r="H373" s="30" t="str">
        <f t="shared" si="76"/>
        <v/>
      </c>
      <c r="I373" s="31" t="str">
        <f t="shared" si="77"/>
        <v/>
      </c>
      <c r="J373" s="30" t="str">
        <f t="shared" si="78"/>
        <v/>
      </c>
      <c r="K373" s="36" t="str">
        <f t="shared" si="79"/>
        <v/>
      </c>
      <c r="L373" s="36" t="str">
        <f t="shared" si="80"/>
        <v/>
      </c>
      <c r="M373" s="36" t="str">
        <f t="shared" si="81"/>
        <v/>
      </c>
      <c r="N373" s="36" t="str">
        <f t="shared" si="82"/>
        <v/>
      </c>
      <c r="O373" s="69" t="str">
        <f>IFERROR(IF($C373="","",VLOOKUP($N373,Feriados!$A$4:$B$5000,2,FALSE)),"")</f>
        <v/>
      </c>
      <c r="P373" s="36" t="str">
        <f t="shared" si="83"/>
        <v/>
      </c>
      <c r="S373" s="62"/>
      <c r="T373" s="41"/>
      <c r="U373" s="73"/>
      <c r="V373" s="41" t="str">
        <f t="shared" si="84"/>
        <v/>
      </c>
    </row>
    <row r="374" spans="1:22" x14ac:dyDescent="0.25">
      <c r="A374" s="24" t="str">
        <f t="shared" si="85"/>
        <v/>
      </c>
      <c r="B374" s="35"/>
      <c r="C374" s="36" t="str">
        <f t="shared" si="72"/>
        <v/>
      </c>
      <c r="D374" s="9"/>
      <c r="E374" s="27" t="str">
        <f t="shared" si="73"/>
        <v/>
      </c>
      <c r="F374" s="36" t="str">
        <f t="shared" si="74"/>
        <v/>
      </c>
      <c r="G374" s="29" t="str">
        <f t="shared" si="75"/>
        <v/>
      </c>
      <c r="H374" s="30" t="str">
        <f t="shared" si="76"/>
        <v/>
      </c>
      <c r="I374" s="31" t="str">
        <f t="shared" si="77"/>
        <v/>
      </c>
      <c r="J374" s="30" t="str">
        <f t="shared" si="78"/>
        <v/>
      </c>
      <c r="K374" s="36" t="str">
        <f t="shared" si="79"/>
        <v/>
      </c>
      <c r="L374" s="36" t="str">
        <f t="shared" si="80"/>
        <v/>
      </c>
      <c r="M374" s="36" t="str">
        <f t="shared" si="81"/>
        <v/>
      </c>
      <c r="N374" s="36" t="str">
        <f t="shared" si="82"/>
        <v/>
      </c>
      <c r="O374" s="69" t="str">
        <f>IFERROR(IF($C374="","",VLOOKUP($N374,Feriados!$A$4:$B$5000,2,FALSE)),"")</f>
        <v/>
      </c>
      <c r="P374" s="36" t="str">
        <f t="shared" si="83"/>
        <v/>
      </c>
      <c r="S374" s="62"/>
      <c r="T374" s="41"/>
      <c r="U374" s="73"/>
      <c r="V374" s="41" t="str">
        <f t="shared" si="84"/>
        <v/>
      </c>
    </row>
    <row r="375" spans="1:22" x14ac:dyDescent="0.25">
      <c r="A375" s="24" t="str">
        <f t="shared" si="85"/>
        <v/>
      </c>
      <c r="B375" s="35"/>
      <c r="C375" s="36" t="str">
        <f t="shared" si="72"/>
        <v/>
      </c>
      <c r="D375" s="9"/>
      <c r="E375" s="27" t="str">
        <f t="shared" si="73"/>
        <v/>
      </c>
      <c r="F375" s="36" t="str">
        <f t="shared" si="74"/>
        <v/>
      </c>
      <c r="G375" s="29" t="str">
        <f t="shared" si="75"/>
        <v/>
      </c>
      <c r="H375" s="30" t="str">
        <f t="shared" si="76"/>
        <v/>
      </c>
      <c r="I375" s="31" t="str">
        <f t="shared" si="77"/>
        <v/>
      </c>
      <c r="J375" s="30" t="str">
        <f t="shared" si="78"/>
        <v/>
      </c>
      <c r="K375" s="36" t="str">
        <f t="shared" si="79"/>
        <v/>
      </c>
      <c r="L375" s="36" t="str">
        <f t="shared" si="80"/>
        <v/>
      </c>
      <c r="M375" s="36" t="str">
        <f t="shared" si="81"/>
        <v/>
      </c>
      <c r="N375" s="36" t="str">
        <f t="shared" si="82"/>
        <v/>
      </c>
      <c r="O375" s="69" t="str">
        <f>IFERROR(IF($C375="","",VLOOKUP($N375,Feriados!$A$4:$B$5000,2,FALSE)),"")</f>
        <v/>
      </c>
      <c r="P375" s="36" t="str">
        <f t="shared" si="83"/>
        <v/>
      </c>
      <c r="S375" s="62"/>
      <c r="T375" s="41"/>
      <c r="U375" s="73"/>
      <c r="V375" s="41" t="str">
        <f t="shared" si="84"/>
        <v/>
      </c>
    </row>
    <row r="376" spans="1:22" x14ac:dyDescent="0.25">
      <c r="A376" s="24" t="str">
        <f t="shared" si="85"/>
        <v/>
      </c>
      <c r="B376" s="35"/>
      <c r="C376" s="36" t="str">
        <f t="shared" si="72"/>
        <v/>
      </c>
      <c r="D376" s="9"/>
      <c r="E376" s="27" t="str">
        <f t="shared" si="73"/>
        <v/>
      </c>
      <c r="F376" s="36" t="str">
        <f t="shared" si="74"/>
        <v/>
      </c>
      <c r="G376" s="29" t="str">
        <f t="shared" si="75"/>
        <v/>
      </c>
      <c r="H376" s="30" t="str">
        <f t="shared" si="76"/>
        <v/>
      </c>
      <c r="I376" s="31" t="str">
        <f t="shared" si="77"/>
        <v/>
      </c>
      <c r="J376" s="30" t="str">
        <f t="shared" si="78"/>
        <v/>
      </c>
      <c r="K376" s="36" t="str">
        <f t="shared" si="79"/>
        <v/>
      </c>
      <c r="L376" s="36" t="str">
        <f t="shared" si="80"/>
        <v/>
      </c>
      <c r="M376" s="36" t="str">
        <f t="shared" si="81"/>
        <v/>
      </c>
      <c r="N376" s="36" t="str">
        <f t="shared" si="82"/>
        <v/>
      </c>
      <c r="O376" s="69" t="str">
        <f>IFERROR(IF($C376="","",VLOOKUP($N376,Feriados!$A$4:$B$5000,2,FALSE)),"")</f>
        <v/>
      </c>
      <c r="P376" s="36" t="str">
        <f t="shared" si="83"/>
        <v/>
      </c>
      <c r="S376" s="62"/>
      <c r="T376" s="41"/>
      <c r="U376" s="73"/>
      <c r="V376" s="41" t="str">
        <f t="shared" si="84"/>
        <v/>
      </c>
    </row>
    <row r="377" spans="1:22" x14ac:dyDescent="0.25">
      <c r="A377" s="24" t="str">
        <f t="shared" si="85"/>
        <v/>
      </c>
      <c r="B377" s="35"/>
      <c r="C377" s="36" t="str">
        <f t="shared" si="72"/>
        <v/>
      </c>
      <c r="D377" s="9"/>
      <c r="E377" s="27" t="str">
        <f t="shared" si="73"/>
        <v/>
      </c>
      <c r="F377" s="36" t="str">
        <f t="shared" si="74"/>
        <v/>
      </c>
      <c r="G377" s="29" t="str">
        <f t="shared" si="75"/>
        <v/>
      </c>
      <c r="H377" s="30" t="str">
        <f t="shared" si="76"/>
        <v/>
      </c>
      <c r="I377" s="31" t="str">
        <f t="shared" si="77"/>
        <v/>
      </c>
      <c r="J377" s="30" t="str">
        <f t="shared" si="78"/>
        <v/>
      </c>
      <c r="K377" s="36" t="str">
        <f t="shared" si="79"/>
        <v/>
      </c>
      <c r="L377" s="36" t="str">
        <f t="shared" si="80"/>
        <v/>
      </c>
      <c r="M377" s="36" t="str">
        <f t="shared" si="81"/>
        <v/>
      </c>
      <c r="N377" s="36" t="str">
        <f t="shared" si="82"/>
        <v/>
      </c>
      <c r="O377" s="69" t="str">
        <f>IFERROR(IF($C377="","",VLOOKUP($N377,Feriados!$A$4:$B$5000,2,FALSE)),"")</f>
        <v/>
      </c>
      <c r="P377" s="36" t="str">
        <f t="shared" si="83"/>
        <v/>
      </c>
      <c r="S377" s="62"/>
      <c r="T377" s="41"/>
      <c r="U377" s="73"/>
      <c r="V377" s="41" t="str">
        <f t="shared" si="84"/>
        <v/>
      </c>
    </row>
    <row r="378" spans="1:22" x14ac:dyDescent="0.25">
      <c r="A378" s="24" t="str">
        <f t="shared" si="85"/>
        <v/>
      </c>
      <c r="B378" s="35"/>
      <c r="C378" s="36" t="str">
        <f t="shared" si="72"/>
        <v/>
      </c>
      <c r="D378" s="9"/>
      <c r="E378" s="27" t="str">
        <f t="shared" si="73"/>
        <v/>
      </c>
      <c r="F378" s="36" t="str">
        <f t="shared" si="74"/>
        <v/>
      </c>
      <c r="G378" s="29" t="str">
        <f t="shared" si="75"/>
        <v/>
      </c>
      <c r="H378" s="30" t="str">
        <f t="shared" si="76"/>
        <v/>
      </c>
      <c r="I378" s="31" t="str">
        <f t="shared" si="77"/>
        <v/>
      </c>
      <c r="J378" s="30" t="str">
        <f t="shared" si="78"/>
        <v/>
      </c>
      <c r="K378" s="36" t="str">
        <f t="shared" si="79"/>
        <v/>
      </c>
      <c r="L378" s="36" t="str">
        <f t="shared" si="80"/>
        <v/>
      </c>
      <c r="M378" s="36" t="str">
        <f t="shared" si="81"/>
        <v/>
      </c>
      <c r="N378" s="36" t="str">
        <f t="shared" si="82"/>
        <v/>
      </c>
      <c r="O378" s="69" t="str">
        <f>IFERROR(IF($C378="","",VLOOKUP($N378,Feriados!$A$4:$B$5000,2,FALSE)),"")</f>
        <v/>
      </c>
      <c r="P378" s="36" t="str">
        <f t="shared" si="83"/>
        <v/>
      </c>
      <c r="S378" s="62"/>
      <c r="T378" s="41"/>
      <c r="U378" s="73"/>
      <c r="V378" s="41" t="str">
        <f t="shared" si="84"/>
        <v/>
      </c>
    </row>
    <row r="379" spans="1:22" x14ac:dyDescent="0.25">
      <c r="A379" s="24" t="str">
        <f t="shared" si="85"/>
        <v/>
      </c>
      <c r="B379" s="35"/>
      <c r="C379" s="36" t="str">
        <f t="shared" si="72"/>
        <v/>
      </c>
      <c r="D379" s="9"/>
      <c r="E379" s="27" t="str">
        <f t="shared" si="73"/>
        <v/>
      </c>
      <c r="F379" s="36" t="str">
        <f t="shared" si="74"/>
        <v/>
      </c>
      <c r="G379" s="29" t="str">
        <f t="shared" si="75"/>
        <v/>
      </c>
      <c r="H379" s="30" t="str">
        <f t="shared" si="76"/>
        <v/>
      </c>
      <c r="I379" s="31" t="str">
        <f t="shared" si="77"/>
        <v/>
      </c>
      <c r="J379" s="30" t="str">
        <f t="shared" si="78"/>
        <v/>
      </c>
      <c r="K379" s="36" t="str">
        <f t="shared" si="79"/>
        <v/>
      </c>
      <c r="L379" s="36" t="str">
        <f t="shared" si="80"/>
        <v/>
      </c>
      <c r="M379" s="36" t="str">
        <f t="shared" si="81"/>
        <v/>
      </c>
      <c r="N379" s="36" t="str">
        <f t="shared" si="82"/>
        <v/>
      </c>
      <c r="O379" s="69" t="str">
        <f>IFERROR(IF($C379="","",VLOOKUP($N379,Feriados!$A$4:$B$5000,2,FALSE)),"")</f>
        <v/>
      </c>
      <c r="P379" s="36" t="str">
        <f t="shared" si="83"/>
        <v/>
      </c>
      <c r="S379" s="62"/>
      <c r="T379" s="41"/>
      <c r="U379" s="73"/>
      <c r="V379" s="41" t="str">
        <f t="shared" si="84"/>
        <v/>
      </c>
    </row>
    <row r="380" spans="1:22" x14ac:dyDescent="0.25">
      <c r="A380" s="24" t="str">
        <f t="shared" si="85"/>
        <v/>
      </c>
      <c r="B380" s="35"/>
      <c r="C380" s="36" t="str">
        <f t="shared" si="72"/>
        <v/>
      </c>
      <c r="D380" s="9"/>
      <c r="E380" s="27" t="str">
        <f t="shared" si="73"/>
        <v/>
      </c>
      <c r="F380" s="36" t="str">
        <f t="shared" si="74"/>
        <v/>
      </c>
      <c r="G380" s="29" t="str">
        <f t="shared" si="75"/>
        <v/>
      </c>
      <c r="H380" s="30" t="str">
        <f t="shared" si="76"/>
        <v/>
      </c>
      <c r="I380" s="31" t="str">
        <f t="shared" si="77"/>
        <v/>
      </c>
      <c r="J380" s="30" t="str">
        <f t="shared" si="78"/>
        <v/>
      </c>
      <c r="K380" s="36" t="str">
        <f t="shared" si="79"/>
        <v/>
      </c>
      <c r="L380" s="36" t="str">
        <f t="shared" si="80"/>
        <v/>
      </c>
      <c r="M380" s="36" t="str">
        <f t="shared" si="81"/>
        <v/>
      </c>
      <c r="N380" s="36" t="str">
        <f t="shared" si="82"/>
        <v/>
      </c>
      <c r="O380" s="69" t="str">
        <f>IFERROR(IF($C380="","",VLOOKUP($N380,Feriados!$A$4:$B$5000,2,FALSE)),"")</f>
        <v/>
      </c>
      <c r="P380" s="36" t="str">
        <f t="shared" si="83"/>
        <v/>
      </c>
      <c r="S380" s="62"/>
      <c r="T380" s="41"/>
      <c r="U380" s="73"/>
      <c r="V380" s="41" t="str">
        <f t="shared" si="84"/>
        <v/>
      </c>
    </row>
    <row r="381" spans="1:22" x14ac:dyDescent="0.25">
      <c r="A381" s="24" t="str">
        <f t="shared" si="85"/>
        <v/>
      </c>
      <c r="B381" s="35"/>
      <c r="C381" s="36" t="str">
        <f t="shared" si="72"/>
        <v/>
      </c>
      <c r="D381" s="9"/>
      <c r="E381" s="27" t="str">
        <f t="shared" si="73"/>
        <v/>
      </c>
      <c r="F381" s="36" t="str">
        <f t="shared" si="74"/>
        <v/>
      </c>
      <c r="G381" s="29" t="str">
        <f t="shared" si="75"/>
        <v/>
      </c>
      <c r="H381" s="30" t="str">
        <f t="shared" si="76"/>
        <v/>
      </c>
      <c r="I381" s="31" t="str">
        <f t="shared" si="77"/>
        <v/>
      </c>
      <c r="J381" s="30" t="str">
        <f t="shared" si="78"/>
        <v/>
      </c>
      <c r="K381" s="36" t="str">
        <f t="shared" si="79"/>
        <v/>
      </c>
      <c r="L381" s="36" t="str">
        <f t="shared" si="80"/>
        <v/>
      </c>
      <c r="M381" s="36" t="str">
        <f t="shared" si="81"/>
        <v/>
      </c>
      <c r="N381" s="36" t="str">
        <f t="shared" si="82"/>
        <v/>
      </c>
      <c r="O381" s="69" t="str">
        <f>IFERROR(IF($C381="","",VLOOKUP($N381,Feriados!$A$4:$B$5000,2,FALSE)),"")</f>
        <v/>
      </c>
      <c r="P381" s="36" t="str">
        <f t="shared" si="83"/>
        <v/>
      </c>
      <c r="S381" s="62"/>
      <c r="T381" s="41"/>
      <c r="U381" s="73"/>
      <c r="V381" s="41" t="str">
        <f t="shared" si="84"/>
        <v/>
      </c>
    </row>
    <row r="382" spans="1:22" x14ac:dyDescent="0.25">
      <c r="A382" s="24" t="str">
        <f t="shared" si="85"/>
        <v/>
      </c>
      <c r="B382" s="35"/>
      <c r="C382" s="36" t="str">
        <f t="shared" si="72"/>
        <v/>
      </c>
      <c r="D382" s="9"/>
      <c r="E382" s="27" t="str">
        <f t="shared" si="73"/>
        <v/>
      </c>
      <c r="F382" s="36" t="str">
        <f t="shared" si="74"/>
        <v/>
      </c>
      <c r="G382" s="29" t="str">
        <f t="shared" si="75"/>
        <v/>
      </c>
      <c r="H382" s="30" t="str">
        <f t="shared" si="76"/>
        <v/>
      </c>
      <c r="I382" s="31" t="str">
        <f t="shared" si="77"/>
        <v/>
      </c>
      <c r="J382" s="30" t="str">
        <f t="shared" si="78"/>
        <v/>
      </c>
      <c r="K382" s="36" t="str">
        <f t="shared" si="79"/>
        <v/>
      </c>
      <c r="L382" s="36" t="str">
        <f t="shared" si="80"/>
        <v/>
      </c>
      <c r="M382" s="36" t="str">
        <f t="shared" si="81"/>
        <v/>
      </c>
      <c r="N382" s="36" t="str">
        <f t="shared" si="82"/>
        <v/>
      </c>
      <c r="O382" s="69" t="str">
        <f>IFERROR(IF($C382="","",VLOOKUP($N382,Feriados!$A$4:$B$5000,2,FALSE)),"")</f>
        <v/>
      </c>
      <c r="P382" s="36" t="str">
        <f t="shared" si="83"/>
        <v/>
      </c>
      <c r="S382" s="62"/>
      <c r="T382" s="41"/>
      <c r="U382" s="73"/>
      <c r="V382" s="41" t="str">
        <f t="shared" si="84"/>
        <v/>
      </c>
    </row>
    <row r="383" spans="1:22" x14ac:dyDescent="0.25">
      <c r="A383" s="24" t="str">
        <f t="shared" si="85"/>
        <v/>
      </c>
      <c r="B383" s="35"/>
      <c r="C383" s="36" t="str">
        <f t="shared" si="72"/>
        <v/>
      </c>
      <c r="D383" s="9"/>
      <c r="E383" s="27" t="str">
        <f t="shared" si="73"/>
        <v/>
      </c>
      <c r="F383" s="36" t="str">
        <f t="shared" si="74"/>
        <v/>
      </c>
      <c r="G383" s="29" t="str">
        <f t="shared" si="75"/>
        <v/>
      </c>
      <c r="H383" s="30" t="str">
        <f t="shared" si="76"/>
        <v/>
      </c>
      <c r="I383" s="31" t="str">
        <f t="shared" si="77"/>
        <v/>
      </c>
      <c r="J383" s="30" t="str">
        <f t="shared" si="78"/>
        <v/>
      </c>
      <c r="K383" s="36" t="str">
        <f t="shared" si="79"/>
        <v/>
      </c>
      <c r="L383" s="36" t="str">
        <f t="shared" si="80"/>
        <v/>
      </c>
      <c r="M383" s="36" t="str">
        <f t="shared" si="81"/>
        <v/>
      </c>
      <c r="N383" s="36" t="str">
        <f t="shared" si="82"/>
        <v/>
      </c>
      <c r="O383" s="69" t="str">
        <f>IFERROR(IF($C383="","",VLOOKUP($N383,Feriados!$A$4:$B$5000,2,FALSE)),"")</f>
        <v/>
      </c>
      <c r="P383" s="36" t="str">
        <f t="shared" si="83"/>
        <v/>
      </c>
      <c r="S383" s="62"/>
      <c r="T383" s="41"/>
      <c r="U383" s="73"/>
      <c r="V383" s="41" t="str">
        <f t="shared" si="84"/>
        <v/>
      </c>
    </row>
    <row r="384" spans="1:22" x14ac:dyDescent="0.25">
      <c r="A384" s="24" t="str">
        <f t="shared" si="85"/>
        <v/>
      </c>
      <c r="B384" s="35"/>
      <c r="C384" s="36" t="str">
        <f t="shared" si="72"/>
        <v/>
      </c>
      <c r="D384" s="9"/>
      <c r="E384" s="27" t="str">
        <f t="shared" si="73"/>
        <v/>
      </c>
      <c r="F384" s="36" t="str">
        <f t="shared" si="74"/>
        <v/>
      </c>
      <c r="G384" s="29" t="str">
        <f t="shared" si="75"/>
        <v/>
      </c>
      <c r="H384" s="30" t="str">
        <f t="shared" si="76"/>
        <v/>
      </c>
      <c r="I384" s="31" t="str">
        <f t="shared" si="77"/>
        <v/>
      </c>
      <c r="J384" s="30" t="str">
        <f t="shared" si="78"/>
        <v/>
      </c>
      <c r="K384" s="36" t="str">
        <f t="shared" si="79"/>
        <v/>
      </c>
      <c r="L384" s="36" t="str">
        <f t="shared" si="80"/>
        <v/>
      </c>
      <c r="M384" s="36" t="str">
        <f t="shared" si="81"/>
        <v/>
      </c>
      <c r="N384" s="36" t="str">
        <f t="shared" si="82"/>
        <v/>
      </c>
      <c r="O384" s="69" t="str">
        <f>IFERROR(IF($C384="","",VLOOKUP($N384,Feriados!$A$4:$B$5000,2,FALSE)),"")</f>
        <v/>
      </c>
      <c r="P384" s="36" t="str">
        <f t="shared" si="83"/>
        <v/>
      </c>
      <c r="S384" s="62"/>
      <c r="T384" s="41"/>
      <c r="U384" s="73"/>
      <c r="V384" s="41" t="str">
        <f t="shared" si="84"/>
        <v/>
      </c>
    </row>
    <row r="385" spans="1:22" x14ac:dyDescent="0.25">
      <c r="A385" s="24" t="str">
        <f t="shared" si="85"/>
        <v/>
      </c>
      <c r="B385" s="35"/>
      <c r="C385" s="36" t="str">
        <f t="shared" si="72"/>
        <v/>
      </c>
      <c r="D385" s="9"/>
      <c r="E385" s="27" t="str">
        <f t="shared" si="73"/>
        <v/>
      </c>
      <c r="F385" s="36" t="str">
        <f t="shared" si="74"/>
        <v/>
      </c>
      <c r="G385" s="29" t="str">
        <f t="shared" si="75"/>
        <v/>
      </c>
      <c r="H385" s="30" t="str">
        <f t="shared" si="76"/>
        <v/>
      </c>
      <c r="I385" s="31" t="str">
        <f t="shared" si="77"/>
        <v/>
      </c>
      <c r="J385" s="30" t="str">
        <f t="shared" si="78"/>
        <v/>
      </c>
      <c r="K385" s="36" t="str">
        <f t="shared" si="79"/>
        <v/>
      </c>
      <c r="L385" s="36" t="str">
        <f t="shared" si="80"/>
        <v/>
      </c>
      <c r="M385" s="36" t="str">
        <f t="shared" si="81"/>
        <v/>
      </c>
      <c r="N385" s="36" t="str">
        <f t="shared" si="82"/>
        <v/>
      </c>
      <c r="O385" s="69" t="str">
        <f>IFERROR(IF($C385="","",VLOOKUP($N385,Feriados!$A$4:$B$5000,2,FALSE)),"")</f>
        <v/>
      </c>
      <c r="P385" s="36" t="str">
        <f t="shared" si="83"/>
        <v/>
      </c>
      <c r="S385" s="62"/>
      <c r="T385" s="41"/>
      <c r="U385" s="73"/>
      <c r="V385" s="41" t="str">
        <f t="shared" si="84"/>
        <v/>
      </c>
    </row>
    <row r="386" spans="1:22" x14ac:dyDescent="0.25">
      <c r="A386" s="24" t="str">
        <f t="shared" si="85"/>
        <v/>
      </c>
      <c r="B386" s="35"/>
      <c r="C386" s="36" t="str">
        <f t="shared" si="72"/>
        <v/>
      </c>
      <c r="D386" s="9"/>
      <c r="E386" s="27" t="str">
        <f t="shared" si="73"/>
        <v/>
      </c>
      <c r="F386" s="36" t="str">
        <f t="shared" si="74"/>
        <v/>
      </c>
      <c r="G386" s="29" t="str">
        <f t="shared" si="75"/>
        <v/>
      </c>
      <c r="H386" s="30" t="str">
        <f t="shared" si="76"/>
        <v/>
      </c>
      <c r="I386" s="31" t="str">
        <f t="shared" si="77"/>
        <v/>
      </c>
      <c r="J386" s="30" t="str">
        <f t="shared" si="78"/>
        <v/>
      </c>
      <c r="K386" s="36" t="str">
        <f t="shared" si="79"/>
        <v/>
      </c>
      <c r="L386" s="36" t="str">
        <f t="shared" si="80"/>
        <v/>
      </c>
      <c r="M386" s="36" t="str">
        <f t="shared" si="81"/>
        <v/>
      </c>
      <c r="N386" s="36" t="str">
        <f t="shared" si="82"/>
        <v/>
      </c>
      <c r="O386" s="69" t="str">
        <f>IFERROR(IF($C386="","",VLOOKUP($N386,Feriados!$A$4:$B$5000,2,FALSE)),"")</f>
        <v/>
      </c>
      <c r="P386" s="36" t="str">
        <f t="shared" si="83"/>
        <v/>
      </c>
      <c r="S386" s="62"/>
      <c r="T386" s="41"/>
      <c r="U386" s="73"/>
      <c r="V386" s="41" t="str">
        <f t="shared" si="84"/>
        <v/>
      </c>
    </row>
    <row r="387" spans="1:22" x14ac:dyDescent="0.25">
      <c r="A387" s="24" t="str">
        <f t="shared" si="85"/>
        <v/>
      </c>
      <c r="B387" s="35"/>
      <c r="C387" s="36" t="str">
        <f t="shared" si="72"/>
        <v/>
      </c>
      <c r="D387" s="9"/>
      <c r="E387" s="27" t="str">
        <f t="shared" si="73"/>
        <v/>
      </c>
      <c r="F387" s="36" t="str">
        <f t="shared" si="74"/>
        <v/>
      </c>
      <c r="G387" s="29" t="str">
        <f t="shared" si="75"/>
        <v/>
      </c>
      <c r="H387" s="30" t="str">
        <f t="shared" si="76"/>
        <v/>
      </c>
      <c r="I387" s="31" t="str">
        <f t="shared" si="77"/>
        <v/>
      </c>
      <c r="J387" s="30" t="str">
        <f t="shared" si="78"/>
        <v/>
      </c>
      <c r="K387" s="36" t="str">
        <f t="shared" si="79"/>
        <v/>
      </c>
      <c r="L387" s="36" t="str">
        <f t="shared" si="80"/>
        <v/>
      </c>
      <c r="M387" s="36" t="str">
        <f t="shared" si="81"/>
        <v/>
      </c>
      <c r="N387" s="36" t="str">
        <f t="shared" si="82"/>
        <v/>
      </c>
      <c r="O387" s="69" t="str">
        <f>IFERROR(IF($C387="","",VLOOKUP($N387,Feriados!$A$4:$B$5000,2,FALSE)),"")</f>
        <v/>
      </c>
      <c r="P387" s="36" t="str">
        <f t="shared" si="83"/>
        <v/>
      </c>
      <c r="S387" s="62"/>
      <c r="T387" s="41"/>
      <c r="U387" s="73"/>
      <c r="V387" s="41" t="str">
        <f t="shared" si="84"/>
        <v/>
      </c>
    </row>
    <row r="388" spans="1:22" x14ac:dyDescent="0.25">
      <c r="A388" s="24" t="str">
        <f t="shared" si="85"/>
        <v/>
      </c>
      <c r="B388" s="35"/>
      <c r="C388" s="36" t="str">
        <f t="shared" si="72"/>
        <v/>
      </c>
      <c r="D388" s="9"/>
      <c r="E388" s="27" t="str">
        <f t="shared" si="73"/>
        <v/>
      </c>
      <c r="F388" s="36" t="str">
        <f t="shared" si="74"/>
        <v/>
      </c>
      <c r="G388" s="29" t="str">
        <f t="shared" si="75"/>
        <v/>
      </c>
      <c r="H388" s="30" t="str">
        <f t="shared" si="76"/>
        <v/>
      </c>
      <c r="I388" s="31" t="str">
        <f t="shared" si="77"/>
        <v/>
      </c>
      <c r="J388" s="30" t="str">
        <f t="shared" si="78"/>
        <v/>
      </c>
      <c r="K388" s="36" t="str">
        <f t="shared" si="79"/>
        <v/>
      </c>
      <c r="L388" s="36" t="str">
        <f t="shared" si="80"/>
        <v/>
      </c>
      <c r="M388" s="36" t="str">
        <f t="shared" si="81"/>
        <v/>
      </c>
      <c r="N388" s="36" t="str">
        <f t="shared" si="82"/>
        <v/>
      </c>
      <c r="O388" s="69" t="str">
        <f>IFERROR(IF($C388="","",VLOOKUP($N388,Feriados!$A$4:$B$5000,2,FALSE)),"")</f>
        <v/>
      </c>
      <c r="P388" s="36" t="str">
        <f t="shared" si="83"/>
        <v/>
      </c>
      <c r="S388" s="62"/>
      <c r="T388" s="41"/>
      <c r="U388" s="73"/>
      <c r="V388" s="41" t="str">
        <f t="shared" si="84"/>
        <v/>
      </c>
    </row>
    <row r="389" spans="1:22" x14ac:dyDescent="0.25">
      <c r="A389" s="24" t="str">
        <f t="shared" si="85"/>
        <v/>
      </c>
      <c r="B389" s="35"/>
      <c r="C389" s="36" t="str">
        <f t="shared" si="72"/>
        <v/>
      </c>
      <c r="D389" s="9"/>
      <c r="E389" s="27" t="str">
        <f t="shared" si="73"/>
        <v/>
      </c>
      <c r="F389" s="36" t="str">
        <f t="shared" si="74"/>
        <v/>
      </c>
      <c r="G389" s="29" t="str">
        <f t="shared" si="75"/>
        <v/>
      </c>
      <c r="H389" s="30" t="str">
        <f t="shared" si="76"/>
        <v/>
      </c>
      <c r="I389" s="31" t="str">
        <f t="shared" si="77"/>
        <v/>
      </c>
      <c r="J389" s="30" t="str">
        <f t="shared" si="78"/>
        <v/>
      </c>
      <c r="K389" s="36" t="str">
        <f t="shared" si="79"/>
        <v/>
      </c>
      <c r="L389" s="36" t="str">
        <f t="shared" si="80"/>
        <v/>
      </c>
      <c r="M389" s="36" t="str">
        <f t="shared" si="81"/>
        <v/>
      </c>
      <c r="N389" s="36" t="str">
        <f t="shared" si="82"/>
        <v/>
      </c>
      <c r="O389" s="69" t="str">
        <f>IFERROR(IF($C389="","",VLOOKUP($N389,Feriados!$A$4:$B$5000,2,FALSE)),"")</f>
        <v/>
      </c>
      <c r="P389" s="36" t="str">
        <f t="shared" si="83"/>
        <v/>
      </c>
      <c r="S389" s="62"/>
      <c r="T389" s="41"/>
      <c r="U389" s="73"/>
      <c r="V389" s="41" t="str">
        <f t="shared" si="84"/>
        <v/>
      </c>
    </row>
    <row r="390" spans="1:22" x14ac:dyDescent="0.25">
      <c r="A390" s="24" t="str">
        <f t="shared" si="85"/>
        <v/>
      </c>
      <c r="B390" s="35"/>
      <c r="C390" s="36" t="str">
        <f t="shared" si="72"/>
        <v/>
      </c>
      <c r="D390" s="9"/>
      <c r="E390" s="27" t="str">
        <f t="shared" si="73"/>
        <v/>
      </c>
      <c r="F390" s="36" t="str">
        <f t="shared" si="74"/>
        <v/>
      </c>
      <c r="G390" s="29" t="str">
        <f t="shared" si="75"/>
        <v/>
      </c>
      <c r="H390" s="30" t="str">
        <f t="shared" si="76"/>
        <v/>
      </c>
      <c r="I390" s="31" t="str">
        <f t="shared" si="77"/>
        <v/>
      </c>
      <c r="J390" s="30" t="str">
        <f t="shared" si="78"/>
        <v/>
      </c>
      <c r="K390" s="36" t="str">
        <f t="shared" si="79"/>
        <v/>
      </c>
      <c r="L390" s="36" t="str">
        <f t="shared" si="80"/>
        <v/>
      </c>
      <c r="M390" s="36" t="str">
        <f t="shared" si="81"/>
        <v/>
      </c>
      <c r="N390" s="36" t="str">
        <f t="shared" si="82"/>
        <v/>
      </c>
      <c r="O390" s="69" t="str">
        <f>IFERROR(IF($C390="","",VLOOKUP($N390,Feriados!$A$4:$B$5000,2,FALSE)),"")</f>
        <v/>
      </c>
      <c r="P390" s="36" t="str">
        <f t="shared" si="83"/>
        <v/>
      </c>
      <c r="S390" s="62"/>
      <c r="T390" s="41"/>
      <c r="U390" s="73"/>
      <c r="V390" s="41" t="str">
        <f t="shared" si="84"/>
        <v/>
      </c>
    </row>
    <row r="391" spans="1:22" x14ac:dyDescent="0.25">
      <c r="A391" s="24" t="str">
        <f t="shared" si="85"/>
        <v/>
      </c>
      <c r="B391" s="35"/>
      <c r="C391" s="36" t="str">
        <f t="shared" si="72"/>
        <v/>
      </c>
      <c r="D391" s="9"/>
      <c r="E391" s="27" t="str">
        <f t="shared" si="73"/>
        <v/>
      </c>
      <c r="F391" s="36" t="str">
        <f t="shared" si="74"/>
        <v/>
      </c>
      <c r="G391" s="29" t="str">
        <f t="shared" si="75"/>
        <v/>
      </c>
      <c r="H391" s="30" t="str">
        <f t="shared" si="76"/>
        <v/>
      </c>
      <c r="I391" s="31" t="str">
        <f t="shared" si="77"/>
        <v/>
      </c>
      <c r="J391" s="30" t="str">
        <f t="shared" si="78"/>
        <v/>
      </c>
      <c r="K391" s="36" t="str">
        <f t="shared" si="79"/>
        <v/>
      </c>
      <c r="L391" s="36" t="str">
        <f t="shared" si="80"/>
        <v/>
      </c>
      <c r="M391" s="36" t="str">
        <f t="shared" si="81"/>
        <v/>
      </c>
      <c r="N391" s="36" t="str">
        <f t="shared" si="82"/>
        <v/>
      </c>
      <c r="O391" s="69" t="str">
        <f>IFERROR(IF($C391="","",VLOOKUP($N391,Feriados!$A$4:$B$5000,2,FALSE)),"")</f>
        <v/>
      </c>
      <c r="P391" s="36" t="str">
        <f t="shared" si="83"/>
        <v/>
      </c>
      <c r="S391" s="62"/>
      <c r="T391" s="41"/>
      <c r="U391" s="73"/>
      <c r="V391" s="41" t="str">
        <f t="shared" si="84"/>
        <v/>
      </c>
    </row>
    <row r="392" spans="1:22" x14ac:dyDescent="0.25">
      <c r="A392" s="24" t="str">
        <f t="shared" si="85"/>
        <v/>
      </c>
      <c r="B392" s="35"/>
      <c r="C392" s="36" t="str">
        <f t="shared" si="72"/>
        <v/>
      </c>
      <c r="D392" s="9"/>
      <c r="E392" s="27" t="str">
        <f t="shared" si="73"/>
        <v/>
      </c>
      <c r="F392" s="36" t="str">
        <f t="shared" si="74"/>
        <v/>
      </c>
      <c r="G392" s="29" t="str">
        <f t="shared" si="75"/>
        <v/>
      </c>
      <c r="H392" s="30" t="str">
        <f t="shared" si="76"/>
        <v/>
      </c>
      <c r="I392" s="31" t="str">
        <f t="shared" si="77"/>
        <v/>
      </c>
      <c r="J392" s="30" t="str">
        <f t="shared" si="78"/>
        <v/>
      </c>
      <c r="K392" s="36" t="str">
        <f t="shared" si="79"/>
        <v/>
      </c>
      <c r="L392" s="36" t="str">
        <f t="shared" si="80"/>
        <v/>
      </c>
      <c r="M392" s="36" t="str">
        <f t="shared" si="81"/>
        <v/>
      </c>
      <c r="N392" s="36" t="str">
        <f t="shared" si="82"/>
        <v/>
      </c>
      <c r="O392" s="69" t="str">
        <f>IFERROR(IF($C392="","",VLOOKUP($N392,Feriados!$A$4:$B$5000,2,FALSE)),"")</f>
        <v/>
      </c>
      <c r="P392" s="36" t="str">
        <f t="shared" si="83"/>
        <v/>
      </c>
      <c r="S392" s="62"/>
      <c r="T392" s="41"/>
      <c r="U392" s="73"/>
      <c r="V392" s="41" t="str">
        <f t="shared" si="84"/>
        <v/>
      </c>
    </row>
    <row r="393" spans="1:22" x14ac:dyDescent="0.25">
      <c r="A393" s="24" t="str">
        <f t="shared" si="85"/>
        <v/>
      </c>
      <c r="B393" s="35"/>
      <c r="C393" s="36" t="str">
        <f t="shared" si="72"/>
        <v/>
      </c>
      <c r="D393" s="9"/>
      <c r="E393" s="27" t="str">
        <f t="shared" si="73"/>
        <v/>
      </c>
      <c r="F393" s="36" t="str">
        <f t="shared" si="74"/>
        <v/>
      </c>
      <c r="G393" s="29" t="str">
        <f t="shared" si="75"/>
        <v/>
      </c>
      <c r="H393" s="30" t="str">
        <f t="shared" si="76"/>
        <v/>
      </c>
      <c r="I393" s="31" t="str">
        <f t="shared" si="77"/>
        <v/>
      </c>
      <c r="J393" s="30" t="str">
        <f t="shared" si="78"/>
        <v/>
      </c>
      <c r="K393" s="36" t="str">
        <f t="shared" si="79"/>
        <v/>
      </c>
      <c r="L393" s="36" t="str">
        <f t="shared" si="80"/>
        <v/>
      </c>
      <c r="M393" s="36" t="str">
        <f t="shared" si="81"/>
        <v/>
      </c>
      <c r="N393" s="36" t="str">
        <f t="shared" si="82"/>
        <v/>
      </c>
      <c r="O393" s="69" t="str">
        <f>IFERROR(IF($C393="","",VLOOKUP($N393,Feriados!$A$4:$B$5000,2,FALSE)),"")</f>
        <v/>
      </c>
      <c r="P393" s="36" t="str">
        <f t="shared" si="83"/>
        <v/>
      </c>
      <c r="S393" s="62"/>
      <c r="T393" s="41"/>
      <c r="U393" s="73"/>
      <c r="V393" s="41" t="str">
        <f t="shared" si="84"/>
        <v/>
      </c>
    </row>
    <row r="394" spans="1:22" x14ac:dyDescent="0.25">
      <c r="A394" s="24" t="str">
        <f t="shared" si="85"/>
        <v/>
      </c>
      <c r="B394" s="35"/>
      <c r="C394" s="36" t="str">
        <f t="shared" si="72"/>
        <v/>
      </c>
      <c r="D394" s="9"/>
      <c r="E394" s="27" t="str">
        <f t="shared" si="73"/>
        <v/>
      </c>
      <c r="F394" s="36" t="str">
        <f t="shared" si="74"/>
        <v/>
      </c>
      <c r="G394" s="29" t="str">
        <f t="shared" si="75"/>
        <v/>
      </c>
      <c r="H394" s="30" t="str">
        <f t="shared" si="76"/>
        <v/>
      </c>
      <c r="I394" s="31" t="str">
        <f t="shared" si="77"/>
        <v/>
      </c>
      <c r="J394" s="30" t="str">
        <f t="shared" si="78"/>
        <v/>
      </c>
      <c r="K394" s="36" t="str">
        <f t="shared" si="79"/>
        <v/>
      </c>
      <c r="L394" s="36" t="str">
        <f t="shared" si="80"/>
        <v/>
      </c>
      <c r="M394" s="36" t="str">
        <f t="shared" si="81"/>
        <v/>
      </c>
      <c r="N394" s="36" t="str">
        <f t="shared" si="82"/>
        <v/>
      </c>
      <c r="O394" s="69" t="str">
        <f>IFERROR(IF($C394="","",VLOOKUP($N394,Feriados!$A$4:$B$5000,2,FALSE)),"")</f>
        <v/>
      </c>
      <c r="P394" s="36" t="str">
        <f t="shared" si="83"/>
        <v/>
      </c>
      <c r="S394" s="62"/>
      <c r="T394" s="41"/>
      <c r="U394" s="73"/>
      <c r="V394" s="41" t="str">
        <f t="shared" si="84"/>
        <v/>
      </c>
    </row>
    <row r="395" spans="1:22" x14ac:dyDescent="0.25">
      <c r="A395" s="24" t="str">
        <f t="shared" si="85"/>
        <v/>
      </c>
      <c r="B395" s="35"/>
      <c r="C395" s="36" t="str">
        <f t="shared" si="72"/>
        <v/>
      </c>
      <c r="D395" s="9"/>
      <c r="E395" s="27" t="str">
        <f t="shared" si="73"/>
        <v/>
      </c>
      <c r="F395" s="36" t="str">
        <f t="shared" si="74"/>
        <v/>
      </c>
      <c r="G395" s="29" t="str">
        <f t="shared" si="75"/>
        <v/>
      </c>
      <c r="H395" s="30" t="str">
        <f t="shared" si="76"/>
        <v/>
      </c>
      <c r="I395" s="31" t="str">
        <f t="shared" si="77"/>
        <v/>
      </c>
      <c r="J395" s="30" t="str">
        <f t="shared" si="78"/>
        <v/>
      </c>
      <c r="K395" s="36" t="str">
        <f t="shared" si="79"/>
        <v/>
      </c>
      <c r="L395" s="36" t="str">
        <f t="shared" si="80"/>
        <v/>
      </c>
      <c r="M395" s="36" t="str">
        <f t="shared" si="81"/>
        <v/>
      </c>
      <c r="N395" s="36" t="str">
        <f t="shared" si="82"/>
        <v/>
      </c>
      <c r="O395" s="69" t="str">
        <f>IFERROR(IF($C395="","",VLOOKUP($N395,Feriados!$A$4:$B$5000,2,FALSE)),"")</f>
        <v/>
      </c>
      <c r="P395" s="36" t="str">
        <f t="shared" si="83"/>
        <v/>
      </c>
      <c r="S395" s="62"/>
      <c r="T395" s="41"/>
      <c r="U395" s="73"/>
      <c r="V395" s="41" t="str">
        <f t="shared" si="84"/>
        <v/>
      </c>
    </row>
    <row r="396" spans="1:22" x14ac:dyDescent="0.25">
      <c r="A396" s="24" t="str">
        <f t="shared" si="85"/>
        <v/>
      </c>
      <c r="B396" s="35"/>
      <c r="C396" s="36" t="str">
        <f t="shared" si="72"/>
        <v/>
      </c>
      <c r="D396" s="9"/>
      <c r="E396" s="27" t="str">
        <f t="shared" si="73"/>
        <v/>
      </c>
      <c r="F396" s="36" t="str">
        <f t="shared" si="74"/>
        <v/>
      </c>
      <c r="G396" s="29" t="str">
        <f t="shared" si="75"/>
        <v/>
      </c>
      <c r="H396" s="30" t="str">
        <f t="shared" si="76"/>
        <v/>
      </c>
      <c r="I396" s="31" t="str">
        <f t="shared" si="77"/>
        <v/>
      </c>
      <c r="J396" s="30" t="str">
        <f t="shared" si="78"/>
        <v/>
      </c>
      <c r="K396" s="36" t="str">
        <f t="shared" si="79"/>
        <v/>
      </c>
      <c r="L396" s="36" t="str">
        <f t="shared" si="80"/>
        <v/>
      </c>
      <c r="M396" s="36" t="str">
        <f t="shared" si="81"/>
        <v/>
      </c>
      <c r="N396" s="36" t="str">
        <f t="shared" si="82"/>
        <v/>
      </c>
      <c r="O396" s="69" t="str">
        <f>IFERROR(IF($C396="","",VLOOKUP($N396,Feriados!$A$4:$B$5000,2,FALSE)),"")</f>
        <v/>
      </c>
      <c r="P396" s="36" t="str">
        <f t="shared" si="83"/>
        <v/>
      </c>
      <c r="S396" s="62"/>
      <c r="T396" s="41"/>
      <c r="U396" s="73"/>
      <c r="V396" s="41" t="str">
        <f t="shared" si="84"/>
        <v/>
      </c>
    </row>
    <row r="397" spans="1:22" x14ac:dyDescent="0.25">
      <c r="A397" s="24" t="str">
        <f t="shared" si="85"/>
        <v/>
      </c>
      <c r="B397" s="35"/>
      <c r="C397" s="36" t="str">
        <f t="shared" si="72"/>
        <v/>
      </c>
      <c r="D397" s="9"/>
      <c r="E397" s="27" t="str">
        <f t="shared" si="73"/>
        <v/>
      </c>
      <c r="F397" s="36" t="str">
        <f t="shared" si="74"/>
        <v/>
      </c>
      <c r="G397" s="29" t="str">
        <f t="shared" si="75"/>
        <v/>
      </c>
      <c r="H397" s="30" t="str">
        <f t="shared" si="76"/>
        <v/>
      </c>
      <c r="I397" s="31" t="str">
        <f t="shared" si="77"/>
        <v/>
      </c>
      <c r="J397" s="30" t="str">
        <f t="shared" si="78"/>
        <v/>
      </c>
      <c r="K397" s="36" t="str">
        <f t="shared" si="79"/>
        <v/>
      </c>
      <c r="L397" s="36" t="str">
        <f t="shared" si="80"/>
        <v/>
      </c>
      <c r="M397" s="36" t="str">
        <f t="shared" si="81"/>
        <v/>
      </c>
      <c r="N397" s="36" t="str">
        <f t="shared" si="82"/>
        <v/>
      </c>
      <c r="O397" s="69" t="str">
        <f>IFERROR(IF($C397="","",VLOOKUP($N397,Feriados!$A$4:$B$5000,2,FALSE)),"")</f>
        <v/>
      </c>
      <c r="P397" s="36" t="str">
        <f t="shared" si="83"/>
        <v/>
      </c>
      <c r="S397" s="62"/>
      <c r="T397" s="41"/>
      <c r="U397" s="73"/>
      <c r="V397" s="41" t="str">
        <f t="shared" si="84"/>
        <v/>
      </c>
    </row>
    <row r="398" spans="1:22" x14ac:dyDescent="0.25">
      <c r="A398" s="24" t="str">
        <f t="shared" si="85"/>
        <v/>
      </c>
      <c r="B398" s="35"/>
      <c r="C398" s="36" t="str">
        <f t="shared" si="72"/>
        <v/>
      </c>
      <c r="D398" s="9"/>
      <c r="E398" s="27" t="str">
        <f t="shared" si="73"/>
        <v/>
      </c>
      <c r="F398" s="36" t="str">
        <f t="shared" si="74"/>
        <v/>
      </c>
      <c r="G398" s="29" t="str">
        <f t="shared" si="75"/>
        <v/>
      </c>
      <c r="H398" s="30" t="str">
        <f t="shared" si="76"/>
        <v/>
      </c>
      <c r="I398" s="31" t="str">
        <f t="shared" si="77"/>
        <v/>
      </c>
      <c r="J398" s="30" t="str">
        <f t="shared" si="78"/>
        <v/>
      </c>
      <c r="K398" s="36" t="str">
        <f t="shared" si="79"/>
        <v/>
      </c>
      <c r="L398" s="36" t="str">
        <f t="shared" si="80"/>
        <v/>
      </c>
      <c r="M398" s="36" t="str">
        <f t="shared" si="81"/>
        <v/>
      </c>
      <c r="N398" s="36" t="str">
        <f t="shared" si="82"/>
        <v/>
      </c>
      <c r="O398" s="69" t="str">
        <f>IFERROR(IF($C398="","",VLOOKUP($N398,Feriados!$A$4:$B$5000,2,FALSE)),"")</f>
        <v/>
      </c>
      <c r="P398" s="36" t="str">
        <f t="shared" si="83"/>
        <v/>
      </c>
      <c r="S398" s="62"/>
      <c r="T398" s="41"/>
      <c r="U398" s="73"/>
      <c r="V398" s="41" t="str">
        <f t="shared" si="84"/>
        <v/>
      </c>
    </row>
    <row r="399" spans="1:22" x14ac:dyDescent="0.25">
      <c r="A399" s="24" t="str">
        <f t="shared" si="85"/>
        <v/>
      </c>
      <c r="C399" s="36" t="str">
        <f t="shared" si="72"/>
        <v/>
      </c>
      <c r="D399" s="9"/>
      <c r="E399" s="27" t="str">
        <f t="shared" si="73"/>
        <v/>
      </c>
      <c r="F399" s="36" t="str">
        <f t="shared" si="74"/>
        <v/>
      </c>
      <c r="G399" s="29" t="str">
        <f t="shared" si="75"/>
        <v/>
      </c>
      <c r="H399" s="30" t="str">
        <f t="shared" si="76"/>
        <v/>
      </c>
      <c r="I399" s="31" t="str">
        <f t="shared" si="77"/>
        <v/>
      </c>
      <c r="J399" s="30" t="str">
        <f t="shared" si="78"/>
        <v/>
      </c>
      <c r="K399" s="36" t="str">
        <f t="shared" si="79"/>
        <v/>
      </c>
      <c r="L399" s="36" t="str">
        <f t="shared" si="80"/>
        <v/>
      </c>
      <c r="M399" s="36" t="str">
        <f t="shared" si="81"/>
        <v/>
      </c>
      <c r="N399" s="36" t="str">
        <f t="shared" si="82"/>
        <v/>
      </c>
      <c r="O399" s="69" t="str">
        <f>IFERROR(IF($C399="","",VLOOKUP($N399,Feriados!$A$4:$B$5000,2,FALSE)),"")</f>
        <v/>
      </c>
      <c r="P399" s="36" t="str">
        <f t="shared" si="83"/>
        <v/>
      </c>
      <c r="S399" s="62"/>
      <c r="T399" s="41"/>
      <c r="U399" s="73"/>
      <c r="V399" s="41" t="str">
        <f t="shared" si="84"/>
        <v/>
      </c>
    </row>
    <row r="400" spans="1:22" x14ac:dyDescent="0.25">
      <c r="A400" s="24" t="str">
        <f t="shared" si="85"/>
        <v/>
      </c>
      <c r="C400" s="36" t="str">
        <f t="shared" si="72"/>
        <v/>
      </c>
      <c r="D400" s="9"/>
      <c r="E400" s="27" t="str">
        <f t="shared" si="73"/>
        <v/>
      </c>
      <c r="F400" s="36" t="str">
        <f t="shared" si="74"/>
        <v/>
      </c>
      <c r="G400" s="29" t="str">
        <f t="shared" si="75"/>
        <v/>
      </c>
      <c r="H400" s="30" t="str">
        <f t="shared" si="76"/>
        <v/>
      </c>
      <c r="I400" s="31" t="str">
        <f t="shared" si="77"/>
        <v/>
      </c>
      <c r="J400" s="30" t="str">
        <f t="shared" si="78"/>
        <v/>
      </c>
      <c r="K400" s="36" t="str">
        <f t="shared" si="79"/>
        <v/>
      </c>
      <c r="L400" s="36" t="str">
        <f t="shared" si="80"/>
        <v/>
      </c>
      <c r="M400" s="36" t="str">
        <f t="shared" si="81"/>
        <v/>
      </c>
      <c r="N400" s="36" t="str">
        <f t="shared" si="82"/>
        <v/>
      </c>
      <c r="O400" s="69" t="str">
        <f>IFERROR(IF($C400="","",VLOOKUP($N400,Feriados!$A$4:$B$5000,2,FALSE)),"")</f>
        <v/>
      </c>
      <c r="P400" s="36" t="str">
        <f t="shared" si="83"/>
        <v/>
      </c>
      <c r="S400" s="62"/>
      <c r="T400" s="41"/>
      <c r="U400" s="73"/>
      <c r="V400" s="41" t="str">
        <f t="shared" si="84"/>
        <v/>
      </c>
    </row>
    <row r="401" spans="1:22" x14ac:dyDescent="0.25">
      <c r="A401" s="24" t="str">
        <f t="shared" si="85"/>
        <v/>
      </c>
      <c r="C401" s="36" t="str">
        <f t="shared" si="72"/>
        <v/>
      </c>
      <c r="D401" s="9"/>
      <c r="E401" s="27" t="str">
        <f t="shared" si="73"/>
        <v/>
      </c>
      <c r="F401" s="36" t="str">
        <f t="shared" si="74"/>
        <v/>
      </c>
      <c r="G401" s="29" t="str">
        <f t="shared" si="75"/>
        <v/>
      </c>
      <c r="H401" s="30" t="str">
        <f t="shared" si="76"/>
        <v/>
      </c>
      <c r="I401" s="31" t="str">
        <f t="shared" si="77"/>
        <v/>
      </c>
      <c r="J401" s="30" t="str">
        <f t="shared" si="78"/>
        <v/>
      </c>
      <c r="K401" s="36" t="str">
        <f t="shared" si="79"/>
        <v/>
      </c>
      <c r="L401" s="36" t="str">
        <f t="shared" si="80"/>
        <v/>
      </c>
      <c r="M401" s="36" t="str">
        <f t="shared" si="81"/>
        <v/>
      </c>
      <c r="N401" s="36" t="str">
        <f t="shared" si="82"/>
        <v/>
      </c>
      <c r="O401" s="69" t="str">
        <f>IFERROR(IF($C401="","",VLOOKUP($N401,Feriados!$A$4:$B$5000,2,FALSE)),"")</f>
        <v/>
      </c>
      <c r="P401" s="36" t="str">
        <f t="shared" si="83"/>
        <v/>
      </c>
      <c r="S401" s="62"/>
      <c r="T401" s="41"/>
      <c r="U401" s="73"/>
      <c r="V401" s="41" t="str">
        <f t="shared" si="84"/>
        <v/>
      </c>
    </row>
    <row r="402" spans="1:22" x14ac:dyDescent="0.25">
      <c r="A402" s="24" t="str">
        <f t="shared" si="85"/>
        <v/>
      </c>
      <c r="C402" s="36" t="str">
        <f t="shared" si="72"/>
        <v/>
      </c>
      <c r="D402" s="9"/>
      <c r="E402" s="27" t="str">
        <f t="shared" si="73"/>
        <v/>
      </c>
      <c r="F402" s="36" t="str">
        <f t="shared" si="74"/>
        <v/>
      </c>
      <c r="G402" s="29" t="str">
        <f t="shared" si="75"/>
        <v/>
      </c>
      <c r="H402" s="30" t="str">
        <f t="shared" si="76"/>
        <v/>
      </c>
      <c r="I402" s="31" t="str">
        <f t="shared" si="77"/>
        <v/>
      </c>
      <c r="J402" s="30" t="str">
        <f t="shared" si="78"/>
        <v/>
      </c>
      <c r="K402" s="36" t="str">
        <f t="shared" si="79"/>
        <v/>
      </c>
      <c r="L402" s="36" t="str">
        <f t="shared" si="80"/>
        <v/>
      </c>
      <c r="M402" s="36" t="str">
        <f t="shared" si="81"/>
        <v/>
      </c>
      <c r="N402" s="36" t="str">
        <f t="shared" si="82"/>
        <v/>
      </c>
      <c r="O402" s="69" t="str">
        <f>IFERROR(IF($C402="","",VLOOKUP($N402,Feriados!$A$4:$B$5000,2,FALSE)),"")</f>
        <v/>
      </c>
      <c r="P402" s="36" t="str">
        <f t="shared" si="83"/>
        <v/>
      </c>
      <c r="S402" s="62"/>
      <c r="T402" s="41"/>
      <c r="U402" s="73"/>
      <c r="V402" s="41" t="str">
        <f t="shared" si="84"/>
        <v/>
      </c>
    </row>
    <row r="403" spans="1:22" x14ac:dyDescent="0.25">
      <c r="A403" s="24" t="str">
        <f t="shared" si="85"/>
        <v/>
      </c>
      <c r="C403" s="36" t="str">
        <f t="shared" ref="C403:C466" si="86">IFERROR(IF($B$17&lt;7,"",IF(ROW(A403)=19,0,IF(ROW(A403)=20,1,IF(C402+1&gt;$H$13,"",C402+1)))),"")</f>
        <v/>
      </c>
      <c r="D403" s="9"/>
      <c r="E403" s="27" t="str">
        <f t="shared" ref="E403:E466" si="87">IF(C403="","",IF(C403=0,$H$7,IF(C403=1,$H$9,P403+D403)))</f>
        <v/>
      </c>
      <c r="F403" s="36" t="str">
        <f t="shared" ref="F403:F466" si="88">IF(C403="","",IF(C403=0,$K$7,J402))</f>
        <v/>
      </c>
      <c r="G403" s="29" t="str">
        <f t="shared" ref="G403:G466" si="89">IF(C403="","",IF(C403=0,0,$E403-$E402))</f>
        <v/>
      </c>
      <c r="H403" s="30" t="str">
        <f t="shared" ref="H403:H466" si="90">IF(C403="","",ROUND(F403*(((1+$K$11)^G403)-1),8))</f>
        <v/>
      </c>
      <c r="I403" s="31" t="str">
        <f t="shared" ref="I403:I466" si="91">IF(C403="","",IF(C403=0,0,IFERROR(IF(C403=VLOOKUP(C403,PV_ParcelasFixas,1,FALSE),-VLOOKUP(C403,PV_ParcelasFixas,2,FALSE)),IF(AND($B$15=FALSE,C403&lt;=$H$11),0,IF(C403&lt;=$H$11,-H403,IF($K$5="SAC",-$K$8-H403,-$K$8))))))</f>
        <v/>
      </c>
      <c r="J403" s="30" t="str">
        <f t="shared" ref="J403:J466" si="92">IF(C403="","",IF(AND(C403=0,B403=""),$F$19,J402+H403+I403))</f>
        <v/>
      </c>
      <c r="K403" s="36" t="str">
        <f t="shared" ref="K403:K466" si="93">IF(C403="","",-H403+-I403)</f>
        <v/>
      </c>
      <c r="L403" s="36" t="str">
        <f t="shared" ref="L403:L466" si="94">IF($C403="","",IF($C403=0,$H$7,IF($C403=1,$B$11,EDATE($B$11,$C402))))</f>
        <v/>
      </c>
      <c r="M403" s="36" t="str">
        <f t="shared" ref="M403:M466" si="95">IF($L403="","",WEEKDAY($L403))</f>
        <v/>
      </c>
      <c r="N403" s="36" t="str">
        <f t="shared" ref="N403:N466" si="96">IFERROR(IF($M403=7,$L403+2,IF($M403=1,$L403+1,$L403)),"")</f>
        <v/>
      </c>
      <c r="O403" s="69" t="str">
        <f>IFERROR(IF($C403="","",VLOOKUP($N403,Feriados!$A$4:$B$5000,2,FALSE)),"")</f>
        <v/>
      </c>
      <c r="P403" s="36" t="str">
        <f t="shared" ref="P403:P466" si="97">IFERROR(IF($O403="",$N403,IF($O403=6,$N403+3,IF($O403&lt;6,$N403+1))),"")</f>
        <v/>
      </c>
      <c r="S403" s="62"/>
      <c r="T403" s="41"/>
      <c r="U403" s="73"/>
      <c r="V403" s="41" t="str">
        <f t="shared" si="84"/>
        <v/>
      </c>
    </row>
    <row r="404" spans="1:22" x14ac:dyDescent="0.25">
      <c r="A404" s="24" t="str">
        <f t="shared" si="85"/>
        <v/>
      </c>
      <c r="C404" s="36" t="str">
        <f t="shared" si="86"/>
        <v/>
      </c>
      <c r="D404" s="9"/>
      <c r="E404" s="27" t="str">
        <f t="shared" si="87"/>
        <v/>
      </c>
      <c r="F404" s="36" t="str">
        <f t="shared" si="88"/>
        <v/>
      </c>
      <c r="G404" s="29" t="str">
        <f t="shared" si="89"/>
        <v/>
      </c>
      <c r="H404" s="30" t="str">
        <f t="shared" si="90"/>
        <v/>
      </c>
      <c r="I404" s="31" t="str">
        <f t="shared" si="91"/>
        <v/>
      </c>
      <c r="J404" s="30" t="str">
        <f t="shared" si="92"/>
        <v/>
      </c>
      <c r="K404" s="36" t="str">
        <f t="shared" si="93"/>
        <v/>
      </c>
      <c r="L404" s="36" t="str">
        <f t="shared" si="94"/>
        <v/>
      </c>
      <c r="M404" s="36" t="str">
        <f t="shared" si="95"/>
        <v/>
      </c>
      <c r="N404" s="36" t="str">
        <f t="shared" si="96"/>
        <v/>
      </c>
      <c r="O404" s="69" t="str">
        <f>IFERROR(IF($C404="","",VLOOKUP($N404,Feriados!$A$4:$B$5000,2,FALSE)),"")</f>
        <v/>
      </c>
      <c r="P404" s="36" t="str">
        <f t="shared" si="97"/>
        <v/>
      </c>
      <c r="S404" s="62"/>
      <c r="T404" s="41"/>
      <c r="U404" s="73"/>
      <c r="V404" s="41" t="str">
        <f t="shared" si="84"/>
        <v/>
      </c>
    </row>
    <row r="405" spans="1:22" x14ac:dyDescent="0.25">
      <c r="A405" s="24" t="str">
        <f t="shared" si="85"/>
        <v/>
      </c>
      <c r="C405" s="36" t="str">
        <f t="shared" si="86"/>
        <v/>
      </c>
      <c r="D405" s="9"/>
      <c r="E405" s="27" t="str">
        <f t="shared" si="87"/>
        <v/>
      </c>
      <c r="F405" s="36" t="str">
        <f t="shared" si="88"/>
        <v/>
      </c>
      <c r="G405" s="29" t="str">
        <f t="shared" si="89"/>
        <v/>
      </c>
      <c r="H405" s="30" t="str">
        <f t="shared" si="90"/>
        <v/>
      </c>
      <c r="I405" s="31" t="str">
        <f t="shared" si="91"/>
        <v/>
      </c>
      <c r="J405" s="30" t="str">
        <f t="shared" si="92"/>
        <v/>
      </c>
      <c r="K405" s="36" t="str">
        <f t="shared" si="93"/>
        <v/>
      </c>
      <c r="L405" s="36" t="str">
        <f t="shared" si="94"/>
        <v/>
      </c>
      <c r="M405" s="36" t="str">
        <f t="shared" si="95"/>
        <v/>
      </c>
      <c r="N405" s="36" t="str">
        <f t="shared" si="96"/>
        <v/>
      </c>
      <c r="O405" s="69" t="str">
        <f>IFERROR(IF($C405="","",VLOOKUP($N405,Feriados!$A$4:$B$5000,2,FALSE)),"")</f>
        <v/>
      </c>
      <c r="P405" s="36" t="str">
        <f t="shared" si="97"/>
        <v/>
      </c>
      <c r="S405" s="62"/>
      <c r="T405" s="41"/>
      <c r="U405" s="73"/>
      <c r="V405" s="41" t="str">
        <f t="shared" ref="V405:V468" si="98">IF(C405="","",I405)</f>
        <v/>
      </c>
    </row>
    <row r="406" spans="1:22" x14ac:dyDescent="0.25">
      <c r="A406" s="24" t="str">
        <f t="shared" si="85"/>
        <v/>
      </c>
      <c r="C406" s="36" t="str">
        <f t="shared" si="86"/>
        <v/>
      </c>
      <c r="D406" s="9"/>
      <c r="E406" s="27" t="str">
        <f t="shared" si="87"/>
        <v/>
      </c>
      <c r="F406" s="36" t="str">
        <f t="shared" si="88"/>
        <v/>
      </c>
      <c r="G406" s="29" t="str">
        <f t="shared" si="89"/>
        <v/>
      </c>
      <c r="H406" s="30" t="str">
        <f t="shared" si="90"/>
        <v/>
      </c>
      <c r="I406" s="31" t="str">
        <f t="shared" si="91"/>
        <v/>
      </c>
      <c r="J406" s="30" t="str">
        <f t="shared" si="92"/>
        <v/>
      </c>
      <c r="K406" s="36" t="str">
        <f t="shared" si="93"/>
        <v/>
      </c>
      <c r="L406" s="36" t="str">
        <f t="shared" si="94"/>
        <v/>
      </c>
      <c r="M406" s="36" t="str">
        <f t="shared" si="95"/>
        <v/>
      </c>
      <c r="N406" s="36" t="str">
        <f t="shared" si="96"/>
        <v/>
      </c>
      <c r="O406" s="69" t="str">
        <f>IFERROR(IF($C406="","",VLOOKUP($N406,Feriados!$A$4:$B$5000,2,FALSE)),"")</f>
        <v/>
      </c>
      <c r="P406" s="36" t="str">
        <f t="shared" si="97"/>
        <v/>
      </c>
      <c r="S406" s="62"/>
      <c r="T406" s="41"/>
      <c r="U406" s="73"/>
      <c r="V406" s="41" t="str">
        <f t="shared" si="98"/>
        <v/>
      </c>
    </row>
    <row r="407" spans="1:22" x14ac:dyDescent="0.25">
      <c r="A407" s="24" t="str">
        <f t="shared" si="85"/>
        <v/>
      </c>
      <c r="C407" s="36" t="str">
        <f t="shared" si="86"/>
        <v/>
      </c>
      <c r="D407" s="9"/>
      <c r="E407" s="27" t="str">
        <f t="shared" si="87"/>
        <v/>
      </c>
      <c r="F407" s="36" t="str">
        <f t="shared" si="88"/>
        <v/>
      </c>
      <c r="G407" s="29" t="str">
        <f t="shared" si="89"/>
        <v/>
      </c>
      <c r="H407" s="30" t="str">
        <f t="shared" si="90"/>
        <v/>
      </c>
      <c r="I407" s="31" t="str">
        <f t="shared" si="91"/>
        <v/>
      </c>
      <c r="J407" s="30" t="str">
        <f t="shared" si="92"/>
        <v/>
      </c>
      <c r="K407" s="36" t="str">
        <f t="shared" si="93"/>
        <v/>
      </c>
      <c r="L407" s="36" t="str">
        <f t="shared" si="94"/>
        <v/>
      </c>
      <c r="M407" s="36" t="str">
        <f t="shared" si="95"/>
        <v/>
      </c>
      <c r="N407" s="36" t="str">
        <f t="shared" si="96"/>
        <v/>
      </c>
      <c r="O407" s="69" t="str">
        <f>IFERROR(IF($C407="","",VLOOKUP($N407,Feriados!$A$4:$B$5000,2,FALSE)),"")</f>
        <v/>
      </c>
      <c r="P407" s="36" t="str">
        <f t="shared" si="97"/>
        <v/>
      </c>
      <c r="S407" s="62"/>
      <c r="T407" s="41"/>
      <c r="U407" s="73"/>
      <c r="V407" s="41" t="str">
        <f t="shared" si="98"/>
        <v/>
      </c>
    </row>
    <row r="408" spans="1:22" x14ac:dyDescent="0.25">
      <c r="A408" s="24" t="str">
        <f t="shared" si="85"/>
        <v/>
      </c>
      <c r="C408" s="36" t="str">
        <f t="shared" si="86"/>
        <v/>
      </c>
      <c r="D408" s="9"/>
      <c r="E408" s="27" t="str">
        <f t="shared" si="87"/>
        <v/>
      </c>
      <c r="F408" s="36" t="str">
        <f t="shared" si="88"/>
        <v/>
      </c>
      <c r="G408" s="29" t="str">
        <f t="shared" si="89"/>
        <v/>
      </c>
      <c r="H408" s="30" t="str">
        <f t="shared" si="90"/>
        <v/>
      </c>
      <c r="I408" s="31" t="str">
        <f t="shared" si="91"/>
        <v/>
      </c>
      <c r="J408" s="30" t="str">
        <f t="shared" si="92"/>
        <v/>
      </c>
      <c r="K408" s="36" t="str">
        <f t="shared" si="93"/>
        <v/>
      </c>
      <c r="L408" s="36" t="str">
        <f t="shared" si="94"/>
        <v/>
      </c>
      <c r="M408" s="36" t="str">
        <f t="shared" si="95"/>
        <v/>
      </c>
      <c r="N408" s="36" t="str">
        <f t="shared" si="96"/>
        <v/>
      </c>
      <c r="O408" s="69" t="str">
        <f>IFERROR(IF($C408="","",VLOOKUP($N408,Feriados!$A$4:$B$5000,2,FALSE)),"")</f>
        <v/>
      </c>
      <c r="P408" s="36" t="str">
        <f t="shared" si="97"/>
        <v/>
      </c>
      <c r="S408" s="62"/>
      <c r="T408" s="41"/>
      <c r="U408" s="73"/>
      <c r="V408" s="41" t="str">
        <f t="shared" si="98"/>
        <v/>
      </c>
    </row>
    <row r="409" spans="1:22" x14ac:dyDescent="0.25">
      <c r="A409" s="24" t="str">
        <f t="shared" si="85"/>
        <v/>
      </c>
      <c r="C409" s="36" t="str">
        <f t="shared" si="86"/>
        <v/>
      </c>
      <c r="D409" s="9"/>
      <c r="E409" s="27" t="str">
        <f t="shared" si="87"/>
        <v/>
      </c>
      <c r="F409" s="36" t="str">
        <f t="shared" si="88"/>
        <v/>
      </c>
      <c r="G409" s="29" t="str">
        <f t="shared" si="89"/>
        <v/>
      </c>
      <c r="H409" s="30" t="str">
        <f t="shared" si="90"/>
        <v/>
      </c>
      <c r="I409" s="31" t="str">
        <f t="shared" si="91"/>
        <v/>
      </c>
      <c r="J409" s="30" t="str">
        <f t="shared" si="92"/>
        <v/>
      </c>
      <c r="K409" s="36" t="str">
        <f t="shared" si="93"/>
        <v/>
      </c>
      <c r="L409" s="36" t="str">
        <f t="shared" si="94"/>
        <v/>
      </c>
      <c r="M409" s="36" t="str">
        <f t="shared" si="95"/>
        <v/>
      </c>
      <c r="N409" s="36" t="str">
        <f t="shared" si="96"/>
        <v/>
      </c>
      <c r="O409" s="69" t="str">
        <f>IFERROR(IF($C409="","",VLOOKUP($N409,Feriados!$A$4:$B$5000,2,FALSE)),"")</f>
        <v/>
      </c>
      <c r="P409" s="36" t="str">
        <f t="shared" si="97"/>
        <v/>
      </c>
      <c r="S409" s="62"/>
      <c r="T409" s="41"/>
      <c r="U409" s="73"/>
      <c r="V409" s="41" t="str">
        <f t="shared" si="98"/>
        <v/>
      </c>
    </row>
    <row r="410" spans="1:22" x14ac:dyDescent="0.25">
      <c r="A410" s="24" t="str">
        <f t="shared" si="85"/>
        <v/>
      </c>
      <c r="C410" s="36" t="str">
        <f t="shared" si="86"/>
        <v/>
      </c>
      <c r="D410" s="9"/>
      <c r="E410" s="27" t="str">
        <f t="shared" si="87"/>
        <v/>
      </c>
      <c r="F410" s="36" t="str">
        <f t="shared" si="88"/>
        <v/>
      </c>
      <c r="G410" s="29" t="str">
        <f t="shared" si="89"/>
        <v/>
      </c>
      <c r="H410" s="30" t="str">
        <f t="shared" si="90"/>
        <v/>
      </c>
      <c r="I410" s="31" t="str">
        <f t="shared" si="91"/>
        <v/>
      </c>
      <c r="J410" s="30" t="str">
        <f t="shared" si="92"/>
        <v/>
      </c>
      <c r="K410" s="36" t="str">
        <f t="shared" si="93"/>
        <v/>
      </c>
      <c r="L410" s="36" t="str">
        <f t="shared" si="94"/>
        <v/>
      </c>
      <c r="M410" s="36" t="str">
        <f t="shared" si="95"/>
        <v/>
      </c>
      <c r="N410" s="36" t="str">
        <f t="shared" si="96"/>
        <v/>
      </c>
      <c r="O410" s="69" t="str">
        <f>IFERROR(IF($C410="","",VLOOKUP($N410,Feriados!$A$4:$B$5000,2,FALSE)),"")</f>
        <v/>
      </c>
      <c r="P410" s="36" t="str">
        <f t="shared" si="97"/>
        <v/>
      </c>
      <c r="S410" s="62"/>
      <c r="T410" s="41"/>
      <c r="U410" s="73"/>
      <c r="V410" s="41" t="str">
        <f t="shared" si="98"/>
        <v/>
      </c>
    </row>
    <row r="411" spans="1:22" x14ac:dyDescent="0.25">
      <c r="A411" s="24" t="str">
        <f t="shared" si="85"/>
        <v/>
      </c>
      <c r="C411" s="36" t="str">
        <f t="shared" si="86"/>
        <v/>
      </c>
      <c r="D411" s="9"/>
      <c r="E411" s="27" t="str">
        <f t="shared" si="87"/>
        <v/>
      </c>
      <c r="F411" s="36" t="str">
        <f t="shared" si="88"/>
        <v/>
      </c>
      <c r="G411" s="29" t="str">
        <f t="shared" si="89"/>
        <v/>
      </c>
      <c r="H411" s="30" t="str">
        <f t="shared" si="90"/>
        <v/>
      </c>
      <c r="I411" s="31" t="str">
        <f t="shared" si="91"/>
        <v/>
      </c>
      <c r="J411" s="30" t="str">
        <f t="shared" si="92"/>
        <v/>
      </c>
      <c r="K411" s="36" t="str">
        <f t="shared" si="93"/>
        <v/>
      </c>
      <c r="L411" s="36" t="str">
        <f t="shared" si="94"/>
        <v/>
      </c>
      <c r="M411" s="36" t="str">
        <f t="shared" si="95"/>
        <v/>
      </c>
      <c r="N411" s="36" t="str">
        <f t="shared" si="96"/>
        <v/>
      </c>
      <c r="O411" s="69" t="str">
        <f>IFERROR(IF($C411="","",VLOOKUP($N411,Feriados!$A$4:$B$5000,2,FALSE)),"")</f>
        <v/>
      </c>
      <c r="P411" s="36" t="str">
        <f t="shared" si="97"/>
        <v/>
      </c>
      <c r="S411" s="62"/>
      <c r="T411" s="41"/>
      <c r="U411" s="73"/>
      <c r="V411" s="41" t="str">
        <f t="shared" si="98"/>
        <v/>
      </c>
    </row>
    <row r="412" spans="1:22" x14ac:dyDescent="0.25">
      <c r="A412" s="24" t="str">
        <f t="shared" si="85"/>
        <v/>
      </c>
      <c r="C412" s="36" t="str">
        <f t="shared" si="86"/>
        <v/>
      </c>
      <c r="D412" s="9"/>
      <c r="E412" s="27" t="str">
        <f t="shared" si="87"/>
        <v/>
      </c>
      <c r="F412" s="36" t="str">
        <f t="shared" si="88"/>
        <v/>
      </c>
      <c r="G412" s="29" t="str">
        <f t="shared" si="89"/>
        <v/>
      </c>
      <c r="H412" s="30" t="str">
        <f t="shared" si="90"/>
        <v/>
      </c>
      <c r="I412" s="31" t="str">
        <f t="shared" si="91"/>
        <v/>
      </c>
      <c r="J412" s="30" t="str">
        <f t="shared" si="92"/>
        <v/>
      </c>
      <c r="K412" s="36" t="str">
        <f t="shared" si="93"/>
        <v/>
      </c>
      <c r="L412" s="36" t="str">
        <f t="shared" si="94"/>
        <v/>
      </c>
      <c r="M412" s="36" t="str">
        <f t="shared" si="95"/>
        <v/>
      </c>
      <c r="N412" s="36" t="str">
        <f t="shared" si="96"/>
        <v/>
      </c>
      <c r="O412" s="69" t="str">
        <f>IFERROR(IF($C412="","",VLOOKUP($N412,Feriados!$A$4:$B$5000,2,FALSE)),"")</f>
        <v/>
      </c>
      <c r="P412" s="36" t="str">
        <f t="shared" si="97"/>
        <v/>
      </c>
      <c r="S412" s="62"/>
      <c r="T412" s="41"/>
      <c r="U412" s="73"/>
      <c r="V412" s="41" t="str">
        <f t="shared" si="98"/>
        <v/>
      </c>
    </row>
    <row r="413" spans="1:22" x14ac:dyDescent="0.25">
      <c r="A413" s="24" t="str">
        <f t="shared" si="85"/>
        <v/>
      </c>
      <c r="C413" s="36" t="str">
        <f t="shared" si="86"/>
        <v/>
      </c>
      <c r="D413" s="9"/>
      <c r="E413" s="27" t="str">
        <f t="shared" si="87"/>
        <v/>
      </c>
      <c r="F413" s="36" t="str">
        <f t="shared" si="88"/>
        <v/>
      </c>
      <c r="G413" s="29" t="str">
        <f t="shared" si="89"/>
        <v/>
      </c>
      <c r="H413" s="30" t="str">
        <f t="shared" si="90"/>
        <v/>
      </c>
      <c r="I413" s="31" t="str">
        <f t="shared" si="91"/>
        <v/>
      </c>
      <c r="J413" s="30" t="str">
        <f t="shared" si="92"/>
        <v/>
      </c>
      <c r="K413" s="36" t="str">
        <f t="shared" si="93"/>
        <v/>
      </c>
      <c r="L413" s="36" t="str">
        <f t="shared" si="94"/>
        <v/>
      </c>
      <c r="M413" s="36" t="str">
        <f t="shared" si="95"/>
        <v/>
      </c>
      <c r="N413" s="36" t="str">
        <f t="shared" si="96"/>
        <v/>
      </c>
      <c r="O413" s="69" t="str">
        <f>IFERROR(IF($C413="","",VLOOKUP($N413,Feriados!$A$4:$B$5000,2,FALSE)),"")</f>
        <v/>
      </c>
      <c r="P413" s="36" t="str">
        <f t="shared" si="97"/>
        <v/>
      </c>
      <c r="S413" s="62"/>
      <c r="T413" s="41"/>
      <c r="U413" s="73"/>
      <c r="V413" s="41" t="str">
        <f t="shared" si="98"/>
        <v/>
      </c>
    </row>
    <row r="414" spans="1:22" x14ac:dyDescent="0.25">
      <c r="A414" s="24" t="str">
        <f t="shared" si="85"/>
        <v/>
      </c>
      <c r="C414" s="36" t="str">
        <f t="shared" si="86"/>
        <v/>
      </c>
      <c r="D414" s="9"/>
      <c r="E414" s="27" t="str">
        <f t="shared" si="87"/>
        <v/>
      </c>
      <c r="F414" s="36" t="str">
        <f t="shared" si="88"/>
        <v/>
      </c>
      <c r="G414" s="29" t="str">
        <f t="shared" si="89"/>
        <v/>
      </c>
      <c r="H414" s="30" t="str">
        <f t="shared" si="90"/>
        <v/>
      </c>
      <c r="I414" s="31" t="str">
        <f t="shared" si="91"/>
        <v/>
      </c>
      <c r="J414" s="30" t="str">
        <f t="shared" si="92"/>
        <v/>
      </c>
      <c r="K414" s="36" t="str">
        <f t="shared" si="93"/>
        <v/>
      </c>
      <c r="L414" s="36" t="str">
        <f t="shared" si="94"/>
        <v/>
      </c>
      <c r="M414" s="36" t="str">
        <f t="shared" si="95"/>
        <v/>
      </c>
      <c r="N414" s="36" t="str">
        <f t="shared" si="96"/>
        <v/>
      </c>
      <c r="O414" s="69" t="str">
        <f>IFERROR(IF($C414="","",VLOOKUP($N414,Feriados!$A$4:$B$5000,2,FALSE)),"")</f>
        <v/>
      </c>
      <c r="P414" s="36" t="str">
        <f t="shared" si="97"/>
        <v/>
      </c>
      <c r="S414" s="62"/>
      <c r="T414" s="41"/>
      <c r="U414" s="73"/>
      <c r="V414" s="41" t="str">
        <f t="shared" si="98"/>
        <v/>
      </c>
    </row>
    <row r="415" spans="1:22" x14ac:dyDescent="0.25">
      <c r="A415" s="24" t="str">
        <f t="shared" si="85"/>
        <v/>
      </c>
      <c r="C415" s="36" t="str">
        <f t="shared" si="86"/>
        <v/>
      </c>
      <c r="D415" s="9"/>
      <c r="E415" s="27" t="str">
        <f t="shared" si="87"/>
        <v/>
      </c>
      <c r="F415" s="36" t="str">
        <f t="shared" si="88"/>
        <v/>
      </c>
      <c r="G415" s="29" t="str">
        <f t="shared" si="89"/>
        <v/>
      </c>
      <c r="H415" s="30" t="str">
        <f t="shared" si="90"/>
        <v/>
      </c>
      <c r="I415" s="31" t="str">
        <f t="shared" si="91"/>
        <v/>
      </c>
      <c r="J415" s="30" t="str">
        <f t="shared" si="92"/>
        <v/>
      </c>
      <c r="K415" s="36" t="str">
        <f t="shared" si="93"/>
        <v/>
      </c>
      <c r="L415" s="36" t="str">
        <f t="shared" si="94"/>
        <v/>
      </c>
      <c r="M415" s="36" t="str">
        <f t="shared" si="95"/>
        <v/>
      </c>
      <c r="N415" s="36" t="str">
        <f t="shared" si="96"/>
        <v/>
      </c>
      <c r="O415" s="69" t="str">
        <f>IFERROR(IF($C415="","",VLOOKUP($N415,Feriados!$A$4:$B$5000,2,FALSE)),"")</f>
        <v/>
      </c>
      <c r="P415" s="36" t="str">
        <f t="shared" si="97"/>
        <v/>
      </c>
      <c r="S415" s="62"/>
      <c r="T415" s="41"/>
      <c r="U415" s="73"/>
      <c r="V415" s="41" t="str">
        <f t="shared" si="98"/>
        <v/>
      </c>
    </row>
    <row r="416" spans="1:22" x14ac:dyDescent="0.25">
      <c r="A416" s="24" t="str">
        <f t="shared" si="85"/>
        <v/>
      </c>
      <c r="C416" s="36" t="str">
        <f t="shared" si="86"/>
        <v/>
      </c>
      <c r="D416" s="9"/>
      <c r="E416" s="27" t="str">
        <f t="shared" si="87"/>
        <v/>
      </c>
      <c r="F416" s="36" t="str">
        <f t="shared" si="88"/>
        <v/>
      </c>
      <c r="G416" s="29" t="str">
        <f t="shared" si="89"/>
        <v/>
      </c>
      <c r="H416" s="30" t="str">
        <f t="shared" si="90"/>
        <v/>
      </c>
      <c r="I416" s="31" t="str">
        <f t="shared" si="91"/>
        <v/>
      </c>
      <c r="J416" s="30" t="str">
        <f t="shared" si="92"/>
        <v/>
      </c>
      <c r="K416" s="36" t="str">
        <f t="shared" si="93"/>
        <v/>
      </c>
      <c r="L416" s="36" t="str">
        <f t="shared" si="94"/>
        <v/>
      </c>
      <c r="M416" s="36" t="str">
        <f t="shared" si="95"/>
        <v/>
      </c>
      <c r="N416" s="36" t="str">
        <f t="shared" si="96"/>
        <v/>
      </c>
      <c r="O416" s="69" t="str">
        <f>IFERROR(IF($C416="","",VLOOKUP($N416,Feriados!$A$4:$B$5000,2,FALSE)),"")</f>
        <v/>
      </c>
      <c r="P416" s="36" t="str">
        <f t="shared" si="97"/>
        <v/>
      </c>
      <c r="S416" s="62"/>
      <c r="T416" s="41"/>
      <c r="U416" s="73"/>
      <c r="V416" s="41" t="str">
        <f t="shared" si="98"/>
        <v/>
      </c>
    </row>
    <row r="417" spans="1:22" x14ac:dyDescent="0.25">
      <c r="A417" s="24" t="str">
        <f t="shared" si="85"/>
        <v/>
      </c>
      <c r="C417" s="36" t="str">
        <f t="shared" si="86"/>
        <v/>
      </c>
      <c r="D417" s="9"/>
      <c r="E417" s="27" t="str">
        <f t="shared" si="87"/>
        <v/>
      </c>
      <c r="F417" s="36" t="str">
        <f t="shared" si="88"/>
        <v/>
      </c>
      <c r="G417" s="29" t="str">
        <f t="shared" si="89"/>
        <v/>
      </c>
      <c r="H417" s="30" t="str">
        <f t="shared" si="90"/>
        <v/>
      </c>
      <c r="I417" s="31" t="str">
        <f t="shared" si="91"/>
        <v/>
      </c>
      <c r="J417" s="30" t="str">
        <f t="shared" si="92"/>
        <v/>
      </c>
      <c r="K417" s="36" t="str">
        <f t="shared" si="93"/>
        <v/>
      </c>
      <c r="L417" s="36" t="str">
        <f t="shared" si="94"/>
        <v/>
      </c>
      <c r="M417" s="36" t="str">
        <f t="shared" si="95"/>
        <v/>
      </c>
      <c r="N417" s="36" t="str">
        <f t="shared" si="96"/>
        <v/>
      </c>
      <c r="O417" s="69" t="str">
        <f>IFERROR(IF($C417="","",VLOOKUP($N417,Feriados!$A$4:$B$5000,2,FALSE)),"")</f>
        <v/>
      </c>
      <c r="P417" s="36" t="str">
        <f t="shared" si="97"/>
        <v/>
      </c>
      <c r="S417" s="62"/>
      <c r="T417" s="41"/>
      <c r="U417" s="73"/>
      <c r="V417" s="41" t="str">
        <f t="shared" si="98"/>
        <v/>
      </c>
    </row>
    <row r="418" spans="1:22" x14ac:dyDescent="0.25">
      <c r="A418" s="24" t="str">
        <f t="shared" si="85"/>
        <v/>
      </c>
      <c r="C418" s="36" t="str">
        <f t="shared" si="86"/>
        <v/>
      </c>
      <c r="D418" s="9"/>
      <c r="E418" s="27" t="str">
        <f t="shared" si="87"/>
        <v/>
      </c>
      <c r="F418" s="36" t="str">
        <f t="shared" si="88"/>
        <v/>
      </c>
      <c r="G418" s="29" t="str">
        <f t="shared" si="89"/>
        <v/>
      </c>
      <c r="H418" s="30" t="str">
        <f t="shared" si="90"/>
        <v/>
      </c>
      <c r="I418" s="31" t="str">
        <f t="shared" si="91"/>
        <v/>
      </c>
      <c r="J418" s="30" t="str">
        <f t="shared" si="92"/>
        <v/>
      </c>
      <c r="K418" s="36" t="str">
        <f t="shared" si="93"/>
        <v/>
      </c>
      <c r="L418" s="36" t="str">
        <f t="shared" si="94"/>
        <v/>
      </c>
      <c r="M418" s="36" t="str">
        <f t="shared" si="95"/>
        <v/>
      </c>
      <c r="N418" s="36" t="str">
        <f t="shared" si="96"/>
        <v/>
      </c>
      <c r="O418" s="69" t="str">
        <f>IFERROR(IF($C418="","",VLOOKUP($N418,Feriados!$A$4:$B$5000,2,FALSE)),"")</f>
        <v/>
      </c>
      <c r="P418" s="36" t="str">
        <f t="shared" si="97"/>
        <v/>
      </c>
      <c r="S418" s="62"/>
      <c r="T418" s="41"/>
      <c r="U418" s="73"/>
      <c r="V418" s="41" t="str">
        <f t="shared" si="98"/>
        <v/>
      </c>
    </row>
    <row r="419" spans="1:22" x14ac:dyDescent="0.25">
      <c r="A419" s="24" t="str">
        <f t="shared" si="85"/>
        <v/>
      </c>
      <c r="C419" s="36" t="str">
        <f t="shared" si="86"/>
        <v/>
      </c>
      <c r="D419" s="9"/>
      <c r="E419" s="27" t="str">
        <f t="shared" si="87"/>
        <v/>
      </c>
      <c r="F419" s="36" t="str">
        <f t="shared" si="88"/>
        <v/>
      </c>
      <c r="G419" s="29" t="str">
        <f t="shared" si="89"/>
        <v/>
      </c>
      <c r="H419" s="30" t="str">
        <f t="shared" si="90"/>
        <v/>
      </c>
      <c r="I419" s="31" t="str">
        <f t="shared" si="91"/>
        <v/>
      </c>
      <c r="J419" s="30" t="str">
        <f t="shared" si="92"/>
        <v/>
      </c>
      <c r="K419" s="36" t="str">
        <f t="shared" si="93"/>
        <v/>
      </c>
      <c r="L419" s="36" t="str">
        <f t="shared" si="94"/>
        <v/>
      </c>
      <c r="M419" s="36" t="str">
        <f t="shared" si="95"/>
        <v/>
      </c>
      <c r="N419" s="36" t="str">
        <f t="shared" si="96"/>
        <v/>
      </c>
      <c r="O419" s="69" t="str">
        <f>IFERROR(IF($C419="","",VLOOKUP($N419,Feriados!$A$4:$B$5000,2,FALSE)),"")</f>
        <v/>
      </c>
      <c r="P419" s="36" t="str">
        <f t="shared" si="97"/>
        <v/>
      </c>
      <c r="S419" s="62"/>
      <c r="T419" s="41"/>
      <c r="U419" s="73"/>
      <c r="V419" s="41" t="str">
        <f t="shared" si="98"/>
        <v/>
      </c>
    </row>
    <row r="420" spans="1:22" x14ac:dyDescent="0.25">
      <c r="A420" s="24" t="str">
        <f t="shared" si="85"/>
        <v/>
      </c>
      <c r="C420" s="36" t="str">
        <f t="shared" si="86"/>
        <v/>
      </c>
      <c r="D420" s="9"/>
      <c r="E420" s="27" t="str">
        <f t="shared" si="87"/>
        <v/>
      </c>
      <c r="F420" s="36" t="str">
        <f t="shared" si="88"/>
        <v/>
      </c>
      <c r="G420" s="29" t="str">
        <f t="shared" si="89"/>
        <v/>
      </c>
      <c r="H420" s="30" t="str">
        <f t="shared" si="90"/>
        <v/>
      </c>
      <c r="I420" s="31" t="str">
        <f t="shared" si="91"/>
        <v/>
      </c>
      <c r="J420" s="30" t="str">
        <f t="shared" si="92"/>
        <v/>
      </c>
      <c r="K420" s="36" t="str">
        <f t="shared" si="93"/>
        <v/>
      </c>
      <c r="L420" s="36" t="str">
        <f t="shared" si="94"/>
        <v/>
      </c>
      <c r="M420" s="36" t="str">
        <f t="shared" si="95"/>
        <v/>
      </c>
      <c r="N420" s="36" t="str">
        <f t="shared" si="96"/>
        <v/>
      </c>
      <c r="O420" s="69" t="str">
        <f>IFERROR(IF($C420="","",VLOOKUP($N420,Feriados!$A$4:$B$5000,2,FALSE)),"")</f>
        <v/>
      </c>
      <c r="P420" s="36" t="str">
        <f t="shared" si="97"/>
        <v/>
      </c>
      <c r="S420" s="62"/>
      <c r="T420" s="41"/>
      <c r="U420" s="73"/>
      <c r="V420" s="41" t="str">
        <f t="shared" si="98"/>
        <v/>
      </c>
    </row>
    <row r="421" spans="1:22" x14ac:dyDescent="0.25">
      <c r="A421" s="24" t="str">
        <f t="shared" si="85"/>
        <v/>
      </c>
      <c r="C421" s="36" t="str">
        <f t="shared" si="86"/>
        <v/>
      </c>
      <c r="D421" s="9"/>
      <c r="E421" s="27" t="str">
        <f t="shared" si="87"/>
        <v/>
      </c>
      <c r="F421" s="36" t="str">
        <f t="shared" si="88"/>
        <v/>
      </c>
      <c r="G421" s="29" t="str">
        <f t="shared" si="89"/>
        <v/>
      </c>
      <c r="H421" s="30" t="str">
        <f t="shared" si="90"/>
        <v/>
      </c>
      <c r="I421" s="31" t="str">
        <f t="shared" si="91"/>
        <v/>
      </c>
      <c r="J421" s="30" t="str">
        <f t="shared" si="92"/>
        <v/>
      </c>
      <c r="K421" s="36" t="str">
        <f t="shared" si="93"/>
        <v/>
      </c>
      <c r="L421" s="36" t="str">
        <f t="shared" si="94"/>
        <v/>
      </c>
      <c r="M421" s="36" t="str">
        <f t="shared" si="95"/>
        <v/>
      </c>
      <c r="N421" s="36" t="str">
        <f t="shared" si="96"/>
        <v/>
      </c>
      <c r="O421" s="69" t="str">
        <f>IFERROR(IF($C421="","",VLOOKUP($N421,Feriados!$A$4:$B$5000,2,FALSE)),"")</f>
        <v/>
      </c>
      <c r="P421" s="36" t="str">
        <f t="shared" si="97"/>
        <v/>
      </c>
      <c r="S421" s="62"/>
      <c r="T421" s="41"/>
      <c r="U421" s="73"/>
      <c r="V421" s="41" t="str">
        <f t="shared" si="98"/>
        <v/>
      </c>
    </row>
    <row r="422" spans="1:22" x14ac:dyDescent="0.25">
      <c r="A422" s="24" t="str">
        <f t="shared" si="85"/>
        <v/>
      </c>
      <c r="C422" s="36" t="str">
        <f t="shared" si="86"/>
        <v/>
      </c>
      <c r="D422" s="9"/>
      <c r="E422" s="27" t="str">
        <f t="shared" si="87"/>
        <v/>
      </c>
      <c r="F422" s="36" t="str">
        <f t="shared" si="88"/>
        <v/>
      </c>
      <c r="G422" s="29" t="str">
        <f t="shared" si="89"/>
        <v/>
      </c>
      <c r="H422" s="30" t="str">
        <f t="shared" si="90"/>
        <v/>
      </c>
      <c r="I422" s="31" t="str">
        <f t="shared" si="91"/>
        <v/>
      </c>
      <c r="J422" s="30" t="str">
        <f t="shared" si="92"/>
        <v/>
      </c>
      <c r="K422" s="36" t="str">
        <f t="shared" si="93"/>
        <v/>
      </c>
      <c r="L422" s="36" t="str">
        <f t="shared" si="94"/>
        <v/>
      </c>
      <c r="M422" s="36" t="str">
        <f t="shared" si="95"/>
        <v/>
      </c>
      <c r="N422" s="36" t="str">
        <f t="shared" si="96"/>
        <v/>
      </c>
      <c r="O422" s="69" t="str">
        <f>IFERROR(IF($C422="","",VLOOKUP($N422,Feriados!$A$4:$B$5000,2,FALSE)),"")</f>
        <v/>
      </c>
      <c r="P422" s="36" t="str">
        <f t="shared" si="97"/>
        <v/>
      </c>
      <c r="S422" s="62"/>
      <c r="T422" s="41"/>
      <c r="U422" s="73"/>
      <c r="V422" s="41" t="str">
        <f t="shared" si="98"/>
        <v/>
      </c>
    </row>
    <row r="423" spans="1:22" x14ac:dyDescent="0.25">
      <c r="A423" s="24" t="str">
        <f t="shared" si="85"/>
        <v/>
      </c>
      <c r="C423" s="36" t="str">
        <f t="shared" si="86"/>
        <v/>
      </c>
      <c r="D423" s="9"/>
      <c r="E423" s="27" t="str">
        <f t="shared" si="87"/>
        <v/>
      </c>
      <c r="F423" s="36" t="str">
        <f t="shared" si="88"/>
        <v/>
      </c>
      <c r="G423" s="29" t="str">
        <f t="shared" si="89"/>
        <v/>
      </c>
      <c r="H423" s="30" t="str">
        <f t="shared" si="90"/>
        <v/>
      </c>
      <c r="I423" s="31" t="str">
        <f t="shared" si="91"/>
        <v/>
      </c>
      <c r="J423" s="30" t="str">
        <f t="shared" si="92"/>
        <v/>
      </c>
      <c r="K423" s="36" t="str">
        <f t="shared" si="93"/>
        <v/>
      </c>
      <c r="L423" s="36" t="str">
        <f t="shared" si="94"/>
        <v/>
      </c>
      <c r="M423" s="36" t="str">
        <f t="shared" si="95"/>
        <v/>
      </c>
      <c r="N423" s="36" t="str">
        <f t="shared" si="96"/>
        <v/>
      </c>
      <c r="O423" s="69" t="str">
        <f>IFERROR(IF($C423="","",VLOOKUP($N423,Feriados!$A$4:$B$5000,2,FALSE)),"")</f>
        <v/>
      </c>
      <c r="P423" s="36" t="str">
        <f t="shared" si="97"/>
        <v/>
      </c>
      <c r="S423" s="62"/>
      <c r="T423" s="41"/>
      <c r="U423" s="73"/>
      <c r="V423" s="41" t="str">
        <f t="shared" si="98"/>
        <v/>
      </c>
    </row>
    <row r="424" spans="1:22" x14ac:dyDescent="0.25">
      <c r="A424" s="24" t="str">
        <f t="shared" si="85"/>
        <v/>
      </c>
      <c r="C424" s="36" t="str">
        <f t="shared" si="86"/>
        <v/>
      </c>
      <c r="D424" s="9"/>
      <c r="E424" s="27" t="str">
        <f t="shared" si="87"/>
        <v/>
      </c>
      <c r="F424" s="36" t="str">
        <f t="shared" si="88"/>
        <v/>
      </c>
      <c r="G424" s="29" t="str">
        <f t="shared" si="89"/>
        <v/>
      </c>
      <c r="H424" s="30" t="str">
        <f t="shared" si="90"/>
        <v/>
      </c>
      <c r="I424" s="31" t="str">
        <f t="shared" si="91"/>
        <v/>
      </c>
      <c r="J424" s="30" t="str">
        <f t="shared" si="92"/>
        <v/>
      </c>
      <c r="K424" s="36" t="str">
        <f t="shared" si="93"/>
        <v/>
      </c>
      <c r="L424" s="36" t="str">
        <f t="shared" si="94"/>
        <v/>
      </c>
      <c r="M424" s="36" t="str">
        <f t="shared" si="95"/>
        <v/>
      </c>
      <c r="N424" s="36" t="str">
        <f t="shared" si="96"/>
        <v/>
      </c>
      <c r="O424" s="69" t="str">
        <f>IFERROR(IF($C424="","",VLOOKUP($N424,Feriados!$A$4:$B$5000,2,FALSE)),"")</f>
        <v/>
      </c>
      <c r="P424" s="36" t="str">
        <f t="shared" si="97"/>
        <v/>
      </c>
      <c r="S424" s="62"/>
      <c r="T424" s="41"/>
      <c r="U424" s="73"/>
      <c r="V424" s="41" t="str">
        <f t="shared" si="98"/>
        <v/>
      </c>
    </row>
    <row r="425" spans="1:22" x14ac:dyDescent="0.25">
      <c r="A425" s="24" t="str">
        <f t="shared" si="85"/>
        <v/>
      </c>
      <c r="C425" s="36" t="str">
        <f t="shared" si="86"/>
        <v/>
      </c>
      <c r="D425" s="9"/>
      <c r="E425" s="27" t="str">
        <f t="shared" si="87"/>
        <v/>
      </c>
      <c r="F425" s="36" t="str">
        <f t="shared" si="88"/>
        <v/>
      </c>
      <c r="G425" s="29" t="str">
        <f t="shared" si="89"/>
        <v/>
      </c>
      <c r="H425" s="30" t="str">
        <f t="shared" si="90"/>
        <v/>
      </c>
      <c r="I425" s="31" t="str">
        <f t="shared" si="91"/>
        <v/>
      </c>
      <c r="J425" s="30" t="str">
        <f t="shared" si="92"/>
        <v/>
      </c>
      <c r="K425" s="36" t="str">
        <f t="shared" si="93"/>
        <v/>
      </c>
      <c r="L425" s="36" t="str">
        <f t="shared" si="94"/>
        <v/>
      </c>
      <c r="M425" s="36" t="str">
        <f t="shared" si="95"/>
        <v/>
      </c>
      <c r="N425" s="36" t="str">
        <f t="shared" si="96"/>
        <v/>
      </c>
      <c r="O425" s="69" t="str">
        <f>IFERROR(IF($C425="","",VLOOKUP($N425,Feriados!$A$4:$B$5000,2,FALSE)),"")</f>
        <v/>
      </c>
      <c r="P425" s="36" t="str">
        <f t="shared" si="97"/>
        <v/>
      </c>
      <c r="S425" s="62"/>
      <c r="T425" s="41"/>
      <c r="U425" s="73"/>
      <c r="V425" s="41" t="str">
        <f t="shared" si="98"/>
        <v/>
      </c>
    </row>
    <row r="426" spans="1:22" x14ac:dyDescent="0.25">
      <c r="A426" s="24" t="str">
        <f t="shared" si="85"/>
        <v/>
      </c>
      <c r="C426" s="36" t="str">
        <f t="shared" si="86"/>
        <v/>
      </c>
      <c r="D426" s="9"/>
      <c r="E426" s="27" t="str">
        <f t="shared" si="87"/>
        <v/>
      </c>
      <c r="F426" s="36" t="str">
        <f t="shared" si="88"/>
        <v/>
      </c>
      <c r="G426" s="29" t="str">
        <f t="shared" si="89"/>
        <v/>
      </c>
      <c r="H426" s="30" t="str">
        <f t="shared" si="90"/>
        <v/>
      </c>
      <c r="I426" s="31" t="str">
        <f t="shared" si="91"/>
        <v/>
      </c>
      <c r="J426" s="30" t="str">
        <f t="shared" si="92"/>
        <v/>
      </c>
      <c r="K426" s="36" t="str">
        <f t="shared" si="93"/>
        <v/>
      </c>
      <c r="L426" s="36" t="str">
        <f t="shared" si="94"/>
        <v/>
      </c>
      <c r="M426" s="36" t="str">
        <f t="shared" si="95"/>
        <v/>
      </c>
      <c r="N426" s="36" t="str">
        <f t="shared" si="96"/>
        <v/>
      </c>
      <c r="O426" s="69" t="str">
        <f>IFERROR(IF($C426="","",VLOOKUP($N426,Feriados!$A$4:$B$5000,2,FALSE)),"")</f>
        <v/>
      </c>
      <c r="P426" s="36" t="str">
        <f t="shared" si="97"/>
        <v/>
      </c>
      <c r="S426" s="62"/>
      <c r="T426" s="41"/>
      <c r="U426" s="73"/>
      <c r="V426" s="41" t="str">
        <f t="shared" si="98"/>
        <v/>
      </c>
    </row>
    <row r="427" spans="1:22" x14ac:dyDescent="0.25">
      <c r="A427" s="24" t="str">
        <f t="shared" si="85"/>
        <v/>
      </c>
      <c r="C427" s="36" t="str">
        <f t="shared" si="86"/>
        <v/>
      </c>
      <c r="D427" s="9"/>
      <c r="E427" s="27" t="str">
        <f t="shared" si="87"/>
        <v/>
      </c>
      <c r="F427" s="36" t="str">
        <f t="shared" si="88"/>
        <v/>
      </c>
      <c r="G427" s="29" t="str">
        <f t="shared" si="89"/>
        <v/>
      </c>
      <c r="H427" s="30" t="str">
        <f t="shared" si="90"/>
        <v/>
      </c>
      <c r="I427" s="31" t="str">
        <f t="shared" si="91"/>
        <v/>
      </c>
      <c r="J427" s="30" t="str">
        <f t="shared" si="92"/>
        <v/>
      </c>
      <c r="K427" s="36" t="str">
        <f t="shared" si="93"/>
        <v/>
      </c>
      <c r="L427" s="36" t="str">
        <f t="shared" si="94"/>
        <v/>
      </c>
      <c r="M427" s="36" t="str">
        <f t="shared" si="95"/>
        <v/>
      </c>
      <c r="N427" s="36" t="str">
        <f t="shared" si="96"/>
        <v/>
      </c>
      <c r="O427" s="69" t="str">
        <f>IFERROR(IF($C427="","",VLOOKUP($N427,Feriados!$A$4:$B$5000,2,FALSE)),"")</f>
        <v/>
      </c>
      <c r="P427" s="36" t="str">
        <f t="shared" si="97"/>
        <v/>
      </c>
      <c r="S427" s="62"/>
      <c r="T427" s="41"/>
      <c r="U427" s="73"/>
      <c r="V427" s="41" t="str">
        <f t="shared" si="98"/>
        <v/>
      </c>
    </row>
    <row r="428" spans="1:22" x14ac:dyDescent="0.25">
      <c r="A428" s="24" t="str">
        <f t="shared" si="85"/>
        <v/>
      </c>
      <c r="C428" s="36" t="str">
        <f t="shared" si="86"/>
        <v/>
      </c>
      <c r="D428" s="9"/>
      <c r="E428" s="27" t="str">
        <f t="shared" si="87"/>
        <v/>
      </c>
      <c r="F428" s="36" t="str">
        <f t="shared" si="88"/>
        <v/>
      </c>
      <c r="G428" s="29" t="str">
        <f t="shared" si="89"/>
        <v/>
      </c>
      <c r="H428" s="30" t="str">
        <f t="shared" si="90"/>
        <v/>
      </c>
      <c r="I428" s="31" t="str">
        <f t="shared" si="91"/>
        <v/>
      </c>
      <c r="J428" s="30" t="str">
        <f t="shared" si="92"/>
        <v/>
      </c>
      <c r="K428" s="36" t="str">
        <f t="shared" si="93"/>
        <v/>
      </c>
      <c r="L428" s="36" t="str">
        <f t="shared" si="94"/>
        <v/>
      </c>
      <c r="M428" s="36" t="str">
        <f t="shared" si="95"/>
        <v/>
      </c>
      <c r="N428" s="36" t="str">
        <f t="shared" si="96"/>
        <v/>
      </c>
      <c r="O428" s="69" t="str">
        <f>IFERROR(IF($C428="","",VLOOKUP($N428,Feriados!$A$4:$B$5000,2,FALSE)),"")</f>
        <v/>
      </c>
      <c r="P428" s="36" t="str">
        <f t="shared" si="97"/>
        <v/>
      </c>
      <c r="S428" s="62"/>
      <c r="T428" s="41"/>
      <c r="U428" s="73"/>
      <c r="V428" s="41" t="str">
        <f t="shared" si="98"/>
        <v/>
      </c>
    </row>
    <row r="429" spans="1:22" x14ac:dyDescent="0.25">
      <c r="A429" s="24" t="str">
        <f t="shared" si="85"/>
        <v/>
      </c>
      <c r="C429" s="36" t="str">
        <f t="shared" si="86"/>
        <v/>
      </c>
      <c r="D429" s="9"/>
      <c r="E429" s="27" t="str">
        <f t="shared" si="87"/>
        <v/>
      </c>
      <c r="F429" s="36" t="str">
        <f t="shared" si="88"/>
        <v/>
      </c>
      <c r="G429" s="29" t="str">
        <f t="shared" si="89"/>
        <v/>
      </c>
      <c r="H429" s="30" t="str">
        <f t="shared" si="90"/>
        <v/>
      </c>
      <c r="I429" s="31" t="str">
        <f t="shared" si="91"/>
        <v/>
      </c>
      <c r="J429" s="30" t="str">
        <f t="shared" si="92"/>
        <v/>
      </c>
      <c r="K429" s="36" t="str">
        <f t="shared" si="93"/>
        <v/>
      </c>
      <c r="L429" s="36" t="str">
        <f t="shared" si="94"/>
        <v/>
      </c>
      <c r="M429" s="36" t="str">
        <f t="shared" si="95"/>
        <v/>
      </c>
      <c r="N429" s="36" t="str">
        <f t="shared" si="96"/>
        <v/>
      </c>
      <c r="O429" s="69" t="str">
        <f>IFERROR(IF($C429="","",VLOOKUP($N429,Feriados!$A$4:$B$5000,2,FALSE)),"")</f>
        <v/>
      </c>
      <c r="P429" s="36" t="str">
        <f t="shared" si="97"/>
        <v/>
      </c>
      <c r="S429" s="62"/>
      <c r="T429" s="41"/>
      <c r="U429" s="73"/>
      <c r="V429" s="41" t="str">
        <f t="shared" si="98"/>
        <v/>
      </c>
    </row>
    <row r="430" spans="1:22" x14ac:dyDescent="0.25">
      <c r="A430" s="24" t="str">
        <f t="shared" si="85"/>
        <v/>
      </c>
      <c r="C430" s="36" t="str">
        <f t="shared" si="86"/>
        <v/>
      </c>
      <c r="D430" s="9"/>
      <c r="E430" s="27" t="str">
        <f t="shared" si="87"/>
        <v/>
      </c>
      <c r="F430" s="36" t="str">
        <f t="shared" si="88"/>
        <v/>
      </c>
      <c r="G430" s="29" t="str">
        <f t="shared" si="89"/>
        <v/>
      </c>
      <c r="H430" s="30" t="str">
        <f t="shared" si="90"/>
        <v/>
      </c>
      <c r="I430" s="31" t="str">
        <f t="shared" si="91"/>
        <v/>
      </c>
      <c r="J430" s="30" t="str">
        <f t="shared" si="92"/>
        <v/>
      </c>
      <c r="K430" s="36" t="str">
        <f t="shared" si="93"/>
        <v/>
      </c>
      <c r="L430" s="36" t="str">
        <f t="shared" si="94"/>
        <v/>
      </c>
      <c r="M430" s="36" t="str">
        <f t="shared" si="95"/>
        <v/>
      </c>
      <c r="N430" s="36" t="str">
        <f t="shared" si="96"/>
        <v/>
      </c>
      <c r="O430" s="69" t="str">
        <f>IFERROR(IF($C430="","",VLOOKUP($N430,Feriados!$A$4:$B$5000,2,FALSE)),"")</f>
        <v/>
      </c>
      <c r="P430" s="36" t="str">
        <f t="shared" si="97"/>
        <v/>
      </c>
      <c r="S430" s="62"/>
      <c r="T430" s="41"/>
      <c r="U430" s="73"/>
      <c r="V430" s="41" t="str">
        <f t="shared" si="98"/>
        <v/>
      </c>
    </row>
    <row r="431" spans="1:22" x14ac:dyDescent="0.25">
      <c r="A431" s="24" t="str">
        <f t="shared" si="85"/>
        <v/>
      </c>
      <c r="C431" s="36" t="str">
        <f t="shared" si="86"/>
        <v/>
      </c>
      <c r="D431" s="9"/>
      <c r="E431" s="27" t="str">
        <f t="shared" si="87"/>
        <v/>
      </c>
      <c r="F431" s="36" t="str">
        <f t="shared" si="88"/>
        <v/>
      </c>
      <c r="G431" s="29" t="str">
        <f t="shared" si="89"/>
        <v/>
      </c>
      <c r="H431" s="30" t="str">
        <f t="shared" si="90"/>
        <v/>
      </c>
      <c r="I431" s="31" t="str">
        <f t="shared" si="91"/>
        <v/>
      </c>
      <c r="J431" s="30" t="str">
        <f t="shared" si="92"/>
        <v/>
      </c>
      <c r="K431" s="36" t="str">
        <f t="shared" si="93"/>
        <v/>
      </c>
      <c r="L431" s="36" t="str">
        <f t="shared" si="94"/>
        <v/>
      </c>
      <c r="M431" s="36" t="str">
        <f t="shared" si="95"/>
        <v/>
      </c>
      <c r="N431" s="36" t="str">
        <f t="shared" si="96"/>
        <v/>
      </c>
      <c r="O431" s="69" t="str">
        <f>IFERROR(IF($C431="","",VLOOKUP($N431,Feriados!$A$4:$B$5000,2,FALSE)),"")</f>
        <v/>
      </c>
      <c r="P431" s="36" t="str">
        <f t="shared" si="97"/>
        <v/>
      </c>
      <c r="S431" s="62"/>
      <c r="T431" s="41"/>
      <c r="U431" s="73"/>
      <c r="V431" s="41" t="str">
        <f t="shared" si="98"/>
        <v/>
      </c>
    </row>
    <row r="432" spans="1:22" x14ac:dyDescent="0.25">
      <c r="A432" s="24" t="str">
        <f t="shared" si="85"/>
        <v/>
      </c>
      <c r="C432" s="36" t="str">
        <f t="shared" si="86"/>
        <v/>
      </c>
      <c r="D432" s="9"/>
      <c r="E432" s="27" t="str">
        <f t="shared" si="87"/>
        <v/>
      </c>
      <c r="F432" s="36" t="str">
        <f t="shared" si="88"/>
        <v/>
      </c>
      <c r="G432" s="29" t="str">
        <f t="shared" si="89"/>
        <v/>
      </c>
      <c r="H432" s="30" t="str">
        <f t="shared" si="90"/>
        <v/>
      </c>
      <c r="I432" s="31" t="str">
        <f t="shared" si="91"/>
        <v/>
      </c>
      <c r="J432" s="30" t="str">
        <f t="shared" si="92"/>
        <v/>
      </c>
      <c r="K432" s="36" t="str">
        <f t="shared" si="93"/>
        <v/>
      </c>
      <c r="L432" s="36" t="str">
        <f t="shared" si="94"/>
        <v/>
      </c>
      <c r="M432" s="36" t="str">
        <f t="shared" si="95"/>
        <v/>
      </c>
      <c r="N432" s="36" t="str">
        <f t="shared" si="96"/>
        <v/>
      </c>
      <c r="O432" s="69" t="str">
        <f>IFERROR(IF($C432="","",VLOOKUP($N432,Feriados!$A$4:$B$5000,2,FALSE)),"")</f>
        <v/>
      </c>
      <c r="P432" s="36" t="str">
        <f t="shared" si="97"/>
        <v/>
      </c>
      <c r="S432" s="62"/>
      <c r="T432" s="41"/>
      <c r="U432" s="73"/>
      <c r="V432" s="41" t="str">
        <f t="shared" si="98"/>
        <v/>
      </c>
    </row>
    <row r="433" spans="1:22" x14ac:dyDescent="0.25">
      <c r="A433" s="24" t="str">
        <f t="shared" si="85"/>
        <v/>
      </c>
      <c r="C433" s="36" t="str">
        <f t="shared" si="86"/>
        <v/>
      </c>
      <c r="D433" s="9"/>
      <c r="E433" s="27" t="str">
        <f t="shared" si="87"/>
        <v/>
      </c>
      <c r="F433" s="36" t="str">
        <f t="shared" si="88"/>
        <v/>
      </c>
      <c r="G433" s="29" t="str">
        <f t="shared" si="89"/>
        <v/>
      </c>
      <c r="H433" s="30" t="str">
        <f t="shared" si="90"/>
        <v/>
      </c>
      <c r="I433" s="31" t="str">
        <f t="shared" si="91"/>
        <v/>
      </c>
      <c r="J433" s="30" t="str">
        <f t="shared" si="92"/>
        <v/>
      </c>
      <c r="K433" s="36" t="str">
        <f t="shared" si="93"/>
        <v/>
      </c>
      <c r="L433" s="36" t="str">
        <f t="shared" si="94"/>
        <v/>
      </c>
      <c r="M433" s="36" t="str">
        <f t="shared" si="95"/>
        <v/>
      </c>
      <c r="N433" s="36" t="str">
        <f t="shared" si="96"/>
        <v/>
      </c>
      <c r="O433" s="69" t="str">
        <f>IFERROR(IF($C433="","",VLOOKUP($N433,Feriados!$A$4:$B$5000,2,FALSE)),"")</f>
        <v/>
      </c>
      <c r="P433" s="36" t="str">
        <f t="shared" si="97"/>
        <v/>
      </c>
      <c r="S433" s="62"/>
      <c r="T433" s="41"/>
      <c r="U433" s="73"/>
      <c r="V433" s="41" t="str">
        <f t="shared" si="98"/>
        <v/>
      </c>
    </row>
    <row r="434" spans="1:22" x14ac:dyDescent="0.25">
      <c r="A434" s="24" t="str">
        <f t="shared" si="85"/>
        <v/>
      </c>
      <c r="C434" s="36" t="str">
        <f t="shared" si="86"/>
        <v/>
      </c>
      <c r="D434" s="9"/>
      <c r="E434" s="27" t="str">
        <f t="shared" si="87"/>
        <v/>
      </c>
      <c r="F434" s="36" t="str">
        <f t="shared" si="88"/>
        <v/>
      </c>
      <c r="G434" s="29" t="str">
        <f t="shared" si="89"/>
        <v/>
      </c>
      <c r="H434" s="30" t="str">
        <f t="shared" si="90"/>
        <v/>
      </c>
      <c r="I434" s="31" t="str">
        <f t="shared" si="91"/>
        <v/>
      </c>
      <c r="J434" s="30" t="str">
        <f t="shared" si="92"/>
        <v/>
      </c>
      <c r="K434" s="36" t="str">
        <f t="shared" si="93"/>
        <v/>
      </c>
      <c r="L434" s="36" t="str">
        <f t="shared" si="94"/>
        <v/>
      </c>
      <c r="M434" s="36" t="str">
        <f t="shared" si="95"/>
        <v/>
      </c>
      <c r="N434" s="36" t="str">
        <f t="shared" si="96"/>
        <v/>
      </c>
      <c r="O434" s="69" t="str">
        <f>IFERROR(IF($C434="","",VLOOKUP($N434,Feriados!$A$4:$B$5000,2,FALSE)),"")</f>
        <v/>
      </c>
      <c r="P434" s="36" t="str">
        <f t="shared" si="97"/>
        <v/>
      </c>
      <c r="S434" s="62"/>
      <c r="T434" s="41"/>
      <c r="U434" s="73"/>
      <c r="V434" s="41" t="str">
        <f t="shared" si="98"/>
        <v/>
      </c>
    </row>
    <row r="435" spans="1:22" x14ac:dyDescent="0.25">
      <c r="A435" s="24" t="str">
        <f t="shared" si="85"/>
        <v/>
      </c>
      <c r="C435" s="36" t="str">
        <f t="shared" si="86"/>
        <v/>
      </c>
      <c r="D435" s="9"/>
      <c r="E435" s="27" t="str">
        <f t="shared" si="87"/>
        <v/>
      </c>
      <c r="F435" s="36" t="str">
        <f t="shared" si="88"/>
        <v/>
      </c>
      <c r="G435" s="29" t="str">
        <f t="shared" si="89"/>
        <v/>
      </c>
      <c r="H435" s="30" t="str">
        <f t="shared" si="90"/>
        <v/>
      </c>
      <c r="I435" s="31" t="str">
        <f t="shared" si="91"/>
        <v/>
      </c>
      <c r="J435" s="30" t="str">
        <f t="shared" si="92"/>
        <v/>
      </c>
      <c r="K435" s="36" t="str">
        <f t="shared" si="93"/>
        <v/>
      </c>
      <c r="L435" s="36" t="str">
        <f t="shared" si="94"/>
        <v/>
      </c>
      <c r="M435" s="36" t="str">
        <f t="shared" si="95"/>
        <v/>
      </c>
      <c r="N435" s="36" t="str">
        <f t="shared" si="96"/>
        <v/>
      </c>
      <c r="O435" s="69" t="str">
        <f>IFERROR(IF($C435="","",VLOOKUP($N435,Feriados!$A$4:$B$5000,2,FALSE)),"")</f>
        <v/>
      </c>
      <c r="P435" s="36" t="str">
        <f t="shared" si="97"/>
        <v/>
      </c>
      <c r="S435" s="62"/>
      <c r="T435" s="41"/>
      <c r="U435" s="73"/>
      <c r="V435" s="41" t="str">
        <f t="shared" si="98"/>
        <v/>
      </c>
    </row>
    <row r="436" spans="1:22" x14ac:dyDescent="0.25">
      <c r="A436" s="24" t="str">
        <f t="shared" ref="A436:A470" si="99">IF(E436="","",EOMONTH(E436,0))</f>
        <v/>
      </c>
      <c r="C436" s="36" t="str">
        <f t="shared" si="86"/>
        <v/>
      </c>
      <c r="D436" s="9"/>
      <c r="E436" s="27" t="str">
        <f t="shared" si="87"/>
        <v/>
      </c>
      <c r="F436" s="36" t="str">
        <f t="shared" si="88"/>
        <v/>
      </c>
      <c r="G436" s="29" t="str">
        <f t="shared" si="89"/>
        <v/>
      </c>
      <c r="H436" s="30" t="str">
        <f t="shared" si="90"/>
        <v/>
      </c>
      <c r="I436" s="31" t="str">
        <f t="shared" si="91"/>
        <v/>
      </c>
      <c r="J436" s="30" t="str">
        <f t="shared" si="92"/>
        <v/>
      </c>
      <c r="K436" s="36" t="str">
        <f t="shared" si="93"/>
        <v/>
      </c>
      <c r="L436" s="36" t="str">
        <f t="shared" si="94"/>
        <v/>
      </c>
      <c r="M436" s="36" t="str">
        <f t="shared" si="95"/>
        <v/>
      </c>
      <c r="N436" s="36" t="str">
        <f t="shared" si="96"/>
        <v/>
      </c>
      <c r="O436" s="69" t="str">
        <f>IFERROR(IF($C436="","",VLOOKUP($N436,Feriados!$A$4:$B$5000,2,FALSE)),"")</f>
        <v/>
      </c>
      <c r="P436" s="36" t="str">
        <f t="shared" si="97"/>
        <v/>
      </c>
      <c r="S436" s="62"/>
      <c r="T436" s="41"/>
      <c r="U436" s="73"/>
      <c r="V436" s="41" t="str">
        <f t="shared" si="98"/>
        <v/>
      </c>
    </row>
    <row r="437" spans="1:22" x14ac:dyDescent="0.25">
      <c r="A437" s="24" t="str">
        <f t="shared" si="99"/>
        <v/>
      </c>
      <c r="C437" s="36" t="str">
        <f t="shared" si="86"/>
        <v/>
      </c>
      <c r="D437" s="9"/>
      <c r="E437" s="27" t="str">
        <f t="shared" si="87"/>
        <v/>
      </c>
      <c r="F437" s="36" t="str">
        <f t="shared" si="88"/>
        <v/>
      </c>
      <c r="G437" s="29" t="str">
        <f t="shared" si="89"/>
        <v/>
      </c>
      <c r="H437" s="30" t="str">
        <f t="shared" si="90"/>
        <v/>
      </c>
      <c r="I437" s="31" t="str">
        <f t="shared" si="91"/>
        <v/>
      </c>
      <c r="J437" s="30" t="str">
        <f t="shared" si="92"/>
        <v/>
      </c>
      <c r="K437" s="36" t="str">
        <f t="shared" si="93"/>
        <v/>
      </c>
      <c r="L437" s="36" t="str">
        <f t="shared" si="94"/>
        <v/>
      </c>
      <c r="M437" s="36" t="str">
        <f t="shared" si="95"/>
        <v/>
      </c>
      <c r="N437" s="36" t="str">
        <f t="shared" si="96"/>
        <v/>
      </c>
      <c r="O437" s="69" t="str">
        <f>IFERROR(IF($C437="","",VLOOKUP($N437,Feriados!$A$4:$B$5000,2,FALSE)),"")</f>
        <v/>
      </c>
      <c r="P437" s="36" t="str">
        <f t="shared" si="97"/>
        <v/>
      </c>
      <c r="S437" s="62"/>
      <c r="T437" s="41"/>
      <c r="U437" s="73"/>
      <c r="V437" s="41" t="str">
        <f t="shared" si="98"/>
        <v/>
      </c>
    </row>
    <row r="438" spans="1:22" x14ac:dyDescent="0.25">
      <c r="A438" s="24" t="str">
        <f t="shared" si="99"/>
        <v/>
      </c>
      <c r="C438" s="36" t="str">
        <f t="shared" si="86"/>
        <v/>
      </c>
      <c r="D438" s="9"/>
      <c r="E438" s="27" t="str">
        <f t="shared" si="87"/>
        <v/>
      </c>
      <c r="F438" s="36" t="str">
        <f t="shared" si="88"/>
        <v/>
      </c>
      <c r="G438" s="29" t="str">
        <f t="shared" si="89"/>
        <v/>
      </c>
      <c r="H438" s="30" t="str">
        <f t="shared" si="90"/>
        <v/>
      </c>
      <c r="I438" s="31" t="str">
        <f t="shared" si="91"/>
        <v/>
      </c>
      <c r="J438" s="30" t="str">
        <f t="shared" si="92"/>
        <v/>
      </c>
      <c r="K438" s="36" t="str">
        <f t="shared" si="93"/>
        <v/>
      </c>
      <c r="L438" s="36" t="str">
        <f t="shared" si="94"/>
        <v/>
      </c>
      <c r="M438" s="36" t="str">
        <f t="shared" si="95"/>
        <v/>
      </c>
      <c r="N438" s="36" t="str">
        <f t="shared" si="96"/>
        <v/>
      </c>
      <c r="O438" s="69" t="str">
        <f>IFERROR(IF($C438="","",VLOOKUP($N438,Feriados!$A$4:$B$5000,2,FALSE)),"")</f>
        <v/>
      </c>
      <c r="P438" s="36" t="str">
        <f t="shared" si="97"/>
        <v/>
      </c>
      <c r="S438" s="62"/>
      <c r="T438" s="41"/>
      <c r="U438" s="73"/>
      <c r="V438" s="41" t="str">
        <f t="shared" si="98"/>
        <v/>
      </c>
    </row>
    <row r="439" spans="1:22" x14ac:dyDescent="0.25">
      <c r="A439" s="24" t="str">
        <f t="shared" si="99"/>
        <v/>
      </c>
      <c r="C439" s="36" t="str">
        <f t="shared" si="86"/>
        <v/>
      </c>
      <c r="D439" s="9"/>
      <c r="E439" s="27" t="str">
        <f t="shared" si="87"/>
        <v/>
      </c>
      <c r="F439" s="36" t="str">
        <f t="shared" si="88"/>
        <v/>
      </c>
      <c r="G439" s="29" t="str">
        <f t="shared" si="89"/>
        <v/>
      </c>
      <c r="H439" s="30" t="str">
        <f t="shared" si="90"/>
        <v/>
      </c>
      <c r="I439" s="31" t="str">
        <f t="shared" si="91"/>
        <v/>
      </c>
      <c r="J439" s="30" t="str">
        <f t="shared" si="92"/>
        <v/>
      </c>
      <c r="K439" s="36" t="str">
        <f t="shared" si="93"/>
        <v/>
      </c>
      <c r="L439" s="36" t="str">
        <f t="shared" si="94"/>
        <v/>
      </c>
      <c r="M439" s="36" t="str">
        <f t="shared" si="95"/>
        <v/>
      </c>
      <c r="N439" s="36" t="str">
        <f t="shared" si="96"/>
        <v/>
      </c>
      <c r="O439" s="69" t="str">
        <f>IFERROR(IF($C439="","",VLOOKUP($N439,Feriados!$A$4:$B$5000,2,FALSE)),"")</f>
        <v/>
      </c>
      <c r="P439" s="36" t="str">
        <f t="shared" si="97"/>
        <v/>
      </c>
      <c r="S439" s="62"/>
      <c r="T439" s="41"/>
      <c r="U439" s="73"/>
      <c r="V439" s="41" t="str">
        <f t="shared" si="98"/>
        <v/>
      </c>
    </row>
    <row r="440" spans="1:22" x14ac:dyDescent="0.25">
      <c r="A440" s="24" t="str">
        <f t="shared" si="99"/>
        <v/>
      </c>
      <c r="C440" s="36" t="str">
        <f t="shared" si="86"/>
        <v/>
      </c>
      <c r="D440" s="9"/>
      <c r="E440" s="27" t="str">
        <f t="shared" si="87"/>
        <v/>
      </c>
      <c r="F440" s="36" t="str">
        <f t="shared" si="88"/>
        <v/>
      </c>
      <c r="G440" s="29" t="str">
        <f t="shared" si="89"/>
        <v/>
      </c>
      <c r="H440" s="30" t="str">
        <f t="shared" si="90"/>
        <v/>
      </c>
      <c r="I440" s="31" t="str">
        <f t="shared" si="91"/>
        <v/>
      </c>
      <c r="J440" s="30" t="str">
        <f t="shared" si="92"/>
        <v/>
      </c>
      <c r="K440" s="36" t="str">
        <f t="shared" si="93"/>
        <v/>
      </c>
      <c r="L440" s="36" t="str">
        <f t="shared" si="94"/>
        <v/>
      </c>
      <c r="M440" s="36" t="str">
        <f t="shared" si="95"/>
        <v/>
      </c>
      <c r="N440" s="36" t="str">
        <f t="shared" si="96"/>
        <v/>
      </c>
      <c r="O440" s="69" t="str">
        <f>IFERROR(IF($C440="","",VLOOKUP($N440,Feriados!$A$4:$B$5000,2,FALSE)),"")</f>
        <v/>
      </c>
      <c r="P440" s="36" t="str">
        <f t="shared" si="97"/>
        <v/>
      </c>
      <c r="S440" s="62"/>
      <c r="T440" s="41"/>
      <c r="U440" s="73"/>
      <c r="V440" s="41" t="str">
        <f t="shared" si="98"/>
        <v/>
      </c>
    </row>
    <row r="441" spans="1:22" x14ac:dyDescent="0.25">
      <c r="A441" s="24" t="str">
        <f t="shared" si="99"/>
        <v/>
      </c>
      <c r="C441" s="36" t="str">
        <f t="shared" si="86"/>
        <v/>
      </c>
      <c r="D441" s="9"/>
      <c r="E441" s="27" t="str">
        <f t="shared" si="87"/>
        <v/>
      </c>
      <c r="F441" s="36" t="str">
        <f t="shared" si="88"/>
        <v/>
      </c>
      <c r="G441" s="29" t="str">
        <f t="shared" si="89"/>
        <v/>
      </c>
      <c r="H441" s="30" t="str">
        <f t="shared" si="90"/>
        <v/>
      </c>
      <c r="I441" s="31" t="str">
        <f t="shared" si="91"/>
        <v/>
      </c>
      <c r="J441" s="30" t="str">
        <f t="shared" si="92"/>
        <v/>
      </c>
      <c r="K441" s="36" t="str">
        <f t="shared" si="93"/>
        <v/>
      </c>
      <c r="L441" s="36" t="str">
        <f t="shared" si="94"/>
        <v/>
      </c>
      <c r="M441" s="36" t="str">
        <f t="shared" si="95"/>
        <v/>
      </c>
      <c r="N441" s="36" t="str">
        <f t="shared" si="96"/>
        <v/>
      </c>
      <c r="O441" s="69" t="str">
        <f>IFERROR(IF($C441="","",VLOOKUP($N441,Feriados!$A$4:$B$5000,2,FALSE)),"")</f>
        <v/>
      </c>
      <c r="P441" s="36" t="str">
        <f t="shared" si="97"/>
        <v/>
      </c>
      <c r="S441" s="62"/>
      <c r="T441" s="41"/>
      <c r="U441" s="73"/>
      <c r="V441" s="41" t="str">
        <f t="shared" si="98"/>
        <v/>
      </c>
    </row>
    <row r="442" spans="1:22" x14ac:dyDescent="0.25">
      <c r="A442" s="24" t="str">
        <f t="shared" si="99"/>
        <v/>
      </c>
      <c r="C442" s="36" t="str">
        <f t="shared" si="86"/>
        <v/>
      </c>
      <c r="D442" s="9"/>
      <c r="E442" s="27" t="str">
        <f t="shared" si="87"/>
        <v/>
      </c>
      <c r="F442" s="36" t="str">
        <f t="shared" si="88"/>
        <v/>
      </c>
      <c r="G442" s="29" t="str">
        <f t="shared" si="89"/>
        <v/>
      </c>
      <c r="H442" s="30" t="str">
        <f t="shared" si="90"/>
        <v/>
      </c>
      <c r="I442" s="31" t="str">
        <f t="shared" si="91"/>
        <v/>
      </c>
      <c r="J442" s="30" t="str">
        <f t="shared" si="92"/>
        <v/>
      </c>
      <c r="K442" s="36" t="str">
        <f t="shared" si="93"/>
        <v/>
      </c>
      <c r="L442" s="36" t="str">
        <f t="shared" si="94"/>
        <v/>
      </c>
      <c r="M442" s="36" t="str">
        <f t="shared" si="95"/>
        <v/>
      </c>
      <c r="N442" s="36" t="str">
        <f t="shared" si="96"/>
        <v/>
      </c>
      <c r="O442" s="69" t="str">
        <f>IFERROR(IF($C442="","",VLOOKUP($N442,Feriados!$A$4:$B$5000,2,FALSE)),"")</f>
        <v/>
      </c>
      <c r="P442" s="36" t="str">
        <f t="shared" si="97"/>
        <v/>
      </c>
      <c r="S442" s="62"/>
      <c r="T442" s="41"/>
      <c r="U442" s="73"/>
      <c r="V442" s="41" t="str">
        <f t="shared" si="98"/>
        <v/>
      </c>
    </row>
    <row r="443" spans="1:22" x14ac:dyDescent="0.25">
      <c r="A443" s="24" t="str">
        <f t="shared" si="99"/>
        <v/>
      </c>
      <c r="C443" s="36" t="str">
        <f t="shared" si="86"/>
        <v/>
      </c>
      <c r="D443" s="9"/>
      <c r="E443" s="27" t="str">
        <f t="shared" si="87"/>
        <v/>
      </c>
      <c r="F443" s="36" t="str">
        <f t="shared" si="88"/>
        <v/>
      </c>
      <c r="G443" s="29" t="str">
        <f t="shared" si="89"/>
        <v/>
      </c>
      <c r="H443" s="30" t="str">
        <f t="shared" si="90"/>
        <v/>
      </c>
      <c r="I443" s="31" t="str">
        <f t="shared" si="91"/>
        <v/>
      </c>
      <c r="J443" s="30" t="str">
        <f t="shared" si="92"/>
        <v/>
      </c>
      <c r="K443" s="36" t="str">
        <f t="shared" si="93"/>
        <v/>
      </c>
      <c r="L443" s="36" t="str">
        <f t="shared" si="94"/>
        <v/>
      </c>
      <c r="M443" s="36" t="str">
        <f t="shared" si="95"/>
        <v/>
      </c>
      <c r="N443" s="36" t="str">
        <f t="shared" si="96"/>
        <v/>
      </c>
      <c r="O443" s="69" t="str">
        <f>IFERROR(IF($C443="","",VLOOKUP($N443,Feriados!$A$4:$B$5000,2,FALSE)),"")</f>
        <v/>
      </c>
      <c r="P443" s="36" t="str">
        <f t="shared" si="97"/>
        <v/>
      </c>
      <c r="S443" s="62"/>
      <c r="T443" s="41"/>
      <c r="U443" s="73"/>
      <c r="V443" s="41" t="str">
        <f t="shared" si="98"/>
        <v/>
      </c>
    </row>
    <row r="444" spans="1:22" x14ac:dyDescent="0.25">
      <c r="A444" s="24" t="str">
        <f t="shared" si="99"/>
        <v/>
      </c>
      <c r="C444" s="36" t="str">
        <f t="shared" si="86"/>
        <v/>
      </c>
      <c r="D444" s="9"/>
      <c r="E444" s="27" t="str">
        <f t="shared" si="87"/>
        <v/>
      </c>
      <c r="F444" s="36" t="str">
        <f t="shared" si="88"/>
        <v/>
      </c>
      <c r="G444" s="29" t="str">
        <f t="shared" si="89"/>
        <v/>
      </c>
      <c r="H444" s="30" t="str">
        <f t="shared" si="90"/>
        <v/>
      </c>
      <c r="I444" s="31" t="str">
        <f t="shared" si="91"/>
        <v/>
      </c>
      <c r="J444" s="30" t="str">
        <f t="shared" si="92"/>
        <v/>
      </c>
      <c r="K444" s="36" t="str">
        <f t="shared" si="93"/>
        <v/>
      </c>
      <c r="L444" s="36" t="str">
        <f t="shared" si="94"/>
        <v/>
      </c>
      <c r="M444" s="36" t="str">
        <f t="shared" si="95"/>
        <v/>
      </c>
      <c r="N444" s="36" t="str">
        <f t="shared" si="96"/>
        <v/>
      </c>
      <c r="O444" s="69" t="str">
        <f>IFERROR(IF($C444="","",VLOOKUP($N444,Feriados!$A$4:$B$5000,2,FALSE)),"")</f>
        <v/>
      </c>
      <c r="P444" s="36" t="str">
        <f t="shared" si="97"/>
        <v/>
      </c>
      <c r="S444" s="62"/>
      <c r="T444" s="41"/>
      <c r="U444" s="73"/>
      <c r="V444" s="41" t="str">
        <f t="shared" si="98"/>
        <v/>
      </c>
    </row>
    <row r="445" spans="1:22" x14ac:dyDescent="0.25">
      <c r="A445" s="24" t="str">
        <f t="shared" si="99"/>
        <v/>
      </c>
      <c r="C445" s="36" t="str">
        <f t="shared" si="86"/>
        <v/>
      </c>
      <c r="D445" s="9"/>
      <c r="E445" s="27" t="str">
        <f t="shared" si="87"/>
        <v/>
      </c>
      <c r="F445" s="36" t="str">
        <f t="shared" si="88"/>
        <v/>
      </c>
      <c r="G445" s="29" t="str">
        <f t="shared" si="89"/>
        <v/>
      </c>
      <c r="H445" s="30" t="str">
        <f t="shared" si="90"/>
        <v/>
      </c>
      <c r="I445" s="31" t="str">
        <f t="shared" si="91"/>
        <v/>
      </c>
      <c r="J445" s="30" t="str">
        <f t="shared" si="92"/>
        <v/>
      </c>
      <c r="K445" s="36" t="str">
        <f t="shared" si="93"/>
        <v/>
      </c>
      <c r="L445" s="36" t="str">
        <f t="shared" si="94"/>
        <v/>
      </c>
      <c r="M445" s="36" t="str">
        <f t="shared" si="95"/>
        <v/>
      </c>
      <c r="N445" s="36" t="str">
        <f t="shared" si="96"/>
        <v/>
      </c>
      <c r="O445" s="69" t="str">
        <f>IFERROR(IF($C445="","",VLOOKUP($N445,Feriados!$A$4:$B$5000,2,FALSE)),"")</f>
        <v/>
      </c>
      <c r="P445" s="36" t="str">
        <f t="shared" si="97"/>
        <v/>
      </c>
      <c r="S445" s="62"/>
      <c r="T445" s="41"/>
      <c r="U445" s="73"/>
      <c r="V445" s="41" t="str">
        <f t="shared" si="98"/>
        <v/>
      </c>
    </row>
    <row r="446" spans="1:22" x14ac:dyDescent="0.25">
      <c r="A446" s="24" t="str">
        <f t="shared" si="99"/>
        <v/>
      </c>
      <c r="C446" s="36" t="str">
        <f t="shared" si="86"/>
        <v/>
      </c>
      <c r="D446" s="9"/>
      <c r="E446" s="27" t="str">
        <f t="shared" si="87"/>
        <v/>
      </c>
      <c r="F446" s="36" t="str">
        <f t="shared" si="88"/>
        <v/>
      </c>
      <c r="G446" s="29" t="str">
        <f t="shared" si="89"/>
        <v/>
      </c>
      <c r="H446" s="30" t="str">
        <f t="shared" si="90"/>
        <v/>
      </c>
      <c r="I446" s="31" t="str">
        <f t="shared" si="91"/>
        <v/>
      </c>
      <c r="J446" s="30" t="str">
        <f t="shared" si="92"/>
        <v/>
      </c>
      <c r="K446" s="36" t="str">
        <f t="shared" si="93"/>
        <v/>
      </c>
      <c r="L446" s="36" t="str">
        <f t="shared" si="94"/>
        <v/>
      </c>
      <c r="M446" s="36" t="str">
        <f t="shared" si="95"/>
        <v/>
      </c>
      <c r="N446" s="36" t="str">
        <f t="shared" si="96"/>
        <v/>
      </c>
      <c r="O446" s="69" t="str">
        <f>IFERROR(IF($C446="","",VLOOKUP($N446,Feriados!$A$4:$B$5000,2,FALSE)),"")</f>
        <v/>
      </c>
      <c r="P446" s="36" t="str">
        <f t="shared" si="97"/>
        <v/>
      </c>
      <c r="S446" s="62"/>
      <c r="T446" s="41"/>
      <c r="U446" s="73"/>
      <c r="V446" s="41" t="str">
        <f t="shared" si="98"/>
        <v/>
      </c>
    </row>
    <row r="447" spans="1:22" x14ac:dyDescent="0.25">
      <c r="A447" s="24" t="str">
        <f t="shared" si="99"/>
        <v/>
      </c>
      <c r="C447" s="36" t="str">
        <f t="shared" si="86"/>
        <v/>
      </c>
      <c r="D447" s="9"/>
      <c r="E447" s="27" t="str">
        <f t="shared" si="87"/>
        <v/>
      </c>
      <c r="F447" s="36" t="str">
        <f t="shared" si="88"/>
        <v/>
      </c>
      <c r="G447" s="29" t="str">
        <f t="shared" si="89"/>
        <v/>
      </c>
      <c r="H447" s="30" t="str">
        <f t="shared" si="90"/>
        <v/>
      </c>
      <c r="I447" s="31" t="str">
        <f t="shared" si="91"/>
        <v/>
      </c>
      <c r="J447" s="30" t="str">
        <f t="shared" si="92"/>
        <v/>
      </c>
      <c r="K447" s="36" t="str">
        <f t="shared" si="93"/>
        <v/>
      </c>
      <c r="L447" s="36" t="str">
        <f t="shared" si="94"/>
        <v/>
      </c>
      <c r="M447" s="36" t="str">
        <f t="shared" si="95"/>
        <v/>
      </c>
      <c r="N447" s="36" t="str">
        <f t="shared" si="96"/>
        <v/>
      </c>
      <c r="O447" s="69" t="str">
        <f>IFERROR(IF($C447="","",VLOOKUP($N447,Feriados!$A$4:$B$5000,2,FALSE)),"")</f>
        <v/>
      </c>
      <c r="P447" s="36" t="str">
        <f t="shared" si="97"/>
        <v/>
      </c>
      <c r="S447" s="62"/>
      <c r="T447" s="41"/>
      <c r="U447" s="73"/>
      <c r="V447" s="41" t="str">
        <f t="shared" si="98"/>
        <v/>
      </c>
    </row>
    <row r="448" spans="1:22" x14ac:dyDescent="0.25">
      <c r="A448" s="24" t="str">
        <f t="shared" si="99"/>
        <v/>
      </c>
      <c r="C448" s="36" t="str">
        <f t="shared" si="86"/>
        <v/>
      </c>
      <c r="D448" s="9"/>
      <c r="E448" s="27" t="str">
        <f t="shared" si="87"/>
        <v/>
      </c>
      <c r="F448" s="36" t="str">
        <f t="shared" si="88"/>
        <v/>
      </c>
      <c r="G448" s="29" t="str">
        <f t="shared" si="89"/>
        <v/>
      </c>
      <c r="H448" s="30" t="str">
        <f t="shared" si="90"/>
        <v/>
      </c>
      <c r="I448" s="31" t="str">
        <f t="shared" si="91"/>
        <v/>
      </c>
      <c r="J448" s="30" t="str">
        <f t="shared" si="92"/>
        <v/>
      </c>
      <c r="K448" s="36" t="str">
        <f t="shared" si="93"/>
        <v/>
      </c>
      <c r="L448" s="36" t="str">
        <f t="shared" si="94"/>
        <v/>
      </c>
      <c r="M448" s="36" t="str">
        <f t="shared" si="95"/>
        <v/>
      </c>
      <c r="N448" s="36" t="str">
        <f t="shared" si="96"/>
        <v/>
      </c>
      <c r="O448" s="69" t="str">
        <f>IFERROR(IF($C448="","",VLOOKUP($N448,Feriados!$A$4:$B$5000,2,FALSE)),"")</f>
        <v/>
      </c>
      <c r="P448" s="36" t="str">
        <f t="shared" si="97"/>
        <v/>
      </c>
      <c r="S448" s="62"/>
      <c r="T448" s="41"/>
      <c r="U448" s="73"/>
      <c r="V448" s="41" t="str">
        <f t="shared" si="98"/>
        <v/>
      </c>
    </row>
    <row r="449" spans="1:22" x14ac:dyDescent="0.25">
      <c r="A449" s="24" t="str">
        <f t="shared" si="99"/>
        <v/>
      </c>
      <c r="C449" s="36" t="str">
        <f t="shared" si="86"/>
        <v/>
      </c>
      <c r="D449" s="9"/>
      <c r="E449" s="27" t="str">
        <f t="shared" si="87"/>
        <v/>
      </c>
      <c r="F449" s="36" t="str">
        <f t="shared" si="88"/>
        <v/>
      </c>
      <c r="G449" s="29" t="str">
        <f t="shared" si="89"/>
        <v/>
      </c>
      <c r="H449" s="30" t="str">
        <f t="shared" si="90"/>
        <v/>
      </c>
      <c r="I449" s="31" t="str">
        <f t="shared" si="91"/>
        <v/>
      </c>
      <c r="J449" s="30" t="str">
        <f t="shared" si="92"/>
        <v/>
      </c>
      <c r="K449" s="36" t="str">
        <f t="shared" si="93"/>
        <v/>
      </c>
      <c r="L449" s="36" t="str">
        <f t="shared" si="94"/>
        <v/>
      </c>
      <c r="M449" s="36" t="str">
        <f t="shared" si="95"/>
        <v/>
      </c>
      <c r="N449" s="36" t="str">
        <f t="shared" si="96"/>
        <v/>
      </c>
      <c r="O449" s="69" t="str">
        <f>IFERROR(IF($C449="","",VLOOKUP($N449,Feriados!$A$4:$B$5000,2,FALSE)),"")</f>
        <v/>
      </c>
      <c r="P449" s="36" t="str">
        <f t="shared" si="97"/>
        <v/>
      </c>
      <c r="S449" s="62"/>
      <c r="T449" s="41"/>
      <c r="U449" s="73"/>
      <c r="V449" s="41" t="str">
        <f t="shared" si="98"/>
        <v/>
      </c>
    </row>
    <row r="450" spans="1:22" x14ac:dyDescent="0.25">
      <c r="A450" s="24" t="str">
        <f t="shared" si="99"/>
        <v/>
      </c>
      <c r="C450" s="36" t="str">
        <f t="shared" si="86"/>
        <v/>
      </c>
      <c r="D450" s="9"/>
      <c r="E450" s="27" t="str">
        <f t="shared" si="87"/>
        <v/>
      </c>
      <c r="F450" s="36" t="str">
        <f t="shared" si="88"/>
        <v/>
      </c>
      <c r="G450" s="29" t="str">
        <f t="shared" si="89"/>
        <v/>
      </c>
      <c r="H450" s="30" t="str">
        <f t="shared" si="90"/>
        <v/>
      </c>
      <c r="I450" s="31" t="str">
        <f t="shared" si="91"/>
        <v/>
      </c>
      <c r="J450" s="30" t="str">
        <f t="shared" si="92"/>
        <v/>
      </c>
      <c r="K450" s="36" t="str">
        <f t="shared" si="93"/>
        <v/>
      </c>
      <c r="L450" s="36" t="str">
        <f t="shared" si="94"/>
        <v/>
      </c>
      <c r="M450" s="36" t="str">
        <f t="shared" si="95"/>
        <v/>
      </c>
      <c r="N450" s="36" t="str">
        <f t="shared" si="96"/>
        <v/>
      </c>
      <c r="O450" s="69" t="str">
        <f>IFERROR(IF($C450="","",VLOOKUP($N450,Feriados!$A$4:$B$5000,2,FALSE)),"")</f>
        <v/>
      </c>
      <c r="P450" s="36" t="str">
        <f t="shared" si="97"/>
        <v/>
      </c>
      <c r="S450" s="62"/>
      <c r="T450" s="41"/>
      <c r="U450" s="73"/>
      <c r="V450" s="41" t="str">
        <f t="shared" si="98"/>
        <v/>
      </c>
    </row>
    <row r="451" spans="1:22" x14ac:dyDescent="0.25">
      <c r="A451" s="24" t="str">
        <f t="shared" si="99"/>
        <v/>
      </c>
      <c r="C451" s="36" t="str">
        <f t="shared" si="86"/>
        <v/>
      </c>
      <c r="D451" s="9"/>
      <c r="E451" s="27" t="str">
        <f t="shared" si="87"/>
        <v/>
      </c>
      <c r="F451" s="36" t="str">
        <f t="shared" si="88"/>
        <v/>
      </c>
      <c r="G451" s="29" t="str">
        <f t="shared" si="89"/>
        <v/>
      </c>
      <c r="H451" s="30" t="str">
        <f t="shared" si="90"/>
        <v/>
      </c>
      <c r="I451" s="31" t="str">
        <f t="shared" si="91"/>
        <v/>
      </c>
      <c r="J451" s="30" t="str">
        <f t="shared" si="92"/>
        <v/>
      </c>
      <c r="K451" s="36" t="str">
        <f t="shared" si="93"/>
        <v/>
      </c>
      <c r="L451" s="36" t="str">
        <f t="shared" si="94"/>
        <v/>
      </c>
      <c r="M451" s="36" t="str">
        <f t="shared" si="95"/>
        <v/>
      </c>
      <c r="N451" s="36" t="str">
        <f t="shared" si="96"/>
        <v/>
      </c>
      <c r="O451" s="69" t="str">
        <f>IFERROR(IF($C451="","",VLOOKUP($N451,Feriados!$A$4:$B$5000,2,FALSE)),"")</f>
        <v/>
      </c>
      <c r="P451" s="36" t="str">
        <f t="shared" si="97"/>
        <v/>
      </c>
      <c r="S451" s="62"/>
      <c r="T451" s="41"/>
      <c r="U451" s="73"/>
      <c r="V451" s="41" t="str">
        <f t="shared" si="98"/>
        <v/>
      </c>
    </row>
    <row r="452" spans="1:22" x14ac:dyDescent="0.25">
      <c r="A452" s="24" t="str">
        <f t="shared" si="99"/>
        <v/>
      </c>
      <c r="C452" s="36" t="str">
        <f t="shared" si="86"/>
        <v/>
      </c>
      <c r="D452" s="9"/>
      <c r="E452" s="27" t="str">
        <f t="shared" si="87"/>
        <v/>
      </c>
      <c r="F452" s="36" t="str">
        <f t="shared" si="88"/>
        <v/>
      </c>
      <c r="G452" s="29" t="str">
        <f t="shared" si="89"/>
        <v/>
      </c>
      <c r="H452" s="30" t="str">
        <f t="shared" si="90"/>
        <v/>
      </c>
      <c r="I452" s="31" t="str">
        <f t="shared" si="91"/>
        <v/>
      </c>
      <c r="J452" s="30" t="str">
        <f t="shared" si="92"/>
        <v/>
      </c>
      <c r="K452" s="36" t="str">
        <f t="shared" si="93"/>
        <v/>
      </c>
      <c r="L452" s="36" t="str">
        <f t="shared" si="94"/>
        <v/>
      </c>
      <c r="M452" s="36" t="str">
        <f t="shared" si="95"/>
        <v/>
      </c>
      <c r="N452" s="36" t="str">
        <f t="shared" si="96"/>
        <v/>
      </c>
      <c r="O452" s="69" t="str">
        <f>IFERROR(IF($C452="","",VLOOKUP($N452,Feriados!$A$4:$B$5000,2,FALSE)),"")</f>
        <v/>
      </c>
      <c r="P452" s="36" t="str">
        <f t="shared" si="97"/>
        <v/>
      </c>
      <c r="S452" s="62"/>
      <c r="T452" s="41"/>
      <c r="U452" s="73"/>
      <c r="V452" s="41" t="str">
        <f t="shared" si="98"/>
        <v/>
      </c>
    </row>
    <row r="453" spans="1:22" x14ac:dyDescent="0.25">
      <c r="A453" s="24" t="str">
        <f t="shared" si="99"/>
        <v/>
      </c>
      <c r="C453" s="36" t="str">
        <f t="shared" si="86"/>
        <v/>
      </c>
      <c r="D453" s="9"/>
      <c r="E453" s="27" t="str">
        <f t="shared" si="87"/>
        <v/>
      </c>
      <c r="F453" s="36" t="str">
        <f t="shared" si="88"/>
        <v/>
      </c>
      <c r="G453" s="29" t="str">
        <f t="shared" si="89"/>
        <v/>
      </c>
      <c r="H453" s="30" t="str">
        <f t="shared" si="90"/>
        <v/>
      </c>
      <c r="I453" s="31" t="str">
        <f t="shared" si="91"/>
        <v/>
      </c>
      <c r="J453" s="30" t="str">
        <f t="shared" si="92"/>
        <v/>
      </c>
      <c r="K453" s="36" t="str">
        <f t="shared" si="93"/>
        <v/>
      </c>
      <c r="L453" s="36" t="str">
        <f t="shared" si="94"/>
        <v/>
      </c>
      <c r="M453" s="36" t="str">
        <f t="shared" si="95"/>
        <v/>
      </c>
      <c r="N453" s="36" t="str">
        <f t="shared" si="96"/>
        <v/>
      </c>
      <c r="O453" s="69" t="str">
        <f>IFERROR(IF($C453="","",VLOOKUP($N453,Feriados!$A$4:$B$5000,2,FALSE)),"")</f>
        <v/>
      </c>
      <c r="P453" s="36" t="str">
        <f t="shared" si="97"/>
        <v/>
      </c>
      <c r="S453" s="62"/>
      <c r="T453" s="41"/>
      <c r="U453" s="73"/>
      <c r="V453" s="41" t="str">
        <f t="shared" si="98"/>
        <v/>
      </c>
    </row>
    <row r="454" spans="1:22" x14ac:dyDescent="0.25">
      <c r="A454" s="24" t="str">
        <f t="shared" si="99"/>
        <v/>
      </c>
      <c r="C454" s="36" t="str">
        <f t="shared" si="86"/>
        <v/>
      </c>
      <c r="D454" s="9"/>
      <c r="E454" s="27" t="str">
        <f t="shared" si="87"/>
        <v/>
      </c>
      <c r="F454" s="36" t="str">
        <f t="shared" si="88"/>
        <v/>
      </c>
      <c r="G454" s="29" t="str">
        <f t="shared" si="89"/>
        <v/>
      </c>
      <c r="H454" s="30" t="str">
        <f t="shared" si="90"/>
        <v/>
      </c>
      <c r="I454" s="31" t="str">
        <f t="shared" si="91"/>
        <v/>
      </c>
      <c r="J454" s="30" t="str">
        <f t="shared" si="92"/>
        <v/>
      </c>
      <c r="K454" s="36" t="str">
        <f t="shared" si="93"/>
        <v/>
      </c>
      <c r="L454" s="36" t="str">
        <f t="shared" si="94"/>
        <v/>
      </c>
      <c r="M454" s="36" t="str">
        <f t="shared" si="95"/>
        <v/>
      </c>
      <c r="N454" s="36" t="str">
        <f t="shared" si="96"/>
        <v/>
      </c>
      <c r="O454" s="69" t="str">
        <f>IFERROR(IF($C454="","",VLOOKUP($N454,Feriados!$A$4:$B$5000,2,FALSE)),"")</f>
        <v/>
      </c>
      <c r="P454" s="36" t="str">
        <f t="shared" si="97"/>
        <v/>
      </c>
      <c r="S454" s="62"/>
      <c r="T454" s="41"/>
      <c r="U454" s="73"/>
      <c r="V454" s="41" t="str">
        <f t="shared" si="98"/>
        <v/>
      </c>
    </row>
    <row r="455" spans="1:22" x14ac:dyDescent="0.25">
      <c r="A455" s="24" t="str">
        <f t="shared" si="99"/>
        <v/>
      </c>
      <c r="C455" s="36" t="str">
        <f t="shared" si="86"/>
        <v/>
      </c>
      <c r="D455" s="9"/>
      <c r="E455" s="27" t="str">
        <f t="shared" si="87"/>
        <v/>
      </c>
      <c r="F455" s="36" t="str">
        <f t="shared" si="88"/>
        <v/>
      </c>
      <c r="G455" s="29" t="str">
        <f t="shared" si="89"/>
        <v/>
      </c>
      <c r="H455" s="30" t="str">
        <f t="shared" si="90"/>
        <v/>
      </c>
      <c r="I455" s="31" t="str">
        <f t="shared" si="91"/>
        <v/>
      </c>
      <c r="J455" s="30" t="str">
        <f t="shared" si="92"/>
        <v/>
      </c>
      <c r="K455" s="36" t="str">
        <f t="shared" si="93"/>
        <v/>
      </c>
      <c r="L455" s="36" t="str">
        <f t="shared" si="94"/>
        <v/>
      </c>
      <c r="M455" s="36" t="str">
        <f t="shared" si="95"/>
        <v/>
      </c>
      <c r="N455" s="36" t="str">
        <f t="shared" si="96"/>
        <v/>
      </c>
      <c r="O455" s="69" t="str">
        <f>IFERROR(IF($C455="","",VLOOKUP($N455,Feriados!$A$4:$B$5000,2,FALSE)),"")</f>
        <v/>
      </c>
      <c r="P455" s="36" t="str">
        <f t="shared" si="97"/>
        <v/>
      </c>
      <c r="S455" s="62"/>
      <c r="T455" s="41"/>
      <c r="U455" s="73"/>
      <c r="V455" s="41" t="str">
        <f t="shared" si="98"/>
        <v/>
      </c>
    </row>
    <row r="456" spans="1:22" x14ac:dyDescent="0.25">
      <c r="A456" s="24" t="str">
        <f t="shared" si="99"/>
        <v/>
      </c>
      <c r="C456" s="36" t="str">
        <f t="shared" si="86"/>
        <v/>
      </c>
      <c r="D456" s="9"/>
      <c r="E456" s="27" t="str">
        <f t="shared" si="87"/>
        <v/>
      </c>
      <c r="F456" s="36" t="str">
        <f t="shared" si="88"/>
        <v/>
      </c>
      <c r="G456" s="29" t="str">
        <f t="shared" si="89"/>
        <v/>
      </c>
      <c r="H456" s="30" t="str">
        <f t="shared" si="90"/>
        <v/>
      </c>
      <c r="I456" s="31" t="str">
        <f t="shared" si="91"/>
        <v/>
      </c>
      <c r="J456" s="30" t="str">
        <f t="shared" si="92"/>
        <v/>
      </c>
      <c r="K456" s="36" t="str">
        <f t="shared" si="93"/>
        <v/>
      </c>
      <c r="L456" s="36" t="str">
        <f t="shared" si="94"/>
        <v/>
      </c>
      <c r="M456" s="36" t="str">
        <f t="shared" si="95"/>
        <v/>
      </c>
      <c r="N456" s="36" t="str">
        <f t="shared" si="96"/>
        <v/>
      </c>
      <c r="O456" s="69" t="str">
        <f>IFERROR(IF($C456="","",VLOOKUP($N456,Feriados!$A$4:$B$5000,2,FALSE)),"")</f>
        <v/>
      </c>
      <c r="P456" s="36" t="str">
        <f t="shared" si="97"/>
        <v/>
      </c>
      <c r="S456" s="62"/>
      <c r="T456" s="41"/>
      <c r="U456" s="73"/>
      <c r="V456" s="41" t="str">
        <f t="shared" si="98"/>
        <v/>
      </c>
    </row>
    <row r="457" spans="1:22" x14ac:dyDescent="0.25">
      <c r="A457" s="24" t="str">
        <f t="shared" si="99"/>
        <v/>
      </c>
      <c r="C457" s="36" t="str">
        <f t="shared" si="86"/>
        <v/>
      </c>
      <c r="D457" s="9"/>
      <c r="E457" s="27" t="str">
        <f t="shared" si="87"/>
        <v/>
      </c>
      <c r="F457" s="36" t="str">
        <f t="shared" si="88"/>
        <v/>
      </c>
      <c r="G457" s="29" t="str">
        <f t="shared" si="89"/>
        <v/>
      </c>
      <c r="H457" s="30" t="str">
        <f t="shared" si="90"/>
        <v/>
      </c>
      <c r="I457" s="31" t="str">
        <f t="shared" si="91"/>
        <v/>
      </c>
      <c r="J457" s="30" t="str">
        <f t="shared" si="92"/>
        <v/>
      </c>
      <c r="K457" s="36" t="str">
        <f t="shared" si="93"/>
        <v/>
      </c>
      <c r="L457" s="36" t="str">
        <f t="shared" si="94"/>
        <v/>
      </c>
      <c r="M457" s="36" t="str">
        <f t="shared" si="95"/>
        <v/>
      </c>
      <c r="N457" s="36" t="str">
        <f t="shared" si="96"/>
        <v/>
      </c>
      <c r="O457" s="69" t="str">
        <f>IFERROR(IF($C457="","",VLOOKUP($N457,Feriados!$A$4:$B$5000,2,FALSE)),"")</f>
        <v/>
      </c>
      <c r="P457" s="36" t="str">
        <f t="shared" si="97"/>
        <v/>
      </c>
      <c r="S457" s="62"/>
      <c r="T457" s="41"/>
      <c r="U457" s="73"/>
      <c r="V457" s="41" t="str">
        <f t="shared" si="98"/>
        <v/>
      </c>
    </row>
    <row r="458" spans="1:22" x14ac:dyDescent="0.25">
      <c r="A458" s="24" t="str">
        <f t="shared" si="99"/>
        <v/>
      </c>
      <c r="C458" s="36" t="str">
        <f t="shared" si="86"/>
        <v/>
      </c>
      <c r="D458" s="9"/>
      <c r="E458" s="27" t="str">
        <f t="shared" si="87"/>
        <v/>
      </c>
      <c r="F458" s="36" t="str">
        <f t="shared" si="88"/>
        <v/>
      </c>
      <c r="G458" s="29" t="str">
        <f t="shared" si="89"/>
        <v/>
      </c>
      <c r="H458" s="30" t="str">
        <f t="shared" si="90"/>
        <v/>
      </c>
      <c r="I458" s="31" t="str">
        <f t="shared" si="91"/>
        <v/>
      </c>
      <c r="J458" s="30" t="str">
        <f t="shared" si="92"/>
        <v/>
      </c>
      <c r="K458" s="36" t="str">
        <f t="shared" si="93"/>
        <v/>
      </c>
      <c r="L458" s="36" t="str">
        <f t="shared" si="94"/>
        <v/>
      </c>
      <c r="M458" s="36" t="str">
        <f t="shared" si="95"/>
        <v/>
      </c>
      <c r="N458" s="36" t="str">
        <f t="shared" si="96"/>
        <v/>
      </c>
      <c r="O458" s="69" t="str">
        <f>IFERROR(IF($C458="","",VLOOKUP($N458,Feriados!$A$4:$B$5000,2,FALSE)),"")</f>
        <v/>
      </c>
      <c r="P458" s="36" t="str">
        <f t="shared" si="97"/>
        <v/>
      </c>
      <c r="S458" s="62"/>
      <c r="T458" s="41"/>
      <c r="U458" s="73"/>
      <c r="V458" s="41" t="str">
        <f t="shared" si="98"/>
        <v/>
      </c>
    </row>
    <row r="459" spans="1:22" x14ac:dyDescent="0.25">
      <c r="A459" s="24" t="str">
        <f t="shared" si="99"/>
        <v/>
      </c>
      <c r="C459" s="36" t="str">
        <f t="shared" si="86"/>
        <v/>
      </c>
      <c r="D459" s="9"/>
      <c r="E459" s="27" t="str">
        <f t="shared" si="87"/>
        <v/>
      </c>
      <c r="F459" s="36" t="str">
        <f t="shared" si="88"/>
        <v/>
      </c>
      <c r="G459" s="29" t="str">
        <f t="shared" si="89"/>
        <v/>
      </c>
      <c r="H459" s="30" t="str">
        <f t="shared" si="90"/>
        <v/>
      </c>
      <c r="I459" s="31" t="str">
        <f t="shared" si="91"/>
        <v/>
      </c>
      <c r="J459" s="30" t="str">
        <f t="shared" si="92"/>
        <v/>
      </c>
      <c r="K459" s="36" t="str">
        <f t="shared" si="93"/>
        <v/>
      </c>
      <c r="L459" s="36" t="str">
        <f t="shared" si="94"/>
        <v/>
      </c>
      <c r="M459" s="36" t="str">
        <f t="shared" si="95"/>
        <v/>
      </c>
      <c r="N459" s="36" t="str">
        <f t="shared" si="96"/>
        <v/>
      </c>
      <c r="O459" s="69" t="str">
        <f>IFERROR(IF($C459="","",VLOOKUP($N459,Feriados!$A$4:$B$5000,2,FALSE)),"")</f>
        <v/>
      </c>
      <c r="P459" s="36" t="str">
        <f t="shared" si="97"/>
        <v/>
      </c>
      <c r="S459" s="62"/>
      <c r="T459" s="41"/>
      <c r="U459" s="73"/>
      <c r="V459" s="41" t="str">
        <f t="shared" si="98"/>
        <v/>
      </c>
    </row>
    <row r="460" spans="1:22" x14ac:dyDescent="0.25">
      <c r="A460" s="24" t="str">
        <f t="shared" si="99"/>
        <v/>
      </c>
      <c r="C460" s="36" t="str">
        <f t="shared" si="86"/>
        <v/>
      </c>
      <c r="D460" s="9"/>
      <c r="E460" s="27" t="str">
        <f t="shared" si="87"/>
        <v/>
      </c>
      <c r="F460" s="36" t="str">
        <f t="shared" si="88"/>
        <v/>
      </c>
      <c r="G460" s="29" t="str">
        <f t="shared" si="89"/>
        <v/>
      </c>
      <c r="H460" s="30" t="str">
        <f t="shared" si="90"/>
        <v/>
      </c>
      <c r="I460" s="31" t="str">
        <f t="shared" si="91"/>
        <v/>
      </c>
      <c r="J460" s="30" t="str">
        <f t="shared" si="92"/>
        <v/>
      </c>
      <c r="K460" s="36" t="str">
        <f t="shared" si="93"/>
        <v/>
      </c>
      <c r="L460" s="36" t="str">
        <f t="shared" si="94"/>
        <v/>
      </c>
      <c r="M460" s="36" t="str">
        <f t="shared" si="95"/>
        <v/>
      </c>
      <c r="N460" s="36" t="str">
        <f t="shared" si="96"/>
        <v/>
      </c>
      <c r="O460" s="69" t="str">
        <f>IFERROR(IF($C460="","",VLOOKUP($N460,Feriados!$A$4:$B$5000,2,FALSE)),"")</f>
        <v/>
      </c>
      <c r="P460" s="36" t="str">
        <f t="shared" si="97"/>
        <v/>
      </c>
      <c r="S460" s="62"/>
      <c r="T460" s="41"/>
      <c r="U460" s="73"/>
      <c r="V460" s="41" t="str">
        <f t="shared" si="98"/>
        <v/>
      </c>
    </row>
    <row r="461" spans="1:22" x14ac:dyDescent="0.25">
      <c r="A461" s="24" t="str">
        <f t="shared" si="99"/>
        <v/>
      </c>
      <c r="C461" s="36" t="str">
        <f t="shared" si="86"/>
        <v/>
      </c>
      <c r="D461" s="9"/>
      <c r="E461" s="27" t="str">
        <f t="shared" si="87"/>
        <v/>
      </c>
      <c r="F461" s="36" t="str">
        <f t="shared" si="88"/>
        <v/>
      </c>
      <c r="G461" s="29" t="str">
        <f t="shared" si="89"/>
        <v/>
      </c>
      <c r="H461" s="30" t="str">
        <f t="shared" si="90"/>
        <v/>
      </c>
      <c r="I461" s="31" t="str">
        <f t="shared" si="91"/>
        <v/>
      </c>
      <c r="J461" s="30" t="str">
        <f t="shared" si="92"/>
        <v/>
      </c>
      <c r="K461" s="36" t="str">
        <f t="shared" si="93"/>
        <v/>
      </c>
      <c r="L461" s="36" t="str">
        <f t="shared" si="94"/>
        <v/>
      </c>
      <c r="M461" s="36" t="str">
        <f t="shared" si="95"/>
        <v/>
      </c>
      <c r="N461" s="36" t="str">
        <f t="shared" si="96"/>
        <v/>
      </c>
      <c r="O461" s="69" t="str">
        <f>IFERROR(IF($C461="","",VLOOKUP($N461,Feriados!$A$4:$B$5000,2,FALSE)),"")</f>
        <v/>
      </c>
      <c r="P461" s="36" t="str">
        <f t="shared" si="97"/>
        <v/>
      </c>
      <c r="S461" s="62"/>
      <c r="T461" s="41"/>
      <c r="U461" s="73"/>
      <c r="V461" s="41" t="str">
        <f t="shared" si="98"/>
        <v/>
      </c>
    </row>
    <row r="462" spans="1:22" x14ac:dyDescent="0.25">
      <c r="A462" s="24" t="str">
        <f t="shared" si="99"/>
        <v/>
      </c>
      <c r="C462" s="36" t="str">
        <f t="shared" si="86"/>
        <v/>
      </c>
      <c r="D462" s="9"/>
      <c r="E462" s="27" t="str">
        <f t="shared" si="87"/>
        <v/>
      </c>
      <c r="F462" s="36" t="str">
        <f t="shared" si="88"/>
        <v/>
      </c>
      <c r="G462" s="29" t="str">
        <f t="shared" si="89"/>
        <v/>
      </c>
      <c r="H462" s="30" t="str">
        <f t="shared" si="90"/>
        <v/>
      </c>
      <c r="I462" s="31" t="str">
        <f t="shared" si="91"/>
        <v/>
      </c>
      <c r="J462" s="30" t="str">
        <f t="shared" si="92"/>
        <v/>
      </c>
      <c r="K462" s="36" t="str">
        <f t="shared" si="93"/>
        <v/>
      </c>
      <c r="L462" s="36" t="str">
        <f t="shared" si="94"/>
        <v/>
      </c>
      <c r="M462" s="36" t="str">
        <f t="shared" si="95"/>
        <v/>
      </c>
      <c r="N462" s="36" t="str">
        <f t="shared" si="96"/>
        <v/>
      </c>
      <c r="O462" s="69" t="str">
        <f>IFERROR(IF($C462="","",VLOOKUP($N462,Feriados!$A$4:$B$5000,2,FALSE)),"")</f>
        <v/>
      </c>
      <c r="P462" s="36" t="str">
        <f t="shared" si="97"/>
        <v/>
      </c>
      <c r="S462" s="62"/>
      <c r="T462" s="41"/>
      <c r="U462" s="73"/>
      <c r="V462" s="41" t="str">
        <f t="shared" si="98"/>
        <v/>
      </c>
    </row>
    <row r="463" spans="1:22" x14ac:dyDescent="0.25">
      <c r="A463" s="24" t="str">
        <f t="shared" si="99"/>
        <v/>
      </c>
      <c r="C463" s="36" t="str">
        <f t="shared" si="86"/>
        <v/>
      </c>
      <c r="D463" s="9"/>
      <c r="E463" s="27" t="str">
        <f t="shared" si="87"/>
        <v/>
      </c>
      <c r="F463" s="36" t="str">
        <f t="shared" si="88"/>
        <v/>
      </c>
      <c r="G463" s="29" t="str">
        <f t="shared" si="89"/>
        <v/>
      </c>
      <c r="H463" s="30" t="str">
        <f t="shared" si="90"/>
        <v/>
      </c>
      <c r="I463" s="31" t="str">
        <f t="shared" si="91"/>
        <v/>
      </c>
      <c r="J463" s="30" t="str">
        <f t="shared" si="92"/>
        <v/>
      </c>
      <c r="K463" s="36" t="str">
        <f t="shared" si="93"/>
        <v/>
      </c>
      <c r="L463" s="36" t="str">
        <f t="shared" si="94"/>
        <v/>
      </c>
      <c r="M463" s="36" t="str">
        <f t="shared" si="95"/>
        <v/>
      </c>
      <c r="N463" s="36" t="str">
        <f t="shared" si="96"/>
        <v/>
      </c>
      <c r="O463" s="69" t="str">
        <f>IFERROR(IF($C463="","",VLOOKUP($N463,Feriados!$A$4:$B$5000,2,FALSE)),"")</f>
        <v/>
      </c>
      <c r="P463" s="36" t="str">
        <f t="shared" si="97"/>
        <v/>
      </c>
      <c r="S463" s="62"/>
      <c r="T463" s="41"/>
      <c r="U463" s="73"/>
      <c r="V463" s="41" t="str">
        <f t="shared" si="98"/>
        <v/>
      </c>
    </row>
    <row r="464" spans="1:22" x14ac:dyDescent="0.25">
      <c r="A464" s="24" t="str">
        <f t="shared" si="99"/>
        <v/>
      </c>
      <c r="C464" s="36" t="str">
        <f t="shared" si="86"/>
        <v/>
      </c>
      <c r="D464" s="9"/>
      <c r="E464" s="27" t="str">
        <f t="shared" si="87"/>
        <v/>
      </c>
      <c r="F464" s="36" t="str">
        <f t="shared" si="88"/>
        <v/>
      </c>
      <c r="G464" s="29" t="str">
        <f t="shared" si="89"/>
        <v/>
      </c>
      <c r="H464" s="30" t="str">
        <f t="shared" si="90"/>
        <v/>
      </c>
      <c r="I464" s="31" t="str">
        <f t="shared" si="91"/>
        <v/>
      </c>
      <c r="J464" s="30" t="str">
        <f t="shared" si="92"/>
        <v/>
      </c>
      <c r="K464" s="36" t="str">
        <f t="shared" si="93"/>
        <v/>
      </c>
      <c r="L464" s="36" t="str">
        <f t="shared" si="94"/>
        <v/>
      </c>
      <c r="M464" s="36" t="str">
        <f t="shared" si="95"/>
        <v/>
      </c>
      <c r="N464" s="36" t="str">
        <f t="shared" si="96"/>
        <v/>
      </c>
      <c r="O464" s="69" t="str">
        <f>IFERROR(IF($C464="","",VLOOKUP($N464,Feriados!$A$4:$B$5000,2,FALSE)),"")</f>
        <v/>
      </c>
      <c r="P464" s="36" t="str">
        <f t="shared" si="97"/>
        <v/>
      </c>
      <c r="S464" s="62"/>
      <c r="T464" s="41"/>
      <c r="U464" s="73"/>
      <c r="V464" s="41" t="str">
        <f t="shared" si="98"/>
        <v/>
      </c>
    </row>
    <row r="465" spans="1:22" x14ac:dyDescent="0.25">
      <c r="A465" s="24" t="str">
        <f t="shared" si="99"/>
        <v/>
      </c>
      <c r="C465" s="36" t="str">
        <f t="shared" si="86"/>
        <v/>
      </c>
      <c r="D465" s="9"/>
      <c r="E465" s="27" t="str">
        <f t="shared" si="87"/>
        <v/>
      </c>
      <c r="F465" s="36" t="str">
        <f t="shared" si="88"/>
        <v/>
      </c>
      <c r="G465" s="29" t="str">
        <f t="shared" si="89"/>
        <v/>
      </c>
      <c r="H465" s="30" t="str">
        <f t="shared" si="90"/>
        <v/>
      </c>
      <c r="I465" s="31" t="str">
        <f t="shared" si="91"/>
        <v/>
      </c>
      <c r="J465" s="30" t="str">
        <f t="shared" si="92"/>
        <v/>
      </c>
      <c r="K465" s="36" t="str">
        <f t="shared" si="93"/>
        <v/>
      </c>
      <c r="L465" s="36" t="str">
        <f t="shared" si="94"/>
        <v/>
      </c>
      <c r="M465" s="36" t="str">
        <f t="shared" si="95"/>
        <v/>
      </c>
      <c r="N465" s="36" t="str">
        <f t="shared" si="96"/>
        <v/>
      </c>
      <c r="O465" s="69" t="str">
        <f>IFERROR(IF($C465="","",VLOOKUP($N465,Feriados!$A$4:$B$5000,2,FALSE)),"")</f>
        <v/>
      </c>
      <c r="P465" s="36" t="str">
        <f t="shared" si="97"/>
        <v/>
      </c>
      <c r="S465" s="62"/>
      <c r="T465" s="41"/>
      <c r="U465" s="73"/>
      <c r="V465" s="41" t="str">
        <f t="shared" si="98"/>
        <v/>
      </c>
    </row>
    <row r="466" spans="1:22" x14ac:dyDescent="0.25">
      <c r="A466" s="24" t="str">
        <f t="shared" si="99"/>
        <v/>
      </c>
      <c r="C466" s="36" t="str">
        <f t="shared" si="86"/>
        <v/>
      </c>
      <c r="D466" s="9"/>
      <c r="E466" s="27" t="str">
        <f t="shared" si="87"/>
        <v/>
      </c>
      <c r="F466" s="36" t="str">
        <f t="shared" si="88"/>
        <v/>
      </c>
      <c r="G466" s="29" t="str">
        <f t="shared" si="89"/>
        <v/>
      </c>
      <c r="H466" s="30" t="str">
        <f t="shared" si="90"/>
        <v/>
      </c>
      <c r="I466" s="31" t="str">
        <f t="shared" si="91"/>
        <v/>
      </c>
      <c r="J466" s="30" t="str">
        <f t="shared" si="92"/>
        <v/>
      </c>
      <c r="K466" s="36" t="str">
        <f t="shared" si="93"/>
        <v/>
      </c>
      <c r="L466" s="36" t="str">
        <f t="shared" si="94"/>
        <v/>
      </c>
      <c r="M466" s="36" t="str">
        <f t="shared" si="95"/>
        <v/>
      </c>
      <c r="N466" s="36" t="str">
        <f t="shared" si="96"/>
        <v/>
      </c>
      <c r="O466" s="69" t="str">
        <f>IFERROR(IF($C466="","",VLOOKUP($N466,Feriados!$A$4:$B$5000,2,FALSE)),"")</f>
        <v/>
      </c>
      <c r="P466" s="36" t="str">
        <f t="shared" si="97"/>
        <v/>
      </c>
      <c r="S466" s="62"/>
      <c r="T466" s="41"/>
      <c r="U466" s="73"/>
      <c r="V466" s="41" t="str">
        <f t="shared" si="98"/>
        <v/>
      </c>
    </row>
    <row r="467" spans="1:22" x14ac:dyDescent="0.25">
      <c r="A467" s="24" t="str">
        <f t="shared" si="99"/>
        <v/>
      </c>
      <c r="C467" s="36" t="str">
        <f t="shared" ref="C467:C500" si="100">IFERROR(IF($B$17&lt;7,"",IF(ROW(A467)=19,0,IF(ROW(A467)=20,1,IF(C466+1&gt;$H$13,"",C466+1)))),"")</f>
        <v/>
      </c>
      <c r="D467" s="9"/>
      <c r="E467" s="27" t="str">
        <f t="shared" ref="E467:E500" si="101">IF(C467="","",IF(C467=0,$H$7,IF(C467=1,$H$9,P467+D467)))</f>
        <v/>
      </c>
      <c r="F467" s="36" t="str">
        <f t="shared" ref="F467:F500" si="102">IF(C467="","",IF(C467=0,$K$7,J466))</f>
        <v/>
      </c>
      <c r="G467" s="29" t="str">
        <f t="shared" ref="G467:G500" si="103">IF(C467="","",IF(C467=0,0,$E467-$E466))</f>
        <v/>
      </c>
      <c r="H467" s="30" t="str">
        <f t="shared" ref="H467:H500" si="104">IF(C467="","",ROUND(F467*(((1+$K$11)^G467)-1),8))</f>
        <v/>
      </c>
      <c r="I467" s="31" t="str">
        <f t="shared" ref="I467:I530" si="105">IF(C467="","",IF(C467=0,0,IFERROR(IF(C467=VLOOKUP(C467,PV_ParcelasFixas,1,FALSE),-VLOOKUP(C467,PV_ParcelasFixas,2,FALSE)),IF(AND($B$15=FALSE,C467&lt;=$H$11),0,IF(C467&lt;=$H$11,-H467,IF($K$5="SAC",-$K$8-H467,-$K$8))))))</f>
        <v/>
      </c>
      <c r="J467" s="30" t="str">
        <f t="shared" ref="J467:J500" si="106">IF(C467="","",IF(AND(C467=0,B467=""),$F$19,J466+H467+I467))</f>
        <v/>
      </c>
      <c r="K467" s="36" t="str">
        <f t="shared" ref="K467:K500" si="107">IF(C467="","",-H467+-I467)</f>
        <v/>
      </c>
      <c r="L467" s="36" t="str">
        <f t="shared" ref="L467:L501" si="108">IF($C467="","",IF($C467=0,$H$7,IF($C467=1,$B$11,EDATE($B$11,$C466))))</f>
        <v/>
      </c>
      <c r="M467" s="36" t="str">
        <f t="shared" ref="M467:M501" si="109">IF($L467="","",WEEKDAY($L467))</f>
        <v/>
      </c>
      <c r="N467" s="36" t="str">
        <f t="shared" ref="N467:N501" si="110">IFERROR(IF($M467=7,$L467+2,IF($M467=1,$L467+1,$L467)),"")</f>
        <v/>
      </c>
      <c r="O467" s="69" t="str">
        <f>IFERROR(IF($C467="","",VLOOKUP($N467,Feriados!$A$4:$B$5000,2,FALSE)),"")</f>
        <v/>
      </c>
      <c r="P467" s="36" t="str">
        <f t="shared" ref="P467:P501" si="111">IFERROR(IF($O467="",$N467,IF($O467=6,$N467+3,IF($O467&lt;6,$N467+1))),"")</f>
        <v/>
      </c>
      <c r="S467" s="62"/>
      <c r="T467" s="41"/>
      <c r="U467" s="73"/>
      <c r="V467" s="41" t="str">
        <f t="shared" si="98"/>
        <v/>
      </c>
    </row>
    <row r="468" spans="1:22" x14ac:dyDescent="0.25">
      <c r="A468" s="24" t="str">
        <f t="shared" si="99"/>
        <v/>
      </c>
      <c r="C468" s="36" t="str">
        <f t="shared" si="100"/>
        <v/>
      </c>
      <c r="D468" s="9"/>
      <c r="E468" s="27" t="str">
        <f t="shared" si="101"/>
        <v/>
      </c>
      <c r="F468" s="36" t="str">
        <f t="shared" si="102"/>
        <v/>
      </c>
      <c r="G468" s="29" t="str">
        <f t="shared" si="103"/>
        <v/>
      </c>
      <c r="H468" s="30" t="str">
        <f t="shared" si="104"/>
        <v/>
      </c>
      <c r="I468" s="31" t="str">
        <f t="shared" si="105"/>
        <v/>
      </c>
      <c r="J468" s="30" t="str">
        <f t="shared" si="106"/>
        <v/>
      </c>
      <c r="K468" s="36" t="str">
        <f t="shared" si="107"/>
        <v/>
      </c>
      <c r="L468" s="36" t="str">
        <f t="shared" si="108"/>
        <v/>
      </c>
      <c r="M468" s="36" t="str">
        <f t="shared" si="109"/>
        <v/>
      </c>
      <c r="N468" s="36" t="str">
        <f t="shared" si="110"/>
        <v/>
      </c>
      <c r="O468" s="69" t="str">
        <f>IFERROR(IF($C468="","",VLOOKUP($N468,Feriados!$A$4:$B$5000,2,FALSE)),"")</f>
        <v/>
      </c>
      <c r="P468" s="36" t="str">
        <f t="shared" si="111"/>
        <v/>
      </c>
      <c r="S468" s="62"/>
      <c r="T468" s="41"/>
      <c r="U468" s="73"/>
      <c r="V468" s="41" t="str">
        <f t="shared" si="98"/>
        <v/>
      </c>
    </row>
    <row r="469" spans="1:22" x14ac:dyDescent="0.25">
      <c r="A469" s="24" t="str">
        <f t="shared" si="99"/>
        <v/>
      </c>
      <c r="C469" s="36" t="str">
        <f t="shared" si="100"/>
        <v/>
      </c>
      <c r="D469" s="9"/>
      <c r="E469" s="27" t="str">
        <f t="shared" si="101"/>
        <v/>
      </c>
      <c r="F469" s="36" t="str">
        <f t="shared" si="102"/>
        <v/>
      </c>
      <c r="G469" s="29" t="str">
        <f t="shared" si="103"/>
        <v/>
      </c>
      <c r="H469" s="30" t="str">
        <f t="shared" si="104"/>
        <v/>
      </c>
      <c r="I469" s="31" t="str">
        <f t="shared" si="105"/>
        <v/>
      </c>
      <c r="J469" s="30" t="str">
        <f t="shared" si="106"/>
        <v/>
      </c>
      <c r="K469" s="36" t="str">
        <f t="shared" si="107"/>
        <v/>
      </c>
      <c r="L469" s="36" t="str">
        <f t="shared" si="108"/>
        <v/>
      </c>
      <c r="M469" s="36" t="str">
        <f t="shared" si="109"/>
        <v/>
      </c>
      <c r="N469" s="36" t="str">
        <f t="shared" si="110"/>
        <v/>
      </c>
      <c r="O469" s="69" t="str">
        <f>IFERROR(IF($C469="","",VLOOKUP($N469,Feriados!$A$4:$B$5000,2,FALSE)),"")</f>
        <v/>
      </c>
      <c r="P469" s="36" t="str">
        <f t="shared" si="111"/>
        <v/>
      </c>
      <c r="S469" s="62"/>
      <c r="T469" s="41"/>
      <c r="U469" s="73"/>
      <c r="V469" s="41" t="str">
        <f t="shared" ref="V469:V501" si="112">IF(C469="","",I469)</f>
        <v/>
      </c>
    </row>
    <row r="470" spans="1:22" x14ac:dyDescent="0.25">
      <c r="A470" s="24" t="str">
        <f t="shared" si="99"/>
        <v/>
      </c>
      <c r="C470" s="36" t="str">
        <f t="shared" si="100"/>
        <v/>
      </c>
      <c r="D470" s="9"/>
      <c r="E470" s="27" t="str">
        <f t="shared" si="101"/>
        <v/>
      </c>
      <c r="F470" s="36" t="str">
        <f t="shared" si="102"/>
        <v/>
      </c>
      <c r="G470" s="29" t="str">
        <f t="shared" si="103"/>
        <v/>
      </c>
      <c r="H470" s="30" t="str">
        <f t="shared" si="104"/>
        <v/>
      </c>
      <c r="I470" s="31" t="str">
        <f t="shared" si="105"/>
        <v/>
      </c>
      <c r="J470" s="30" t="str">
        <f t="shared" si="106"/>
        <v/>
      </c>
      <c r="K470" s="36" t="str">
        <f t="shared" si="107"/>
        <v/>
      </c>
      <c r="L470" s="36" t="str">
        <f t="shared" si="108"/>
        <v/>
      </c>
      <c r="M470" s="36" t="str">
        <f t="shared" si="109"/>
        <v/>
      </c>
      <c r="N470" s="36" t="str">
        <f t="shared" si="110"/>
        <v/>
      </c>
      <c r="O470" s="69" t="str">
        <f>IFERROR(IF($C470="","",VLOOKUP($N470,Feriados!$A$4:$B$5000,2,FALSE)),"")</f>
        <v/>
      </c>
      <c r="P470" s="36" t="str">
        <f t="shared" si="111"/>
        <v/>
      </c>
      <c r="S470" s="62"/>
      <c r="T470" s="41"/>
      <c r="U470" s="73"/>
      <c r="V470" s="41" t="str">
        <f t="shared" si="112"/>
        <v/>
      </c>
    </row>
    <row r="471" spans="1:22" x14ac:dyDescent="0.25">
      <c r="A471" s="24" t="str">
        <f t="shared" ref="A471:A501" si="113">IF(E471="","",EOMONTH(E471,0))</f>
        <v/>
      </c>
      <c r="C471" s="36" t="str">
        <f t="shared" si="100"/>
        <v/>
      </c>
      <c r="D471" s="9"/>
      <c r="E471" s="27" t="str">
        <f t="shared" si="101"/>
        <v/>
      </c>
      <c r="F471" s="36" t="str">
        <f t="shared" si="102"/>
        <v/>
      </c>
      <c r="G471" s="29" t="str">
        <f t="shared" si="103"/>
        <v/>
      </c>
      <c r="H471" s="30" t="str">
        <f t="shared" si="104"/>
        <v/>
      </c>
      <c r="I471" s="31" t="str">
        <f t="shared" si="105"/>
        <v/>
      </c>
      <c r="J471" s="30" t="str">
        <f t="shared" si="106"/>
        <v/>
      </c>
      <c r="K471" s="36" t="str">
        <f t="shared" si="107"/>
        <v/>
      </c>
      <c r="L471" s="36" t="str">
        <f t="shared" si="108"/>
        <v/>
      </c>
      <c r="M471" s="36" t="str">
        <f t="shared" si="109"/>
        <v/>
      </c>
      <c r="N471" s="36" t="str">
        <f t="shared" si="110"/>
        <v/>
      </c>
      <c r="O471" s="69" t="str">
        <f>IFERROR(IF($C471="","",VLOOKUP($N471,Feriados!$A$4:$B$5000,2,FALSE)),"")</f>
        <v/>
      </c>
      <c r="P471" s="36" t="str">
        <f t="shared" si="111"/>
        <v/>
      </c>
      <c r="S471" s="62"/>
      <c r="T471" s="41"/>
      <c r="U471" s="73"/>
      <c r="V471" s="41" t="str">
        <f t="shared" si="112"/>
        <v/>
      </c>
    </row>
    <row r="472" spans="1:22" x14ac:dyDescent="0.25">
      <c r="A472" s="24" t="str">
        <f t="shared" si="113"/>
        <v/>
      </c>
      <c r="C472" s="36" t="str">
        <f t="shared" si="100"/>
        <v/>
      </c>
      <c r="D472" s="9"/>
      <c r="E472" s="27" t="str">
        <f t="shared" si="101"/>
        <v/>
      </c>
      <c r="F472" s="36" t="str">
        <f t="shared" si="102"/>
        <v/>
      </c>
      <c r="G472" s="29" t="str">
        <f t="shared" si="103"/>
        <v/>
      </c>
      <c r="H472" s="30" t="str">
        <f t="shared" si="104"/>
        <v/>
      </c>
      <c r="I472" s="31" t="str">
        <f t="shared" si="105"/>
        <v/>
      </c>
      <c r="J472" s="30" t="str">
        <f t="shared" si="106"/>
        <v/>
      </c>
      <c r="K472" s="36" t="str">
        <f t="shared" si="107"/>
        <v/>
      </c>
      <c r="L472" s="36" t="str">
        <f t="shared" si="108"/>
        <v/>
      </c>
      <c r="M472" s="36" t="str">
        <f t="shared" si="109"/>
        <v/>
      </c>
      <c r="N472" s="36" t="str">
        <f t="shared" si="110"/>
        <v/>
      </c>
      <c r="O472" s="69" t="str">
        <f>IFERROR(IF($C472="","",VLOOKUP($N472,Feriados!$A$4:$B$5000,2,FALSE)),"")</f>
        <v/>
      </c>
      <c r="P472" s="36" t="str">
        <f t="shared" si="111"/>
        <v/>
      </c>
      <c r="S472" s="62"/>
      <c r="T472" s="41"/>
      <c r="U472" s="73"/>
      <c r="V472" s="41" t="str">
        <f t="shared" si="112"/>
        <v/>
      </c>
    </row>
    <row r="473" spans="1:22" x14ac:dyDescent="0.25">
      <c r="A473" s="24" t="str">
        <f t="shared" si="113"/>
        <v/>
      </c>
      <c r="C473" s="36" t="str">
        <f t="shared" si="100"/>
        <v/>
      </c>
      <c r="D473" s="9"/>
      <c r="E473" s="27" t="str">
        <f t="shared" si="101"/>
        <v/>
      </c>
      <c r="F473" s="36" t="str">
        <f t="shared" si="102"/>
        <v/>
      </c>
      <c r="G473" s="29" t="str">
        <f t="shared" si="103"/>
        <v/>
      </c>
      <c r="H473" s="30" t="str">
        <f t="shared" si="104"/>
        <v/>
      </c>
      <c r="I473" s="31" t="str">
        <f t="shared" si="105"/>
        <v/>
      </c>
      <c r="J473" s="30" t="str">
        <f t="shared" si="106"/>
        <v/>
      </c>
      <c r="K473" s="36" t="str">
        <f t="shared" si="107"/>
        <v/>
      </c>
      <c r="L473" s="36" t="str">
        <f t="shared" si="108"/>
        <v/>
      </c>
      <c r="M473" s="36" t="str">
        <f t="shared" si="109"/>
        <v/>
      </c>
      <c r="N473" s="36" t="str">
        <f t="shared" si="110"/>
        <v/>
      </c>
      <c r="O473" s="69" t="str">
        <f>IFERROR(IF($C473="","",VLOOKUP($N473,Feriados!$A$4:$B$5000,2,FALSE)),"")</f>
        <v/>
      </c>
      <c r="P473" s="36" t="str">
        <f t="shared" si="111"/>
        <v/>
      </c>
      <c r="S473" s="62"/>
      <c r="T473" s="41"/>
      <c r="U473" s="73"/>
      <c r="V473" s="41" t="str">
        <f t="shared" si="112"/>
        <v/>
      </c>
    </row>
    <row r="474" spans="1:22" x14ac:dyDescent="0.25">
      <c r="A474" s="24" t="str">
        <f t="shared" si="113"/>
        <v/>
      </c>
      <c r="C474" s="36" t="str">
        <f t="shared" si="100"/>
        <v/>
      </c>
      <c r="D474" s="9"/>
      <c r="E474" s="27" t="str">
        <f t="shared" si="101"/>
        <v/>
      </c>
      <c r="F474" s="36" t="str">
        <f t="shared" si="102"/>
        <v/>
      </c>
      <c r="G474" s="29" t="str">
        <f t="shared" si="103"/>
        <v/>
      </c>
      <c r="H474" s="30" t="str">
        <f t="shared" si="104"/>
        <v/>
      </c>
      <c r="I474" s="31" t="str">
        <f t="shared" si="105"/>
        <v/>
      </c>
      <c r="J474" s="30" t="str">
        <f t="shared" si="106"/>
        <v/>
      </c>
      <c r="K474" s="36" t="str">
        <f t="shared" si="107"/>
        <v/>
      </c>
      <c r="L474" s="36" t="str">
        <f t="shared" si="108"/>
        <v/>
      </c>
      <c r="M474" s="36" t="str">
        <f t="shared" si="109"/>
        <v/>
      </c>
      <c r="N474" s="36" t="str">
        <f t="shared" si="110"/>
        <v/>
      </c>
      <c r="O474" s="69" t="str">
        <f>IFERROR(IF($C474="","",VLOOKUP($N474,Feriados!$A$4:$B$5000,2,FALSE)),"")</f>
        <v/>
      </c>
      <c r="P474" s="36" t="str">
        <f t="shared" si="111"/>
        <v/>
      </c>
      <c r="S474" s="62"/>
      <c r="T474" s="41"/>
      <c r="U474" s="73"/>
      <c r="V474" s="41" t="str">
        <f t="shared" si="112"/>
        <v/>
      </c>
    </row>
    <row r="475" spans="1:22" x14ac:dyDescent="0.25">
      <c r="A475" s="24" t="str">
        <f t="shared" si="113"/>
        <v/>
      </c>
      <c r="C475" s="36" t="str">
        <f t="shared" si="100"/>
        <v/>
      </c>
      <c r="D475" s="9"/>
      <c r="E475" s="27" t="str">
        <f t="shared" si="101"/>
        <v/>
      </c>
      <c r="F475" s="36" t="str">
        <f t="shared" si="102"/>
        <v/>
      </c>
      <c r="G475" s="29" t="str">
        <f t="shared" si="103"/>
        <v/>
      </c>
      <c r="H475" s="30" t="str">
        <f t="shared" si="104"/>
        <v/>
      </c>
      <c r="I475" s="31" t="str">
        <f t="shared" si="105"/>
        <v/>
      </c>
      <c r="J475" s="30" t="str">
        <f t="shared" si="106"/>
        <v/>
      </c>
      <c r="K475" s="36" t="str">
        <f t="shared" si="107"/>
        <v/>
      </c>
      <c r="L475" s="36" t="str">
        <f t="shared" si="108"/>
        <v/>
      </c>
      <c r="M475" s="36" t="str">
        <f t="shared" si="109"/>
        <v/>
      </c>
      <c r="N475" s="36" t="str">
        <f t="shared" si="110"/>
        <v/>
      </c>
      <c r="O475" s="69" t="str">
        <f>IFERROR(IF($C475="","",VLOOKUP($N475,Feriados!$A$4:$B$5000,2,FALSE)),"")</f>
        <v/>
      </c>
      <c r="P475" s="36" t="str">
        <f t="shared" si="111"/>
        <v/>
      </c>
      <c r="S475" s="62"/>
      <c r="T475" s="41"/>
      <c r="U475" s="73"/>
      <c r="V475" s="41" t="str">
        <f t="shared" si="112"/>
        <v/>
      </c>
    </row>
    <row r="476" spans="1:22" x14ac:dyDescent="0.25">
      <c r="A476" s="24" t="str">
        <f t="shared" si="113"/>
        <v/>
      </c>
      <c r="C476" s="36" t="str">
        <f t="shared" si="100"/>
        <v/>
      </c>
      <c r="D476" s="9"/>
      <c r="E476" s="27" t="str">
        <f t="shared" si="101"/>
        <v/>
      </c>
      <c r="F476" s="36" t="str">
        <f t="shared" si="102"/>
        <v/>
      </c>
      <c r="G476" s="29" t="str">
        <f t="shared" si="103"/>
        <v/>
      </c>
      <c r="H476" s="30" t="str">
        <f t="shared" si="104"/>
        <v/>
      </c>
      <c r="I476" s="31" t="str">
        <f t="shared" si="105"/>
        <v/>
      </c>
      <c r="J476" s="30" t="str">
        <f t="shared" si="106"/>
        <v/>
      </c>
      <c r="K476" s="36" t="str">
        <f t="shared" si="107"/>
        <v/>
      </c>
      <c r="L476" s="36" t="str">
        <f t="shared" si="108"/>
        <v/>
      </c>
      <c r="M476" s="36" t="str">
        <f t="shared" si="109"/>
        <v/>
      </c>
      <c r="N476" s="36" t="str">
        <f t="shared" si="110"/>
        <v/>
      </c>
      <c r="O476" s="69" t="str">
        <f>IFERROR(IF($C476="","",VLOOKUP($N476,Feriados!$A$4:$B$5000,2,FALSE)),"")</f>
        <v/>
      </c>
      <c r="P476" s="36" t="str">
        <f t="shared" si="111"/>
        <v/>
      </c>
      <c r="S476" s="62"/>
      <c r="T476" s="41"/>
      <c r="U476" s="73"/>
      <c r="V476" s="41" t="str">
        <f t="shared" si="112"/>
        <v/>
      </c>
    </row>
    <row r="477" spans="1:22" x14ac:dyDescent="0.25">
      <c r="A477" s="24" t="str">
        <f t="shared" si="113"/>
        <v/>
      </c>
      <c r="C477" s="36" t="str">
        <f t="shared" si="100"/>
        <v/>
      </c>
      <c r="D477" s="9"/>
      <c r="E477" s="27" t="str">
        <f t="shared" si="101"/>
        <v/>
      </c>
      <c r="F477" s="36" t="str">
        <f t="shared" si="102"/>
        <v/>
      </c>
      <c r="G477" s="29" t="str">
        <f t="shared" si="103"/>
        <v/>
      </c>
      <c r="H477" s="30" t="str">
        <f t="shared" si="104"/>
        <v/>
      </c>
      <c r="I477" s="31" t="str">
        <f t="shared" si="105"/>
        <v/>
      </c>
      <c r="J477" s="30" t="str">
        <f t="shared" si="106"/>
        <v/>
      </c>
      <c r="K477" s="36" t="str">
        <f t="shared" si="107"/>
        <v/>
      </c>
      <c r="L477" s="36" t="str">
        <f t="shared" si="108"/>
        <v/>
      </c>
      <c r="M477" s="36" t="str">
        <f t="shared" si="109"/>
        <v/>
      </c>
      <c r="N477" s="36" t="str">
        <f t="shared" si="110"/>
        <v/>
      </c>
      <c r="O477" s="69" t="str">
        <f>IFERROR(IF($C477="","",VLOOKUP($N477,Feriados!$A$4:$B$5000,2,FALSE)),"")</f>
        <v/>
      </c>
      <c r="P477" s="36" t="str">
        <f t="shared" si="111"/>
        <v/>
      </c>
      <c r="S477" s="62"/>
      <c r="T477" s="41"/>
      <c r="U477" s="73"/>
      <c r="V477" s="41" t="str">
        <f t="shared" si="112"/>
        <v/>
      </c>
    </row>
    <row r="478" spans="1:22" x14ac:dyDescent="0.25">
      <c r="A478" s="24" t="str">
        <f t="shared" si="113"/>
        <v/>
      </c>
      <c r="C478" s="36" t="str">
        <f t="shared" si="100"/>
        <v/>
      </c>
      <c r="D478" s="9"/>
      <c r="E478" s="27" t="str">
        <f t="shared" si="101"/>
        <v/>
      </c>
      <c r="F478" s="36" t="str">
        <f t="shared" si="102"/>
        <v/>
      </c>
      <c r="G478" s="29" t="str">
        <f t="shared" si="103"/>
        <v/>
      </c>
      <c r="H478" s="30" t="str">
        <f t="shared" si="104"/>
        <v/>
      </c>
      <c r="I478" s="31" t="str">
        <f t="shared" si="105"/>
        <v/>
      </c>
      <c r="J478" s="30" t="str">
        <f t="shared" si="106"/>
        <v/>
      </c>
      <c r="K478" s="36" t="str">
        <f t="shared" si="107"/>
        <v/>
      </c>
      <c r="L478" s="36" t="str">
        <f t="shared" si="108"/>
        <v/>
      </c>
      <c r="M478" s="36" t="str">
        <f t="shared" si="109"/>
        <v/>
      </c>
      <c r="N478" s="36" t="str">
        <f t="shared" si="110"/>
        <v/>
      </c>
      <c r="O478" s="69" t="str">
        <f>IFERROR(IF($C478="","",VLOOKUP($N478,Feriados!$A$4:$B$5000,2,FALSE)),"")</f>
        <v/>
      </c>
      <c r="P478" s="36" t="str">
        <f t="shared" si="111"/>
        <v/>
      </c>
      <c r="S478" s="62"/>
      <c r="T478" s="41"/>
      <c r="U478" s="73"/>
      <c r="V478" s="41" t="str">
        <f t="shared" si="112"/>
        <v/>
      </c>
    </row>
    <row r="479" spans="1:22" x14ac:dyDescent="0.25">
      <c r="A479" s="24" t="str">
        <f t="shared" si="113"/>
        <v/>
      </c>
      <c r="C479" s="36" t="str">
        <f t="shared" si="100"/>
        <v/>
      </c>
      <c r="D479" s="9"/>
      <c r="E479" s="27" t="str">
        <f t="shared" si="101"/>
        <v/>
      </c>
      <c r="F479" s="36" t="str">
        <f t="shared" si="102"/>
        <v/>
      </c>
      <c r="G479" s="29" t="str">
        <f t="shared" si="103"/>
        <v/>
      </c>
      <c r="H479" s="30" t="str">
        <f t="shared" si="104"/>
        <v/>
      </c>
      <c r="I479" s="31" t="str">
        <f t="shared" si="105"/>
        <v/>
      </c>
      <c r="J479" s="30" t="str">
        <f t="shared" si="106"/>
        <v/>
      </c>
      <c r="K479" s="36" t="str">
        <f t="shared" si="107"/>
        <v/>
      </c>
      <c r="L479" s="36" t="str">
        <f t="shared" si="108"/>
        <v/>
      </c>
      <c r="M479" s="36" t="str">
        <f t="shared" si="109"/>
        <v/>
      </c>
      <c r="N479" s="36" t="str">
        <f t="shared" si="110"/>
        <v/>
      </c>
      <c r="O479" s="69" t="str">
        <f>IFERROR(IF($C479="","",VLOOKUP($N479,Feriados!$A$4:$B$5000,2,FALSE)),"")</f>
        <v/>
      </c>
      <c r="P479" s="36" t="str">
        <f t="shared" si="111"/>
        <v/>
      </c>
      <c r="S479" s="62"/>
      <c r="T479" s="41"/>
      <c r="U479" s="73"/>
      <c r="V479" s="41" t="str">
        <f t="shared" si="112"/>
        <v/>
      </c>
    </row>
    <row r="480" spans="1:22" x14ac:dyDescent="0.25">
      <c r="A480" s="24" t="str">
        <f t="shared" si="113"/>
        <v/>
      </c>
      <c r="C480" s="36" t="str">
        <f t="shared" si="100"/>
        <v/>
      </c>
      <c r="D480" s="9"/>
      <c r="E480" s="27" t="str">
        <f t="shared" si="101"/>
        <v/>
      </c>
      <c r="F480" s="36" t="str">
        <f t="shared" si="102"/>
        <v/>
      </c>
      <c r="G480" s="29" t="str">
        <f t="shared" si="103"/>
        <v/>
      </c>
      <c r="H480" s="30" t="str">
        <f t="shared" si="104"/>
        <v/>
      </c>
      <c r="I480" s="31" t="str">
        <f t="shared" si="105"/>
        <v/>
      </c>
      <c r="J480" s="30" t="str">
        <f t="shared" si="106"/>
        <v/>
      </c>
      <c r="K480" s="36" t="str">
        <f t="shared" si="107"/>
        <v/>
      </c>
      <c r="L480" s="36" t="str">
        <f t="shared" si="108"/>
        <v/>
      </c>
      <c r="M480" s="36" t="str">
        <f t="shared" si="109"/>
        <v/>
      </c>
      <c r="N480" s="36" t="str">
        <f t="shared" si="110"/>
        <v/>
      </c>
      <c r="O480" s="69" t="str">
        <f>IFERROR(IF($C480="","",VLOOKUP($N480,Feriados!$A$4:$B$5000,2,FALSE)),"")</f>
        <v/>
      </c>
      <c r="P480" s="36" t="str">
        <f t="shared" si="111"/>
        <v/>
      </c>
      <c r="S480" s="62"/>
      <c r="T480" s="41"/>
      <c r="U480" s="73"/>
      <c r="V480" s="41" t="str">
        <f t="shared" si="112"/>
        <v/>
      </c>
    </row>
    <row r="481" spans="1:22" x14ac:dyDescent="0.25">
      <c r="A481" s="24" t="str">
        <f t="shared" si="113"/>
        <v/>
      </c>
      <c r="C481" s="36" t="str">
        <f t="shared" si="100"/>
        <v/>
      </c>
      <c r="D481" s="9"/>
      <c r="E481" s="27" t="str">
        <f t="shared" si="101"/>
        <v/>
      </c>
      <c r="F481" s="36" t="str">
        <f t="shared" si="102"/>
        <v/>
      </c>
      <c r="G481" s="29" t="str">
        <f t="shared" si="103"/>
        <v/>
      </c>
      <c r="H481" s="30" t="str">
        <f t="shared" si="104"/>
        <v/>
      </c>
      <c r="I481" s="31" t="str">
        <f t="shared" si="105"/>
        <v/>
      </c>
      <c r="J481" s="30" t="str">
        <f t="shared" si="106"/>
        <v/>
      </c>
      <c r="K481" s="36" t="str">
        <f t="shared" si="107"/>
        <v/>
      </c>
      <c r="L481" s="36" t="str">
        <f t="shared" si="108"/>
        <v/>
      </c>
      <c r="M481" s="36" t="str">
        <f t="shared" si="109"/>
        <v/>
      </c>
      <c r="N481" s="36" t="str">
        <f t="shared" si="110"/>
        <v/>
      </c>
      <c r="O481" s="69" t="str">
        <f>IFERROR(IF($C481="","",VLOOKUP($N481,Feriados!$A$4:$B$5000,2,FALSE)),"")</f>
        <v/>
      </c>
      <c r="P481" s="36" t="str">
        <f t="shared" si="111"/>
        <v/>
      </c>
      <c r="S481" s="62"/>
      <c r="T481" s="41"/>
      <c r="U481" s="73"/>
      <c r="V481" s="41" t="str">
        <f t="shared" si="112"/>
        <v/>
      </c>
    </row>
    <row r="482" spans="1:22" x14ac:dyDescent="0.25">
      <c r="A482" s="24" t="str">
        <f t="shared" si="113"/>
        <v/>
      </c>
      <c r="C482" s="36" t="str">
        <f t="shared" si="100"/>
        <v/>
      </c>
      <c r="D482" s="9"/>
      <c r="E482" s="27" t="str">
        <f t="shared" si="101"/>
        <v/>
      </c>
      <c r="F482" s="36" t="str">
        <f t="shared" si="102"/>
        <v/>
      </c>
      <c r="G482" s="29" t="str">
        <f t="shared" si="103"/>
        <v/>
      </c>
      <c r="H482" s="30" t="str">
        <f t="shared" si="104"/>
        <v/>
      </c>
      <c r="I482" s="31" t="str">
        <f t="shared" si="105"/>
        <v/>
      </c>
      <c r="J482" s="30" t="str">
        <f t="shared" si="106"/>
        <v/>
      </c>
      <c r="K482" s="36" t="str">
        <f t="shared" si="107"/>
        <v/>
      </c>
      <c r="L482" s="36" t="str">
        <f t="shared" si="108"/>
        <v/>
      </c>
      <c r="M482" s="36" t="str">
        <f t="shared" si="109"/>
        <v/>
      </c>
      <c r="N482" s="36" t="str">
        <f t="shared" si="110"/>
        <v/>
      </c>
      <c r="O482" s="69" t="str">
        <f>IFERROR(IF($C482="","",VLOOKUP($N482,Feriados!$A$4:$B$5000,2,FALSE)),"")</f>
        <v/>
      </c>
      <c r="P482" s="36" t="str">
        <f t="shared" si="111"/>
        <v/>
      </c>
      <c r="S482" s="62"/>
      <c r="T482" s="41"/>
      <c r="U482" s="73"/>
      <c r="V482" s="41" t="str">
        <f t="shared" si="112"/>
        <v/>
      </c>
    </row>
    <row r="483" spans="1:22" x14ac:dyDescent="0.25">
      <c r="A483" s="24" t="str">
        <f t="shared" si="113"/>
        <v/>
      </c>
      <c r="C483" s="36" t="str">
        <f t="shared" si="100"/>
        <v/>
      </c>
      <c r="D483" s="9"/>
      <c r="E483" s="27" t="str">
        <f t="shared" si="101"/>
        <v/>
      </c>
      <c r="F483" s="36" t="str">
        <f t="shared" si="102"/>
        <v/>
      </c>
      <c r="G483" s="29" t="str">
        <f t="shared" si="103"/>
        <v/>
      </c>
      <c r="H483" s="30" t="str">
        <f t="shared" si="104"/>
        <v/>
      </c>
      <c r="I483" s="31" t="str">
        <f t="shared" si="105"/>
        <v/>
      </c>
      <c r="J483" s="30" t="str">
        <f t="shared" si="106"/>
        <v/>
      </c>
      <c r="K483" s="36" t="str">
        <f t="shared" si="107"/>
        <v/>
      </c>
      <c r="L483" s="36" t="str">
        <f t="shared" si="108"/>
        <v/>
      </c>
      <c r="M483" s="36" t="str">
        <f t="shared" si="109"/>
        <v/>
      </c>
      <c r="N483" s="36" t="str">
        <f t="shared" si="110"/>
        <v/>
      </c>
      <c r="O483" s="69" t="str">
        <f>IFERROR(IF($C483="","",VLOOKUP($N483,Feriados!$A$4:$B$5000,2,FALSE)),"")</f>
        <v/>
      </c>
      <c r="P483" s="36" t="str">
        <f t="shared" si="111"/>
        <v/>
      </c>
      <c r="S483" s="62"/>
      <c r="T483" s="41"/>
      <c r="U483" s="73"/>
      <c r="V483" s="41" t="str">
        <f t="shared" si="112"/>
        <v/>
      </c>
    </row>
    <row r="484" spans="1:22" x14ac:dyDescent="0.25">
      <c r="A484" s="24" t="str">
        <f t="shared" si="113"/>
        <v/>
      </c>
      <c r="C484" s="36" t="str">
        <f t="shared" si="100"/>
        <v/>
      </c>
      <c r="D484" s="9"/>
      <c r="E484" s="27" t="str">
        <f t="shared" si="101"/>
        <v/>
      </c>
      <c r="F484" s="36" t="str">
        <f t="shared" si="102"/>
        <v/>
      </c>
      <c r="G484" s="29" t="str">
        <f t="shared" si="103"/>
        <v/>
      </c>
      <c r="H484" s="30" t="str">
        <f t="shared" si="104"/>
        <v/>
      </c>
      <c r="I484" s="31" t="str">
        <f t="shared" si="105"/>
        <v/>
      </c>
      <c r="J484" s="30" t="str">
        <f t="shared" si="106"/>
        <v/>
      </c>
      <c r="K484" s="36" t="str">
        <f t="shared" si="107"/>
        <v/>
      </c>
      <c r="L484" s="36" t="str">
        <f t="shared" si="108"/>
        <v/>
      </c>
      <c r="M484" s="36" t="str">
        <f t="shared" si="109"/>
        <v/>
      </c>
      <c r="N484" s="36" t="str">
        <f t="shared" si="110"/>
        <v/>
      </c>
      <c r="O484" s="69" t="str">
        <f>IFERROR(IF($C484="","",VLOOKUP($N484,Feriados!$A$4:$B$5000,2,FALSE)),"")</f>
        <v/>
      </c>
      <c r="P484" s="36" t="str">
        <f t="shared" si="111"/>
        <v/>
      </c>
      <c r="S484" s="62"/>
      <c r="T484" s="41"/>
      <c r="U484" s="73"/>
      <c r="V484" s="41" t="str">
        <f t="shared" si="112"/>
        <v/>
      </c>
    </row>
    <row r="485" spans="1:22" x14ac:dyDescent="0.25">
      <c r="A485" s="24" t="str">
        <f t="shared" si="113"/>
        <v/>
      </c>
      <c r="C485" s="36" t="str">
        <f t="shared" si="100"/>
        <v/>
      </c>
      <c r="D485" s="9"/>
      <c r="E485" s="27" t="str">
        <f t="shared" si="101"/>
        <v/>
      </c>
      <c r="F485" s="36" t="str">
        <f t="shared" si="102"/>
        <v/>
      </c>
      <c r="G485" s="29" t="str">
        <f t="shared" si="103"/>
        <v/>
      </c>
      <c r="H485" s="30" t="str">
        <f t="shared" si="104"/>
        <v/>
      </c>
      <c r="I485" s="31" t="str">
        <f t="shared" si="105"/>
        <v/>
      </c>
      <c r="J485" s="30" t="str">
        <f t="shared" si="106"/>
        <v/>
      </c>
      <c r="K485" s="36" t="str">
        <f t="shared" si="107"/>
        <v/>
      </c>
      <c r="L485" s="36" t="str">
        <f t="shared" si="108"/>
        <v/>
      </c>
      <c r="M485" s="36" t="str">
        <f t="shared" si="109"/>
        <v/>
      </c>
      <c r="N485" s="36" t="str">
        <f t="shared" si="110"/>
        <v/>
      </c>
      <c r="O485" s="69" t="str">
        <f>IFERROR(IF($C485="","",VLOOKUP($N485,Feriados!$A$4:$B$5000,2,FALSE)),"")</f>
        <v/>
      </c>
      <c r="P485" s="36" t="str">
        <f t="shared" si="111"/>
        <v/>
      </c>
      <c r="S485" s="62"/>
      <c r="T485" s="41"/>
      <c r="U485" s="73"/>
      <c r="V485" s="41" t="str">
        <f t="shared" si="112"/>
        <v/>
      </c>
    </row>
    <row r="486" spans="1:22" x14ac:dyDescent="0.25">
      <c r="A486" s="24" t="str">
        <f t="shared" si="113"/>
        <v/>
      </c>
      <c r="C486" s="36" t="str">
        <f t="shared" si="100"/>
        <v/>
      </c>
      <c r="D486" s="9"/>
      <c r="E486" s="27" t="str">
        <f t="shared" si="101"/>
        <v/>
      </c>
      <c r="F486" s="36" t="str">
        <f t="shared" si="102"/>
        <v/>
      </c>
      <c r="G486" s="29" t="str">
        <f t="shared" si="103"/>
        <v/>
      </c>
      <c r="H486" s="30" t="str">
        <f t="shared" si="104"/>
        <v/>
      </c>
      <c r="I486" s="31" t="str">
        <f t="shared" si="105"/>
        <v/>
      </c>
      <c r="J486" s="30" t="str">
        <f t="shared" si="106"/>
        <v/>
      </c>
      <c r="K486" s="36" t="str">
        <f t="shared" si="107"/>
        <v/>
      </c>
      <c r="L486" s="36" t="str">
        <f t="shared" si="108"/>
        <v/>
      </c>
      <c r="M486" s="36" t="str">
        <f t="shared" si="109"/>
        <v/>
      </c>
      <c r="N486" s="36" t="str">
        <f t="shared" si="110"/>
        <v/>
      </c>
      <c r="O486" s="69" t="str">
        <f>IFERROR(IF($C486="","",VLOOKUP($N486,Feriados!$A$4:$B$5000,2,FALSE)),"")</f>
        <v/>
      </c>
      <c r="P486" s="36" t="str">
        <f t="shared" si="111"/>
        <v/>
      </c>
      <c r="S486" s="62"/>
      <c r="T486" s="41"/>
      <c r="U486" s="73"/>
      <c r="V486" s="41" t="str">
        <f t="shared" si="112"/>
        <v/>
      </c>
    </row>
    <row r="487" spans="1:22" x14ac:dyDescent="0.25">
      <c r="A487" s="24" t="str">
        <f t="shared" si="113"/>
        <v/>
      </c>
      <c r="C487" s="36" t="str">
        <f t="shared" si="100"/>
        <v/>
      </c>
      <c r="D487" s="9"/>
      <c r="E487" s="27" t="str">
        <f t="shared" si="101"/>
        <v/>
      </c>
      <c r="F487" s="36" t="str">
        <f t="shared" si="102"/>
        <v/>
      </c>
      <c r="G487" s="29" t="str">
        <f t="shared" si="103"/>
        <v/>
      </c>
      <c r="H487" s="30" t="str">
        <f t="shared" si="104"/>
        <v/>
      </c>
      <c r="I487" s="31" t="str">
        <f t="shared" si="105"/>
        <v/>
      </c>
      <c r="J487" s="30" t="str">
        <f t="shared" si="106"/>
        <v/>
      </c>
      <c r="K487" s="36" t="str">
        <f t="shared" si="107"/>
        <v/>
      </c>
      <c r="L487" s="36" t="str">
        <f t="shared" si="108"/>
        <v/>
      </c>
      <c r="M487" s="36" t="str">
        <f t="shared" si="109"/>
        <v/>
      </c>
      <c r="N487" s="36" t="str">
        <f t="shared" si="110"/>
        <v/>
      </c>
      <c r="O487" s="69" t="str">
        <f>IFERROR(IF($C487="","",VLOOKUP($N487,Feriados!$A$4:$B$5000,2,FALSE)),"")</f>
        <v/>
      </c>
      <c r="P487" s="36" t="str">
        <f t="shared" si="111"/>
        <v/>
      </c>
      <c r="S487" s="62"/>
      <c r="T487" s="41"/>
      <c r="U487" s="73"/>
      <c r="V487" s="41" t="str">
        <f t="shared" si="112"/>
        <v/>
      </c>
    </row>
    <row r="488" spans="1:22" x14ac:dyDescent="0.25">
      <c r="A488" s="24" t="str">
        <f t="shared" si="113"/>
        <v/>
      </c>
      <c r="C488" s="36" t="str">
        <f t="shared" si="100"/>
        <v/>
      </c>
      <c r="D488" s="9"/>
      <c r="E488" s="27" t="str">
        <f t="shared" si="101"/>
        <v/>
      </c>
      <c r="F488" s="36" t="str">
        <f t="shared" si="102"/>
        <v/>
      </c>
      <c r="G488" s="29" t="str">
        <f t="shared" si="103"/>
        <v/>
      </c>
      <c r="H488" s="30" t="str">
        <f t="shared" si="104"/>
        <v/>
      </c>
      <c r="I488" s="31" t="str">
        <f t="shared" si="105"/>
        <v/>
      </c>
      <c r="J488" s="30" t="str">
        <f t="shared" si="106"/>
        <v/>
      </c>
      <c r="K488" s="36" t="str">
        <f t="shared" si="107"/>
        <v/>
      </c>
      <c r="L488" s="36" t="str">
        <f t="shared" si="108"/>
        <v/>
      </c>
      <c r="M488" s="36" t="str">
        <f t="shared" si="109"/>
        <v/>
      </c>
      <c r="N488" s="36" t="str">
        <f t="shared" si="110"/>
        <v/>
      </c>
      <c r="O488" s="69" t="str">
        <f>IFERROR(IF($C488="","",VLOOKUP($N488,Feriados!$A$4:$B$5000,2,FALSE)),"")</f>
        <v/>
      </c>
      <c r="P488" s="36" t="str">
        <f t="shared" si="111"/>
        <v/>
      </c>
      <c r="S488" s="62"/>
      <c r="T488" s="41"/>
      <c r="U488" s="73"/>
      <c r="V488" s="41" t="str">
        <f t="shared" si="112"/>
        <v/>
      </c>
    </row>
    <row r="489" spans="1:22" x14ac:dyDescent="0.25">
      <c r="A489" s="24" t="str">
        <f t="shared" si="113"/>
        <v/>
      </c>
      <c r="C489" s="36" t="str">
        <f t="shared" si="100"/>
        <v/>
      </c>
      <c r="D489" s="9"/>
      <c r="E489" s="27" t="str">
        <f t="shared" si="101"/>
        <v/>
      </c>
      <c r="F489" s="36" t="str">
        <f t="shared" si="102"/>
        <v/>
      </c>
      <c r="G489" s="29" t="str">
        <f t="shared" si="103"/>
        <v/>
      </c>
      <c r="H489" s="30" t="str">
        <f t="shared" si="104"/>
        <v/>
      </c>
      <c r="I489" s="31" t="str">
        <f t="shared" si="105"/>
        <v/>
      </c>
      <c r="J489" s="30" t="str">
        <f t="shared" si="106"/>
        <v/>
      </c>
      <c r="K489" s="36" t="str">
        <f t="shared" si="107"/>
        <v/>
      </c>
      <c r="L489" s="36" t="str">
        <f t="shared" si="108"/>
        <v/>
      </c>
      <c r="M489" s="36" t="str">
        <f t="shared" si="109"/>
        <v/>
      </c>
      <c r="N489" s="36" t="str">
        <f t="shared" si="110"/>
        <v/>
      </c>
      <c r="O489" s="69" t="str">
        <f>IFERROR(IF($C489="","",VLOOKUP($N489,Feriados!$A$4:$B$5000,2,FALSE)),"")</f>
        <v/>
      </c>
      <c r="P489" s="36" t="str">
        <f t="shared" si="111"/>
        <v/>
      </c>
      <c r="S489" s="62"/>
      <c r="T489" s="41"/>
      <c r="U489" s="73"/>
      <c r="V489" s="41" t="str">
        <f t="shared" si="112"/>
        <v/>
      </c>
    </row>
    <row r="490" spans="1:22" x14ac:dyDescent="0.25">
      <c r="A490" s="24" t="str">
        <f t="shared" si="113"/>
        <v/>
      </c>
      <c r="C490" s="36" t="str">
        <f t="shared" si="100"/>
        <v/>
      </c>
      <c r="D490" s="9"/>
      <c r="E490" s="27" t="str">
        <f t="shared" si="101"/>
        <v/>
      </c>
      <c r="F490" s="36" t="str">
        <f t="shared" si="102"/>
        <v/>
      </c>
      <c r="G490" s="29" t="str">
        <f t="shared" si="103"/>
        <v/>
      </c>
      <c r="H490" s="30" t="str">
        <f t="shared" si="104"/>
        <v/>
      </c>
      <c r="I490" s="31" t="str">
        <f t="shared" si="105"/>
        <v/>
      </c>
      <c r="J490" s="30" t="str">
        <f t="shared" si="106"/>
        <v/>
      </c>
      <c r="K490" s="36" t="str">
        <f t="shared" si="107"/>
        <v/>
      </c>
      <c r="L490" s="36" t="str">
        <f t="shared" si="108"/>
        <v/>
      </c>
      <c r="M490" s="36" t="str">
        <f t="shared" si="109"/>
        <v/>
      </c>
      <c r="N490" s="36" t="str">
        <f t="shared" si="110"/>
        <v/>
      </c>
      <c r="O490" s="69" t="str">
        <f>IFERROR(IF($C490="","",VLOOKUP($N490,Feriados!$A$4:$B$5000,2,FALSE)),"")</f>
        <v/>
      </c>
      <c r="P490" s="36" t="str">
        <f t="shared" si="111"/>
        <v/>
      </c>
      <c r="S490" s="62"/>
      <c r="T490" s="41"/>
      <c r="U490" s="73"/>
      <c r="V490" s="41" t="str">
        <f t="shared" si="112"/>
        <v/>
      </c>
    </row>
    <row r="491" spans="1:22" x14ac:dyDescent="0.25">
      <c r="A491" s="24" t="str">
        <f t="shared" si="113"/>
        <v/>
      </c>
      <c r="C491" s="36" t="str">
        <f t="shared" si="100"/>
        <v/>
      </c>
      <c r="D491" s="9"/>
      <c r="E491" s="27" t="str">
        <f t="shared" si="101"/>
        <v/>
      </c>
      <c r="F491" s="36" t="str">
        <f t="shared" si="102"/>
        <v/>
      </c>
      <c r="G491" s="29" t="str">
        <f t="shared" si="103"/>
        <v/>
      </c>
      <c r="H491" s="30" t="str">
        <f t="shared" si="104"/>
        <v/>
      </c>
      <c r="I491" s="31" t="str">
        <f t="shared" si="105"/>
        <v/>
      </c>
      <c r="J491" s="30" t="str">
        <f t="shared" si="106"/>
        <v/>
      </c>
      <c r="K491" s="36" t="str">
        <f t="shared" si="107"/>
        <v/>
      </c>
      <c r="L491" s="36" t="str">
        <f t="shared" si="108"/>
        <v/>
      </c>
      <c r="M491" s="36" t="str">
        <f t="shared" si="109"/>
        <v/>
      </c>
      <c r="N491" s="36" t="str">
        <f t="shared" si="110"/>
        <v/>
      </c>
      <c r="O491" s="69" t="str">
        <f>IFERROR(IF($C491="","",VLOOKUP($N491,Feriados!$A$4:$B$5000,2,FALSE)),"")</f>
        <v/>
      </c>
      <c r="P491" s="36" t="str">
        <f t="shared" si="111"/>
        <v/>
      </c>
      <c r="S491" s="62"/>
      <c r="T491" s="41"/>
      <c r="U491" s="73"/>
      <c r="V491" s="41" t="str">
        <f t="shared" si="112"/>
        <v/>
      </c>
    </row>
    <row r="492" spans="1:22" x14ac:dyDescent="0.25">
      <c r="A492" s="24" t="str">
        <f t="shared" si="113"/>
        <v/>
      </c>
      <c r="C492" s="36" t="str">
        <f t="shared" si="100"/>
        <v/>
      </c>
      <c r="D492" s="9"/>
      <c r="E492" s="27" t="str">
        <f t="shared" si="101"/>
        <v/>
      </c>
      <c r="F492" s="36" t="str">
        <f t="shared" si="102"/>
        <v/>
      </c>
      <c r="G492" s="29" t="str">
        <f t="shared" si="103"/>
        <v/>
      </c>
      <c r="H492" s="30" t="str">
        <f t="shared" si="104"/>
        <v/>
      </c>
      <c r="I492" s="31" t="str">
        <f t="shared" si="105"/>
        <v/>
      </c>
      <c r="J492" s="30" t="str">
        <f t="shared" si="106"/>
        <v/>
      </c>
      <c r="K492" s="36" t="str">
        <f t="shared" si="107"/>
        <v/>
      </c>
      <c r="L492" s="36" t="str">
        <f t="shared" si="108"/>
        <v/>
      </c>
      <c r="M492" s="36" t="str">
        <f t="shared" si="109"/>
        <v/>
      </c>
      <c r="N492" s="36" t="str">
        <f t="shared" si="110"/>
        <v/>
      </c>
      <c r="O492" s="69" t="str">
        <f>IFERROR(IF($C492="","",VLOOKUP($N492,Feriados!$A$4:$B$5000,2,FALSE)),"")</f>
        <v/>
      </c>
      <c r="P492" s="36" t="str">
        <f t="shared" si="111"/>
        <v/>
      </c>
      <c r="S492" s="62"/>
      <c r="T492" s="41"/>
      <c r="U492" s="73"/>
      <c r="V492" s="41" t="str">
        <f t="shared" si="112"/>
        <v/>
      </c>
    </row>
    <row r="493" spans="1:22" x14ac:dyDescent="0.25">
      <c r="A493" s="24" t="str">
        <f t="shared" si="113"/>
        <v/>
      </c>
      <c r="C493" s="36" t="str">
        <f t="shared" si="100"/>
        <v/>
      </c>
      <c r="D493" s="9"/>
      <c r="E493" s="27" t="str">
        <f t="shared" si="101"/>
        <v/>
      </c>
      <c r="F493" s="36" t="str">
        <f t="shared" si="102"/>
        <v/>
      </c>
      <c r="G493" s="29" t="str">
        <f t="shared" si="103"/>
        <v/>
      </c>
      <c r="H493" s="30" t="str">
        <f t="shared" si="104"/>
        <v/>
      </c>
      <c r="I493" s="31" t="str">
        <f t="shared" si="105"/>
        <v/>
      </c>
      <c r="J493" s="30" t="str">
        <f t="shared" si="106"/>
        <v/>
      </c>
      <c r="K493" s="36" t="str">
        <f t="shared" si="107"/>
        <v/>
      </c>
      <c r="L493" s="36" t="str">
        <f t="shared" si="108"/>
        <v/>
      </c>
      <c r="M493" s="36" t="str">
        <f t="shared" si="109"/>
        <v/>
      </c>
      <c r="N493" s="36" t="str">
        <f t="shared" si="110"/>
        <v/>
      </c>
      <c r="O493" s="69" t="str">
        <f>IFERROR(IF($C493="","",VLOOKUP($N493,Feriados!$A$4:$B$5000,2,FALSE)),"")</f>
        <v/>
      </c>
      <c r="P493" s="36" t="str">
        <f t="shared" si="111"/>
        <v/>
      </c>
      <c r="S493" s="62"/>
      <c r="T493" s="41"/>
      <c r="U493" s="73"/>
      <c r="V493" s="41" t="str">
        <f t="shared" si="112"/>
        <v/>
      </c>
    </row>
    <row r="494" spans="1:22" x14ac:dyDescent="0.25">
      <c r="A494" s="24" t="str">
        <f t="shared" si="113"/>
        <v/>
      </c>
      <c r="C494" s="36" t="str">
        <f t="shared" si="100"/>
        <v/>
      </c>
      <c r="D494" s="9"/>
      <c r="E494" s="27" t="str">
        <f t="shared" si="101"/>
        <v/>
      </c>
      <c r="F494" s="36" t="str">
        <f t="shared" si="102"/>
        <v/>
      </c>
      <c r="G494" s="29" t="str">
        <f t="shared" si="103"/>
        <v/>
      </c>
      <c r="H494" s="30" t="str">
        <f t="shared" si="104"/>
        <v/>
      </c>
      <c r="I494" s="31" t="str">
        <f t="shared" si="105"/>
        <v/>
      </c>
      <c r="J494" s="30" t="str">
        <f t="shared" si="106"/>
        <v/>
      </c>
      <c r="K494" s="36" t="str">
        <f t="shared" si="107"/>
        <v/>
      </c>
      <c r="L494" s="36" t="str">
        <f t="shared" si="108"/>
        <v/>
      </c>
      <c r="M494" s="36" t="str">
        <f t="shared" si="109"/>
        <v/>
      </c>
      <c r="N494" s="36" t="str">
        <f t="shared" si="110"/>
        <v/>
      </c>
      <c r="O494" s="69" t="str">
        <f>IFERROR(IF($C494="","",VLOOKUP($N494,Feriados!$A$4:$B$5000,2,FALSE)),"")</f>
        <v/>
      </c>
      <c r="P494" s="36" t="str">
        <f t="shared" si="111"/>
        <v/>
      </c>
      <c r="S494" s="62"/>
      <c r="T494" s="41"/>
      <c r="U494" s="73"/>
      <c r="V494" s="41" t="str">
        <f t="shared" si="112"/>
        <v/>
      </c>
    </row>
    <row r="495" spans="1:22" x14ac:dyDescent="0.25">
      <c r="A495" s="24" t="str">
        <f t="shared" si="113"/>
        <v/>
      </c>
      <c r="C495" s="36" t="str">
        <f t="shared" si="100"/>
        <v/>
      </c>
      <c r="D495" s="9"/>
      <c r="E495" s="27" t="str">
        <f t="shared" si="101"/>
        <v/>
      </c>
      <c r="F495" s="36" t="str">
        <f t="shared" si="102"/>
        <v/>
      </c>
      <c r="G495" s="29" t="str">
        <f t="shared" si="103"/>
        <v/>
      </c>
      <c r="H495" s="30" t="str">
        <f t="shared" si="104"/>
        <v/>
      </c>
      <c r="I495" s="31" t="str">
        <f t="shared" si="105"/>
        <v/>
      </c>
      <c r="J495" s="30" t="str">
        <f t="shared" si="106"/>
        <v/>
      </c>
      <c r="K495" s="36" t="str">
        <f t="shared" si="107"/>
        <v/>
      </c>
      <c r="L495" s="36" t="str">
        <f t="shared" si="108"/>
        <v/>
      </c>
      <c r="M495" s="36" t="str">
        <f t="shared" si="109"/>
        <v/>
      </c>
      <c r="N495" s="36" t="str">
        <f t="shared" si="110"/>
        <v/>
      </c>
      <c r="O495" s="69" t="str">
        <f>IFERROR(IF($C495="","",VLOOKUP($N495,Feriados!$A$4:$B$5000,2,FALSE)),"")</f>
        <v/>
      </c>
      <c r="P495" s="36" t="str">
        <f t="shared" si="111"/>
        <v/>
      </c>
      <c r="S495" s="62"/>
      <c r="T495" s="41"/>
      <c r="U495" s="73"/>
      <c r="V495" s="41" t="str">
        <f t="shared" si="112"/>
        <v/>
      </c>
    </row>
    <row r="496" spans="1:22" x14ac:dyDescent="0.25">
      <c r="A496" s="24" t="str">
        <f t="shared" si="113"/>
        <v/>
      </c>
      <c r="C496" s="36" t="str">
        <f t="shared" si="100"/>
        <v/>
      </c>
      <c r="D496" s="9"/>
      <c r="E496" s="27" t="str">
        <f t="shared" si="101"/>
        <v/>
      </c>
      <c r="F496" s="36" t="str">
        <f t="shared" si="102"/>
        <v/>
      </c>
      <c r="G496" s="29" t="str">
        <f t="shared" si="103"/>
        <v/>
      </c>
      <c r="H496" s="30" t="str">
        <f t="shared" si="104"/>
        <v/>
      </c>
      <c r="I496" s="31" t="str">
        <f t="shared" si="105"/>
        <v/>
      </c>
      <c r="J496" s="30" t="str">
        <f t="shared" si="106"/>
        <v/>
      </c>
      <c r="K496" s="36" t="str">
        <f t="shared" si="107"/>
        <v/>
      </c>
      <c r="L496" s="36" t="str">
        <f t="shared" si="108"/>
        <v/>
      </c>
      <c r="M496" s="36" t="str">
        <f t="shared" si="109"/>
        <v/>
      </c>
      <c r="N496" s="36" t="str">
        <f t="shared" si="110"/>
        <v/>
      </c>
      <c r="O496" s="69" t="str">
        <f>IFERROR(IF($C496="","",VLOOKUP($N496,Feriados!$A$4:$B$5000,2,FALSE)),"")</f>
        <v/>
      </c>
      <c r="P496" s="36" t="str">
        <f t="shared" si="111"/>
        <v/>
      </c>
      <c r="S496" s="62"/>
      <c r="T496" s="41"/>
      <c r="U496" s="73"/>
      <c r="V496" s="41" t="str">
        <f t="shared" si="112"/>
        <v/>
      </c>
    </row>
    <row r="497" spans="1:22" x14ac:dyDescent="0.25">
      <c r="A497" s="24" t="str">
        <f t="shared" si="113"/>
        <v/>
      </c>
      <c r="C497" s="36" t="str">
        <f t="shared" si="100"/>
        <v/>
      </c>
      <c r="D497" s="9"/>
      <c r="E497" s="27" t="str">
        <f t="shared" si="101"/>
        <v/>
      </c>
      <c r="F497" s="36" t="str">
        <f t="shared" si="102"/>
        <v/>
      </c>
      <c r="G497" s="29" t="str">
        <f t="shared" si="103"/>
        <v/>
      </c>
      <c r="H497" s="30" t="str">
        <f t="shared" si="104"/>
        <v/>
      </c>
      <c r="I497" s="31" t="str">
        <f t="shared" si="105"/>
        <v/>
      </c>
      <c r="J497" s="30" t="str">
        <f t="shared" si="106"/>
        <v/>
      </c>
      <c r="K497" s="36" t="str">
        <f t="shared" si="107"/>
        <v/>
      </c>
      <c r="L497" s="36" t="str">
        <f t="shared" si="108"/>
        <v/>
      </c>
      <c r="M497" s="36" t="str">
        <f t="shared" si="109"/>
        <v/>
      </c>
      <c r="N497" s="36" t="str">
        <f t="shared" si="110"/>
        <v/>
      </c>
      <c r="O497" s="69" t="str">
        <f>IFERROR(IF($C497="","",VLOOKUP($N497,Feriados!$A$4:$B$5000,2,FALSE)),"")</f>
        <v/>
      </c>
      <c r="P497" s="36" t="str">
        <f t="shared" si="111"/>
        <v/>
      </c>
      <c r="S497" s="62"/>
      <c r="T497" s="41"/>
      <c r="U497" s="73"/>
      <c r="V497" s="41" t="str">
        <f t="shared" si="112"/>
        <v/>
      </c>
    </row>
    <row r="498" spans="1:22" x14ac:dyDescent="0.25">
      <c r="A498" s="24" t="str">
        <f t="shared" si="113"/>
        <v/>
      </c>
      <c r="C498" s="36" t="str">
        <f t="shared" si="100"/>
        <v/>
      </c>
      <c r="D498" s="9"/>
      <c r="E498" s="27" t="str">
        <f t="shared" si="101"/>
        <v/>
      </c>
      <c r="F498" s="36" t="str">
        <f t="shared" si="102"/>
        <v/>
      </c>
      <c r="G498" s="29" t="str">
        <f t="shared" si="103"/>
        <v/>
      </c>
      <c r="H498" s="30" t="str">
        <f t="shared" si="104"/>
        <v/>
      </c>
      <c r="I498" s="31" t="str">
        <f t="shared" si="105"/>
        <v/>
      </c>
      <c r="J498" s="30" t="str">
        <f t="shared" si="106"/>
        <v/>
      </c>
      <c r="K498" s="36" t="str">
        <f t="shared" si="107"/>
        <v/>
      </c>
      <c r="L498" s="36" t="str">
        <f t="shared" si="108"/>
        <v/>
      </c>
      <c r="M498" s="36" t="str">
        <f t="shared" si="109"/>
        <v/>
      </c>
      <c r="N498" s="36" t="str">
        <f t="shared" si="110"/>
        <v/>
      </c>
      <c r="O498" s="69" t="str">
        <f>IFERROR(IF($C498="","",VLOOKUP($N498,Feriados!$A$4:$B$5000,2,FALSE)),"")</f>
        <v/>
      </c>
      <c r="P498" s="36" t="str">
        <f t="shared" si="111"/>
        <v/>
      </c>
      <c r="S498" s="62"/>
      <c r="T498" s="41"/>
      <c r="U498" s="73"/>
      <c r="V498" s="41" t="str">
        <f t="shared" si="112"/>
        <v/>
      </c>
    </row>
    <row r="499" spans="1:22" x14ac:dyDescent="0.25">
      <c r="A499" s="24" t="str">
        <f t="shared" si="113"/>
        <v/>
      </c>
      <c r="C499" s="36" t="str">
        <f t="shared" si="100"/>
        <v/>
      </c>
      <c r="D499" s="9"/>
      <c r="E499" s="27" t="str">
        <f t="shared" si="101"/>
        <v/>
      </c>
      <c r="F499" s="36" t="str">
        <f t="shared" si="102"/>
        <v/>
      </c>
      <c r="G499" s="29" t="str">
        <f t="shared" si="103"/>
        <v/>
      </c>
      <c r="H499" s="30" t="str">
        <f t="shared" si="104"/>
        <v/>
      </c>
      <c r="I499" s="31" t="str">
        <f t="shared" si="105"/>
        <v/>
      </c>
      <c r="J499" s="30" t="str">
        <f t="shared" si="106"/>
        <v/>
      </c>
      <c r="K499" s="36" t="str">
        <f t="shared" si="107"/>
        <v/>
      </c>
      <c r="L499" s="36" t="str">
        <f t="shared" si="108"/>
        <v/>
      </c>
      <c r="M499" s="36" t="str">
        <f t="shared" si="109"/>
        <v/>
      </c>
      <c r="N499" s="36" t="str">
        <f t="shared" si="110"/>
        <v/>
      </c>
      <c r="O499" s="69" t="str">
        <f>IFERROR(IF($C499="","",VLOOKUP($N499,Feriados!$A$4:$B$5000,2,FALSE)),"")</f>
        <v/>
      </c>
      <c r="P499" s="36" t="str">
        <f t="shared" si="111"/>
        <v/>
      </c>
      <c r="S499" s="62"/>
      <c r="T499" s="41"/>
      <c r="U499" s="73"/>
      <c r="V499" s="41" t="str">
        <f t="shared" si="112"/>
        <v/>
      </c>
    </row>
    <row r="500" spans="1:22" x14ac:dyDescent="0.25">
      <c r="A500" s="24" t="str">
        <f t="shared" si="113"/>
        <v/>
      </c>
      <c r="C500" s="36" t="str">
        <f t="shared" si="100"/>
        <v/>
      </c>
      <c r="D500" s="9"/>
      <c r="E500" s="27" t="str">
        <f t="shared" si="101"/>
        <v/>
      </c>
      <c r="F500" s="36" t="str">
        <f t="shared" si="102"/>
        <v/>
      </c>
      <c r="G500" s="29" t="str">
        <f t="shared" si="103"/>
        <v/>
      </c>
      <c r="H500" s="30" t="str">
        <f t="shared" si="104"/>
        <v/>
      </c>
      <c r="I500" s="31" t="str">
        <f t="shared" si="105"/>
        <v/>
      </c>
      <c r="J500" s="30" t="str">
        <f t="shared" si="106"/>
        <v/>
      </c>
      <c r="K500" s="36" t="str">
        <f t="shared" si="107"/>
        <v/>
      </c>
      <c r="L500" s="36" t="str">
        <f t="shared" si="108"/>
        <v/>
      </c>
      <c r="M500" s="36" t="str">
        <f t="shared" si="109"/>
        <v/>
      </c>
      <c r="N500" s="36" t="str">
        <f t="shared" si="110"/>
        <v/>
      </c>
      <c r="O500" s="69" t="str">
        <f>IFERROR(IF($C500="","",VLOOKUP($N500,Feriados!$A$4:$B$5000,2,FALSE)),"")</f>
        <v/>
      </c>
      <c r="P500" s="36" t="str">
        <f t="shared" si="111"/>
        <v/>
      </c>
      <c r="S500" s="62"/>
      <c r="T500" s="41"/>
      <c r="U500" s="73"/>
      <c r="V500" s="41" t="str">
        <f t="shared" si="112"/>
        <v/>
      </c>
    </row>
    <row r="501" spans="1:22" x14ac:dyDescent="0.25">
      <c r="A501" s="24" t="str">
        <f t="shared" si="113"/>
        <v/>
      </c>
      <c r="C501" s="36" t="str">
        <f>IFERROR(IF($B$17&lt;8,"",IF(ROW(A501)=19,0,IF(ROW(A501)=20,1,IF(C500+1&gt;$H$13,"",C500+1)))),"")</f>
        <v/>
      </c>
      <c r="E501" s="27" t="str">
        <f>IF(C501="","",IF(C501=0,$H$7,IF(C501=1,$H$9,P501+D501)))</f>
        <v/>
      </c>
      <c r="F501" s="36" t="str">
        <f t="shared" ref="F501" si="114">IF(C501="","",IF(C501=0,$K$7,J500))</f>
        <v/>
      </c>
      <c r="G501" s="29" t="str">
        <f t="shared" ref="G501" si="115">IF(C501="","",IF(C501=0,0,$E501-$E500))</f>
        <v/>
      </c>
      <c r="H501" s="30" t="str">
        <f>IF(C501="","",ROUND(F501*(((1+$K$11)^G501)-1),8))</f>
        <v/>
      </c>
      <c r="I501" s="31" t="str">
        <f t="shared" ref="I501" si="116">IF(C501="","",IF(C501=0,0,IF(AND($B$15=FALSE,C501&lt;=$H$11),0,IFERROR(IF(C501=VLOOKUP(C501,PV_ParcelasFixas,1,FALSE),-VLOOKUP(C501,PV_ParcelasFixas,2,FALSE)),IF(C501&lt;=$H$11,-H501,IF($K$5="SAC",-$K$8-H501,-$K$8))))))</f>
        <v/>
      </c>
      <c r="J501" s="30" t="str">
        <f t="shared" ref="J501" si="117">IF(C501="","",IF(AND(C501=0,B501=""),$F$19,J500+H501+I501))</f>
        <v/>
      </c>
      <c r="K501" s="36" t="str">
        <f t="shared" ref="K501" si="118">IF(C501="","",-H501+-I501)</f>
        <v/>
      </c>
      <c r="L501" s="36" t="str">
        <f t="shared" si="108"/>
        <v/>
      </c>
      <c r="M501" s="36" t="str">
        <f t="shared" si="109"/>
        <v/>
      </c>
      <c r="N501" s="36" t="str">
        <f t="shared" si="110"/>
        <v/>
      </c>
      <c r="O501" s="69" t="str">
        <f>IFERROR(IF($C501="","",VLOOKUP($N501,Feriados!$A$4:$B$5000,2,FALSE)),"")</f>
        <v/>
      </c>
      <c r="P501" s="36" t="str">
        <f t="shared" si="111"/>
        <v/>
      </c>
      <c r="S501" s="62"/>
      <c r="T501" s="41"/>
      <c r="U501" s="73"/>
      <c r="V501" s="41" t="str">
        <f t="shared" si="112"/>
        <v/>
      </c>
    </row>
  </sheetData>
  <sheetProtection algorithmName="SHA-512" hashValue="8YZSURB87SpRYp8j0Jwn3C/2NTmmuPu4WebRU+L4uW8DmkuR5zaMEq81wlUPzQNV+ex08xwNQhUb2t4laG0d4A==" saltValue="wxOSvTGKelqxNI4aZPOl0A==" spinCount="100000" sheet="1" objects="1" scenarios="1" selectLockedCells="1"/>
  <autoFilter ref="B18:B501" xr:uid="{00000000-0009-0000-0000-000001000000}"/>
  <sortState xmlns:xlrd2="http://schemas.microsoft.com/office/spreadsheetml/2017/richdata2" ref="A19:K92">
    <sortCondition ref="E19:E92"/>
  </sortState>
  <mergeCells count="24">
    <mergeCell ref="D17:F17"/>
    <mergeCell ref="C13:G13"/>
    <mergeCell ref="C12:G12"/>
    <mergeCell ref="I9:J9"/>
    <mergeCell ref="I10:J10"/>
    <mergeCell ref="I11:J11"/>
    <mergeCell ref="C16:K16"/>
    <mergeCell ref="I12:J13"/>
    <mergeCell ref="W4:Y7"/>
    <mergeCell ref="Q11:Q16"/>
    <mergeCell ref="I8:J8"/>
    <mergeCell ref="G5:J5"/>
    <mergeCell ref="G4:J4"/>
    <mergeCell ref="C11:G11"/>
    <mergeCell ref="C10:G10"/>
    <mergeCell ref="C9:G9"/>
    <mergeCell ref="C8:G8"/>
    <mergeCell ref="C7:G7"/>
    <mergeCell ref="S4:T4"/>
    <mergeCell ref="T5:T6"/>
    <mergeCell ref="S5:S6"/>
    <mergeCell ref="C4:E4"/>
    <mergeCell ref="I7:J7"/>
    <mergeCell ref="C5:E5"/>
  </mergeCells>
  <conditionalFormatting sqref="K21:K26 J22 J23:K501 C19:H501 J19:K21 K4:K5 C4:F5 C16 C2:K3 C6:J6 C18:K18 H8:H13 H7:K7 C7:C13 C17:D17 G17:K17">
    <cfRule type="expression" dxfId="32" priority="64">
      <formula>ISNUMBER($C2)</formula>
    </cfRule>
  </conditionalFormatting>
  <conditionalFormatting sqref="K5 K7 H11:H12 H7:H9">
    <cfRule type="expression" dxfId="31" priority="34">
      <formula>IF($C$5="SIMULAÇÃO",TRUE,FALSE)</formula>
    </cfRule>
  </conditionalFormatting>
  <conditionalFormatting sqref="D19:D501">
    <cfRule type="expression" dxfId="30" priority="25">
      <formula>$D19=0</formula>
    </cfRule>
  </conditionalFormatting>
  <conditionalFormatting sqref="I19:I501">
    <cfRule type="expression" dxfId="29" priority="22">
      <formula>ISNUMBER($C19)</formula>
    </cfRule>
  </conditionalFormatting>
  <conditionalFormatting sqref="K9">
    <cfRule type="expression" dxfId="28" priority="21">
      <formula>IF($C$5="SIMULAÇÃO",TRUE,FALSE)</formula>
    </cfRule>
  </conditionalFormatting>
  <conditionalFormatting sqref="V17">
    <cfRule type="expression" dxfId="27" priority="70">
      <formula>#REF!&lt;&gt;""</formula>
    </cfRule>
  </conditionalFormatting>
  <conditionalFormatting sqref="K9">
    <cfRule type="expression" dxfId="26" priority="72">
      <formula>ISNUMBER($C11)</formula>
    </cfRule>
  </conditionalFormatting>
  <conditionalFormatting sqref="I9">
    <cfRule type="expression" dxfId="25" priority="79">
      <formula>$S12&lt;&gt;""</formula>
    </cfRule>
  </conditionalFormatting>
  <conditionalFormatting sqref="K8">
    <cfRule type="expression" dxfId="24" priority="20">
      <formula>ISNUMBER($C13)</formula>
    </cfRule>
  </conditionalFormatting>
  <conditionalFormatting sqref="K8">
    <cfRule type="expression" dxfId="23" priority="19">
      <formula>IF($C$5="SIMULAÇÃO",TRUE,FALSE)</formula>
    </cfRule>
  </conditionalFormatting>
  <conditionalFormatting sqref="I11">
    <cfRule type="expression" dxfId="22" priority="81">
      <formula>$S15&lt;&gt;""</formula>
    </cfRule>
  </conditionalFormatting>
  <conditionalFormatting sqref="I8:J8">
    <cfRule type="expression" dxfId="21" priority="17">
      <formula>ISNUMBER($C12)</formula>
    </cfRule>
  </conditionalFormatting>
  <conditionalFormatting sqref="I8">
    <cfRule type="expression" dxfId="20" priority="18">
      <formula>$S17&lt;&gt;""</formula>
    </cfRule>
  </conditionalFormatting>
  <conditionalFormatting sqref="C16">
    <cfRule type="expression" dxfId="19" priority="83">
      <formula>$C$16="AGUARDANDO O PREENCHIMENTO DOS CAMPOS DE CÁLCULO ACIMA"</formula>
    </cfRule>
  </conditionalFormatting>
  <conditionalFormatting sqref="I9:J9">
    <cfRule type="expression" dxfId="18" priority="84">
      <formula>ISNUMBER($C8)</formula>
    </cfRule>
  </conditionalFormatting>
  <conditionalFormatting sqref="C16:K16">
    <cfRule type="expression" dxfId="17" priority="15">
      <formula>$C$16="CLIQUE EM UM DOS BOTÕES 'C' PARA QUE O CÁLCULO SEJA EXECUTADO"</formula>
    </cfRule>
  </conditionalFormatting>
  <conditionalFormatting sqref="I10:J11">
    <cfRule type="expression" dxfId="16" priority="85">
      <formula>ISNUMBER($C9)</formula>
    </cfRule>
  </conditionalFormatting>
  <conditionalFormatting sqref="K10:K11">
    <cfRule type="expression" dxfId="15" priority="86">
      <formula>ISNUMBER($C12)</formula>
    </cfRule>
  </conditionalFormatting>
  <conditionalFormatting sqref="I10">
    <cfRule type="expression" dxfId="14" priority="87">
      <formula>$S13&lt;&gt;""</formula>
    </cfRule>
  </conditionalFormatting>
  <conditionalFormatting sqref="N8">
    <cfRule type="expression" dxfId="13" priority="88">
      <formula>ISNUMBER($C6)</formula>
    </cfRule>
  </conditionalFormatting>
  <conditionalFormatting sqref="I12">
    <cfRule type="expression" dxfId="12" priority="13">
      <formula>$S17&lt;&gt;""</formula>
    </cfRule>
  </conditionalFormatting>
  <conditionalFormatting sqref="I12">
    <cfRule type="expression" dxfId="11" priority="14">
      <formula>ISNUMBER($C12)</formula>
    </cfRule>
  </conditionalFormatting>
  <conditionalFormatting sqref="K12">
    <cfRule type="expression" dxfId="10" priority="11">
      <formula>IF($C$5="SIMULAÇÃO",TRUE,FALSE)</formula>
    </cfRule>
  </conditionalFormatting>
  <conditionalFormatting sqref="K12">
    <cfRule type="expression" dxfId="9" priority="12">
      <formula>ISNUMBER($C15)</formula>
    </cfRule>
  </conditionalFormatting>
  <conditionalFormatting sqref="K13">
    <cfRule type="expression" dxfId="8" priority="10">
      <formula>ISNUMBER($C15)</formula>
    </cfRule>
  </conditionalFormatting>
  <conditionalFormatting sqref="D19:D20">
    <cfRule type="expression" dxfId="7" priority="9">
      <formula>$C19&lt;&gt;""</formula>
    </cfRule>
  </conditionalFormatting>
  <conditionalFormatting sqref="Q11:Q16">
    <cfRule type="expression" dxfId="6" priority="90">
      <formula>$Q$11&lt;&gt;""</formula>
    </cfRule>
  </conditionalFormatting>
  <conditionalFormatting sqref="S8:T40">
    <cfRule type="expression" dxfId="0" priority="1">
      <formula>$S7&lt;&gt;""</formula>
    </cfRule>
  </conditionalFormatting>
  <dataValidations count="13">
    <dataValidation type="list" allowBlank="1" showInputMessage="1" showErrorMessage="1" errorTitle="ERRO!!!" error="Escolha entre &quot;PRICE&quot; ou &quot;SAC&quot;." sqref="K5" xr:uid="{00000000-0002-0000-0100-000000000000}">
      <formula1>"SAC,TABELA PRICE"</formula1>
    </dataValidation>
    <dataValidation type="decimal" allowBlank="1" showInputMessage="1" showErrorMessage="1" errorTitle="ERRO!!!" error="Insira valores válidos." sqref="K9" xr:uid="{00000000-0002-0000-0100-000001000000}">
      <formula1>0.0001</formula1>
      <formula2>9999999999999</formula2>
    </dataValidation>
    <dataValidation allowBlank="1" showInputMessage="1" showErrorMessage="1" errorTitle="ERRO!!!" error="Insira um número inteiro que representa um das parcelas da operação." sqref="S34:S43" xr:uid="{00000000-0002-0000-0100-000002000000}"/>
    <dataValidation type="decimal" allowBlank="1" showInputMessage="1" showErrorMessage="1" errorTitle="ERRO!!!" error="Insira um valor válido." sqref="T26:T43" xr:uid="{00000000-0002-0000-0100-000003000000}">
      <formula1>1</formula1>
      <formula2>999999999999</formula2>
    </dataValidation>
    <dataValidation type="whole" allowBlank="1" showInputMessage="1" showErrorMessage="1" errorTitle="ERRO!!!" error="Registre número representanto temnpo em meses." sqref="H13" xr:uid="{00000000-0002-0000-0100-000004000000}">
      <formula1>1</formula1>
      <formula2>500</formula2>
    </dataValidation>
    <dataValidation type="whole" allowBlank="1" showInputMessage="1" showErrorMessage="1" errorTitle="ERRO!!!" error="Registre um número que represente o dia de referência do vencimento." sqref="H8" xr:uid="{00000000-0002-0000-0100-000005000000}">
      <formula1>1</formula1>
      <formula2>31</formula2>
    </dataValidation>
    <dataValidation type="date" allowBlank="1" showInputMessage="1" showErrorMessage="1" errorTitle="ERRO!!!" error="Insira data no formato &quot;dd/mm/aaaa&quot;." sqref="H7 H9:H10" xr:uid="{00000000-0002-0000-0100-000006000000}">
      <formula1>40179</formula1>
      <formula2>55153</formula2>
    </dataValidation>
    <dataValidation type="whole" allowBlank="1" showInputMessage="1" showErrorMessage="1" errorTitle="ERRO!!!" error="Registre um número que represente um tempo em meses." sqref="H12" xr:uid="{00000000-0002-0000-0100-000007000000}">
      <formula1>1</formula1>
      <formula2>500</formula2>
    </dataValidation>
    <dataValidation type="whole" allowBlank="1" showInputMessage="1" showErrorMessage="1" errorTitle="ERRO!!!" error="Registre número representanto temnpo em meses." sqref="H11" xr:uid="{00000000-0002-0000-0100-000008000000}">
      <formula1>0</formula1>
      <formula2>500</formula2>
    </dataValidation>
    <dataValidation type="decimal" allowBlank="1" showInputMessage="1" showErrorMessage="1" errorTitle="ERRO!" error="O dado digitado não é válido!_x000a_O valor deve ter sinal positivo!" sqref="K7:K8" xr:uid="{6A90A1BC-C9AB-474E-99C6-F614EDFD15FD}">
      <formula1>1</formula1>
      <formula2>999999999</formula2>
    </dataValidation>
    <dataValidation type="whole" allowBlank="1" showInputMessage="1" showErrorMessage="1" errorTitle="ERRO!!!" error="Insira um número inteiro que representa uma das parcelas da operação." sqref="S26:S33" xr:uid="{75E61A6F-9D6F-4841-B233-7BC9D845D85D}">
      <formula1>0</formula1>
      <formula2>360</formula2>
    </dataValidation>
    <dataValidation type="whole" allowBlank="1" showInputMessage="1" showErrorMessage="1" errorTitle="ERRO!!!" error="Insira um número inteiro que esteja dentro do período da operação." sqref="S7:S25" xr:uid="{4929930B-09CE-4D05-A281-FDB6722F1A4D}">
      <formula1>0</formula1>
      <formula2>$H$13</formula2>
    </dataValidation>
    <dataValidation type="decimal" allowBlank="1" showInputMessage="1" showErrorMessage="1" errorTitle="ERRO!" error="Registro inválido!" sqref="T7:T25" xr:uid="{07AB2660-607E-42A7-AF90-05BFBCF031BA}">
      <formula1>0</formula1>
      <formula2>$K$7</formula2>
    </dataValidation>
  </dataValidations>
  <printOptions horizontalCentered="1"/>
  <pageMargins left="0.27559055118110237" right="0.15748031496062992" top="0.57999999999999996" bottom="0.86" header="0.23622047244094491" footer="0.15748031496062992"/>
  <pageSetup paperSize="9" scale="93" fitToHeight="10" orientation="portrait" horizontalDpi="1200" verticalDpi="1200" r:id="rId1"/>
  <headerFooter>
    <oddHeader>&amp;C&amp;"-,Negrito"&amp;14CÁLCULO DA OPERAÇÃO DE CRÉDITO&amp;R&amp;P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OpcaoCarencia">
                <anchor moveWithCells="1">
                  <from>
                    <xdr:col>5</xdr:col>
                    <xdr:colOff>466725</xdr:colOff>
                    <xdr:row>9</xdr:row>
                    <xdr:rowOff>180975</xdr:rowOff>
                  </from>
                  <to>
                    <xdr:col>6</xdr:col>
                    <xdr:colOff>409575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84F5-27A4-4A3D-8A05-127210B798A1}">
  <sheetPr codeName="Sht_CustoReal">
    <tabColor theme="3" tint="0.39997558519241921"/>
    <pageSetUpPr fitToPage="1"/>
  </sheetPr>
  <dimension ref="A1:Y502"/>
  <sheetViews>
    <sheetView showGridLines="0" topLeftCell="A2" zoomScaleNormal="100" workbookViewId="0">
      <pane xSplit="9" ySplit="3" topLeftCell="J5" activePane="bottomRight" state="frozen"/>
      <selection activeCell="B2" sqref="B2"/>
      <selection pane="topRight" activeCell="I2" sqref="I2"/>
      <selection pane="bottomLeft" activeCell="B5" sqref="B5"/>
      <selection pane="bottomRight" activeCell="A2" sqref="A1:A1048576"/>
    </sheetView>
  </sheetViews>
  <sheetFormatPr defaultRowHeight="17.100000000000001" customHeight="1" x14ac:dyDescent="0.25"/>
  <cols>
    <col min="1" max="1" width="12.42578125" style="102" hidden="1" customWidth="1"/>
    <col min="2" max="2" width="2.140625" style="75" customWidth="1"/>
    <col min="3" max="3" width="19.28515625" style="75" customWidth="1"/>
    <col min="4" max="4" width="13.140625" style="75" customWidth="1"/>
    <col min="5" max="5" width="10.42578125" style="75" customWidth="1"/>
    <col min="6" max="6" width="7.42578125" style="76" customWidth="1"/>
    <col min="7" max="7" width="9.5703125" style="76" customWidth="1"/>
    <col min="8" max="8" width="9.5703125" style="91" customWidth="1"/>
    <col min="9" max="10" width="1.28515625" style="75" customWidth="1"/>
    <col min="11" max="11" width="6" style="81" bestFit="1" customWidth="1"/>
    <col min="12" max="12" width="6" style="81" customWidth="1"/>
    <col min="13" max="13" width="12.7109375" style="82" bestFit="1" customWidth="1"/>
    <col min="14" max="14" width="1.42578125" style="99" customWidth="1"/>
    <col min="15" max="15" width="7.7109375" style="83" bestFit="1" customWidth="1"/>
    <col min="16" max="16" width="9.5703125" style="80" bestFit="1" customWidth="1"/>
    <col min="17" max="17" width="13.28515625" style="77" bestFit="1" customWidth="1"/>
    <col min="18" max="18" width="0.85546875" style="79" customWidth="1"/>
    <col min="19" max="20" width="16.5703125" style="121" customWidth="1"/>
    <col min="21" max="21" width="0.85546875" style="78" customWidth="1"/>
    <col min="22" max="22" width="7.7109375" style="80" bestFit="1" customWidth="1"/>
    <col min="23" max="23" width="11.5703125" style="77" customWidth="1"/>
    <col min="24" max="24" width="9.140625" style="75"/>
    <col min="25" max="25" width="13.28515625" style="121" hidden="1" customWidth="1"/>
    <col min="26" max="16384" width="9.140625" style="75"/>
  </cols>
  <sheetData>
    <row r="1" spans="1:25" ht="17.100000000000001" hidden="1" customHeight="1" x14ac:dyDescent="0.25"/>
    <row r="2" spans="1:25" ht="9" customHeight="1" x14ac:dyDescent="0.25">
      <c r="F2" s="75"/>
      <c r="G2" s="75"/>
      <c r="H2" s="88"/>
      <c r="U2" s="89"/>
    </row>
    <row r="3" spans="1:25" ht="17.100000000000001" customHeight="1" x14ac:dyDescent="0.25">
      <c r="A3" s="102">
        <f>COUNT(O5:O501)+4</f>
        <v>4</v>
      </c>
      <c r="C3" s="173" t="s">
        <v>43</v>
      </c>
      <c r="D3" s="173"/>
      <c r="E3" s="173"/>
      <c r="F3" s="173"/>
      <c r="G3" s="173"/>
      <c r="H3" s="173"/>
      <c r="K3" s="201" t="s">
        <v>48</v>
      </c>
      <c r="L3" s="202"/>
      <c r="M3" s="203"/>
      <c r="N3" s="101"/>
      <c r="O3" s="201" t="s">
        <v>47</v>
      </c>
      <c r="P3" s="202"/>
      <c r="Q3" s="203"/>
      <c r="S3" s="207" t="s">
        <v>69</v>
      </c>
      <c r="T3" s="207"/>
      <c r="U3" s="89"/>
      <c r="V3" s="204" t="s">
        <v>49</v>
      </c>
      <c r="W3" s="205"/>
    </row>
    <row r="4" spans="1:25" ht="17.100000000000001" customHeight="1" x14ac:dyDescent="0.25">
      <c r="C4" s="206" t="s">
        <v>51</v>
      </c>
      <c r="D4" s="206"/>
      <c r="E4" s="206"/>
      <c r="F4" s="199" t="s">
        <v>12</v>
      </c>
      <c r="G4" s="200"/>
      <c r="H4" s="106" t="s">
        <v>52</v>
      </c>
      <c r="K4" s="107" t="s">
        <v>66</v>
      </c>
      <c r="L4" s="107" t="s">
        <v>5</v>
      </c>
      <c r="M4" s="108" t="s">
        <v>0</v>
      </c>
      <c r="N4" s="100"/>
      <c r="O4" s="109" t="s">
        <v>9</v>
      </c>
      <c r="P4" s="110" t="s">
        <v>39</v>
      </c>
      <c r="Q4" s="111" t="s">
        <v>12</v>
      </c>
      <c r="R4" s="86"/>
      <c r="S4" s="122" t="s">
        <v>12</v>
      </c>
      <c r="T4" s="122" t="s">
        <v>46</v>
      </c>
      <c r="U4" s="90"/>
      <c r="V4" s="110" t="s">
        <v>9</v>
      </c>
      <c r="W4" s="111" t="s">
        <v>12</v>
      </c>
      <c r="Y4" s="123"/>
    </row>
    <row r="5" spans="1:25" ht="17.100000000000001" customHeight="1" x14ac:dyDescent="0.25">
      <c r="A5" s="102">
        <v>5</v>
      </c>
      <c r="C5" s="187" t="s">
        <v>35</v>
      </c>
      <c r="D5" s="188"/>
      <c r="E5" s="189"/>
      <c r="F5" s="180"/>
      <c r="G5" s="181"/>
      <c r="H5" s="92">
        <f t="shared" ref="H5:H15" si="0">IFERROR(F5/$F$14,0)</f>
        <v>0</v>
      </c>
      <c r="K5" s="81" t="str">
        <f>IF(CÁLCULO!C19="","",CÁLCULO!C19)</f>
        <v/>
      </c>
      <c r="L5" s="81" t="str">
        <f>IF(K5="","","-")</f>
        <v/>
      </c>
      <c r="M5" s="82" t="str">
        <f>IF(CÁLCULO!E19="","",CÁLCULO!E19)</f>
        <v/>
      </c>
      <c r="O5" s="81" t="str">
        <f>IF(CÁLCULO!G19="","",CÁLCULO!G19)</f>
        <v/>
      </c>
      <c r="P5" s="80" t="str">
        <f>O5</f>
        <v/>
      </c>
      <c r="Q5" s="121" t="str">
        <f>IF(CÁLCULO!C19="","",F15)</f>
        <v/>
      </c>
      <c r="R5" s="87"/>
      <c r="S5" s="121" t="str">
        <f>IF(CÁLCULO!C19="","",Principal)</f>
        <v/>
      </c>
      <c r="T5" s="121" t="str">
        <f>S5</f>
        <v/>
      </c>
      <c r="U5" s="89"/>
      <c r="V5" s="113" t="str">
        <f>IF(CÁLCULO!C19="","",SUM(V6:V502))</f>
        <v/>
      </c>
      <c r="W5" s="114" t="str">
        <f>IF(CÁLCULO!C19="","",SUM(W6:W502))</f>
        <v/>
      </c>
      <c r="Y5" s="121" t="e">
        <f>Q5-F10+F13</f>
        <v>#VALUE!</v>
      </c>
    </row>
    <row r="6" spans="1:25" ht="17.100000000000001" customHeight="1" x14ac:dyDescent="0.25">
      <c r="A6" s="102">
        <v>0</v>
      </c>
      <c r="C6" s="187" t="s">
        <v>36</v>
      </c>
      <c r="D6" s="188"/>
      <c r="E6" s="189"/>
      <c r="F6" s="180"/>
      <c r="G6" s="181"/>
      <c r="H6" s="92">
        <f t="shared" si="0"/>
        <v>0</v>
      </c>
      <c r="K6" s="81" t="str">
        <f>IF(CÁLCULO!C20="","",CÁLCULO!C20)</f>
        <v/>
      </c>
      <c r="L6" s="81" t="str">
        <f t="shared" ref="L6:L69" si="1">IF(K6="","",IF(K6&lt;=TempoCarencia,"-",IF(K6=TempoCarencia+1,1,IF(L5&gt;0,L5+1,""))))</f>
        <v/>
      </c>
      <c r="M6" s="82" t="str">
        <f>IF(CÁLCULO!E20="","",CÁLCULO!E20)</f>
        <v/>
      </c>
      <c r="O6" s="81" t="str">
        <f>IF(CÁLCULO!G20="","",CÁLCULO!G20)</f>
        <v/>
      </c>
      <c r="P6" s="80" t="str">
        <f>IF(O6="","",O6+P5)</f>
        <v/>
      </c>
      <c r="Q6" s="121" t="str">
        <f>IF(CÁLCULO!I20="","",CÁLCULO!I20)</f>
        <v/>
      </c>
      <c r="R6" s="87"/>
      <c r="S6" s="121" t="str">
        <f t="shared" ref="S6:S69" si="2">IF(K6="","",PV(TxJurosAoDia,P6,,-Q6))</f>
        <v/>
      </c>
      <c r="T6" s="121" t="str">
        <f>IF(K6="","",T5+S6)</f>
        <v/>
      </c>
      <c r="U6" s="89"/>
      <c r="V6" s="80" t="str">
        <f t="shared" ref="V6:V68" si="3">IF(K6="","",IF(O6-(P6-365)&lt;0,0,IF(P6&gt;365,O6-(P6-365),O6)))</f>
        <v/>
      </c>
      <c r="W6" s="77" t="str">
        <f>IF(K6="","",SUM($S$5:S5)*$E$11*V6)</f>
        <v/>
      </c>
      <c r="Y6" s="121" t="str">
        <f>Q6</f>
        <v/>
      </c>
    </row>
    <row r="7" spans="1:25" ht="17.100000000000001" customHeight="1" x14ac:dyDescent="0.25">
      <c r="A7" s="102">
        <f>MaximoCalc-ContagemCalc</f>
        <v>5</v>
      </c>
      <c r="C7" s="187" t="s">
        <v>37</v>
      </c>
      <c r="D7" s="188"/>
      <c r="E7" s="189"/>
      <c r="F7" s="180"/>
      <c r="G7" s="181"/>
      <c r="H7" s="92">
        <f t="shared" si="0"/>
        <v>0</v>
      </c>
      <c r="K7" s="81" t="str">
        <f>IF(CÁLCULO!C21="","",CÁLCULO!C21)</f>
        <v/>
      </c>
      <c r="L7" s="81" t="str">
        <f t="shared" si="1"/>
        <v/>
      </c>
      <c r="M7" s="82" t="str">
        <f>IF(CÁLCULO!E21="","",CÁLCULO!E21)</f>
        <v/>
      </c>
      <c r="O7" s="81" t="str">
        <f>IF(CÁLCULO!G21="","",CÁLCULO!G21)</f>
        <v/>
      </c>
      <c r="P7" s="80" t="str">
        <f t="shared" ref="P7:P17" si="4">IF(O7="","",O7+P6)</f>
        <v/>
      </c>
      <c r="Q7" s="121" t="str">
        <f>IF(CÁLCULO!I21="","",CÁLCULO!I21)</f>
        <v/>
      </c>
      <c r="R7" s="87"/>
      <c r="S7" s="121" t="str">
        <f t="shared" si="2"/>
        <v/>
      </c>
      <c r="T7" s="121" t="str">
        <f t="shared" ref="T7:T70" si="5">IF(K7="","",T6+S7)</f>
        <v/>
      </c>
      <c r="U7" s="89"/>
      <c r="V7" s="80" t="str">
        <f t="shared" si="3"/>
        <v/>
      </c>
      <c r="W7" s="77" t="str">
        <f>IF(K7="","",SUM($S$5:S6)*$E$11*V7)</f>
        <v/>
      </c>
      <c r="Y7" s="121" t="str">
        <f t="shared" ref="Y7:Y70" si="6">Q7</f>
        <v/>
      </c>
    </row>
    <row r="8" spans="1:25" ht="17.100000000000001" customHeight="1" x14ac:dyDescent="0.25">
      <c r="C8" s="187" t="s">
        <v>65</v>
      </c>
      <c r="D8" s="188"/>
      <c r="E8" s="189"/>
      <c r="F8" s="180"/>
      <c r="G8" s="181"/>
      <c r="H8" s="92">
        <f t="shared" si="0"/>
        <v>0</v>
      </c>
      <c r="K8" s="81" t="str">
        <f>IF(CÁLCULO!C22="","",CÁLCULO!C22)</f>
        <v/>
      </c>
      <c r="L8" s="81" t="str">
        <f t="shared" si="1"/>
        <v/>
      </c>
      <c r="M8" s="82" t="str">
        <f>IF(CÁLCULO!E22="","",CÁLCULO!E22)</f>
        <v/>
      </c>
      <c r="O8" s="81" t="str">
        <f>IF(CÁLCULO!G22="","",CÁLCULO!G22)</f>
        <v/>
      </c>
      <c r="P8" s="80" t="str">
        <f t="shared" si="4"/>
        <v/>
      </c>
      <c r="Q8" s="121" t="str">
        <f>IF(CÁLCULO!I22="","",CÁLCULO!I22)</f>
        <v/>
      </c>
      <c r="R8" s="87"/>
      <c r="S8" s="121" t="str">
        <f t="shared" si="2"/>
        <v/>
      </c>
      <c r="T8" s="121" t="str">
        <f t="shared" si="5"/>
        <v/>
      </c>
      <c r="U8" s="89"/>
      <c r="V8" s="80" t="str">
        <f t="shared" si="3"/>
        <v/>
      </c>
      <c r="W8" s="77" t="str">
        <f>IF(K8="","",SUM($S$5:S7)*$E$11*V8)</f>
        <v/>
      </c>
      <c r="Y8" s="121" t="str">
        <f t="shared" si="6"/>
        <v/>
      </c>
    </row>
    <row r="9" spans="1:25" ht="17.100000000000001" customHeight="1" x14ac:dyDescent="0.25">
      <c r="C9" s="187" t="s">
        <v>38</v>
      </c>
      <c r="D9" s="188"/>
      <c r="E9" s="189"/>
      <c r="F9" s="180">
        <v>0</v>
      </c>
      <c r="G9" s="181"/>
      <c r="H9" s="92">
        <f t="shared" si="0"/>
        <v>0</v>
      </c>
      <c r="K9" s="81" t="str">
        <f>IF(CÁLCULO!C23="","",CÁLCULO!C23)</f>
        <v/>
      </c>
      <c r="L9" s="81" t="str">
        <f t="shared" si="1"/>
        <v/>
      </c>
      <c r="M9" s="82" t="str">
        <f>IF(CÁLCULO!E23="","",CÁLCULO!E23)</f>
        <v/>
      </c>
      <c r="O9" s="81" t="str">
        <f>IF(CÁLCULO!G23="","",CÁLCULO!G23)</f>
        <v/>
      </c>
      <c r="P9" s="80" t="str">
        <f t="shared" si="4"/>
        <v/>
      </c>
      <c r="Q9" s="121" t="str">
        <f>IF(CÁLCULO!I23="","",CÁLCULO!I23)</f>
        <v/>
      </c>
      <c r="R9" s="87"/>
      <c r="S9" s="121" t="str">
        <f t="shared" si="2"/>
        <v/>
      </c>
      <c r="T9" s="121" t="str">
        <f t="shared" si="5"/>
        <v/>
      </c>
      <c r="U9" s="89"/>
      <c r="V9" s="80" t="str">
        <f t="shared" si="3"/>
        <v/>
      </c>
      <c r="W9" s="77" t="str">
        <f>IF(K9="","",SUM($S$5:S8)*$E$11*V9)</f>
        <v/>
      </c>
      <c r="Y9" s="121" t="str">
        <f t="shared" si="6"/>
        <v/>
      </c>
    </row>
    <row r="10" spans="1:25" ht="17.100000000000001" customHeight="1" x14ac:dyDescent="0.25">
      <c r="C10" s="182" t="s">
        <v>54</v>
      </c>
      <c r="D10" s="183"/>
      <c r="E10" s="184"/>
      <c r="F10" s="178">
        <f>SUM(F5:F9)</f>
        <v>0</v>
      </c>
      <c r="G10" s="179"/>
      <c r="H10" s="93">
        <f t="shared" si="0"/>
        <v>0</v>
      </c>
      <c r="K10" s="81" t="str">
        <f>IF(CÁLCULO!C24="","",CÁLCULO!C24)</f>
        <v/>
      </c>
      <c r="L10" s="81" t="str">
        <f t="shared" si="1"/>
        <v/>
      </c>
      <c r="M10" s="82" t="str">
        <f>IF(CÁLCULO!E24="","",CÁLCULO!E24)</f>
        <v/>
      </c>
      <c r="O10" s="81" t="str">
        <f>IF(CÁLCULO!G24="","",CÁLCULO!G24)</f>
        <v/>
      </c>
      <c r="P10" s="80" t="str">
        <f t="shared" si="4"/>
        <v/>
      </c>
      <c r="Q10" s="121" t="str">
        <f>IF(CÁLCULO!I24="","",CÁLCULO!I24)</f>
        <v/>
      </c>
      <c r="R10" s="87"/>
      <c r="S10" s="121" t="str">
        <f t="shared" si="2"/>
        <v/>
      </c>
      <c r="T10" s="121" t="str">
        <f t="shared" si="5"/>
        <v/>
      </c>
      <c r="U10" s="89"/>
      <c r="V10" s="80" t="str">
        <f t="shared" si="3"/>
        <v/>
      </c>
      <c r="W10" s="77" t="str">
        <f>IF(K10="","",SUM($S$5:S9)*$E$11*V10)</f>
        <v/>
      </c>
      <c r="Y10" s="121" t="str">
        <f t="shared" si="6"/>
        <v/>
      </c>
    </row>
    <row r="11" spans="1:25" ht="17.100000000000001" customHeight="1" x14ac:dyDescent="0.25">
      <c r="A11" s="102" t="b">
        <v>1</v>
      </c>
      <c r="C11" s="185"/>
      <c r="D11" s="84" t="s">
        <v>40</v>
      </c>
      <c r="E11" s="85">
        <f>IF(A12=1,0.0082%,0.0041%)</f>
        <v>4.1E-5</v>
      </c>
      <c r="F11" s="197">
        <f>IF(K5="",0,IF(A11=TRUE,W5,0))</f>
        <v>0</v>
      </c>
      <c r="G11" s="198"/>
      <c r="H11" s="92">
        <f t="shared" si="0"/>
        <v>0</v>
      </c>
      <c r="K11" s="81" t="str">
        <f>IF(CÁLCULO!C25="","",CÁLCULO!C25)</f>
        <v/>
      </c>
      <c r="L11" s="81" t="str">
        <f t="shared" si="1"/>
        <v/>
      </c>
      <c r="M11" s="82" t="str">
        <f>IF(CÁLCULO!E25="","",CÁLCULO!E25)</f>
        <v/>
      </c>
      <c r="O11" s="81" t="str">
        <f>IF(CÁLCULO!G25="","",CÁLCULO!G25)</f>
        <v/>
      </c>
      <c r="P11" s="80" t="str">
        <f t="shared" si="4"/>
        <v/>
      </c>
      <c r="Q11" s="121" t="str">
        <f>IF(CÁLCULO!I25="","",CÁLCULO!I25)</f>
        <v/>
      </c>
      <c r="R11" s="87"/>
      <c r="S11" s="121" t="str">
        <f t="shared" si="2"/>
        <v/>
      </c>
      <c r="T11" s="121" t="str">
        <f t="shared" si="5"/>
        <v/>
      </c>
      <c r="U11" s="89"/>
      <c r="V11" s="80" t="str">
        <f t="shared" si="3"/>
        <v/>
      </c>
      <c r="W11" s="77" t="str">
        <f>IF(K11="","",SUM($S$5:S10)*$E$11*V11)</f>
        <v/>
      </c>
      <c r="Y11" s="121" t="str">
        <f t="shared" si="6"/>
        <v/>
      </c>
    </row>
    <row r="12" spans="1:25" ht="17.100000000000001" customHeight="1" x14ac:dyDescent="0.25">
      <c r="A12" s="102">
        <v>2</v>
      </c>
      <c r="C12" s="186"/>
      <c r="D12" s="84" t="s">
        <v>41</v>
      </c>
      <c r="E12" s="85">
        <v>3.8E-3</v>
      </c>
      <c r="F12" s="197">
        <f>IF(A11=TRUE,Principal*E12,0)</f>
        <v>0</v>
      </c>
      <c r="G12" s="198"/>
      <c r="H12" s="92">
        <f t="shared" si="0"/>
        <v>0</v>
      </c>
      <c r="K12" s="81" t="str">
        <f>IF(CÁLCULO!C26="","",CÁLCULO!C26)</f>
        <v/>
      </c>
      <c r="L12" s="81" t="str">
        <f t="shared" si="1"/>
        <v/>
      </c>
      <c r="M12" s="82" t="str">
        <f>IF(CÁLCULO!E26="","",CÁLCULO!E26)</f>
        <v/>
      </c>
      <c r="O12" s="81" t="str">
        <f>IF(CÁLCULO!G26="","",CÁLCULO!G26)</f>
        <v/>
      </c>
      <c r="P12" s="80" t="str">
        <f t="shared" si="4"/>
        <v/>
      </c>
      <c r="Q12" s="121" t="str">
        <f>IF(CÁLCULO!I26="","",CÁLCULO!I26)</f>
        <v/>
      </c>
      <c r="R12" s="87"/>
      <c r="S12" s="121" t="str">
        <f t="shared" si="2"/>
        <v/>
      </c>
      <c r="T12" s="121" t="str">
        <f t="shared" si="5"/>
        <v/>
      </c>
      <c r="U12" s="89"/>
      <c r="V12" s="80" t="str">
        <f t="shared" si="3"/>
        <v/>
      </c>
      <c r="W12" s="77" t="str">
        <f>IF(K12="","",SUM($S$5:S11)*$E$11*V12)</f>
        <v/>
      </c>
      <c r="Y12" s="121" t="str">
        <f t="shared" si="6"/>
        <v/>
      </c>
    </row>
    <row r="13" spans="1:25" ht="17.100000000000001" customHeight="1" x14ac:dyDescent="0.25">
      <c r="C13" s="182" t="s">
        <v>55</v>
      </c>
      <c r="D13" s="183"/>
      <c r="E13" s="184"/>
      <c r="F13" s="178">
        <f>SUM(F10:F12)</f>
        <v>0</v>
      </c>
      <c r="G13" s="179"/>
      <c r="H13" s="93">
        <f t="shared" si="0"/>
        <v>0</v>
      </c>
      <c r="K13" s="81" t="str">
        <f>IF(CÁLCULO!C27="","",CÁLCULO!C27)</f>
        <v/>
      </c>
      <c r="L13" s="81" t="str">
        <f t="shared" si="1"/>
        <v/>
      </c>
      <c r="M13" s="82" t="str">
        <f>IF(CÁLCULO!E27="","",CÁLCULO!E27)</f>
        <v/>
      </c>
      <c r="O13" s="81" t="str">
        <f>IF(CÁLCULO!G27="","",CÁLCULO!G27)</f>
        <v/>
      </c>
      <c r="P13" s="80" t="str">
        <f t="shared" si="4"/>
        <v/>
      </c>
      <c r="Q13" s="121" t="str">
        <f>IF(CÁLCULO!I27="","",CÁLCULO!I27)</f>
        <v/>
      </c>
      <c r="R13" s="87"/>
      <c r="S13" s="121" t="str">
        <f t="shared" si="2"/>
        <v/>
      </c>
      <c r="T13" s="121" t="str">
        <f t="shared" si="5"/>
        <v/>
      </c>
      <c r="U13" s="89"/>
      <c r="V13" s="80" t="str">
        <f t="shared" si="3"/>
        <v/>
      </c>
      <c r="W13" s="77" t="str">
        <f>IF(K13="","",SUM($S$5:S12)*$E$11*V13)</f>
        <v/>
      </c>
      <c r="Y13" s="121" t="str">
        <f t="shared" si="6"/>
        <v/>
      </c>
    </row>
    <row r="14" spans="1:25" ht="17.100000000000001" customHeight="1" x14ac:dyDescent="0.25">
      <c r="C14" s="187" t="s">
        <v>42</v>
      </c>
      <c r="D14" s="188"/>
      <c r="E14" s="189"/>
      <c r="F14" s="195">
        <f>Principal</f>
        <v>0</v>
      </c>
      <c r="G14" s="196"/>
      <c r="H14" s="92">
        <f t="shared" si="0"/>
        <v>0</v>
      </c>
      <c r="K14" s="81" t="str">
        <f>IF(CÁLCULO!C28="","",CÁLCULO!C28)</f>
        <v/>
      </c>
      <c r="L14" s="81" t="str">
        <f t="shared" si="1"/>
        <v/>
      </c>
      <c r="M14" s="82" t="str">
        <f>IF(CÁLCULO!E28="","",CÁLCULO!E28)</f>
        <v/>
      </c>
      <c r="O14" s="81" t="str">
        <f>IF(CÁLCULO!G28="","",CÁLCULO!G28)</f>
        <v/>
      </c>
      <c r="P14" s="80" t="str">
        <f t="shared" si="4"/>
        <v/>
      </c>
      <c r="Q14" s="121" t="str">
        <f>IF(CÁLCULO!I28="","",CÁLCULO!I28)</f>
        <v/>
      </c>
      <c r="R14" s="87"/>
      <c r="S14" s="121" t="str">
        <f t="shared" si="2"/>
        <v/>
      </c>
      <c r="T14" s="121" t="str">
        <f t="shared" si="5"/>
        <v/>
      </c>
      <c r="U14" s="89"/>
      <c r="V14" s="80" t="str">
        <f t="shared" si="3"/>
        <v/>
      </c>
      <c r="W14" s="77" t="str">
        <f>IF(K14="","",SUM($S$5:S13)*$E$11*V14)</f>
        <v/>
      </c>
      <c r="Y14" s="121" t="str">
        <f t="shared" si="6"/>
        <v/>
      </c>
    </row>
    <row r="15" spans="1:25" ht="17.100000000000001" customHeight="1" x14ac:dyDescent="0.25">
      <c r="C15" s="190" t="s">
        <v>44</v>
      </c>
      <c r="D15" s="191"/>
      <c r="E15" s="192"/>
      <c r="F15" s="193">
        <f>F14-F13</f>
        <v>0</v>
      </c>
      <c r="G15" s="194"/>
      <c r="H15" s="93">
        <f t="shared" si="0"/>
        <v>0</v>
      </c>
      <c r="K15" s="81" t="str">
        <f>IF(CÁLCULO!C29="","",CÁLCULO!C29)</f>
        <v/>
      </c>
      <c r="L15" s="81" t="str">
        <f t="shared" si="1"/>
        <v/>
      </c>
      <c r="M15" s="82" t="str">
        <f>IF(CÁLCULO!E29="","",CÁLCULO!E29)</f>
        <v/>
      </c>
      <c r="O15" s="81" t="str">
        <f>IF(CÁLCULO!G29="","",CÁLCULO!G29)</f>
        <v/>
      </c>
      <c r="P15" s="80" t="str">
        <f t="shared" si="4"/>
        <v/>
      </c>
      <c r="Q15" s="121" t="str">
        <f>IF(CÁLCULO!I29="","",CÁLCULO!I29)</f>
        <v/>
      </c>
      <c r="R15" s="87"/>
      <c r="S15" s="121" t="str">
        <f t="shared" si="2"/>
        <v/>
      </c>
      <c r="T15" s="121" t="str">
        <f t="shared" si="5"/>
        <v/>
      </c>
      <c r="U15" s="89"/>
      <c r="V15" s="80" t="str">
        <f t="shared" si="3"/>
        <v/>
      </c>
      <c r="W15" s="77" t="str">
        <f>IF(K15="","",SUM($S$5:S14)*$E$11*V15)</f>
        <v/>
      </c>
      <c r="Y15" s="121" t="str">
        <f t="shared" si="6"/>
        <v/>
      </c>
    </row>
    <row r="16" spans="1:25" ht="17.100000000000001" customHeight="1" x14ac:dyDescent="0.25">
      <c r="K16" s="81" t="str">
        <f>IF(CÁLCULO!C30="","",CÁLCULO!C30)</f>
        <v/>
      </c>
      <c r="L16" s="81" t="str">
        <f t="shared" si="1"/>
        <v/>
      </c>
      <c r="M16" s="82" t="str">
        <f>IF(CÁLCULO!E30="","",CÁLCULO!E30)</f>
        <v/>
      </c>
      <c r="O16" s="81" t="str">
        <f>IF(CÁLCULO!G30="","",CÁLCULO!G30)</f>
        <v/>
      </c>
      <c r="P16" s="80" t="str">
        <f t="shared" si="4"/>
        <v/>
      </c>
      <c r="Q16" s="121" t="str">
        <f>IF(CÁLCULO!I30="","",CÁLCULO!I30)</f>
        <v/>
      </c>
      <c r="R16" s="87"/>
      <c r="S16" s="121" t="str">
        <f t="shared" si="2"/>
        <v/>
      </c>
      <c r="T16" s="121" t="str">
        <f t="shared" si="5"/>
        <v/>
      </c>
      <c r="U16" s="89"/>
      <c r="V16" s="80" t="str">
        <f t="shared" si="3"/>
        <v/>
      </c>
      <c r="W16" s="77" t="str">
        <f>IF(K16="","",SUM($S$5:S15)*$E$11*V16)</f>
        <v/>
      </c>
      <c r="Y16" s="121" t="str">
        <f t="shared" si="6"/>
        <v/>
      </c>
    </row>
    <row r="17" spans="3:25" ht="17.100000000000001" customHeight="1" x14ac:dyDescent="0.25">
      <c r="C17" s="173" t="s">
        <v>45</v>
      </c>
      <c r="D17" s="173"/>
      <c r="E17" s="173"/>
      <c r="F17" s="173"/>
      <c r="G17" s="124" t="s">
        <v>67</v>
      </c>
      <c r="H17" s="125" t="s">
        <v>68</v>
      </c>
      <c r="K17" s="81" t="str">
        <f>IF(CÁLCULO!C31="","",CÁLCULO!C31)</f>
        <v/>
      </c>
      <c r="L17" s="81" t="str">
        <f t="shared" si="1"/>
        <v/>
      </c>
      <c r="M17" s="82" t="str">
        <f>IF(CÁLCULO!E31="","",CÁLCULO!E31)</f>
        <v/>
      </c>
      <c r="O17" s="81" t="str">
        <f>IF(CÁLCULO!G31="","",CÁLCULO!G31)</f>
        <v/>
      </c>
      <c r="P17" s="80" t="str">
        <f t="shared" si="4"/>
        <v/>
      </c>
      <c r="Q17" s="121" t="str">
        <f>IF(CÁLCULO!I31="","",CÁLCULO!I31)</f>
        <v/>
      </c>
      <c r="R17" s="87"/>
      <c r="S17" s="121" t="str">
        <f t="shared" si="2"/>
        <v/>
      </c>
      <c r="T17" s="121" t="str">
        <f t="shared" si="5"/>
        <v/>
      </c>
      <c r="U17" s="89"/>
      <c r="V17" s="80" t="str">
        <f t="shared" si="3"/>
        <v/>
      </c>
      <c r="W17" s="77" t="str">
        <f>IF(K17="","",SUM($S$5:S16)*$E$11*V17)</f>
        <v/>
      </c>
      <c r="Y17" s="121" t="str">
        <f t="shared" si="6"/>
        <v/>
      </c>
    </row>
    <row r="18" spans="3:25" ht="17.100000000000001" customHeight="1" x14ac:dyDescent="0.25">
      <c r="C18" s="177" t="s">
        <v>72</v>
      </c>
      <c r="D18" s="177"/>
      <c r="E18" s="177"/>
      <c r="F18" s="177"/>
      <c r="G18" s="126">
        <f>Taxa</f>
        <v>0</v>
      </c>
      <c r="H18" s="127">
        <f>(1+G18)^12-1</f>
        <v>0</v>
      </c>
      <c r="K18" s="81" t="str">
        <f>IF(CÁLCULO!C32="","",CÁLCULO!C32)</f>
        <v/>
      </c>
      <c r="L18" s="81" t="str">
        <f t="shared" si="1"/>
        <v/>
      </c>
      <c r="M18" s="82" t="str">
        <f>IF(CÁLCULO!E32="","",CÁLCULO!E32)</f>
        <v/>
      </c>
      <c r="O18" s="81" t="str">
        <f>IF(CÁLCULO!G32="","",CÁLCULO!G32)</f>
        <v/>
      </c>
      <c r="P18" s="80" t="str">
        <f t="shared" ref="P18:P81" si="7">IF(O18="","",O18+P17)</f>
        <v/>
      </c>
      <c r="Q18" s="121" t="str">
        <f>IF(CÁLCULO!I32="","",CÁLCULO!I32)</f>
        <v/>
      </c>
      <c r="R18" s="87"/>
      <c r="S18" s="121" t="str">
        <f t="shared" si="2"/>
        <v/>
      </c>
      <c r="T18" s="121" t="str">
        <f t="shared" si="5"/>
        <v/>
      </c>
      <c r="U18" s="89"/>
      <c r="V18" s="80" t="str">
        <f t="shared" si="3"/>
        <v/>
      </c>
      <c r="W18" s="77" t="str">
        <f>IF(K18="","",SUM($S$5:S17)*$E$11*V18)</f>
        <v/>
      </c>
      <c r="Y18" s="121" t="str">
        <f t="shared" si="6"/>
        <v/>
      </c>
    </row>
    <row r="19" spans="3:25" ht="17.100000000000001" customHeight="1" x14ac:dyDescent="0.25">
      <c r="C19" s="177" t="s">
        <v>63</v>
      </c>
      <c r="D19" s="177"/>
      <c r="E19" s="177"/>
      <c r="F19" s="177"/>
      <c r="G19" s="126">
        <f>IF(CÁLCULO!K12="",0,CÁLCULO!K12)</f>
        <v>0</v>
      </c>
      <c r="H19" s="127">
        <f>(1+G19)^12-1</f>
        <v>0</v>
      </c>
      <c r="K19" s="81" t="str">
        <f>IF(CÁLCULO!C33="","",CÁLCULO!C33)</f>
        <v/>
      </c>
      <c r="L19" s="81" t="str">
        <f t="shared" si="1"/>
        <v/>
      </c>
      <c r="M19" s="82" t="str">
        <f>IF(CÁLCULO!E33="","",CÁLCULO!E33)</f>
        <v/>
      </c>
      <c r="O19" s="81" t="str">
        <f>IF(CÁLCULO!G33="","",CÁLCULO!G33)</f>
        <v/>
      </c>
      <c r="P19" s="80" t="str">
        <f t="shared" si="7"/>
        <v/>
      </c>
      <c r="Q19" s="121" t="str">
        <f>IF(CÁLCULO!I33="","",CÁLCULO!I33)</f>
        <v/>
      </c>
      <c r="R19" s="87"/>
      <c r="S19" s="121" t="str">
        <f t="shared" si="2"/>
        <v/>
      </c>
      <c r="T19" s="121" t="str">
        <f t="shared" si="5"/>
        <v/>
      </c>
      <c r="U19" s="89"/>
      <c r="V19" s="80" t="str">
        <f t="shared" si="3"/>
        <v/>
      </c>
      <c r="W19" s="77" t="str">
        <f>IF(K19="","",SUM($S$5:S18)*$E$11*V19)</f>
        <v/>
      </c>
      <c r="Y19" s="121" t="str">
        <f t="shared" si="6"/>
        <v/>
      </c>
    </row>
    <row r="20" spans="3:25" ht="17.100000000000001" customHeight="1" x14ac:dyDescent="0.25">
      <c r="C20" s="176" t="s">
        <v>50</v>
      </c>
      <c r="D20" s="176"/>
      <c r="E20" s="176"/>
      <c r="F20" s="176"/>
      <c r="G20" s="131">
        <f>IFERROR(IRR(Y5:Y502),0)</f>
        <v>0</v>
      </c>
      <c r="H20" s="132">
        <f>(1+G20)^12-1</f>
        <v>0</v>
      </c>
      <c r="K20" s="81" t="str">
        <f>IF(CÁLCULO!C34="","",CÁLCULO!C34)</f>
        <v/>
      </c>
      <c r="L20" s="81" t="str">
        <f t="shared" si="1"/>
        <v/>
      </c>
      <c r="M20" s="82" t="str">
        <f>IF(CÁLCULO!E34="","",CÁLCULO!E34)</f>
        <v/>
      </c>
      <c r="O20" s="81" t="str">
        <f>IF(CÁLCULO!G34="","",CÁLCULO!G34)</f>
        <v/>
      </c>
      <c r="P20" s="80" t="str">
        <f t="shared" si="7"/>
        <v/>
      </c>
      <c r="Q20" s="121" t="str">
        <f>IF(CÁLCULO!I34="","",CÁLCULO!I34)</f>
        <v/>
      </c>
      <c r="R20" s="87"/>
      <c r="S20" s="121" t="str">
        <f t="shared" si="2"/>
        <v/>
      </c>
      <c r="T20" s="121" t="str">
        <f t="shared" si="5"/>
        <v/>
      </c>
      <c r="U20" s="89"/>
      <c r="V20" s="80" t="str">
        <f t="shared" si="3"/>
        <v/>
      </c>
      <c r="W20" s="77" t="str">
        <f>IF(K20="","",SUM($S$5:S19)*$E$11*V20)</f>
        <v/>
      </c>
      <c r="Y20" s="121" t="str">
        <f t="shared" si="6"/>
        <v/>
      </c>
    </row>
    <row r="21" spans="3:25" ht="17.100000000000001" customHeight="1" x14ac:dyDescent="0.25">
      <c r="C21" s="175" t="s">
        <v>62</v>
      </c>
      <c r="D21" s="175"/>
      <c r="E21" s="175"/>
      <c r="F21" s="175"/>
      <c r="G21" s="133">
        <f>IF(K5="",0,IRR(Q5:Q502))</f>
        <v>0</v>
      </c>
      <c r="H21" s="134">
        <f>IF(G21="","",(1+G21)^12-1)</f>
        <v>0</v>
      </c>
      <c r="K21" s="81" t="str">
        <f>IF(CÁLCULO!C35="","",CÁLCULO!C35)</f>
        <v/>
      </c>
      <c r="L21" s="81" t="str">
        <f t="shared" si="1"/>
        <v/>
      </c>
      <c r="M21" s="82" t="str">
        <f>IF(CÁLCULO!E35="","",CÁLCULO!E35)</f>
        <v/>
      </c>
      <c r="O21" s="81" t="str">
        <f>IF(CÁLCULO!G35="","",CÁLCULO!G35)</f>
        <v/>
      </c>
      <c r="P21" s="80" t="str">
        <f t="shared" si="7"/>
        <v/>
      </c>
      <c r="Q21" s="121" t="str">
        <f>IF(CÁLCULO!I35="","",CÁLCULO!I35)</f>
        <v/>
      </c>
      <c r="R21" s="87"/>
      <c r="S21" s="121" t="str">
        <f t="shared" si="2"/>
        <v/>
      </c>
      <c r="T21" s="121" t="str">
        <f t="shared" si="5"/>
        <v/>
      </c>
      <c r="U21" s="89"/>
      <c r="V21" s="80" t="str">
        <f t="shared" si="3"/>
        <v/>
      </c>
      <c r="W21" s="77" t="str">
        <f>IF(K21="","",SUM($S$5:S20)*$E$11*V21)</f>
        <v/>
      </c>
      <c r="Y21" s="121" t="str">
        <f t="shared" si="6"/>
        <v/>
      </c>
    </row>
    <row r="22" spans="3:25" ht="17.100000000000001" customHeight="1" x14ac:dyDescent="0.25">
      <c r="K22" s="81" t="str">
        <f>IF(CÁLCULO!C36="","",CÁLCULO!C36)</f>
        <v/>
      </c>
      <c r="L22" s="81" t="str">
        <f t="shared" si="1"/>
        <v/>
      </c>
      <c r="M22" s="82" t="str">
        <f>IF(CÁLCULO!E36="","",CÁLCULO!E36)</f>
        <v/>
      </c>
      <c r="O22" s="81" t="str">
        <f>IF(CÁLCULO!G36="","",CÁLCULO!G36)</f>
        <v/>
      </c>
      <c r="P22" s="80" t="str">
        <f t="shared" si="7"/>
        <v/>
      </c>
      <c r="Q22" s="121" t="str">
        <f>IF(CÁLCULO!I36="","",CÁLCULO!I36)</f>
        <v/>
      </c>
      <c r="R22" s="87"/>
      <c r="S22" s="121" t="str">
        <f t="shared" si="2"/>
        <v/>
      </c>
      <c r="T22" s="121" t="str">
        <f t="shared" si="5"/>
        <v/>
      </c>
      <c r="U22" s="89"/>
      <c r="V22" s="80" t="str">
        <f t="shared" si="3"/>
        <v/>
      </c>
      <c r="W22" s="77" t="str">
        <f>IF(K22="","",SUM($S$5:S21)*$E$11*V22)</f>
        <v/>
      </c>
      <c r="Y22" s="121" t="str">
        <f t="shared" si="6"/>
        <v/>
      </c>
    </row>
    <row r="23" spans="3:25" ht="17.100000000000001" customHeight="1" x14ac:dyDescent="0.25">
      <c r="C23" s="173" t="str">
        <f>"SALDO DEVEDOR NO VENCTO. DE UMA PARCELA, ENTRE 1 E "&amp;CÁLCULO!$H$13</f>
        <v xml:space="preserve">SALDO DEVEDOR NO VENCTO. DE UMA PARCELA, ENTRE 1 E </v>
      </c>
      <c r="D23" s="173"/>
      <c r="E23" s="173"/>
      <c r="F23" s="173"/>
      <c r="G23" s="173"/>
      <c r="H23" s="173"/>
      <c r="K23" s="81" t="str">
        <f>IF(CÁLCULO!C37="","",CÁLCULO!C37)</f>
        <v/>
      </c>
      <c r="L23" s="81" t="str">
        <f t="shared" si="1"/>
        <v/>
      </c>
      <c r="M23" s="82" t="str">
        <f>IF(CÁLCULO!E37="","",CÁLCULO!E37)</f>
        <v/>
      </c>
      <c r="O23" s="81" t="str">
        <f>IF(CÁLCULO!G37="","",CÁLCULO!G37)</f>
        <v/>
      </c>
      <c r="P23" s="80" t="str">
        <f t="shared" si="7"/>
        <v/>
      </c>
      <c r="Q23" s="121" t="str">
        <f>IF(CÁLCULO!I37="","",CÁLCULO!I37)</f>
        <v/>
      </c>
      <c r="R23" s="87"/>
      <c r="S23" s="121" t="str">
        <f t="shared" si="2"/>
        <v/>
      </c>
      <c r="T23" s="121" t="str">
        <f t="shared" si="5"/>
        <v/>
      </c>
      <c r="U23" s="89"/>
      <c r="V23" s="80" t="str">
        <f t="shared" si="3"/>
        <v/>
      </c>
      <c r="W23" s="77" t="str">
        <f>IF(K23="","",SUM($S$5:S22)*$E$11*V23)</f>
        <v/>
      </c>
      <c r="Y23" s="121" t="str">
        <f t="shared" si="6"/>
        <v/>
      </c>
    </row>
    <row r="24" spans="3:25" ht="17.100000000000001" customHeight="1" x14ac:dyDescent="0.25">
      <c r="C24" s="103" t="s">
        <v>53</v>
      </c>
      <c r="D24" s="105"/>
      <c r="E24" s="171" t="str">
        <f>IF(D24="","",VLOOKUP(D24,$K$5:$T$502,3,FALSE))</f>
        <v/>
      </c>
      <c r="F24" s="172"/>
      <c r="G24" s="174" t="str">
        <f>IF(D24="","",VLOOKUP(D24,$K$5:$T$502,10,FALSE))</f>
        <v/>
      </c>
      <c r="H24" s="174"/>
      <c r="K24" s="81" t="str">
        <f>IF(CÁLCULO!C38="","",CÁLCULO!C38)</f>
        <v/>
      </c>
      <c r="L24" s="81" t="str">
        <f t="shared" si="1"/>
        <v/>
      </c>
      <c r="M24" s="82" t="str">
        <f>IF(CÁLCULO!E38="","",CÁLCULO!E38)</f>
        <v/>
      </c>
      <c r="O24" s="81" t="str">
        <f>IF(CÁLCULO!G38="","",CÁLCULO!G38)</f>
        <v/>
      </c>
      <c r="P24" s="80" t="str">
        <f t="shared" si="7"/>
        <v/>
      </c>
      <c r="Q24" s="121" t="str">
        <f>IF(CÁLCULO!I38="","",CÁLCULO!I38)</f>
        <v/>
      </c>
      <c r="R24" s="87"/>
      <c r="S24" s="121" t="str">
        <f t="shared" si="2"/>
        <v/>
      </c>
      <c r="T24" s="121" t="str">
        <f t="shared" si="5"/>
        <v/>
      </c>
      <c r="U24" s="89"/>
      <c r="V24" s="80" t="str">
        <f t="shared" si="3"/>
        <v/>
      </c>
      <c r="W24" s="77" t="str">
        <f>IF(K24="","",SUM($S$5:S23)*$E$11*V24)</f>
        <v/>
      </c>
      <c r="Y24" s="121" t="str">
        <f t="shared" si="6"/>
        <v/>
      </c>
    </row>
    <row r="25" spans="3:25" ht="17.100000000000001" customHeight="1" x14ac:dyDescent="0.25">
      <c r="K25" s="81" t="str">
        <f>IF(CÁLCULO!C39="","",CÁLCULO!C39)</f>
        <v/>
      </c>
      <c r="L25" s="81" t="str">
        <f t="shared" si="1"/>
        <v/>
      </c>
      <c r="M25" s="82" t="str">
        <f>IF(CÁLCULO!E39="","",CÁLCULO!E39)</f>
        <v/>
      </c>
      <c r="O25" s="81" t="str">
        <f>IF(CÁLCULO!G39="","",CÁLCULO!G39)</f>
        <v/>
      </c>
      <c r="P25" s="80" t="str">
        <f t="shared" si="7"/>
        <v/>
      </c>
      <c r="Q25" s="121" t="str">
        <f>IF(CÁLCULO!I39="","",CÁLCULO!I39)</f>
        <v/>
      </c>
      <c r="R25" s="87"/>
      <c r="S25" s="121" t="str">
        <f t="shared" si="2"/>
        <v/>
      </c>
      <c r="T25" s="121" t="str">
        <f t="shared" si="5"/>
        <v/>
      </c>
      <c r="U25" s="89"/>
      <c r="V25" s="80" t="str">
        <f t="shared" si="3"/>
        <v/>
      </c>
      <c r="W25" s="77" t="str">
        <f>IF(K25="","",SUM($S$5:S24)*$E$11*V25)</f>
        <v/>
      </c>
      <c r="Y25" s="121" t="str">
        <f t="shared" si="6"/>
        <v/>
      </c>
    </row>
    <row r="26" spans="3:25" ht="17.100000000000001" customHeight="1" x14ac:dyDescent="0.25">
      <c r="K26" s="81" t="str">
        <f>IF(CÁLCULO!C40="","",CÁLCULO!C40)</f>
        <v/>
      </c>
      <c r="L26" s="81" t="str">
        <f t="shared" si="1"/>
        <v/>
      </c>
      <c r="M26" s="82" t="str">
        <f>IF(CÁLCULO!E40="","",CÁLCULO!E40)</f>
        <v/>
      </c>
      <c r="O26" s="81" t="str">
        <f>IF(CÁLCULO!G40="","",CÁLCULO!G40)</f>
        <v/>
      </c>
      <c r="P26" s="80" t="str">
        <f t="shared" si="7"/>
        <v/>
      </c>
      <c r="Q26" s="121" t="str">
        <f>IF(CÁLCULO!I40="","",CÁLCULO!I40)</f>
        <v/>
      </c>
      <c r="R26" s="87"/>
      <c r="S26" s="121" t="str">
        <f t="shared" si="2"/>
        <v/>
      </c>
      <c r="T26" s="121" t="str">
        <f t="shared" si="5"/>
        <v/>
      </c>
      <c r="U26" s="89"/>
      <c r="V26" s="80" t="str">
        <f t="shared" si="3"/>
        <v/>
      </c>
      <c r="W26" s="77" t="str">
        <f>IF(K26="","",SUM($S$5:S25)*$E$11*V26)</f>
        <v/>
      </c>
      <c r="Y26" s="121" t="str">
        <f t="shared" si="6"/>
        <v/>
      </c>
    </row>
    <row r="27" spans="3:25" ht="17.100000000000001" customHeight="1" x14ac:dyDescent="0.25">
      <c r="K27" s="81" t="str">
        <f>IF(CÁLCULO!C41="","",CÁLCULO!C41)</f>
        <v/>
      </c>
      <c r="L27" s="81" t="str">
        <f t="shared" si="1"/>
        <v/>
      </c>
      <c r="M27" s="82" t="str">
        <f>IF(CÁLCULO!E41="","",CÁLCULO!E41)</f>
        <v/>
      </c>
      <c r="O27" s="81" t="str">
        <f>IF(CÁLCULO!G41="","",CÁLCULO!G41)</f>
        <v/>
      </c>
      <c r="P27" s="80" t="str">
        <f t="shared" si="7"/>
        <v/>
      </c>
      <c r="Q27" s="121" t="str">
        <f>IF(CÁLCULO!I41="","",CÁLCULO!I41)</f>
        <v/>
      </c>
      <c r="R27" s="87"/>
      <c r="S27" s="121" t="str">
        <f t="shared" si="2"/>
        <v/>
      </c>
      <c r="T27" s="121" t="str">
        <f t="shared" si="5"/>
        <v/>
      </c>
      <c r="U27" s="89"/>
      <c r="V27" s="80" t="str">
        <f t="shared" si="3"/>
        <v/>
      </c>
      <c r="W27" s="77" t="str">
        <f>IF(K27="","",SUM($S$5:S26)*$E$11*V27)</f>
        <v/>
      </c>
      <c r="Y27" s="121" t="str">
        <f t="shared" si="6"/>
        <v/>
      </c>
    </row>
    <row r="28" spans="3:25" ht="17.100000000000001" customHeight="1" x14ac:dyDescent="0.25">
      <c r="K28" s="81" t="str">
        <f>IF(CÁLCULO!C42="","",CÁLCULO!C42)</f>
        <v/>
      </c>
      <c r="L28" s="81" t="str">
        <f t="shared" si="1"/>
        <v/>
      </c>
      <c r="M28" s="82" t="str">
        <f>IF(CÁLCULO!E42="","",CÁLCULO!E42)</f>
        <v/>
      </c>
      <c r="O28" s="81" t="str">
        <f>IF(CÁLCULO!G42="","",CÁLCULO!G42)</f>
        <v/>
      </c>
      <c r="P28" s="80" t="str">
        <f t="shared" si="7"/>
        <v/>
      </c>
      <c r="Q28" s="121" t="str">
        <f>IF(CÁLCULO!I42="","",CÁLCULO!I42)</f>
        <v/>
      </c>
      <c r="R28" s="87"/>
      <c r="S28" s="121" t="str">
        <f t="shared" si="2"/>
        <v/>
      </c>
      <c r="T28" s="121" t="str">
        <f t="shared" si="5"/>
        <v/>
      </c>
      <c r="U28" s="89"/>
      <c r="V28" s="80" t="str">
        <f t="shared" si="3"/>
        <v/>
      </c>
      <c r="W28" s="77" t="str">
        <f>IF(K28="","",SUM($S$5:S27)*$E$11*V28)</f>
        <v/>
      </c>
      <c r="Y28" s="121" t="str">
        <f t="shared" si="6"/>
        <v/>
      </c>
    </row>
    <row r="29" spans="3:25" ht="17.100000000000001" customHeight="1" x14ac:dyDescent="0.25">
      <c r="K29" s="81" t="str">
        <f>IF(CÁLCULO!C43="","",CÁLCULO!C43)</f>
        <v/>
      </c>
      <c r="L29" s="81" t="str">
        <f t="shared" si="1"/>
        <v/>
      </c>
      <c r="M29" s="82" t="str">
        <f>IF(CÁLCULO!E43="","",CÁLCULO!E43)</f>
        <v/>
      </c>
      <c r="O29" s="81" t="str">
        <f>IF(CÁLCULO!G43="","",CÁLCULO!G43)</f>
        <v/>
      </c>
      <c r="P29" s="80" t="str">
        <f t="shared" si="7"/>
        <v/>
      </c>
      <c r="Q29" s="121" t="str">
        <f>IF(CÁLCULO!I43="","",CÁLCULO!I43)</f>
        <v/>
      </c>
      <c r="R29" s="87"/>
      <c r="S29" s="121" t="str">
        <f t="shared" si="2"/>
        <v/>
      </c>
      <c r="T29" s="121" t="str">
        <f t="shared" si="5"/>
        <v/>
      </c>
      <c r="U29" s="89"/>
      <c r="V29" s="80" t="str">
        <f t="shared" si="3"/>
        <v/>
      </c>
      <c r="W29" s="77" t="str">
        <f>IF(K29="","",SUM($S$5:S28)*$E$11*V29)</f>
        <v/>
      </c>
      <c r="Y29" s="121" t="str">
        <f t="shared" si="6"/>
        <v/>
      </c>
    </row>
    <row r="30" spans="3:25" ht="17.100000000000001" customHeight="1" x14ac:dyDescent="0.25">
      <c r="K30" s="81" t="str">
        <f>IF(CÁLCULO!C44="","",CÁLCULO!C44)</f>
        <v/>
      </c>
      <c r="L30" s="81" t="str">
        <f t="shared" si="1"/>
        <v/>
      </c>
      <c r="M30" s="82" t="str">
        <f>IF(CÁLCULO!E44="","",CÁLCULO!E44)</f>
        <v/>
      </c>
      <c r="O30" s="81" t="str">
        <f>IF(CÁLCULO!G44="","",CÁLCULO!G44)</f>
        <v/>
      </c>
      <c r="P30" s="80" t="str">
        <f t="shared" si="7"/>
        <v/>
      </c>
      <c r="Q30" s="121" t="str">
        <f>IF(CÁLCULO!I44="","",CÁLCULO!I44)</f>
        <v/>
      </c>
      <c r="R30" s="87"/>
      <c r="S30" s="121" t="str">
        <f t="shared" si="2"/>
        <v/>
      </c>
      <c r="T30" s="121" t="str">
        <f t="shared" si="5"/>
        <v/>
      </c>
      <c r="U30" s="89"/>
      <c r="V30" s="80" t="str">
        <f t="shared" si="3"/>
        <v/>
      </c>
      <c r="W30" s="77" t="str">
        <f>IF(K30="","",SUM($S$5:S29)*$E$11*V30)</f>
        <v/>
      </c>
      <c r="Y30" s="121" t="str">
        <f t="shared" si="6"/>
        <v/>
      </c>
    </row>
    <row r="31" spans="3:25" ht="17.100000000000001" customHeight="1" x14ac:dyDescent="0.25">
      <c r="K31" s="81" t="str">
        <f>IF(CÁLCULO!C45="","",CÁLCULO!C45)</f>
        <v/>
      </c>
      <c r="L31" s="81" t="str">
        <f t="shared" si="1"/>
        <v/>
      </c>
      <c r="M31" s="82" t="str">
        <f>IF(CÁLCULO!E45="","",CÁLCULO!E45)</f>
        <v/>
      </c>
      <c r="O31" s="81" t="str">
        <f>IF(CÁLCULO!G45="","",CÁLCULO!G45)</f>
        <v/>
      </c>
      <c r="P31" s="80" t="str">
        <f t="shared" si="7"/>
        <v/>
      </c>
      <c r="Q31" s="121" t="str">
        <f>IF(CÁLCULO!I45="","",CÁLCULO!I45)</f>
        <v/>
      </c>
      <c r="R31" s="87"/>
      <c r="S31" s="121" t="str">
        <f t="shared" si="2"/>
        <v/>
      </c>
      <c r="T31" s="121" t="str">
        <f t="shared" si="5"/>
        <v/>
      </c>
      <c r="U31" s="89"/>
      <c r="V31" s="80" t="str">
        <f t="shared" si="3"/>
        <v/>
      </c>
      <c r="W31" s="77" t="str">
        <f>IF(K31="","",SUM($S$5:S30)*$E$11*V31)</f>
        <v/>
      </c>
      <c r="Y31" s="121" t="str">
        <f t="shared" si="6"/>
        <v/>
      </c>
    </row>
    <row r="32" spans="3:25" ht="17.100000000000001" customHeight="1" x14ac:dyDescent="0.25">
      <c r="K32" s="81" t="str">
        <f>IF(CÁLCULO!C46="","",CÁLCULO!C46)</f>
        <v/>
      </c>
      <c r="L32" s="81" t="str">
        <f t="shared" si="1"/>
        <v/>
      </c>
      <c r="M32" s="82" t="str">
        <f>IF(CÁLCULO!E46="","",CÁLCULO!E46)</f>
        <v/>
      </c>
      <c r="O32" s="81" t="str">
        <f>IF(CÁLCULO!G46="","",CÁLCULO!G46)</f>
        <v/>
      </c>
      <c r="P32" s="80" t="str">
        <f t="shared" si="7"/>
        <v/>
      </c>
      <c r="Q32" s="121" t="str">
        <f>IF(CÁLCULO!I46="","",CÁLCULO!I46)</f>
        <v/>
      </c>
      <c r="R32" s="87"/>
      <c r="S32" s="121" t="str">
        <f t="shared" si="2"/>
        <v/>
      </c>
      <c r="T32" s="121" t="str">
        <f t="shared" si="5"/>
        <v/>
      </c>
      <c r="U32" s="89"/>
      <c r="V32" s="80" t="str">
        <f t="shared" si="3"/>
        <v/>
      </c>
      <c r="W32" s="77" t="str">
        <f>IF(K32="","",SUM($S$5:S31)*$E$11*V32)</f>
        <v/>
      </c>
      <c r="Y32" s="121" t="str">
        <f t="shared" si="6"/>
        <v/>
      </c>
    </row>
    <row r="33" spans="11:25" ht="17.100000000000001" customHeight="1" x14ac:dyDescent="0.25">
      <c r="K33" s="81" t="str">
        <f>IF(CÁLCULO!C47="","",CÁLCULO!C47)</f>
        <v/>
      </c>
      <c r="L33" s="81" t="str">
        <f t="shared" si="1"/>
        <v/>
      </c>
      <c r="M33" s="82" t="str">
        <f>IF(CÁLCULO!E47="","",CÁLCULO!E47)</f>
        <v/>
      </c>
      <c r="O33" s="81" t="str">
        <f>IF(CÁLCULO!G47="","",CÁLCULO!G47)</f>
        <v/>
      </c>
      <c r="P33" s="80" t="str">
        <f t="shared" si="7"/>
        <v/>
      </c>
      <c r="Q33" s="121" t="str">
        <f>IF(CÁLCULO!I47="","",CÁLCULO!I47)</f>
        <v/>
      </c>
      <c r="R33" s="87"/>
      <c r="S33" s="121" t="str">
        <f t="shared" si="2"/>
        <v/>
      </c>
      <c r="T33" s="121" t="str">
        <f t="shared" si="5"/>
        <v/>
      </c>
      <c r="U33" s="89"/>
      <c r="V33" s="80" t="str">
        <f t="shared" si="3"/>
        <v/>
      </c>
      <c r="W33" s="77" t="str">
        <f>IF(K33="","",SUM($S$5:S32)*$E$11*V33)</f>
        <v/>
      </c>
      <c r="Y33" s="121" t="str">
        <f t="shared" si="6"/>
        <v/>
      </c>
    </row>
    <row r="34" spans="11:25" ht="17.100000000000001" customHeight="1" x14ac:dyDescent="0.25">
      <c r="K34" s="81" t="str">
        <f>IF(CÁLCULO!C48="","",CÁLCULO!C48)</f>
        <v/>
      </c>
      <c r="L34" s="81" t="str">
        <f t="shared" si="1"/>
        <v/>
      </c>
      <c r="M34" s="82" t="str">
        <f>IF(CÁLCULO!E48="","",CÁLCULO!E48)</f>
        <v/>
      </c>
      <c r="O34" s="81" t="str">
        <f>IF(CÁLCULO!G48="","",CÁLCULO!G48)</f>
        <v/>
      </c>
      <c r="P34" s="80" t="str">
        <f t="shared" si="7"/>
        <v/>
      </c>
      <c r="Q34" s="121" t="str">
        <f>IF(CÁLCULO!I48="","",CÁLCULO!I48)</f>
        <v/>
      </c>
      <c r="R34" s="87"/>
      <c r="S34" s="121" t="str">
        <f t="shared" si="2"/>
        <v/>
      </c>
      <c r="T34" s="121" t="str">
        <f t="shared" si="5"/>
        <v/>
      </c>
      <c r="U34" s="89"/>
      <c r="V34" s="80" t="str">
        <f t="shared" si="3"/>
        <v/>
      </c>
      <c r="W34" s="77" t="str">
        <f>IF(K34="","",SUM($S$5:S33)*$E$11*V34)</f>
        <v/>
      </c>
      <c r="Y34" s="121" t="str">
        <f t="shared" si="6"/>
        <v/>
      </c>
    </row>
    <row r="35" spans="11:25" ht="17.100000000000001" customHeight="1" x14ac:dyDescent="0.25">
      <c r="K35" s="81" t="str">
        <f>IF(CÁLCULO!C49="","",CÁLCULO!C49)</f>
        <v/>
      </c>
      <c r="L35" s="81" t="str">
        <f t="shared" si="1"/>
        <v/>
      </c>
      <c r="M35" s="82" t="str">
        <f>IF(CÁLCULO!E49="","",CÁLCULO!E49)</f>
        <v/>
      </c>
      <c r="O35" s="81" t="str">
        <f>IF(CÁLCULO!G49="","",CÁLCULO!G49)</f>
        <v/>
      </c>
      <c r="P35" s="80" t="str">
        <f t="shared" si="7"/>
        <v/>
      </c>
      <c r="Q35" s="121" t="str">
        <f>IF(CÁLCULO!I49="","",CÁLCULO!I49)</f>
        <v/>
      </c>
      <c r="R35" s="87"/>
      <c r="S35" s="121" t="str">
        <f t="shared" si="2"/>
        <v/>
      </c>
      <c r="T35" s="121" t="str">
        <f t="shared" si="5"/>
        <v/>
      </c>
      <c r="U35" s="89"/>
      <c r="V35" s="80" t="str">
        <f t="shared" si="3"/>
        <v/>
      </c>
      <c r="W35" s="77" t="str">
        <f>IF(K35="","",SUM($S$5:S34)*$E$11*V35)</f>
        <v/>
      </c>
      <c r="Y35" s="121" t="str">
        <f t="shared" si="6"/>
        <v/>
      </c>
    </row>
    <row r="36" spans="11:25" ht="17.100000000000001" customHeight="1" x14ac:dyDescent="0.25">
      <c r="K36" s="81" t="str">
        <f>IF(CÁLCULO!C50="","",CÁLCULO!C50)</f>
        <v/>
      </c>
      <c r="L36" s="81" t="str">
        <f t="shared" si="1"/>
        <v/>
      </c>
      <c r="M36" s="82" t="str">
        <f>IF(CÁLCULO!E50="","",CÁLCULO!E50)</f>
        <v/>
      </c>
      <c r="O36" s="81" t="str">
        <f>IF(CÁLCULO!G50="","",CÁLCULO!G50)</f>
        <v/>
      </c>
      <c r="P36" s="80" t="str">
        <f t="shared" si="7"/>
        <v/>
      </c>
      <c r="Q36" s="121" t="str">
        <f>IF(CÁLCULO!I50="","",CÁLCULO!I50)</f>
        <v/>
      </c>
      <c r="R36" s="87"/>
      <c r="S36" s="121" t="str">
        <f t="shared" si="2"/>
        <v/>
      </c>
      <c r="T36" s="121" t="str">
        <f t="shared" si="5"/>
        <v/>
      </c>
      <c r="U36" s="89"/>
      <c r="V36" s="80" t="str">
        <f t="shared" si="3"/>
        <v/>
      </c>
      <c r="W36" s="77" t="str">
        <f>IF(K36="","",SUM($S$5:S35)*$E$11*V36)</f>
        <v/>
      </c>
      <c r="Y36" s="121" t="str">
        <f t="shared" si="6"/>
        <v/>
      </c>
    </row>
    <row r="37" spans="11:25" ht="17.100000000000001" customHeight="1" x14ac:dyDescent="0.25">
      <c r="K37" s="81" t="str">
        <f>IF(CÁLCULO!C51="","",CÁLCULO!C51)</f>
        <v/>
      </c>
      <c r="L37" s="81" t="str">
        <f t="shared" si="1"/>
        <v/>
      </c>
      <c r="M37" s="82" t="str">
        <f>IF(CÁLCULO!E51="","",CÁLCULO!E51)</f>
        <v/>
      </c>
      <c r="O37" s="81" t="str">
        <f>IF(CÁLCULO!G51="","",CÁLCULO!G51)</f>
        <v/>
      </c>
      <c r="P37" s="80" t="str">
        <f t="shared" si="7"/>
        <v/>
      </c>
      <c r="Q37" s="121" t="str">
        <f>IF(CÁLCULO!I51="","",CÁLCULO!I51)</f>
        <v/>
      </c>
      <c r="R37" s="87"/>
      <c r="S37" s="121" t="str">
        <f t="shared" si="2"/>
        <v/>
      </c>
      <c r="T37" s="121" t="str">
        <f t="shared" si="5"/>
        <v/>
      </c>
      <c r="U37" s="89"/>
      <c r="V37" s="80" t="str">
        <f t="shared" si="3"/>
        <v/>
      </c>
      <c r="W37" s="77" t="str">
        <f>IF(K37="","",SUM($S$5:S36)*$E$11*V37)</f>
        <v/>
      </c>
      <c r="Y37" s="121" t="str">
        <f t="shared" si="6"/>
        <v/>
      </c>
    </row>
    <row r="38" spans="11:25" ht="17.100000000000001" customHeight="1" x14ac:dyDescent="0.25">
      <c r="K38" s="81" t="str">
        <f>IF(CÁLCULO!C52="","",CÁLCULO!C52)</f>
        <v/>
      </c>
      <c r="L38" s="81" t="str">
        <f t="shared" si="1"/>
        <v/>
      </c>
      <c r="M38" s="82" t="str">
        <f>IF(CÁLCULO!E52="","",CÁLCULO!E52)</f>
        <v/>
      </c>
      <c r="O38" s="81" t="str">
        <f>IF(CÁLCULO!G52="","",CÁLCULO!G52)</f>
        <v/>
      </c>
      <c r="P38" s="80" t="str">
        <f t="shared" si="7"/>
        <v/>
      </c>
      <c r="Q38" s="121" t="str">
        <f>IF(CÁLCULO!I52="","",CÁLCULO!I52)</f>
        <v/>
      </c>
      <c r="R38" s="87"/>
      <c r="S38" s="121" t="str">
        <f t="shared" si="2"/>
        <v/>
      </c>
      <c r="T38" s="121" t="str">
        <f t="shared" si="5"/>
        <v/>
      </c>
      <c r="U38" s="89"/>
      <c r="V38" s="80" t="str">
        <f t="shared" si="3"/>
        <v/>
      </c>
      <c r="W38" s="77" t="str">
        <f>IF(K38="","",SUM($S$5:S37)*$E$11*V38)</f>
        <v/>
      </c>
      <c r="Y38" s="121" t="str">
        <f t="shared" si="6"/>
        <v/>
      </c>
    </row>
    <row r="39" spans="11:25" ht="17.100000000000001" customHeight="1" x14ac:dyDescent="0.25">
      <c r="K39" s="81" t="str">
        <f>IF(CÁLCULO!C53="","",CÁLCULO!C53)</f>
        <v/>
      </c>
      <c r="L39" s="81" t="str">
        <f t="shared" si="1"/>
        <v/>
      </c>
      <c r="M39" s="82" t="str">
        <f>IF(CÁLCULO!E53="","",CÁLCULO!E53)</f>
        <v/>
      </c>
      <c r="O39" s="81" t="str">
        <f>IF(CÁLCULO!G53="","",CÁLCULO!G53)</f>
        <v/>
      </c>
      <c r="P39" s="80" t="str">
        <f t="shared" si="7"/>
        <v/>
      </c>
      <c r="Q39" s="121" t="str">
        <f>IF(CÁLCULO!I53="","",CÁLCULO!I53)</f>
        <v/>
      </c>
      <c r="R39" s="87"/>
      <c r="S39" s="121" t="str">
        <f t="shared" si="2"/>
        <v/>
      </c>
      <c r="T39" s="121" t="str">
        <f t="shared" si="5"/>
        <v/>
      </c>
      <c r="U39" s="89"/>
      <c r="V39" s="80" t="str">
        <f t="shared" si="3"/>
        <v/>
      </c>
      <c r="W39" s="77" t="str">
        <f>IF(K39="","",SUM($S$5:S38)*$E$11*V39)</f>
        <v/>
      </c>
      <c r="Y39" s="121" t="str">
        <f t="shared" si="6"/>
        <v/>
      </c>
    </row>
    <row r="40" spans="11:25" ht="17.100000000000001" customHeight="1" x14ac:dyDescent="0.25">
      <c r="K40" s="81" t="str">
        <f>IF(CÁLCULO!C54="","",CÁLCULO!C54)</f>
        <v/>
      </c>
      <c r="L40" s="81" t="str">
        <f t="shared" si="1"/>
        <v/>
      </c>
      <c r="M40" s="82" t="str">
        <f>IF(CÁLCULO!E54="","",CÁLCULO!E54)</f>
        <v/>
      </c>
      <c r="O40" s="81" t="str">
        <f>IF(CÁLCULO!G54="","",CÁLCULO!G54)</f>
        <v/>
      </c>
      <c r="P40" s="80" t="str">
        <f t="shared" si="7"/>
        <v/>
      </c>
      <c r="Q40" s="121" t="str">
        <f>IF(CÁLCULO!I54="","",CÁLCULO!I54)</f>
        <v/>
      </c>
      <c r="R40" s="87"/>
      <c r="S40" s="121" t="str">
        <f t="shared" si="2"/>
        <v/>
      </c>
      <c r="T40" s="121" t="str">
        <f t="shared" si="5"/>
        <v/>
      </c>
      <c r="U40" s="89"/>
      <c r="V40" s="80" t="str">
        <f t="shared" si="3"/>
        <v/>
      </c>
      <c r="W40" s="77" t="str">
        <f>IF(K40="","",SUM($S$5:S39)*$E$11*V40)</f>
        <v/>
      </c>
      <c r="Y40" s="121" t="str">
        <f t="shared" si="6"/>
        <v/>
      </c>
    </row>
    <row r="41" spans="11:25" ht="17.100000000000001" customHeight="1" x14ac:dyDescent="0.25">
      <c r="K41" s="81" t="str">
        <f>IF(CÁLCULO!C55="","",CÁLCULO!C55)</f>
        <v/>
      </c>
      <c r="L41" s="81" t="str">
        <f t="shared" si="1"/>
        <v/>
      </c>
      <c r="M41" s="82" t="str">
        <f>IF(CÁLCULO!E55="","",CÁLCULO!E55)</f>
        <v/>
      </c>
      <c r="O41" s="81" t="str">
        <f>IF(CÁLCULO!G55="","",CÁLCULO!G55)</f>
        <v/>
      </c>
      <c r="P41" s="80" t="str">
        <f t="shared" si="7"/>
        <v/>
      </c>
      <c r="Q41" s="121" t="str">
        <f>IF(CÁLCULO!I55="","",CÁLCULO!I55)</f>
        <v/>
      </c>
      <c r="R41" s="87"/>
      <c r="S41" s="121" t="str">
        <f t="shared" si="2"/>
        <v/>
      </c>
      <c r="T41" s="121" t="str">
        <f t="shared" si="5"/>
        <v/>
      </c>
      <c r="U41" s="89"/>
      <c r="V41" s="80" t="str">
        <f t="shared" si="3"/>
        <v/>
      </c>
      <c r="W41" s="77" t="str">
        <f>IF(K41="","",SUM($S$5:S40)*$E$11*V41)</f>
        <v/>
      </c>
      <c r="Y41" s="121" t="str">
        <f t="shared" si="6"/>
        <v/>
      </c>
    </row>
    <row r="42" spans="11:25" ht="17.100000000000001" customHeight="1" x14ac:dyDescent="0.25">
      <c r="K42" s="81" t="str">
        <f>IF(CÁLCULO!C56="","",CÁLCULO!C56)</f>
        <v/>
      </c>
      <c r="L42" s="81" t="str">
        <f t="shared" si="1"/>
        <v/>
      </c>
      <c r="M42" s="82" t="str">
        <f>IF(CÁLCULO!E56="","",CÁLCULO!E56)</f>
        <v/>
      </c>
      <c r="O42" s="81" t="str">
        <f>IF(CÁLCULO!G56="","",CÁLCULO!G56)</f>
        <v/>
      </c>
      <c r="P42" s="80" t="str">
        <f t="shared" si="7"/>
        <v/>
      </c>
      <c r="Q42" s="121" t="str">
        <f>IF(CÁLCULO!I56="","",CÁLCULO!I56)</f>
        <v/>
      </c>
      <c r="R42" s="87"/>
      <c r="S42" s="121" t="str">
        <f t="shared" si="2"/>
        <v/>
      </c>
      <c r="T42" s="121" t="str">
        <f t="shared" si="5"/>
        <v/>
      </c>
      <c r="U42" s="89"/>
      <c r="V42" s="80" t="str">
        <f t="shared" si="3"/>
        <v/>
      </c>
      <c r="W42" s="77" t="str">
        <f>IF(K42="","",SUM($S$5:S41)*$E$11*V42)</f>
        <v/>
      </c>
      <c r="Y42" s="121" t="str">
        <f t="shared" si="6"/>
        <v/>
      </c>
    </row>
    <row r="43" spans="11:25" ht="17.100000000000001" customHeight="1" x14ac:dyDescent="0.25">
      <c r="K43" s="81" t="str">
        <f>IF(CÁLCULO!C57="","",CÁLCULO!C57)</f>
        <v/>
      </c>
      <c r="L43" s="81" t="str">
        <f t="shared" si="1"/>
        <v/>
      </c>
      <c r="M43" s="82" t="str">
        <f>IF(CÁLCULO!E57="","",CÁLCULO!E57)</f>
        <v/>
      </c>
      <c r="O43" s="81" t="str">
        <f>IF(CÁLCULO!G57="","",CÁLCULO!G57)</f>
        <v/>
      </c>
      <c r="P43" s="80" t="str">
        <f t="shared" si="7"/>
        <v/>
      </c>
      <c r="Q43" s="121" t="str">
        <f>IF(CÁLCULO!I57="","",CÁLCULO!I57)</f>
        <v/>
      </c>
      <c r="R43" s="87"/>
      <c r="S43" s="121" t="str">
        <f t="shared" si="2"/>
        <v/>
      </c>
      <c r="T43" s="121" t="str">
        <f t="shared" si="5"/>
        <v/>
      </c>
      <c r="U43" s="89"/>
      <c r="V43" s="80" t="str">
        <f t="shared" si="3"/>
        <v/>
      </c>
      <c r="W43" s="77" t="str">
        <f>IF(K43="","",SUM($S$5:S42)*$E$11*V43)</f>
        <v/>
      </c>
      <c r="Y43" s="121" t="str">
        <f t="shared" si="6"/>
        <v/>
      </c>
    </row>
    <row r="44" spans="11:25" ht="17.100000000000001" customHeight="1" x14ac:dyDescent="0.25">
      <c r="K44" s="81" t="str">
        <f>IF(CÁLCULO!C58="","",CÁLCULO!C58)</f>
        <v/>
      </c>
      <c r="L44" s="81" t="str">
        <f t="shared" si="1"/>
        <v/>
      </c>
      <c r="M44" s="82" t="str">
        <f>IF(CÁLCULO!E58="","",CÁLCULO!E58)</f>
        <v/>
      </c>
      <c r="O44" s="81" t="str">
        <f>IF(CÁLCULO!G58="","",CÁLCULO!G58)</f>
        <v/>
      </c>
      <c r="P44" s="80" t="str">
        <f t="shared" si="7"/>
        <v/>
      </c>
      <c r="Q44" s="121" t="str">
        <f>IF(CÁLCULO!I58="","",CÁLCULO!I58)</f>
        <v/>
      </c>
      <c r="R44" s="87"/>
      <c r="S44" s="121" t="str">
        <f t="shared" si="2"/>
        <v/>
      </c>
      <c r="T44" s="121" t="str">
        <f t="shared" si="5"/>
        <v/>
      </c>
      <c r="U44" s="89"/>
      <c r="V44" s="80" t="str">
        <f t="shared" si="3"/>
        <v/>
      </c>
      <c r="W44" s="77" t="str">
        <f>IF(K44="","",SUM($S$5:S43)*$E$11*V44)</f>
        <v/>
      </c>
      <c r="Y44" s="121" t="str">
        <f t="shared" si="6"/>
        <v/>
      </c>
    </row>
    <row r="45" spans="11:25" ht="17.100000000000001" customHeight="1" x14ac:dyDescent="0.25">
      <c r="K45" s="81" t="str">
        <f>IF(CÁLCULO!C59="","",CÁLCULO!C59)</f>
        <v/>
      </c>
      <c r="L45" s="81" t="str">
        <f t="shared" si="1"/>
        <v/>
      </c>
      <c r="M45" s="82" t="str">
        <f>IF(CÁLCULO!E59="","",CÁLCULO!E59)</f>
        <v/>
      </c>
      <c r="O45" s="81" t="str">
        <f>IF(CÁLCULO!G59="","",CÁLCULO!G59)</f>
        <v/>
      </c>
      <c r="P45" s="80" t="str">
        <f t="shared" si="7"/>
        <v/>
      </c>
      <c r="Q45" s="121" t="str">
        <f>IF(CÁLCULO!I59="","",CÁLCULO!I59)</f>
        <v/>
      </c>
      <c r="R45" s="87"/>
      <c r="S45" s="121" t="str">
        <f t="shared" si="2"/>
        <v/>
      </c>
      <c r="T45" s="121" t="str">
        <f t="shared" si="5"/>
        <v/>
      </c>
      <c r="U45" s="89"/>
      <c r="V45" s="80" t="str">
        <f t="shared" si="3"/>
        <v/>
      </c>
      <c r="W45" s="77" t="str">
        <f>IF(K45="","",SUM($S$5:S44)*$E$11*V45)</f>
        <v/>
      </c>
      <c r="Y45" s="121" t="str">
        <f t="shared" si="6"/>
        <v/>
      </c>
    </row>
    <row r="46" spans="11:25" ht="17.100000000000001" customHeight="1" x14ac:dyDescent="0.25">
      <c r="K46" s="81" t="str">
        <f>IF(CÁLCULO!C60="","",CÁLCULO!C60)</f>
        <v/>
      </c>
      <c r="L46" s="81" t="str">
        <f t="shared" si="1"/>
        <v/>
      </c>
      <c r="M46" s="82" t="str">
        <f>IF(CÁLCULO!E60="","",CÁLCULO!E60)</f>
        <v/>
      </c>
      <c r="O46" s="81" t="str">
        <f>IF(CÁLCULO!G60="","",CÁLCULO!G60)</f>
        <v/>
      </c>
      <c r="P46" s="80" t="str">
        <f t="shared" si="7"/>
        <v/>
      </c>
      <c r="Q46" s="121" t="str">
        <f>IF(CÁLCULO!I60="","",CÁLCULO!I60)</f>
        <v/>
      </c>
      <c r="R46" s="87"/>
      <c r="S46" s="121" t="str">
        <f t="shared" si="2"/>
        <v/>
      </c>
      <c r="T46" s="121" t="str">
        <f t="shared" si="5"/>
        <v/>
      </c>
      <c r="U46" s="89"/>
      <c r="V46" s="80" t="str">
        <f t="shared" si="3"/>
        <v/>
      </c>
      <c r="W46" s="77" t="str">
        <f>IF(K46="","",SUM($S$5:S45)*$E$11*V46)</f>
        <v/>
      </c>
      <c r="Y46" s="121" t="str">
        <f t="shared" si="6"/>
        <v/>
      </c>
    </row>
    <row r="47" spans="11:25" ht="17.100000000000001" customHeight="1" x14ac:dyDescent="0.25">
      <c r="K47" s="81" t="str">
        <f>IF(CÁLCULO!C61="","",CÁLCULO!C61)</f>
        <v/>
      </c>
      <c r="L47" s="81" t="str">
        <f t="shared" si="1"/>
        <v/>
      </c>
      <c r="M47" s="82" t="str">
        <f>IF(CÁLCULO!E61="","",CÁLCULO!E61)</f>
        <v/>
      </c>
      <c r="O47" s="81" t="str">
        <f>IF(CÁLCULO!G61="","",CÁLCULO!G61)</f>
        <v/>
      </c>
      <c r="P47" s="80" t="str">
        <f t="shared" si="7"/>
        <v/>
      </c>
      <c r="Q47" s="121" t="str">
        <f>IF(CÁLCULO!I61="","",CÁLCULO!I61)</f>
        <v/>
      </c>
      <c r="R47" s="87"/>
      <c r="S47" s="121" t="str">
        <f t="shared" si="2"/>
        <v/>
      </c>
      <c r="T47" s="121" t="str">
        <f t="shared" si="5"/>
        <v/>
      </c>
      <c r="U47" s="89"/>
      <c r="V47" s="80" t="str">
        <f t="shared" si="3"/>
        <v/>
      </c>
      <c r="W47" s="77" t="str">
        <f>IF(K47="","",SUM($S$5:S46)*$E$11*V47)</f>
        <v/>
      </c>
      <c r="Y47" s="121" t="str">
        <f t="shared" si="6"/>
        <v/>
      </c>
    </row>
    <row r="48" spans="11:25" ht="17.100000000000001" customHeight="1" x14ac:dyDescent="0.25">
      <c r="K48" s="81" t="str">
        <f>IF(CÁLCULO!C62="","",CÁLCULO!C62)</f>
        <v/>
      </c>
      <c r="L48" s="81" t="str">
        <f t="shared" si="1"/>
        <v/>
      </c>
      <c r="M48" s="82" t="str">
        <f>IF(CÁLCULO!E62="","",CÁLCULO!E62)</f>
        <v/>
      </c>
      <c r="O48" s="81" t="str">
        <f>IF(CÁLCULO!G62="","",CÁLCULO!G62)</f>
        <v/>
      </c>
      <c r="P48" s="80" t="str">
        <f t="shared" si="7"/>
        <v/>
      </c>
      <c r="Q48" s="121" t="str">
        <f>IF(CÁLCULO!I62="","",CÁLCULO!I62)</f>
        <v/>
      </c>
      <c r="R48" s="87"/>
      <c r="S48" s="121" t="str">
        <f t="shared" si="2"/>
        <v/>
      </c>
      <c r="T48" s="121" t="str">
        <f t="shared" si="5"/>
        <v/>
      </c>
      <c r="U48" s="89"/>
      <c r="V48" s="80" t="str">
        <f t="shared" si="3"/>
        <v/>
      </c>
      <c r="W48" s="77" t="str">
        <f>IF(K48="","",SUM($S$5:S47)*$E$11*V48)</f>
        <v/>
      </c>
      <c r="Y48" s="121" t="str">
        <f t="shared" si="6"/>
        <v/>
      </c>
    </row>
    <row r="49" spans="11:25" ht="17.100000000000001" customHeight="1" x14ac:dyDescent="0.25">
      <c r="K49" s="81" t="str">
        <f>IF(CÁLCULO!C63="","",CÁLCULO!C63)</f>
        <v/>
      </c>
      <c r="L49" s="81" t="str">
        <f t="shared" si="1"/>
        <v/>
      </c>
      <c r="M49" s="82" t="str">
        <f>IF(CÁLCULO!E63="","",CÁLCULO!E63)</f>
        <v/>
      </c>
      <c r="O49" s="81" t="str">
        <f>IF(CÁLCULO!G63="","",CÁLCULO!G63)</f>
        <v/>
      </c>
      <c r="P49" s="80" t="str">
        <f t="shared" si="7"/>
        <v/>
      </c>
      <c r="Q49" s="121" t="str">
        <f>IF(CÁLCULO!I63="","",CÁLCULO!I63)</f>
        <v/>
      </c>
      <c r="R49" s="87"/>
      <c r="S49" s="121" t="str">
        <f t="shared" si="2"/>
        <v/>
      </c>
      <c r="T49" s="121" t="str">
        <f t="shared" si="5"/>
        <v/>
      </c>
      <c r="U49" s="89"/>
      <c r="V49" s="80" t="str">
        <f t="shared" si="3"/>
        <v/>
      </c>
      <c r="W49" s="77" t="str">
        <f>IF(K49="","",SUM($S$5:S48)*$E$11*V49)</f>
        <v/>
      </c>
      <c r="Y49" s="121" t="str">
        <f t="shared" si="6"/>
        <v/>
      </c>
    </row>
    <row r="50" spans="11:25" ht="17.100000000000001" customHeight="1" x14ac:dyDescent="0.25">
      <c r="K50" s="81" t="str">
        <f>IF(CÁLCULO!C64="","",CÁLCULO!C64)</f>
        <v/>
      </c>
      <c r="L50" s="81" t="str">
        <f t="shared" si="1"/>
        <v/>
      </c>
      <c r="M50" s="82" t="str">
        <f>IF(CÁLCULO!E64="","",CÁLCULO!E64)</f>
        <v/>
      </c>
      <c r="O50" s="81" t="str">
        <f>IF(CÁLCULO!G64="","",CÁLCULO!G64)</f>
        <v/>
      </c>
      <c r="P50" s="80" t="str">
        <f t="shared" si="7"/>
        <v/>
      </c>
      <c r="Q50" s="121" t="str">
        <f>IF(CÁLCULO!I64="","",CÁLCULO!I64)</f>
        <v/>
      </c>
      <c r="R50" s="87"/>
      <c r="S50" s="121" t="str">
        <f t="shared" si="2"/>
        <v/>
      </c>
      <c r="T50" s="121" t="str">
        <f t="shared" si="5"/>
        <v/>
      </c>
      <c r="U50" s="89"/>
      <c r="V50" s="80" t="str">
        <f t="shared" si="3"/>
        <v/>
      </c>
      <c r="W50" s="77" t="str">
        <f>IF(K50="","",SUM($S$5:S49)*$E$11*V50)</f>
        <v/>
      </c>
      <c r="Y50" s="121" t="str">
        <f t="shared" si="6"/>
        <v/>
      </c>
    </row>
    <row r="51" spans="11:25" ht="17.100000000000001" customHeight="1" x14ac:dyDescent="0.25">
      <c r="K51" s="81" t="str">
        <f>IF(CÁLCULO!C65="","",CÁLCULO!C65)</f>
        <v/>
      </c>
      <c r="L51" s="81" t="str">
        <f t="shared" si="1"/>
        <v/>
      </c>
      <c r="M51" s="82" t="str">
        <f>IF(CÁLCULO!E65="","",CÁLCULO!E65)</f>
        <v/>
      </c>
      <c r="O51" s="81" t="str">
        <f>IF(CÁLCULO!G65="","",CÁLCULO!G65)</f>
        <v/>
      </c>
      <c r="P51" s="80" t="str">
        <f t="shared" si="7"/>
        <v/>
      </c>
      <c r="Q51" s="121" t="str">
        <f>IF(CÁLCULO!I65="","",CÁLCULO!I65)</f>
        <v/>
      </c>
      <c r="R51" s="87"/>
      <c r="S51" s="121" t="str">
        <f t="shared" si="2"/>
        <v/>
      </c>
      <c r="T51" s="121" t="str">
        <f t="shared" si="5"/>
        <v/>
      </c>
      <c r="U51" s="89"/>
      <c r="V51" s="80" t="str">
        <f t="shared" si="3"/>
        <v/>
      </c>
      <c r="W51" s="77" t="str">
        <f>IF(K51="","",SUM($S$5:S50)*$E$11*V51)</f>
        <v/>
      </c>
      <c r="Y51" s="121" t="str">
        <f t="shared" si="6"/>
        <v/>
      </c>
    </row>
    <row r="52" spans="11:25" ht="17.100000000000001" customHeight="1" x14ac:dyDescent="0.25">
      <c r="K52" s="81" t="str">
        <f>IF(CÁLCULO!C66="","",CÁLCULO!C66)</f>
        <v/>
      </c>
      <c r="L52" s="81" t="str">
        <f t="shared" si="1"/>
        <v/>
      </c>
      <c r="M52" s="82" t="str">
        <f>IF(CÁLCULO!E66="","",CÁLCULO!E66)</f>
        <v/>
      </c>
      <c r="O52" s="81" t="str">
        <f>IF(CÁLCULO!G66="","",CÁLCULO!G66)</f>
        <v/>
      </c>
      <c r="P52" s="80" t="str">
        <f t="shared" si="7"/>
        <v/>
      </c>
      <c r="Q52" s="121" t="str">
        <f>IF(CÁLCULO!I66="","",CÁLCULO!I66)</f>
        <v/>
      </c>
      <c r="R52" s="87"/>
      <c r="S52" s="121" t="str">
        <f t="shared" si="2"/>
        <v/>
      </c>
      <c r="T52" s="121" t="str">
        <f t="shared" si="5"/>
        <v/>
      </c>
      <c r="U52" s="89"/>
      <c r="V52" s="80" t="str">
        <f t="shared" si="3"/>
        <v/>
      </c>
      <c r="W52" s="77" t="str">
        <f>IF(K52="","",SUM($S$5:S51)*$E$11*V52)</f>
        <v/>
      </c>
      <c r="Y52" s="121" t="str">
        <f t="shared" si="6"/>
        <v/>
      </c>
    </row>
    <row r="53" spans="11:25" ht="17.100000000000001" customHeight="1" x14ac:dyDescent="0.25">
      <c r="K53" s="81" t="str">
        <f>IF(CÁLCULO!C67="","",CÁLCULO!C67)</f>
        <v/>
      </c>
      <c r="L53" s="81" t="str">
        <f t="shared" si="1"/>
        <v/>
      </c>
      <c r="M53" s="82" t="str">
        <f>IF(CÁLCULO!E67="","",CÁLCULO!E67)</f>
        <v/>
      </c>
      <c r="O53" s="81" t="str">
        <f>IF(CÁLCULO!G67="","",CÁLCULO!G67)</f>
        <v/>
      </c>
      <c r="P53" s="80" t="str">
        <f t="shared" si="7"/>
        <v/>
      </c>
      <c r="Q53" s="121" t="str">
        <f>IF(CÁLCULO!I67="","",CÁLCULO!I67)</f>
        <v/>
      </c>
      <c r="R53" s="87"/>
      <c r="S53" s="121" t="str">
        <f t="shared" si="2"/>
        <v/>
      </c>
      <c r="T53" s="121" t="str">
        <f t="shared" si="5"/>
        <v/>
      </c>
      <c r="U53" s="89"/>
      <c r="V53" s="80" t="str">
        <f t="shared" si="3"/>
        <v/>
      </c>
      <c r="W53" s="77" t="str">
        <f>IF(K53="","",SUM($S$5:S52)*$E$11*V53)</f>
        <v/>
      </c>
      <c r="Y53" s="121" t="str">
        <f t="shared" si="6"/>
        <v/>
      </c>
    </row>
    <row r="54" spans="11:25" ht="17.100000000000001" customHeight="1" x14ac:dyDescent="0.25">
      <c r="K54" s="81" t="str">
        <f>IF(CÁLCULO!C68="","",CÁLCULO!C68)</f>
        <v/>
      </c>
      <c r="L54" s="81" t="str">
        <f t="shared" si="1"/>
        <v/>
      </c>
      <c r="M54" s="82" t="str">
        <f>IF(CÁLCULO!E68="","",CÁLCULO!E68)</f>
        <v/>
      </c>
      <c r="O54" s="81" t="str">
        <f>IF(CÁLCULO!G68="","",CÁLCULO!G68)</f>
        <v/>
      </c>
      <c r="P54" s="80" t="str">
        <f t="shared" si="7"/>
        <v/>
      </c>
      <c r="Q54" s="121" t="str">
        <f>IF(CÁLCULO!I68="","",CÁLCULO!I68)</f>
        <v/>
      </c>
      <c r="R54" s="87"/>
      <c r="S54" s="121" t="str">
        <f t="shared" si="2"/>
        <v/>
      </c>
      <c r="T54" s="121" t="str">
        <f t="shared" si="5"/>
        <v/>
      </c>
      <c r="U54" s="89"/>
      <c r="V54" s="80" t="str">
        <f t="shared" si="3"/>
        <v/>
      </c>
      <c r="W54" s="77" t="str">
        <f>IF(K54="","",SUM($S$5:S53)*$E$11*V54)</f>
        <v/>
      </c>
      <c r="Y54" s="121" t="str">
        <f t="shared" si="6"/>
        <v/>
      </c>
    </row>
    <row r="55" spans="11:25" ht="17.100000000000001" customHeight="1" x14ac:dyDescent="0.25">
      <c r="K55" s="81" t="str">
        <f>IF(CÁLCULO!C69="","",CÁLCULO!C69)</f>
        <v/>
      </c>
      <c r="L55" s="81" t="str">
        <f t="shared" si="1"/>
        <v/>
      </c>
      <c r="M55" s="82" t="str">
        <f>IF(CÁLCULO!E69="","",CÁLCULO!E69)</f>
        <v/>
      </c>
      <c r="O55" s="81" t="str">
        <f>IF(CÁLCULO!G69="","",CÁLCULO!G69)</f>
        <v/>
      </c>
      <c r="P55" s="80" t="str">
        <f t="shared" si="7"/>
        <v/>
      </c>
      <c r="Q55" s="121" t="str">
        <f>IF(CÁLCULO!I69="","",CÁLCULO!I69)</f>
        <v/>
      </c>
      <c r="R55" s="87"/>
      <c r="S55" s="121" t="str">
        <f t="shared" si="2"/>
        <v/>
      </c>
      <c r="T55" s="121" t="str">
        <f t="shared" si="5"/>
        <v/>
      </c>
      <c r="U55" s="89"/>
      <c r="V55" s="80" t="str">
        <f t="shared" si="3"/>
        <v/>
      </c>
      <c r="W55" s="77" t="str">
        <f>IF(K55="","",SUM($S$5:S54)*$E$11*V55)</f>
        <v/>
      </c>
      <c r="Y55" s="121" t="str">
        <f t="shared" si="6"/>
        <v/>
      </c>
    </row>
    <row r="56" spans="11:25" ht="17.100000000000001" customHeight="1" x14ac:dyDescent="0.25">
      <c r="K56" s="81" t="str">
        <f>IF(CÁLCULO!C70="","",CÁLCULO!C70)</f>
        <v/>
      </c>
      <c r="L56" s="81" t="str">
        <f t="shared" si="1"/>
        <v/>
      </c>
      <c r="M56" s="82" t="str">
        <f>IF(CÁLCULO!E70="","",CÁLCULO!E70)</f>
        <v/>
      </c>
      <c r="O56" s="81" t="str">
        <f>IF(CÁLCULO!G70="","",CÁLCULO!G70)</f>
        <v/>
      </c>
      <c r="P56" s="80" t="str">
        <f t="shared" si="7"/>
        <v/>
      </c>
      <c r="Q56" s="121" t="str">
        <f>IF(CÁLCULO!I70="","",CÁLCULO!I70)</f>
        <v/>
      </c>
      <c r="R56" s="87"/>
      <c r="S56" s="121" t="str">
        <f t="shared" si="2"/>
        <v/>
      </c>
      <c r="T56" s="121" t="str">
        <f t="shared" si="5"/>
        <v/>
      </c>
      <c r="U56" s="89"/>
      <c r="V56" s="80" t="str">
        <f t="shared" si="3"/>
        <v/>
      </c>
      <c r="W56" s="77" t="str">
        <f>IF(K56="","",SUM($S$5:S55)*$E$11*V56)</f>
        <v/>
      </c>
      <c r="Y56" s="121" t="str">
        <f t="shared" si="6"/>
        <v/>
      </c>
    </row>
    <row r="57" spans="11:25" ht="17.100000000000001" customHeight="1" x14ac:dyDescent="0.25">
      <c r="K57" s="81" t="str">
        <f>IF(CÁLCULO!C71="","",CÁLCULO!C71)</f>
        <v/>
      </c>
      <c r="L57" s="81" t="str">
        <f t="shared" si="1"/>
        <v/>
      </c>
      <c r="M57" s="82" t="str">
        <f>IF(CÁLCULO!E71="","",CÁLCULO!E71)</f>
        <v/>
      </c>
      <c r="O57" s="81" t="str">
        <f>IF(CÁLCULO!G71="","",CÁLCULO!G71)</f>
        <v/>
      </c>
      <c r="P57" s="80" t="str">
        <f t="shared" si="7"/>
        <v/>
      </c>
      <c r="Q57" s="121" t="str">
        <f>IF(CÁLCULO!I71="","",CÁLCULO!I71)</f>
        <v/>
      </c>
      <c r="R57" s="87"/>
      <c r="S57" s="121" t="str">
        <f t="shared" si="2"/>
        <v/>
      </c>
      <c r="T57" s="121" t="str">
        <f t="shared" si="5"/>
        <v/>
      </c>
      <c r="U57" s="89"/>
      <c r="V57" s="80" t="str">
        <f t="shared" si="3"/>
        <v/>
      </c>
      <c r="W57" s="77" t="str">
        <f>IF(K57="","",SUM($S$5:S56)*$E$11*V57)</f>
        <v/>
      </c>
      <c r="Y57" s="121" t="str">
        <f t="shared" si="6"/>
        <v/>
      </c>
    </row>
    <row r="58" spans="11:25" ht="17.100000000000001" customHeight="1" x14ac:dyDescent="0.25">
      <c r="K58" s="81" t="str">
        <f>IF(CÁLCULO!C72="","",CÁLCULO!C72)</f>
        <v/>
      </c>
      <c r="L58" s="81" t="str">
        <f t="shared" si="1"/>
        <v/>
      </c>
      <c r="M58" s="82" t="str">
        <f>IF(CÁLCULO!E72="","",CÁLCULO!E72)</f>
        <v/>
      </c>
      <c r="O58" s="81" t="str">
        <f>IF(CÁLCULO!G72="","",CÁLCULO!G72)</f>
        <v/>
      </c>
      <c r="P58" s="80" t="str">
        <f t="shared" si="7"/>
        <v/>
      </c>
      <c r="Q58" s="121" t="str">
        <f>IF(CÁLCULO!I72="","",CÁLCULO!I72)</f>
        <v/>
      </c>
      <c r="R58" s="87"/>
      <c r="S58" s="121" t="str">
        <f t="shared" si="2"/>
        <v/>
      </c>
      <c r="T58" s="121" t="str">
        <f t="shared" si="5"/>
        <v/>
      </c>
      <c r="U58" s="89"/>
      <c r="V58" s="80" t="str">
        <f t="shared" si="3"/>
        <v/>
      </c>
      <c r="W58" s="77" t="str">
        <f>IF(K58="","",SUM($S$5:S57)*$E$11*V58)</f>
        <v/>
      </c>
      <c r="Y58" s="121" t="str">
        <f t="shared" si="6"/>
        <v/>
      </c>
    </row>
    <row r="59" spans="11:25" ht="17.100000000000001" customHeight="1" x14ac:dyDescent="0.25">
      <c r="K59" s="81" t="str">
        <f>IF(CÁLCULO!C73="","",CÁLCULO!C73)</f>
        <v/>
      </c>
      <c r="L59" s="81" t="str">
        <f t="shared" si="1"/>
        <v/>
      </c>
      <c r="M59" s="82" t="str">
        <f>IF(CÁLCULO!E73="","",CÁLCULO!E73)</f>
        <v/>
      </c>
      <c r="O59" s="81" t="str">
        <f>IF(CÁLCULO!G73="","",CÁLCULO!G73)</f>
        <v/>
      </c>
      <c r="P59" s="80" t="str">
        <f t="shared" si="7"/>
        <v/>
      </c>
      <c r="Q59" s="121" t="str">
        <f>IF(CÁLCULO!I73="","",CÁLCULO!I73)</f>
        <v/>
      </c>
      <c r="R59" s="87"/>
      <c r="S59" s="121" t="str">
        <f t="shared" si="2"/>
        <v/>
      </c>
      <c r="T59" s="121" t="str">
        <f t="shared" si="5"/>
        <v/>
      </c>
      <c r="U59" s="89"/>
      <c r="V59" s="80" t="str">
        <f t="shared" si="3"/>
        <v/>
      </c>
      <c r="W59" s="77" t="str">
        <f>IF(K59="","",SUM($S$5:S58)*$E$11*V59)</f>
        <v/>
      </c>
      <c r="Y59" s="121" t="str">
        <f t="shared" si="6"/>
        <v/>
      </c>
    </row>
    <row r="60" spans="11:25" ht="17.100000000000001" customHeight="1" x14ac:dyDescent="0.25">
      <c r="K60" s="81" t="str">
        <f>IF(CÁLCULO!C74="","",CÁLCULO!C74)</f>
        <v/>
      </c>
      <c r="L60" s="81" t="str">
        <f t="shared" si="1"/>
        <v/>
      </c>
      <c r="M60" s="82" t="str">
        <f>IF(CÁLCULO!E74="","",CÁLCULO!E74)</f>
        <v/>
      </c>
      <c r="O60" s="81" t="str">
        <f>IF(CÁLCULO!G74="","",CÁLCULO!G74)</f>
        <v/>
      </c>
      <c r="P60" s="80" t="str">
        <f t="shared" si="7"/>
        <v/>
      </c>
      <c r="Q60" s="121" t="str">
        <f>IF(CÁLCULO!I74="","",CÁLCULO!I74)</f>
        <v/>
      </c>
      <c r="R60" s="87"/>
      <c r="S60" s="121" t="str">
        <f t="shared" si="2"/>
        <v/>
      </c>
      <c r="T60" s="121" t="str">
        <f t="shared" si="5"/>
        <v/>
      </c>
      <c r="U60" s="89"/>
      <c r="V60" s="80" t="str">
        <f t="shared" si="3"/>
        <v/>
      </c>
      <c r="W60" s="77" t="str">
        <f>IF(K60="","",SUM($S$5:S59)*$E$11*V60)</f>
        <v/>
      </c>
      <c r="Y60" s="121" t="str">
        <f t="shared" si="6"/>
        <v/>
      </c>
    </row>
    <row r="61" spans="11:25" ht="17.100000000000001" customHeight="1" x14ac:dyDescent="0.25">
      <c r="K61" s="81" t="str">
        <f>IF(CÁLCULO!C75="","",CÁLCULO!C75)</f>
        <v/>
      </c>
      <c r="L61" s="81" t="str">
        <f t="shared" si="1"/>
        <v/>
      </c>
      <c r="M61" s="82" t="str">
        <f>IF(CÁLCULO!E75="","",CÁLCULO!E75)</f>
        <v/>
      </c>
      <c r="O61" s="81" t="str">
        <f>IF(CÁLCULO!G75="","",CÁLCULO!G75)</f>
        <v/>
      </c>
      <c r="P61" s="80" t="str">
        <f t="shared" si="7"/>
        <v/>
      </c>
      <c r="Q61" s="121" t="str">
        <f>IF(CÁLCULO!I75="","",CÁLCULO!I75)</f>
        <v/>
      </c>
      <c r="R61" s="87"/>
      <c r="S61" s="121" t="str">
        <f t="shared" si="2"/>
        <v/>
      </c>
      <c r="T61" s="121" t="str">
        <f t="shared" si="5"/>
        <v/>
      </c>
      <c r="U61" s="89"/>
      <c r="V61" s="80" t="str">
        <f t="shared" si="3"/>
        <v/>
      </c>
      <c r="W61" s="77" t="str">
        <f>IF(K61="","",SUM($S$5:S60)*$E$11*V61)</f>
        <v/>
      </c>
      <c r="Y61" s="121" t="str">
        <f t="shared" si="6"/>
        <v/>
      </c>
    </row>
    <row r="62" spans="11:25" ht="17.100000000000001" customHeight="1" x14ac:dyDescent="0.25">
      <c r="K62" s="81" t="str">
        <f>IF(CÁLCULO!C76="","",CÁLCULO!C76)</f>
        <v/>
      </c>
      <c r="L62" s="81" t="str">
        <f t="shared" si="1"/>
        <v/>
      </c>
      <c r="M62" s="82" t="str">
        <f>IF(CÁLCULO!E76="","",CÁLCULO!E76)</f>
        <v/>
      </c>
      <c r="O62" s="81" t="str">
        <f>IF(CÁLCULO!G76="","",CÁLCULO!G76)</f>
        <v/>
      </c>
      <c r="P62" s="80" t="str">
        <f t="shared" si="7"/>
        <v/>
      </c>
      <c r="Q62" s="121" t="str">
        <f>IF(CÁLCULO!I76="","",CÁLCULO!I76)</f>
        <v/>
      </c>
      <c r="R62" s="87"/>
      <c r="S62" s="121" t="str">
        <f t="shared" si="2"/>
        <v/>
      </c>
      <c r="T62" s="121" t="str">
        <f t="shared" si="5"/>
        <v/>
      </c>
      <c r="U62" s="89"/>
      <c r="V62" s="80" t="str">
        <f t="shared" si="3"/>
        <v/>
      </c>
      <c r="W62" s="77" t="str">
        <f>IF(K62="","",SUM($S$5:S61)*$E$11*V62)</f>
        <v/>
      </c>
      <c r="Y62" s="121" t="str">
        <f t="shared" si="6"/>
        <v/>
      </c>
    </row>
    <row r="63" spans="11:25" ht="17.100000000000001" customHeight="1" x14ac:dyDescent="0.25">
      <c r="K63" s="81" t="str">
        <f>IF(CÁLCULO!C77="","",CÁLCULO!C77)</f>
        <v/>
      </c>
      <c r="L63" s="81" t="str">
        <f t="shared" si="1"/>
        <v/>
      </c>
      <c r="M63" s="82" t="str">
        <f>IF(CÁLCULO!E77="","",CÁLCULO!E77)</f>
        <v/>
      </c>
      <c r="O63" s="81" t="str">
        <f>IF(CÁLCULO!G77="","",CÁLCULO!G77)</f>
        <v/>
      </c>
      <c r="P63" s="80" t="str">
        <f t="shared" si="7"/>
        <v/>
      </c>
      <c r="Q63" s="121" t="str">
        <f>IF(CÁLCULO!I77="","",CÁLCULO!I77)</f>
        <v/>
      </c>
      <c r="R63" s="87"/>
      <c r="S63" s="121" t="str">
        <f t="shared" si="2"/>
        <v/>
      </c>
      <c r="T63" s="121" t="str">
        <f t="shared" si="5"/>
        <v/>
      </c>
      <c r="U63" s="89"/>
      <c r="V63" s="80" t="str">
        <f t="shared" si="3"/>
        <v/>
      </c>
      <c r="W63" s="77" t="str">
        <f>IF(K63="","",SUM($S$5:S62)*$E$11*V63)</f>
        <v/>
      </c>
      <c r="Y63" s="121" t="str">
        <f t="shared" si="6"/>
        <v/>
      </c>
    </row>
    <row r="64" spans="11:25" ht="17.100000000000001" customHeight="1" x14ac:dyDescent="0.25">
      <c r="K64" s="81" t="str">
        <f>IF(CÁLCULO!C78="","",CÁLCULO!C78)</f>
        <v/>
      </c>
      <c r="L64" s="81" t="str">
        <f t="shared" si="1"/>
        <v/>
      </c>
      <c r="M64" s="82" t="str">
        <f>IF(CÁLCULO!E78="","",CÁLCULO!E78)</f>
        <v/>
      </c>
      <c r="O64" s="81" t="str">
        <f>IF(CÁLCULO!G78="","",CÁLCULO!G78)</f>
        <v/>
      </c>
      <c r="P64" s="80" t="str">
        <f t="shared" si="7"/>
        <v/>
      </c>
      <c r="Q64" s="121" t="str">
        <f>IF(CÁLCULO!I78="","",CÁLCULO!I78)</f>
        <v/>
      </c>
      <c r="R64" s="87"/>
      <c r="S64" s="121" t="str">
        <f t="shared" si="2"/>
        <v/>
      </c>
      <c r="T64" s="121" t="str">
        <f t="shared" si="5"/>
        <v/>
      </c>
      <c r="U64" s="89"/>
      <c r="V64" s="80" t="str">
        <f t="shared" si="3"/>
        <v/>
      </c>
      <c r="W64" s="77" t="str">
        <f>IF(K64="","",SUM($S$5:S63)*$E$11*V64)</f>
        <v/>
      </c>
      <c r="Y64" s="121" t="str">
        <f t="shared" si="6"/>
        <v/>
      </c>
    </row>
    <row r="65" spans="11:25" ht="17.100000000000001" customHeight="1" x14ac:dyDescent="0.25">
      <c r="K65" s="81" t="str">
        <f>IF(CÁLCULO!C79="","",CÁLCULO!C79)</f>
        <v/>
      </c>
      <c r="L65" s="81" t="str">
        <f t="shared" si="1"/>
        <v/>
      </c>
      <c r="M65" s="82" t="str">
        <f>IF(CÁLCULO!E79="","",CÁLCULO!E79)</f>
        <v/>
      </c>
      <c r="O65" s="81" t="str">
        <f>IF(CÁLCULO!G79="","",CÁLCULO!G79)</f>
        <v/>
      </c>
      <c r="P65" s="80" t="str">
        <f t="shared" si="7"/>
        <v/>
      </c>
      <c r="Q65" s="121" t="str">
        <f>IF(CÁLCULO!I79="","",CÁLCULO!I79)</f>
        <v/>
      </c>
      <c r="R65" s="87"/>
      <c r="S65" s="121" t="str">
        <f t="shared" si="2"/>
        <v/>
      </c>
      <c r="T65" s="121" t="str">
        <f t="shared" si="5"/>
        <v/>
      </c>
      <c r="U65" s="89"/>
      <c r="V65" s="80" t="str">
        <f t="shared" si="3"/>
        <v/>
      </c>
      <c r="W65" s="77" t="str">
        <f>IF(K65="","",SUM($S$5:S64)*$E$11*V65)</f>
        <v/>
      </c>
      <c r="Y65" s="121" t="str">
        <f t="shared" si="6"/>
        <v/>
      </c>
    </row>
    <row r="66" spans="11:25" ht="17.100000000000001" customHeight="1" x14ac:dyDescent="0.25">
      <c r="K66" s="81" t="str">
        <f>IF(CÁLCULO!C80="","",CÁLCULO!C80)</f>
        <v/>
      </c>
      <c r="L66" s="81" t="str">
        <f t="shared" si="1"/>
        <v/>
      </c>
      <c r="M66" s="82" t="str">
        <f>IF(CÁLCULO!E80="","",CÁLCULO!E80)</f>
        <v/>
      </c>
      <c r="O66" s="81" t="str">
        <f>IF(CÁLCULO!G80="","",CÁLCULO!G80)</f>
        <v/>
      </c>
      <c r="P66" s="80" t="str">
        <f t="shared" si="7"/>
        <v/>
      </c>
      <c r="Q66" s="121" t="str">
        <f>IF(CÁLCULO!I80="","",CÁLCULO!I80)</f>
        <v/>
      </c>
      <c r="R66" s="87"/>
      <c r="S66" s="121" t="str">
        <f t="shared" si="2"/>
        <v/>
      </c>
      <c r="T66" s="121" t="str">
        <f t="shared" si="5"/>
        <v/>
      </c>
      <c r="U66" s="89"/>
      <c r="V66" s="80" t="str">
        <f t="shared" si="3"/>
        <v/>
      </c>
      <c r="W66" s="77" t="str">
        <f>IF(K66="","",SUM($S$5:S65)*$E$11*V66)</f>
        <v/>
      </c>
      <c r="Y66" s="121" t="str">
        <f t="shared" si="6"/>
        <v/>
      </c>
    </row>
    <row r="67" spans="11:25" ht="17.100000000000001" customHeight="1" x14ac:dyDescent="0.25">
      <c r="K67" s="81" t="str">
        <f>IF(CÁLCULO!C81="","",CÁLCULO!C81)</f>
        <v/>
      </c>
      <c r="L67" s="81" t="str">
        <f t="shared" si="1"/>
        <v/>
      </c>
      <c r="M67" s="82" t="str">
        <f>IF(CÁLCULO!E81="","",CÁLCULO!E81)</f>
        <v/>
      </c>
      <c r="O67" s="81" t="str">
        <f>IF(CÁLCULO!G81="","",CÁLCULO!G81)</f>
        <v/>
      </c>
      <c r="P67" s="80" t="str">
        <f t="shared" si="7"/>
        <v/>
      </c>
      <c r="Q67" s="121" t="str">
        <f>IF(CÁLCULO!I81="","",CÁLCULO!I81)</f>
        <v/>
      </c>
      <c r="R67" s="87"/>
      <c r="S67" s="121" t="str">
        <f t="shared" si="2"/>
        <v/>
      </c>
      <c r="T67" s="121" t="str">
        <f t="shared" si="5"/>
        <v/>
      </c>
      <c r="U67" s="89"/>
      <c r="V67" s="80" t="str">
        <f t="shared" si="3"/>
        <v/>
      </c>
      <c r="W67" s="77" t="str">
        <f>IF(K67="","",SUM($S$5:S66)*$E$11*V67)</f>
        <v/>
      </c>
      <c r="Y67" s="121" t="str">
        <f t="shared" si="6"/>
        <v/>
      </c>
    </row>
    <row r="68" spans="11:25" ht="17.100000000000001" customHeight="1" x14ac:dyDescent="0.25">
      <c r="K68" s="81" t="str">
        <f>IF(CÁLCULO!C82="","",CÁLCULO!C82)</f>
        <v/>
      </c>
      <c r="L68" s="81" t="str">
        <f t="shared" si="1"/>
        <v/>
      </c>
      <c r="M68" s="82" t="str">
        <f>IF(CÁLCULO!E82="","",CÁLCULO!E82)</f>
        <v/>
      </c>
      <c r="O68" s="81" t="str">
        <f>IF(CÁLCULO!G82="","",CÁLCULO!G82)</f>
        <v/>
      </c>
      <c r="P68" s="80" t="str">
        <f t="shared" si="7"/>
        <v/>
      </c>
      <c r="Q68" s="121" t="str">
        <f>IF(CÁLCULO!I82="","",CÁLCULO!I82)</f>
        <v/>
      </c>
      <c r="R68" s="87"/>
      <c r="S68" s="121" t="str">
        <f t="shared" si="2"/>
        <v/>
      </c>
      <c r="T68" s="121" t="str">
        <f t="shared" si="5"/>
        <v/>
      </c>
      <c r="U68" s="89"/>
      <c r="V68" s="80" t="str">
        <f t="shared" si="3"/>
        <v/>
      </c>
      <c r="W68" s="77" t="str">
        <f>IF(K68="","",SUM($S$5:S67)*$E$11*V68)</f>
        <v/>
      </c>
      <c r="Y68" s="121" t="str">
        <f t="shared" si="6"/>
        <v/>
      </c>
    </row>
    <row r="69" spans="11:25" ht="17.100000000000001" customHeight="1" x14ac:dyDescent="0.25">
      <c r="K69" s="81" t="str">
        <f>IF(CÁLCULO!C83="","",CÁLCULO!C83)</f>
        <v/>
      </c>
      <c r="L69" s="81" t="str">
        <f t="shared" si="1"/>
        <v/>
      </c>
      <c r="M69" s="82" t="str">
        <f>IF(CÁLCULO!E83="","",CÁLCULO!E83)</f>
        <v/>
      </c>
      <c r="O69" s="81" t="str">
        <f>IF(CÁLCULO!G83="","",CÁLCULO!G83)</f>
        <v/>
      </c>
      <c r="P69" s="80" t="str">
        <f t="shared" si="7"/>
        <v/>
      </c>
      <c r="Q69" s="121" t="str">
        <f>IF(CÁLCULO!I83="","",CÁLCULO!I83)</f>
        <v/>
      </c>
      <c r="R69" s="87"/>
      <c r="S69" s="121" t="str">
        <f t="shared" si="2"/>
        <v/>
      </c>
      <c r="T69" s="121" t="str">
        <f t="shared" si="5"/>
        <v/>
      </c>
      <c r="U69" s="89"/>
      <c r="V69" s="80" t="str">
        <f t="shared" ref="V69:V132" si="8">IF(K69="","",IF(O69-(P69-365)&lt;0,0,IF(P69&gt;365,O69-(P69-365),O69)))</f>
        <v/>
      </c>
      <c r="W69" s="77" t="str">
        <f>IF(K69="","",SUM($S$5:S68)*$E$11*V69)</f>
        <v/>
      </c>
      <c r="Y69" s="121" t="str">
        <f t="shared" si="6"/>
        <v/>
      </c>
    </row>
    <row r="70" spans="11:25" ht="17.100000000000001" customHeight="1" x14ac:dyDescent="0.25">
      <c r="K70" s="81" t="str">
        <f>IF(CÁLCULO!C84="","",CÁLCULO!C84)</f>
        <v/>
      </c>
      <c r="L70" s="81" t="str">
        <f t="shared" ref="L70:L133" si="9">IF(K70="","",IF(K70&lt;=TempoCarencia,"-",IF(K70=TempoCarencia+1,1,IF(L69&gt;0,L69+1,""))))</f>
        <v/>
      </c>
      <c r="M70" s="82" t="str">
        <f>IF(CÁLCULO!E84="","",CÁLCULO!E84)</f>
        <v/>
      </c>
      <c r="O70" s="81" t="str">
        <f>IF(CÁLCULO!G84="","",CÁLCULO!G84)</f>
        <v/>
      </c>
      <c r="P70" s="80" t="str">
        <f t="shared" si="7"/>
        <v/>
      </c>
      <c r="Q70" s="121" t="str">
        <f>IF(CÁLCULO!I84="","",CÁLCULO!I84)</f>
        <v/>
      </c>
      <c r="R70" s="87"/>
      <c r="S70" s="121" t="str">
        <f t="shared" ref="S70:S133" si="10">IF(K70="","",PV(TxJurosAoDia,P70,,-Q70))</f>
        <v/>
      </c>
      <c r="T70" s="121" t="str">
        <f t="shared" si="5"/>
        <v/>
      </c>
      <c r="U70" s="89"/>
      <c r="V70" s="80" t="str">
        <f t="shared" si="8"/>
        <v/>
      </c>
      <c r="W70" s="77" t="str">
        <f>IF(K70="","",SUM($S$5:S69)*$E$11*V70)</f>
        <v/>
      </c>
      <c r="Y70" s="121" t="str">
        <f t="shared" si="6"/>
        <v/>
      </c>
    </row>
    <row r="71" spans="11:25" ht="17.100000000000001" customHeight="1" x14ac:dyDescent="0.25">
      <c r="K71" s="81" t="str">
        <f>IF(CÁLCULO!C85="","",CÁLCULO!C85)</f>
        <v/>
      </c>
      <c r="L71" s="81" t="str">
        <f t="shared" si="9"/>
        <v/>
      </c>
      <c r="M71" s="82" t="str">
        <f>IF(CÁLCULO!E85="","",CÁLCULO!E85)</f>
        <v/>
      </c>
      <c r="O71" s="81" t="str">
        <f>IF(CÁLCULO!G85="","",CÁLCULO!G85)</f>
        <v/>
      </c>
      <c r="P71" s="80" t="str">
        <f t="shared" si="7"/>
        <v/>
      </c>
      <c r="Q71" s="121" t="str">
        <f>IF(CÁLCULO!I85="","",CÁLCULO!I85)</f>
        <v/>
      </c>
      <c r="R71" s="87"/>
      <c r="S71" s="121" t="str">
        <f t="shared" si="10"/>
        <v/>
      </c>
      <c r="T71" s="121" t="str">
        <f t="shared" ref="T71:T134" si="11">IF(K71="","",T70+S71)</f>
        <v/>
      </c>
      <c r="U71" s="89"/>
      <c r="V71" s="80" t="str">
        <f t="shared" si="8"/>
        <v/>
      </c>
      <c r="W71" s="77" t="str">
        <f>IF(K71="","",SUM($S$5:S70)*$E$11*V71)</f>
        <v/>
      </c>
      <c r="Y71" s="121" t="str">
        <f t="shared" ref="Y71:Y134" si="12">Q71</f>
        <v/>
      </c>
    </row>
    <row r="72" spans="11:25" ht="17.100000000000001" customHeight="1" x14ac:dyDescent="0.25">
      <c r="K72" s="81" t="str">
        <f>IF(CÁLCULO!C86="","",CÁLCULO!C86)</f>
        <v/>
      </c>
      <c r="L72" s="81" t="str">
        <f t="shared" si="9"/>
        <v/>
      </c>
      <c r="M72" s="82" t="str">
        <f>IF(CÁLCULO!E86="","",CÁLCULO!E86)</f>
        <v/>
      </c>
      <c r="O72" s="81" t="str">
        <f>IF(CÁLCULO!G86="","",CÁLCULO!G86)</f>
        <v/>
      </c>
      <c r="P72" s="80" t="str">
        <f t="shared" si="7"/>
        <v/>
      </c>
      <c r="Q72" s="121" t="str">
        <f>IF(CÁLCULO!I86="","",CÁLCULO!I86)</f>
        <v/>
      </c>
      <c r="R72" s="87"/>
      <c r="S72" s="121" t="str">
        <f t="shared" si="10"/>
        <v/>
      </c>
      <c r="T72" s="121" t="str">
        <f t="shared" si="11"/>
        <v/>
      </c>
      <c r="U72" s="89"/>
      <c r="V72" s="80" t="str">
        <f t="shared" si="8"/>
        <v/>
      </c>
      <c r="W72" s="77" t="str">
        <f>IF(K72="","",SUM($S$5:S71)*$E$11*V72)</f>
        <v/>
      </c>
      <c r="Y72" s="121" t="str">
        <f t="shared" si="12"/>
        <v/>
      </c>
    </row>
    <row r="73" spans="11:25" ht="17.100000000000001" customHeight="1" x14ac:dyDescent="0.25">
      <c r="K73" s="81" t="str">
        <f>IF(CÁLCULO!C87="","",CÁLCULO!C87)</f>
        <v/>
      </c>
      <c r="L73" s="81" t="str">
        <f t="shared" si="9"/>
        <v/>
      </c>
      <c r="M73" s="82" t="str">
        <f>IF(CÁLCULO!E87="","",CÁLCULO!E87)</f>
        <v/>
      </c>
      <c r="O73" s="81" t="str">
        <f>IF(CÁLCULO!G87="","",CÁLCULO!G87)</f>
        <v/>
      </c>
      <c r="P73" s="80" t="str">
        <f t="shared" si="7"/>
        <v/>
      </c>
      <c r="Q73" s="121" t="str">
        <f>IF(CÁLCULO!I87="","",CÁLCULO!I87)</f>
        <v/>
      </c>
      <c r="R73" s="87"/>
      <c r="S73" s="121" t="str">
        <f t="shared" si="10"/>
        <v/>
      </c>
      <c r="T73" s="121" t="str">
        <f t="shared" si="11"/>
        <v/>
      </c>
      <c r="U73" s="89"/>
      <c r="V73" s="80" t="str">
        <f t="shared" si="8"/>
        <v/>
      </c>
      <c r="W73" s="77" t="str">
        <f>IF(K73="","",SUM($S$5:S72)*$E$11*V73)</f>
        <v/>
      </c>
      <c r="Y73" s="121" t="str">
        <f t="shared" si="12"/>
        <v/>
      </c>
    </row>
    <row r="74" spans="11:25" ht="17.100000000000001" customHeight="1" x14ac:dyDescent="0.25">
      <c r="K74" s="81" t="str">
        <f>IF(CÁLCULO!C88="","",CÁLCULO!C88)</f>
        <v/>
      </c>
      <c r="L74" s="81" t="str">
        <f t="shared" si="9"/>
        <v/>
      </c>
      <c r="M74" s="82" t="str">
        <f>IF(CÁLCULO!E88="","",CÁLCULO!E88)</f>
        <v/>
      </c>
      <c r="O74" s="81" t="str">
        <f>IF(CÁLCULO!G88="","",CÁLCULO!G88)</f>
        <v/>
      </c>
      <c r="P74" s="80" t="str">
        <f t="shared" si="7"/>
        <v/>
      </c>
      <c r="Q74" s="121" t="str">
        <f>IF(CÁLCULO!I88="","",CÁLCULO!I88)</f>
        <v/>
      </c>
      <c r="R74" s="87"/>
      <c r="S74" s="121" t="str">
        <f t="shared" si="10"/>
        <v/>
      </c>
      <c r="T74" s="121" t="str">
        <f t="shared" si="11"/>
        <v/>
      </c>
      <c r="U74" s="89"/>
      <c r="V74" s="80" t="str">
        <f t="shared" si="8"/>
        <v/>
      </c>
      <c r="W74" s="77" t="str">
        <f>IF(K74="","",SUM($S$5:S73)*$E$11*V74)</f>
        <v/>
      </c>
      <c r="Y74" s="121" t="str">
        <f t="shared" si="12"/>
        <v/>
      </c>
    </row>
    <row r="75" spans="11:25" ht="17.100000000000001" customHeight="1" x14ac:dyDescent="0.25">
      <c r="K75" s="81" t="str">
        <f>IF(CÁLCULO!C89="","",CÁLCULO!C89)</f>
        <v/>
      </c>
      <c r="L75" s="81" t="str">
        <f t="shared" si="9"/>
        <v/>
      </c>
      <c r="M75" s="82" t="str">
        <f>IF(CÁLCULO!E89="","",CÁLCULO!E89)</f>
        <v/>
      </c>
      <c r="O75" s="81" t="str">
        <f>IF(CÁLCULO!G89="","",CÁLCULO!G89)</f>
        <v/>
      </c>
      <c r="P75" s="80" t="str">
        <f t="shared" si="7"/>
        <v/>
      </c>
      <c r="Q75" s="121" t="str">
        <f>IF(CÁLCULO!I89="","",CÁLCULO!I89)</f>
        <v/>
      </c>
      <c r="R75" s="87"/>
      <c r="S75" s="121" t="str">
        <f t="shared" si="10"/>
        <v/>
      </c>
      <c r="T75" s="121" t="str">
        <f t="shared" si="11"/>
        <v/>
      </c>
      <c r="U75" s="89"/>
      <c r="V75" s="80" t="str">
        <f t="shared" si="8"/>
        <v/>
      </c>
      <c r="W75" s="77" t="str">
        <f>IF(K75="","",SUM($S$5:S74)*$E$11*V75)</f>
        <v/>
      </c>
      <c r="Y75" s="121" t="str">
        <f t="shared" si="12"/>
        <v/>
      </c>
    </row>
    <row r="76" spans="11:25" ht="17.100000000000001" customHeight="1" x14ac:dyDescent="0.25">
      <c r="K76" s="81" t="str">
        <f>IF(CÁLCULO!C90="","",CÁLCULO!C90)</f>
        <v/>
      </c>
      <c r="L76" s="81" t="str">
        <f t="shared" si="9"/>
        <v/>
      </c>
      <c r="M76" s="82" t="str">
        <f>IF(CÁLCULO!E90="","",CÁLCULO!E90)</f>
        <v/>
      </c>
      <c r="O76" s="81" t="str">
        <f>IF(CÁLCULO!G90="","",CÁLCULO!G90)</f>
        <v/>
      </c>
      <c r="P76" s="80" t="str">
        <f t="shared" si="7"/>
        <v/>
      </c>
      <c r="Q76" s="121" t="str">
        <f>IF(CÁLCULO!I90="","",CÁLCULO!I90)</f>
        <v/>
      </c>
      <c r="R76" s="87"/>
      <c r="S76" s="121" t="str">
        <f t="shared" si="10"/>
        <v/>
      </c>
      <c r="T76" s="121" t="str">
        <f t="shared" si="11"/>
        <v/>
      </c>
      <c r="U76" s="89"/>
      <c r="V76" s="80" t="str">
        <f t="shared" si="8"/>
        <v/>
      </c>
      <c r="W76" s="77" t="str">
        <f>IF(K76="","",SUM($S$5:S75)*$E$11*V76)</f>
        <v/>
      </c>
      <c r="Y76" s="121" t="str">
        <f t="shared" si="12"/>
        <v/>
      </c>
    </row>
    <row r="77" spans="11:25" ht="17.100000000000001" customHeight="1" x14ac:dyDescent="0.25">
      <c r="K77" s="81" t="str">
        <f>IF(CÁLCULO!C91="","",CÁLCULO!C91)</f>
        <v/>
      </c>
      <c r="L77" s="81" t="str">
        <f t="shared" si="9"/>
        <v/>
      </c>
      <c r="M77" s="82" t="str">
        <f>IF(CÁLCULO!E91="","",CÁLCULO!E91)</f>
        <v/>
      </c>
      <c r="O77" s="81" t="str">
        <f>IF(CÁLCULO!G91="","",CÁLCULO!G91)</f>
        <v/>
      </c>
      <c r="P77" s="80" t="str">
        <f t="shared" si="7"/>
        <v/>
      </c>
      <c r="Q77" s="121" t="str">
        <f>IF(CÁLCULO!I91="","",CÁLCULO!I91)</f>
        <v/>
      </c>
      <c r="R77" s="87"/>
      <c r="S77" s="121" t="str">
        <f t="shared" si="10"/>
        <v/>
      </c>
      <c r="T77" s="121" t="str">
        <f t="shared" si="11"/>
        <v/>
      </c>
      <c r="U77" s="89"/>
      <c r="V77" s="80" t="str">
        <f t="shared" si="8"/>
        <v/>
      </c>
      <c r="W77" s="77" t="str">
        <f>IF(K77="","",SUM($S$5:S76)*$E$11*V77)</f>
        <v/>
      </c>
      <c r="Y77" s="121" t="str">
        <f t="shared" si="12"/>
        <v/>
      </c>
    </row>
    <row r="78" spans="11:25" ht="17.100000000000001" customHeight="1" x14ac:dyDescent="0.25">
      <c r="K78" s="81" t="str">
        <f>IF(CÁLCULO!C92="","",CÁLCULO!C92)</f>
        <v/>
      </c>
      <c r="L78" s="81" t="str">
        <f t="shared" si="9"/>
        <v/>
      </c>
      <c r="M78" s="82" t="str">
        <f>IF(CÁLCULO!E92="","",CÁLCULO!E92)</f>
        <v/>
      </c>
      <c r="O78" s="81" t="str">
        <f>IF(CÁLCULO!G92="","",CÁLCULO!G92)</f>
        <v/>
      </c>
      <c r="P78" s="80" t="str">
        <f t="shared" si="7"/>
        <v/>
      </c>
      <c r="Q78" s="121" t="str">
        <f>IF(CÁLCULO!I92="","",CÁLCULO!I92)</f>
        <v/>
      </c>
      <c r="R78" s="87"/>
      <c r="S78" s="121" t="str">
        <f t="shared" si="10"/>
        <v/>
      </c>
      <c r="T78" s="121" t="str">
        <f t="shared" si="11"/>
        <v/>
      </c>
      <c r="U78" s="89"/>
      <c r="V78" s="80" t="str">
        <f t="shared" si="8"/>
        <v/>
      </c>
      <c r="W78" s="77" t="str">
        <f>IF(K78="","",SUM($S$5:S77)*$E$11*V78)</f>
        <v/>
      </c>
      <c r="Y78" s="121" t="str">
        <f t="shared" si="12"/>
        <v/>
      </c>
    </row>
    <row r="79" spans="11:25" ht="17.100000000000001" customHeight="1" x14ac:dyDescent="0.25">
      <c r="K79" s="81" t="str">
        <f>IF(CÁLCULO!C93="","",CÁLCULO!C93)</f>
        <v/>
      </c>
      <c r="L79" s="81" t="str">
        <f t="shared" si="9"/>
        <v/>
      </c>
      <c r="M79" s="82" t="str">
        <f>IF(CÁLCULO!E93="","",CÁLCULO!E93)</f>
        <v/>
      </c>
      <c r="O79" s="81" t="str">
        <f>IF(CÁLCULO!G93="","",CÁLCULO!G93)</f>
        <v/>
      </c>
      <c r="P79" s="80" t="str">
        <f t="shared" si="7"/>
        <v/>
      </c>
      <c r="Q79" s="121" t="str">
        <f>IF(CÁLCULO!I93="","",CÁLCULO!I93)</f>
        <v/>
      </c>
      <c r="R79" s="87"/>
      <c r="S79" s="121" t="str">
        <f t="shared" si="10"/>
        <v/>
      </c>
      <c r="T79" s="121" t="str">
        <f t="shared" si="11"/>
        <v/>
      </c>
      <c r="U79" s="89"/>
      <c r="V79" s="80" t="str">
        <f t="shared" si="8"/>
        <v/>
      </c>
      <c r="W79" s="77" t="str">
        <f>IF(K79="","",SUM($S$5:S78)*$E$11*V79)</f>
        <v/>
      </c>
      <c r="Y79" s="121" t="str">
        <f t="shared" si="12"/>
        <v/>
      </c>
    </row>
    <row r="80" spans="11:25" ht="17.100000000000001" customHeight="1" x14ac:dyDescent="0.25">
      <c r="K80" s="81" t="str">
        <f>IF(CÁLCULO!C94="","",CÁLCULO!C94)</f>
        <v/>
      </c>
      <c r="L80" s="81" t="str">
        <f t="shared" si="9"/>
        <v/>
      </c>
      <c r="M80" s="82" t="str">
        <f>IF(CÁLCULO!E94="","",CÁLCULO!E94)</f>
        <v/>
      </c>
      <c r="O80" s="81" t="str">
        <f>IF(CÁLCULO!G94="","",CÁLCULO!G94)</f>
        <v/>
      </c>
      <c r="P80" s="80" t="str">
        <f t="shared" si="7"/>
        <v/>
      </c>
      <c r="Q80" s="121" t="str">
        <f>IF(CÁLCULO!I94="","",CÁLCULO!I94)</f>
        <v/>
      </c>
      <c r="R80" s="87"/>
      <c r="S80" s="121" t="str">
        <f t="shared" si="10"/>
        <v/>
      </c>
      <c r="T80" s="121" t="str">
        <f t="shared" si="11"/>
        <v/>
      </c>
      <c r="U80" s="89"/>
      <c r="V80" s="80" t="str">
        <f t="shared" si="8"/>
        <v/>
      </c>
      <c r="W80" s="77" t="str">
        <f>IF(K80="","",SUM($S$5:S79)*$E$11*V80)</f>
        <v/>
      </c>
      <c r="Y80" s="121" t="str">
        <f t="shared" si="12"/>
        <v/>
      </c>
    </row>
    <row r="81" spans="11:25" ht="17.100000000000001" customHeight="1" x14ac:dyDescent="0.25">
      <c r="K81" s="81" t="str">
        <f>IF(CÁLCULO!C95="","",CÁLCULO!C95)</f>
        <v/>
      </c>
      <c r="L81" s="81" t="str">
        <f t="shared" si="9"/>
        <v/>
      </c>
      <c r="M81" s="82" t="str">
        <f>IF(CÁLCULO!E95="","",CÁLCULO!E95)</f>
        <v/>
      </c>
      <c r="O81" s="81" t="str">
        <f>IF(CÁLCULO!G95="","",CÁLCULO!G95)</f>
        <v/>
      </c>
      <c r="P81" s="80" t="str">
        <f t="shared" si="7"/>
        <v/>
      </c>
      <c r="Q81" s="121" t="str">
        <f>IF(CÁLCULO!I95="","",CÁLCULO!I95)</f>
        <v/>
      </c>
      <c r="R81" s="87"/>
      <c r="S81" s="121" t="str">
        <f t="shared" si="10"/>
        <v/>
      </c>
      <c r="T81" s="121" t="str">
        <f t="shared" si="11"/>
        <v/>
      </c>
      <c r="U81" s="89"/>
      <c r="V81" s="80" t="str">
        <f t="shared" si="8"/>
        <v/>
      </c>
      <c r="W81" s="77" t="str">
        <f>IF(K81="","",SUM($S$5:S80)*$E$11*V81)</f>
        <v/>
      </c>
      <c r="Y81" s="121" t="str">
        <f t="shared" si="12"/>
        <v/>
      </c>
    </row>
    <row r="82" spans="11:25" ht="17.100000000000001" customHeight="1" x14ac:dyDescent="0.25">
      <c r="K82" s="81" t="str">
        <f>IF(CÁLCULO!C96="","",CÁLCULO!C96)</f>
        <v/>
      </c>
      <c r="L82" s="81" t="str">
        <f t="shared" si="9"/>
        <v/>
      </c>
      <c r="M82" s="82" t="str">
        <f>IF(CÁLCULO!E96="","",CÁLCULO!E96)</f>
        <v/>
      </c>
      <c r="O82" s="81" t="str">
        <f>IF(CÁLCULO!G96="","",CÁLCULO!G96)</f>
        <v/>
      </c>
      <c r="P82" s="80" t="str">
        <f t="shared" ref="P82:P145" si="13">IF(O82="","",O82+P81)</f>
        <v/>
      </c>
      <c r="Q82" s="121" t="str">
        <f>IF(CÁLCULO!I96="","",CÁLCULO!I96)</f>
        <v/>
      </c>
      <c r="R82" s="87"/>
      <c r="S82" s="121" t="str">
        <f t="shared" si="10"/>
        <v/>
      </c>
      <c r="T82" s="121" t="str">
        <f t="shared" si="11"/>
        <v/>
      </c>
      <c r="U82" s="89"/>
      <c r="V82" s="80" t="str">
        <f t="shared" si="8"/>
        <v/>
      </c>
      <c r="W82" s="77" t="str">
        <f>IF(K82="","",SUM($S$5:S81)*$E$11*V82)</f>
        <v/>
      </c>
      <c r="Y82" s="121" t="str">
        <f t="shared" si="12"/>
        <v/>
      </c>
    </row>
    <row r="83" spans="11:25" ht="17.100000000000001" customHeight="1" x14ac:dyDescent="0.25">
      <c r="K83" s="81" t="str">
        <f>IF(CÁLCULO!C97="","",CÁLCULO!C97)</f>
        <v/>
      </c>
      <c r="L83" s="81" t="str">
        <f t="shared" si="9"/>
        <v/>
      </c>
      <c r="M83" s="82" t="str">
        <f>IF(CÁLCULO!E97="","",CÁLCULO!E97)</f>
        <v/>
      </c>
      <c r="O83" s="81" t="str">
        <f>IF(CÁLCULO!G97="","",CÁLCULO!G97)</f>
        <v/>
      </c>
      <c r="P83" s="80" t="str">
        <f t="shared" si="13"/>
        <v/>
      </c>
      <c r="Q83" s="121" t="str">
        <f>IF(CÁLCULO!I97="","",CÁLCULO!I97)</f>
        <v/>
      </c>
      <c r="R83" s="87"/>
      <c r="S83" s="121" t="str">
        <f t="shared" si="10"/>
        <v/>
      </c>
      <c r="T83" s="121" t="str">
        <f t="shared" si="11"/>
        <v/>
      </c>
      <c r="U83" s="89"/>
      <c r="V83" s="80" t="str">
        <f t="shared" si="8"/>
        <v/>
      </c>
      <c r="W83" s="77" t="str">
        <f>IF(K83="","",SUM($S$5:S82)*$E$11*V83)</f>
        <v/>
      </c>
      <c r="Y83" s="121" t="str">
        <f t="shared" si="12"/>
        <v/>
      </c>
    </row>
    <row r="84" spans="11:25" ht="17.100000000000001" customHeight="1" x14ac:dyDescent="0.25">
      <c r="K84" s="81" t="str">
        <f>IF(CÁLCULO!C98="","",CÁLCULO!C98)</f>
        <v/>
      </c>
      <c r="L84" s="81" t="str">
        <f t="shared" si="9"/>
        <v/>
      </c>
      <c r="M84" s="82" t="str">
        <f>IF(CÁLCULO!E98="","",CÁLCULO!E98)</f>
        <v/>
      </c>
      <c r="O84" s="81" t="str">
        <f>IF(CÁLCULO!G98="","",CÁLCULO!G98)</f>
        <v/>
      </c>
      <c r="P84" s="80" t="str">
        <f t="shared" si="13"/>
        <v/>
      </c>
      <c r="Q84" s="121" t="str">
        <f>IF(CÁLCULO!I98="","",CÁLCULO!I98)</f>
        <v/>
      </c>
      <c r="R84" s="87"/>
      <c r="S84" s="121" t="str">
        <f t="shared" si="10"/>
        <v/>
      </c>
      <c r="T84" s="121" t="str">
        <f t="shared" si="11"/>
        <v/>
      </c>
      <c r="U84" s="89"/>
      <c r="V84" s="80" t="str">
        <f t="shared" si="8"/>
        <v/>
      </c>
      <c r="W84" s="77" t="str">
        <f>IF(K84="","",SUM($S$5:S83)*$E$11*V84)</f>
        <v/>
      </c>
      <c r="Y84" s="121" t="str">
        <f t="shared" si="12"/>
        <v/>
      </c>
    </row>
    <row r="85" spans="11:25" ht="17.100000000000001" customHeight="1" x14ac:dyDescent="0.25">
      <c r="K85" s="81" t="str">
        <f>IF(CÁLCULO!C99="","",CÁLCULO!C99)</f>
        <v/>
      </c>
      <c r="L85" s="81" t="str">
        <f t="shared" si="9"/>
        <v/>
      </c>
      <c r="M85" s="82" t="str">
        <f>IF(CÁLCULO!E99="","",CÁLCULO!E99)</f>
        <v/>
      </c>
      <c r="O85" s="81" t="str">
        <f>IF(CÁLCULO!G99="","",CÁLCULO!G99)</f>
        <v/>
      </c>
      <c r="P85" s="80" t="str">
        <f t="shared" si="13"/>
        <v/>
      </c>
      <c r="Q85" s="121" t="str">
        <f>IF(CÁLCULO!I99="","",CÁLCULO!I99)</f>
        <v/>
      </c>
      <c r="R85" s="87"/>
      <c r="S85" s="121" t="str">
        <f t="shared" si="10"/>
        <v/>
      </c>
      <c r="T85" s="121" t="str">
        <f t="shared" si="11"/>
        <v/>
      </c>
      <c r="U85" s="89"/>
      <c r="V85" s="80" t="str">
        <f t="shared" si="8"/>
        <v/>
      </c>
      <c r="W85" s="77" t="str">
        <f>IF(K85="","",SUM($S$5:S84)*$E$11*V85)</f>
        <v/>
      </c>
      <c r="Y85" s="121" t="str">
        <f t="shared" si="12"/>
        <v/>
      </c>
    </row>
    <row r="86" spans="11:25" ht="17.100000000000001" customHeight="1" x14ac:dyDescent="0.25">
      <c r="K86" s="81" t="str">
        <f>IF(CÁLCULO!C100="","",CÁLCULO!C100)</f>
        <v/>
      </c>
      <c r="L86" s="81" t="str">
        <f t="shared" si="9"/>
        <v/>
      </c>
      <c r="M86" s="82" t="str">
        <f>IF(CÁLCULO!E100="","",CÁLCULO!E100)</f>
        <v/>
      </c>
      <c r="O86" s="81" t="str">
        <f>IF(CÁLCULO!G100="","",CÁLCULO!G100)</f>
        <v/>
      </c>
      <c r="P86" s="80" t="str">
        <f t="shared" si="13"/>
        <v/>
      </c>
      <c r="Q86" s="121" t="str">
        <f>IF(CÁLCULO!I100="","",CÁLCULO!I100)</f>
        <v/>
      </c>
      <c r="R86" s="87"/>
      <c r="S86" s="121" t="str">
        <f t="shared" si="10"/>
        <v/>
      </c>
      <c r="T86" s="121" t="str">
        <f t="shared" si="11"/>
        <v/>
      </c>
      <c r="U86" s="89"/>
      <c r="V86" s="80" t="str">
        <f t="shared" si="8"/>
        <v/>
      </c>
      <c r="W86" s="77" t="str">
        <f>IF(K86="","",SUM($S$5:S85)*$E$11*V86)</f>
        <v/>
      </c>
      <c r="Y86" s="121" t="str">
        <f t="shared" si="12"/>
        <v/>
      </c>
    </row>
    <row r="87" spans="11:25" ht="17.100000000000001" customHeight="1" x14ac:dyDescent="0.25">
      <c r="K87" s="81" t="str">
        <f>IF(CÁLCULO!C101="","",CÁLCULO!C101)</f>
        <v/>
      </c>
      <c r="L87" s="81" t="str">
        <f t="shared" si="9"/>
        <v/>
      </c>
      <c r="M87" s="82" t="str">
        <f>IF(CÁLCULO!E101="","",CÁLCULO!E101)</f>
        <v/>
      </c>
      <c r="O87" s="81" t="str">
        <f>IF(CÁLCULO!G101="","",CÁLCULO!G101)</f>
        <v/>
      </c>
      <c r="P87" s="80" t="str">
        <f t="shared" si="13"/>
        <v/>
      </c>
      <c r="Q87" s="121" t="str">
        <f>IF(CÁLCULO!I101="","",CÁLCULO!I101)</f>
        <v/>
      </c>
      <c r="R87" s="87"/>
      <c r="S87" s="121" t="str">
        <f t="shared" si="10"/>
        <v/>
      </c>
      <c r="T87" s="121" t="str">
        <f t="shared" si="11"/>
        <v/>
      </c>
      <c r="U87" s="89"/>
      <c r="V87" s="80" t="str">
        <f t="shared" si="8"/>
        <v/>
      </c>
      <c r="W87" s="77" t="str">
        <f>IF(K87="","",SUM($S$5:S86)*$E$11*V87)</f>
        <v/>
      </c>
      <c r="Y87" s="121" t="str">
        <f t="shared" si="12"/>
        <v/>
      </c>
    </row>
    <row r="88" spans="11:25" ht="17.100000000000001" customHeight="1" x14ac:dyDescent="0.25">
      <c r="K88" s="81" t="str">
        <f>IF(CÁLCULO!C102="","",CÁLCULO!C102)</f>
        <v/>
      </c>
      <c r="L88" s="81" t="str">
        <f t="shared" si="9"/>
        <v/>
      </c>
      <c r="M88" s="82" t="str">
        <f>IF(CÁLCULO!E102="","",CÁLCULO!E102)</f>
        <v/>
      </c>
      <c r="O88" s="81" t="str">
        <f>IF(CÁLCULO!G102="","",CÁLCULO!G102)</f>
        <v/>
      </c>
      <c r="P88" s="80" t="str">
        <f t="shared" si="13"/>
        <v/>
      </c>
      <c r="Q88" s="121" t="str">
        <f>IF(CÁLCULO!I102="","",CÁLCULO!I102)</f>
        <v/>
      </c>
      <c r="R88" s="87"/>
      <c r="S88" s="121" t="str">
        <f t="shared" si="10"/>
        <v/>
      </c>
      <c r="T88" s="121" t="str">
        <f t="shared" si="11"/>
        <v/>
      </c>
      <c r="U88" s="89"/>
      <c r="V88" s="80" t="str">
        <f t="shared" si="8"/>
        <v/>
      </c>
      <c r="W88" s="77" t="str">
        <f>IF(K88="","",SUM($S$5:S87)*$E$11*V88)</f>
        <v/>
      </c>
      <c r="Y88" s="121" t="str">
        <f t="shared" si="12"/>
        <v/>
      </c>
    </row>
    <row r="89" spans="11:25" ht="17.100000000000001" customHeight="1" x14ac:dyDescent="0.25">
      <c r="K89" s="81" t="str">
        <f>IF(CÁLCULO!C103="","",CÁLCULO!C103)</f>
        <v/>
      </c>
      <c r="L89" s="81" t="str">
        <f t="shared" si="9"/>
        <v/>
      </c>
      <c r="M89" s="82" t="str">
        <f>IF(CÁLCULO!E103="","",CÁLCULO!E103)</f>
        <v/>
      </c>
      <c r="O89" s="81" t="str">
        <f>IF(CÁLCULO!G103="","",CÁLCULO!G103)</f>
        <v/>
      </c>
      <c r="P89" s="80" t="str">
        <f t="shared" si="13"/>
        <v/>
      </c>
      <c r="Q89" s="121" t="str">
        <f>IF(CÁLCULO!I103="","",CÁLCULO!I103)</f>
        <v/>
      </c>
      <c r="R89" s="87"/>
      <c r="S89" s="121" t="str">
        <f t="shared" si="10"/>
        <v/>
      </c>
      <c r="T89" s="121" t="str">
        <f t="shared" si="11"/>
        <v/>
      </c>
      <c r="U89" s="89"/>
      <c r="V89" s="80" t="str">
        <f t="shared" si="8"/>
        <v/>
      </c>
      <c r="W89" s="77" t="str">
        <f>IF(K89="","",SUM($S$5:S88)*$E$11*V89)</f>
        <v/>
      </c>
      <c r="Y89" s="121" t="str">
        <f t="shared" si="12"/>
        <v/>
      </c>
    </row>
    <row r="90" spans="11:25" ht="17.100000000000001" customHeight="1" x14ac:dyDescent="0.25">
      <c r="K90" s="81" t="str">
        <f>IF(CÁLCULO!C104="","",CÁLCULO!C104)</f>
        <v/>
      </c>
      <c r="L90" s="81" t="str">
        <f t="shared" si="9"/>
        <v/>
      </c>
      <c r="M90" s="82" t="str">
        <f>IF(CÁLCULO!E104="","",CÁLCULO!E104)</f>
        <v/>
      </c>
      <c r="O90" s="81" t="str">
        <f>IF(CÁLCULO!G104="","",CÁLCULO!G104)</f>
        <v/>
      </c>
      <c r="P90" s="80" t="str">
        <f t="shared" si="13"/>
        <v/>
      </c>
      <c r="Q90" s="121" t="str">
        <f>IF(CÁLCULO!I104="","",CÁLCULO!I104)</f>
        <v/>
      </c>
      <c r="R90" s="87"/>
      <c r="S90" s="121" t="str">
        <f t="shared" si="10"/>
        <v/>
      </c>
      <c r="T90" s="121" t="str">
        <f t="shared" si="11"/>
        <v/>
      </c>
      <c r="U90" s="89"/>
      <c r="V90" s="80" t="str">
        <f t="shared" si="8"/>
        <v/>
      </c>
      <c r="W90" s="77" t="str">
        <f>IF(K90="","",SUM($S$5:S89)*$E$11*V90)</f>
        <v/>
      </c>
      <c r="Y90" s="121" t="str">
        <f t="shared" si="12"/>
        <v/>
      </c>
    </row>
    <row r="91" spans="11:25" ht="17.100000000000001" customHeight="1" x14ac:dyDescent="0.25">
      <c r="K91" s="81" t="str">
        <f>IF(CÁLCULO!C105="","",CÁLCULO!C105)</f>
        <v/>
      </c>
      <c r="L91" s="81" t="str">
        <f t="shared" si="9"/>
        <v/>
      </c>
      <c r="M91" s="82" t="str">
        <f>IF(CÁLCULO!E105="","",CÁLCULO!E105)</f>
        <v/>
      </c>
      <c r="O91" s="81" t="str">
        <f>IF(CÁLCULO!G105="","",CÁLCULO!G105)</f>
        <v/>
      </c>
      <c r="P91" s="80" t="str">
        <f t="shared" si="13"/>
        <v/>
      </c>
      <c r="Q91" s="121" t="str">
        <f>IF(CÁLCULO!I105="","",CÁLCULO!I105)</f>
        <v/>
      </c>
      <c r="R91" s="87"/>
      <c r="S91" s="121" t="str">
        <f t="shared" si="10"/>
        <v/>
      </c>
      <c r="T91" s="121" t="str">
        <f t="shared" si="11"/>
        <v/>
      </c>
      <c r="U91" s="89"/>
      <c r="V91" s="80" t="str">
        <f t="shared" si="8"/>
        <v/>
      </c>
      <c r="W91" s="77" t="str">
        <f>IF(K91="","",SUM($S$5:S90)*$E$11*V91)</f>
        <v/>
      </c>
      <c r="Y91" s="121" t="str">
        <f t="shared" si="12"/>
        <v/>
      </c>
    </row>
    <row r="92" spans="11:25" ht="17.100000000000001" customHeight="1" x14ac:dyDescent="0.25">
      <c r="K92" s="81" t="str">
        <f>IF(CÁLCULO!C106="","",CÁLCULO!C106)</f>
        <v/>
      </c>
      <c r="L92" s="81" t="str">
        <f t="shared" si="9"/>
        <v/>
      </c>
      <c r="M92" s="82" t="str">
        <f>IF(CÁLCULO!E106="","",CÁLCULO!E106)</f>
        <v/>
      </c>
      <c r="O92" s="81" t="str">
        <f>IF(CÁLCULO!G106="","",CÁLCULO!G106)</f>
        <v/>
      </c>
      <c r="P92" s="80" t="str">
        <f t="shared" si="13"/>
        <v/>
      </c>
      <c r="Q92" s="121" t="str">
        <f>IF(CÁLCULO!I106="","",CÁLCULO!I106)</f>
        <v/>
      </c>
      <c r="R92" s="87"/>
      <c r="S92" s="121" t="str">
        <f t="shared" si="10"/>
        <v/>
      </c>
      <c r="T92" s="121" t="str">
        <f t="shared" si="11"/>
        <v/>
      </c>
      <c r="U92" s="89"/>
      <c r="V92" s="80" t="str">
        <f t="shared" si="8"/>
        <v/>
      </c>
      <c r="W92" s="77" t="str">
        <f>IF(K92="","",SUM($S$5:S91)*$E$11*V92)</f>
        <v/>
      </c>
      <c r="Y92" s="121" t="str">
        <f t="shared" si="12"/>
        <v/>
      </c>
    </row>
    <row r="93" spans="11:25" ht="17.100000000000001" customHeight="1" x14ac:dyDescent="0.25">
      <c r="K93" s="81" t="str">
        <f>IF(CÁLCULO!C107="","",CÁLCULO!C107)</f>
        <v/>
      </c>
      <c r="L93" s="81" t="str">
        <f t="shared" si="9"/>
        <v/>
      </c>
      <c r="M93" s="82" t="str">
        <f>IF(CÁLCULO!E107="","",CÁLCULO!E107)</f>
        <v/>
      </c>
      <c r="O93" s="81" t="str">
        <f>IF(CÁLCULO!G107="","",CÁLCULO!G107)</f>
        <v/>
      </c>
      <c r="P93" s="80" t="str">
        <f t="shared" si="13"/>
        <v/>
      </c>
      <c r="Q93" s="121" t="str">
        <f>IF(CÁLCULO!I107="","",CÁLCULO!I107)</f>
        <v/>
      </c>
      <c r="R93" s="87"/>
      <c r="S93" s="121" t="str">
        <f t="shared" si="10"/>
        <v/>
      </c>
      <c r="T93" s="121" t="str">
        <f t="shared" si="11"/>
        <v/>
      </c>
      <c r="U93" s="89"/>
      <c r="V93" s="80" t="str">
        <f t="shared" si="8"/>
        <v/>
      </c>
      <c r="W93" s="77" t="str">
        <f>IF(K93="","",SUM($S$5:S92)*$E$11*V93)</f>
        <v/>
      </c>
      <c r="Y93" s="121" t="str">
        <f t="shared" si="12"/>
        <v/>
      </c>
    </row>
    <row r="94" spans="11:25" ht="17.100000000000001" customHeight="1" x14ac:dyDescent="0.25">
      <c r="K94" s="81" t="str">
        <f>IF(CÁLCULO!C108="","",CÁLCULO!C108)</f>
        <v/>
      </c>
      <c r="L94" s="81" t="str">
        <f t="shared" si="9"/>
        <v/>
      </c>
      <c r="M94" s="82" t="str">
        <f>IF(CÁLCULO!E108="","",CÁLCULO!E108)</f>
        <v/>
      </c>
      <c r="O94" s="81" t="str">
        <f>IF(CÁLCULO!G108="","",CÁLCULO!G108)</f>
        <v/>
      </c>
      <c r="P94" s="80" t="str">
        <f t="shared" si="13"/>
        <v/>
      </c>
      <c r="Q94" s="121" t="str">
        <f>IF(CÁLCULO!I108="","",CÁLCULO!I108)</f>
        <v/>
      </c>
      <c r="R94" s="87"/>
      <c r="S94" s="121" t="str">
        <f t="shared" si="10"/>
        <v/>
      </c>
      <c r="T94" s="121" t="str">
        <f t="shared" si="11"/>
        <v/>
      </c>
      <c r="U94" s="89"/>
      <c r="V94" s="80" t="str">
        <f t="shared" si="8"/>
        <v/>
      </c>
      <c r="W94" s="77" t="str">
        <f>IF(K94="","",SUM($S$5:S93)*$E$11*V94)</f>
        <v/>
      </c>
      <c r="Y94" s="121" t="str">
        <f t="shared" si="12"/>
        <v/>
      </c>
    </row>
    <row r="95" spans="11:25" ht="17.100000000000001" customHeight="1" x14ac:dyDescent="0.25">
      <c r="K95" s="81" t="str">
        <f>IF(CÁLCULO!C109="","",CÁLCULO!C109)</f>
        <v/>
      </c>
      <c r="L95" s="81" t="str">
        <f t="shared" si="9"/>
        <v/>
      </c>
      <c r="M95" s="82" t="str">
        <f>IF(CÁLCULO!E109="","",CÁLCULO!E109)</f>
        <v/>
      </c>
      <c r="O95" s="81" t="str">
        <f>IF(CÁLCULO!G109="","",CÁLCULO!G109)</f>
        <v/>
      </c>
      <c r="P95" s="80" t="str">
        <f t="shared" si="13"/>
        <v/>
      </c>
      <c r="Q95" s="121" t="str">
        <f>IF(CÁLCULO!I109="","",CÁLCULO!I109)</f>
        <v/>
      </c>
      <c r="R95" s="87"/>
      <c r="S95" s="121" t="str">
        <f t="shared" si="10"/>
        <v/>
      </c>
      <c r="T95" s="121" t="str">
        <f t="shared" si="11"/>
        <v/>
      </c>
      <c r="U95" s="89"/>
      <c r="V95" s="80" t="str">
        <f t="shared" si="8"/>
        <v/>
      </c>
      <c r="W95" s="77" t="str">
        <f>IF(K95="","",SUM($S$5:S94)*$E$11*V95)</f>
        <v/>
      </c>
      <c r="Y95" s="121" t="str">
        <f t="shared" si="12"/>
        <v/>
      </c>
    </row>
    <row r="96" spans="11:25" ht="17.100000000000001" customHeight="1" x14ac:dyDescent="0.25">
      <c r="K96" s="81" t="str">
        <f>IF(CÁLCULO!C110="","",CÁLCULO!C110)</f>
        <v/>
      </c>
      <c r="L96" s="81" t="str">
        <f t="shared" si="9"/>
        <v/>
      </c>
      <c r="M96" s="82" t="str">
        <f>IF(CÁLCULO!E110="","",CÁLCULO!E110)</f>
        <v/>
      </c>
      <c r="O96" s="81" t="str">
        <f>IF(CÁLCULO!G110="","",CÁLCULO!G110)</f>
        <v/>
      </c>
      <c r="P96" s="80" t="str">
        <f t="shared" si="13"/>
        <v/>
      </c>
      <c r="Q96" s="121" t="str">
        <f>IF(CÁLCULO!I110="","",CÁLCULO!I110)</f>
        <v/>
      </c>
      <c r="R96" s="87"/>
      <c r="S96" s="121" t="str">
        <f t="shared" si="10"/>
        <v/>
      </c>
      <c r="T96" s="121" t="str">
        <f t="shared" si="11"/>
        <v/>
      </c>
      <c r="U96" s="89"/>
      <c r="V96" s="80" t="str">
        <f t="shared" si="8"/>
        <v/>
      </c>
      <c r="W96" s="77" t="str">
        <f>IF(K96="","",SUM($S$5:S95)*$E$11*V96)</f>
        <v/>
      </c>
      <c r="Y96" s="121" t="str">
        <f t="shared" si="12"/>
        <v/>
      </c>
    </row>
    <row r="97" spans="11:25" ht="17.100000000000001" customHeight="1" x14ac:dyDescent="0.25">
      <c r="K97" s="81" t="str">
        <f>IF(CÁLCULO!C111="","",CÁLCULO!C111)</f>
        <v/>
      </c>
      <c r="L97" s="81" t="str">
        <f t="shared" si="9"/>
        <v/>
      </c>
      <c r="M97" s="82" t="str">
        <f>IF(CÁLCULO!E111="","",CÁLCULO!E111)</f>
        <v/>
      </c>
      <c r="O97" s="81" t="str">
        <f>IF(CÁLCULO!G111="","",CÁLCULO!G111)</f>
        <v/>
      </c>
      <c r="P97" s="80" t="str">
        <f t="shared" si="13"/>
        <v/>
      </c>
      <c r="Q97" s="121" t="str">
        <f>IF(CÁLCULO!I111="","",CÁLCULO!I111)</f>
        <v/>
      </c>
      <c r="R97" s="87"/>
      <c r="S97" s="121" t="str">
        <f t="shared" si="10"/>
        <v/>
      </c>
      <c r="T97" s="121" t="str">
        <f t="shared" si="11"/>
        <v/>
      </c>
      <c r="U97" s="89"/>
      <c r="V97" s="80" t="str">
        <f t="shared" si="8"/>
        <v/>
      </c>
      <c r="W97" s="77" t="str">
        <f>IF(K97="","",SUM($S$5:S96)*$E$11*V97)</f>
        <v/>
      </c>
      <c r="Y97" s="121" t="str">
        <f t="shared" si="12"/>
        <v/>
      </c>
    </row>
    <row r="98" spans="11:25" ht="17.100000000000001" customHeight="1" x14ac:dyDescent="0.25">
      <c r="K98" s="81" t="str">
        <f>IF(CÁLCULO!C112="","",CÁLCULO!C112)</f>
        <v/>
      </c>
      <c r="L98" s="81" t="str">
        <f t="shared" si="9"/>
        <v/>
      </c>
      <c r="M98" s="82" t="str">
        <f>IF(CÁLCULO!E112="","",CÁLCULO!E112)</f>
        <v/>
      </c>
      <c r="O98" s="81" t="str">
        <f>IF(CÁLCULO!G112="","",CÁLCULO!G112)</f>
        <v/>
      </c>
      <c r="P98" s="80" t="str">
        <f t="shared" si="13"/>
        <v/>
      </c>
      <c r="Q98" s="121" t="str">
        <f>IF(CÁLCULO!I112="","",CÁLCULO!I112)</f>
        <v/>
      </c>
      <c r="R98" s="87"/>
      <c r="S98" s="121" t="str">
        <f t="shared" si="10"/>
        <v/>
      </c>
      <c r="T98" s="121" t="str">
        <f t="shared" si="11"/>
        <v/>
      </c>
      <c r="U98" s="89"/>
      <c r="V98" s="80" t="str">
        <f t="shared" si="8"/>
        <v/>
      </c>
      <c r="W98" s="77" t="str">
        <f>IF(K98="","",SUM($S$5:S97)*$E$11*V98)</f>
        <v/>
      </c>
      <c r="Y98" s="121" t="str">
        <f t="shared" si="12"/>
        <v/>
      </c>
    </row>
    <row r="99" spans="11:25" ht="17.100000000000001" customHeight="1" x14ac:dyDescent="0.25">
      <c r="K99" s="81" t="str">
        <f>IF(CÁLCULO!C113="","",CÁLCULO!C113)</f>
        <v/>
      </c>
      <c r="L99" s="81" t="str">
        <f t="shared" si="9"/>
        <v/>
      </c>
      <c r="M99" s="82" t="str">
        <f>IF(CÁLCULO!E113="","",CÁLCULO!E113)</f>
        <v/>
      </c>
      <c r="O99" s="81" t="str">
        <f>IF(CÁLCULO!G113="","",CÁLCULO!G113)</f>
        <v/>
      </c>
      <c r="P99" s="80" t="str">
        <f t="shared" si="13"/>
        <v/>
      </c>
      <c r="Q99" s="121" t="str">
        <f>IF(CÁLCULO!I113="","",CÁLCULO!I113)</f>
        <v/>
      </c>
      <c r="R99" s="87"/>
      <c r="S99" s="121" t="str">
        <f t="shared" si="10"/>
        <v/>
      </c>
      <c r="T99" s="121" t="str">
        <f t="shared" si="11"/>
        <v/>
      </c>
      <c r="U99" s="89"/>
      <c r="V99" s="80" t="str">
        <f t="shared" si="8"/>
        <v/>
      </c>
      <c r="W99" s="77" t="str">
        <f>IF(K99="","",SUM($S$5:S98)*$E$11*V99)</f>
        <v/>
      </c>
      <c r="Y99" s="121" t="str">
        <f t="shared" si="12"/>
        <v/>
      </c>
    </row>
    <row r="100" spans="11:25" ht="17.100000000000001" customHeight="1" x14ac:dyDescent="0.25">
      <c r="K100" s="81" t="str">
        <f>IF(CÁLCULO!C114="","",CÁLCULO!C114)</f>
        <v/>
      </c>
      <c r="L100" s="81" t="str">
        <f t="shared" si="9"/>
        <v/>
      </c>
      <c r="M100" s="82" t="str">
        <f>IF(CÁLCULO!E114="","",CÁLCULO!E114)</f>
        <v/>
      </c>
      <c r="O100" s="81" t="str">
        <f>IF(CÁLCULO!G114="","",CÁLCULO!G114)</f>
        <v/>
      </c>
      <c r="P100" s="80" t="str">
        <f t="shared" si="13"/>
        <v/>
      </c>
      <c r="Q100" s="121" t="str">
        <f>IF(CÁLCULO!I114="","",CÁLCULO!I114)</f>
        <v/>
      </c>
      <c r="R100" s="87"/>
      <c r="S100" s="121" t="str">
        <f t="shared" si="10"/>
        <v/>
      </c>
      <c r="T100" s="121" t="str">
        <f t="shared" si="11"/>
        <v/>
      </c>
      <c r="U100" s="89"/>
      <c r="V100" s="80" t="str">
        <f t="shared" si="8"/>
        <v/>
      </c>
      <c r="W100" s="77" t="str">
        <f>IF(K100="","",SUM($S$5:S99)*$E$11*V100)</f>
        <v/>
      </c>
      <c r="Y100" s="121" t="str">
        <f t="shared" si="12"/>
        <v/>
      </c>
    </row>
    <row r="101" spans="11:25" ht="17.100000000000001" customHeight="1" x14ac:dyDescent="0.25">
      <c r="K101" s="81" t="str">
        <f>IF(CÁLCULO!C115="","",CÁLCULO!C115)</f>
        <v/>
      </c>
      <c r="L101" s="81" t="str">
        <f t="shared" si="9"/>
        <v/>
      </c>
      <c r="M101" s="82" t="str">
        <f>IF(CÁLCULO!E115="","",CÁLCULO!E115)</f>
        <v/>
      </c>
      <c r="O101" s="81" t="str">
        <f>IF(CÁLCULO!G115="","",CÁLCULO!G115)</f>
        <v/>
      </c>
      <c r="P101" s="80" t="str">
        <f t="shared" si="13"/>
        <v/>
      </c>
      <c r="Q101" s="121" t="str">
        <f>IF(CÁLCULO!I115="","",CÁLCULO!I115)</f>
        <v/>
      </c>
      <c r="R101" s="87"/>
      <c r="S101" s="121" t="str">
        <f t="shared" si="10"/>
        <v/>
      </c>
      <c r="T101" s="121" t="str">
        <f t="shared" si="11"/>
        <v/>
      </c>
      <c r="U101" s="89"/>
      <c r="V101" s="80" t="str">
        <f t="shared" si="8"/>
        <v/>
      </c>
      <c r="W101" s="77" t="str">
        <f>IF(K101="","",SUM($S$5:S100)*$E$11*V101)</f>
        <v/>
      </c>
      <c r="Y101" s="121" t="str">
        <f t="shared" si="12"/>
        <v/>
      </c>
    </row>
    <row r="102" spans="11:25" ht="17.100000000000001" customHeight="1" x14ac:dyDescent="0.25">
      <c r="K102" s="81" t="str">
        <f>IF(CÁLCULO!C116="","",CÁLCULO!C116)</f>
        <v/>
      </c>
      <c r="L102" s="81" t="str">
        <f t="shared" si="9"/>
        <v/>
      </c>
      <c r="M102" s="82" t="str">
        <f>IF(CÁLCULO!E116="","",CÁLCULO!E116)</f>
        <v/>
      </c>
      <c r="O102" s="81" t="str">
        <f>IF(CÁLCULO!G116="","",CÁLCULO!G116)</f>
        <v/>
      </c>
      <c r="P102" s="80" t="str">
        <f t="shared" si="13"/>
        <v/>
      </c>
      <c r="Q102" s="121" t="str">
        <f>IF(CÁLCULO!I116="","",CÁLCULO!I116)</f>
        <v/>
      </c>
      <c r="R102" s="87"/>
      <c r="S102" s="121" t="str">
        <f t="shared" si="10"/>
        <v/>
      </c>
      <c r="T102" s="121" t="str">
        <f t="shared" si="11"/>
        <v/>
      </c>
      <c r="U102" s="89"/>
      <c r="V102" s="80" t="str">
        <f t="shared" si="8"/>
        <v/>
      </c>
      <c r="W102" s="77" t="str">
        <f>IF(K102="","",SUM($S$5:S101)*$E$11*V102)</f>
        <v/>
      </c>
      <c r="Y102" s="121" t="str">
        <f t="shared" si="12"/>
        <v/>
      </c>
    </row>
    <row r="103" spans="11:25" ht="17.100000000000001" customHeight="1" x14ac:dyDescent="0.25">
      <c r="K103" s="81" t="str">
        <f>IF(CÁLCULO!C117="","",CÁLCULO!C117)</f>
        <v/>
      </c>
      <c r="L103" s="81" t="str">
        <f t="shared" si="9"/>
        <v/>
      </c>
      <c r="M103" s="82" t="str">
        <f>IF(CÁLCULO!E117="","",CÁLCULO!E117)</f>
        <v/>
      </c>
      <c r="O103" s="81" t="str">
        <f>IF(CÁLCULO!G117="","",CÁLCULO!G117)</f>
        <v/>
      </c>
      <c r="P103" s="80" t="str">
        <f t="shared" si="13"/>
        <v/>
      </c>
      <c r="Q103" s="121" t="str">
        <f>IF(CÁLCULO!I117="","",CÁLCULO!I117)</f>
        <v/>
      </c>
      <c r="R103" s="87"/>
      <c r="S103" s="121" t="str">
        <f t="shared" si="10"/>
        <v/>
      </c>
      <c r="T103" s="121" t="str">
        <f t="shared" si="11"/>
        <v/>
      </c>
      <c r="U103" s="89"/>
      <c r="V103" s="80" t="str">
        <f t="shared" si="8"/>
        <v/>
      </c>
      <c r="W103" s="77" t="str">
        <f>IF(K103="","",SUM($S$5:S102)*$E$11*V103)</f>
        <v/>
      </c>
      <c r="Y103" s="121" t="str">
        <f t="shared" si="12"/>
        <v/>
      </c>
    </row>
    <row r="104" spans="11:25" ht="17.100000000000001" customHeight="1" x14ac:dyDescent="0.25">
      <c r="K104" s="81" t="str">
        <f>IF(CÁLCULO!C118="","",CÁLCULO!C118)</f>
        <v/>
      </c>
      <c r="L104" s="81" t="str">
        <f t="shared" si="9"/>
        <v/>
      </c>
      <c r="M104" s="82" t="str">
        <f>IF(CÁLCULO!E118="","",CÁLCULO!E118)</f>
        <v/>
      </c>
      <c r="O104" s="81" t="str">
        <f>IF(CÁLCULO!G118="","",CÁLCULO!G118)</f>
        <v/>
      </c>
      <c r="P104" s="80" t="str">
        <f t="shared" si="13"/>
        <v/>
      </c>
      <c r="Q104" s="121" t="str">
        <f>IF(CÁLCULO!I118="","",CÁLCULO!I118)</f>
        <v/>
      </c>
      <c r="R104" s="87"/>
      <c r="S104" s="121" t="str">
        <f t="shared" si="10"/>
        <v/>
      </c>
      <c r="T104" s="121" t="str">
        <f t="shared" si="11"/>
        <v/>
      </c>
      <c r="U104" s="89"/>
      <c r="V104" s="80" t="str">
        <f t="shared" si="8"/>
        <v/>
      </c>
      <c r="W104" s="77" t="str">
        <f>IF(K104="","",SUM($S$5:S103)*$E$11*V104)</f>
        <v/>
      </c>
      <c r="Y104" s="121" t="str">
        <f t="shared" si="12"/>
        <v/>
      </c>
    </row>
    <row r="105" spans="11:25" ht="17.100000000000001" customHeight="1" x14ac:dyDescent="0.25">
      <c r="K105" s="81" t="str">
        <f>IF(CÁLCULO!C119="","",CÁLCULO!C119)</f>
        <v/>
      </c>
      <c r="L105" s="81" t="str">
        <f t="shared" si="9"/>
        <v/>
      </c>
      <c r="M105" s="82" t="str">
        <f>IF(CÁLCULO!E119="","",CÁLCULO!E119)</f>
        <v/>
      </c>
      <c r="O105" s="81" t="str">
        <f>IF(CÁLCULO!G119="","",CÁLCULO!G119)</f>
        <v/>
      </c>
      <c r="P105" s="80" t="str">
        <f t="shared" si="13"/>
        <v/>
      </c>
      <c r="Q105" s="121" t="str">
        <f>IF(CÁLCULO!I119="","",CÁLCULO!I119)</f>
        <v/>
      </c>
      <c r="R105" s="87"/>
      <c r="S105" s="121" t="str">
        <f t="shared" si="10"/>
        <v/>
      </c>
      <c r="T105" s="121" t="str">
        <f t="shared" si="11"/>
        <v/>
      </c>
      <c r="U105" s="89"/>
      <c r="V105" s="80" t="str">
        <f t="shared" si="8"/>
        <v/>
      </c>
      <c r="W105" s="77" t="str">
        <f>IF(K105="","",SUM($S$5:S104)*$E$11*V105)</f>
        <v/>
      </c>
      <c r="Y105" s="121" t="str">
        <f t="shared" si="12"/>
        <v/>
      </c>
    </row>
    <row r="106" spans="11:25" ht="17.100000000000001" customHeight="1" x14ac:dyDescent="0.25">
      <c r="K106" s="81" t="str">
        <f>IF(CÁLCULO!C120="","",CÁLCULO!C120)</f>
        <v/>
      </c>
      <c r="L106" s="81" t="str">
        <f t="shared" si="9"/>
        <v/>
      </c>
      <c r="M106" s="82" t="str">
        <f>IF(CÁLCULO!E120="","",CÁLCULO!E120)</f>
        <v/>
      </c>
      <c r="O106" s="81" t="str">
        <f>IF(CÁLCULO!G120="","",CÁLCULO!G120)</f>
        <v/>
      </c>
      <c r="P106" s="80" t="str">
        <f t="shared" si="13"/>
        <v/>
      </c>
      <c r="Q106" s="121" t="str">
        <f>IF(CÁLCULO!I120="","",CÁLCULO!I120)</f>
        <v/>
      </c>
      <c r="R106" s="87"/>
      <c r="S106" s="121" t="str">
        <f t="shared" si="10"/>
        <v/>
      </c>
      <c r="T106" s="121" t="str">
        <f t="shared" si="11"/>
        <v/>
      </c>
      <c r="U106" s="89"/>
      <c r="V106" s="80" t="str">
        <f t="shared" si="8"/>
        <v/>
      </c>
      <c r="W106" s="77" t="str">
        <f>IF(K106="","",SUM($S$5:S105)*$E$11*V106)</f>
        <v/>
      </c>
      <c r="Y106" s="121" t="str">
        <f t="shared" si="12"/>
        <v/>
      </c>
    </row>
    <row r="107" spans="11:25" ht="17.100000000000001" customHeight="1" x14ac:dyDescent="0.25">
      <c r="K107" s="81" t="str">
        <f>IF(CÁLCULO!C121="","",CÁLCULO!C121)</f>
        <v/>
      </c>
      <c r="L107" s="81" t="str">
        <f t="shared" si="9"/>
        <v/>
      </c>
      <c r="M107" s="82" t="str">
        <f>IF(CÁLCULO!E121="","",CÁLCULO!E121)</f>
        <v/>
      </c>
      <c r="O107" s="81" t="str">
        <f>IF(CÁLCULO!G121="","",CÁLCULO!G121)</f>
        <v/>
      </c>
      <c r="P107" s="80" t="str">
        <f t="shared" si="13"/>
        <v/>
      </c>
      <c r="Q107" s="121" t="str">
        <f>IF(CÁLCULO!I121="","",CÁLCULO!I121)</f>
        <v/>
      </c>
      <c r="R107" s="87"/>
      <c r="S107" s="121" t="str">
        <f t="shared" si="10"/>
        <v/>
      </c>
      <c r="T107" s="121" t="str">
        <f t="shared" si="11"/>
        <v/>
      </c>
      <c r="U107" s="89"/>
      <c r="V107" s="80" t="str">
        <f t="shared" si="8"/>
        <v/>
      </c>
      <c r="W107" s="77" t="str">
        <f>IF(K107="","",SUM($S$5:S106)*$E$11*V107)</f>
        <v/>
      </c>
      <c r="Y107" s="121" t="str">
        <f t="shared" si="12"/>
        <v/>
      </c>
    </row>
    <row r="108" spans="11:25" ht="17.100000000000001" customHeight="1" x14ac:dyDescent="0.25">
      <c r="K108" s="81" t="str">
        <f>IF(CÁLCULO!C122="","",CÁLCULO!C122)</f>
        <v/>
      </c>
      <c r="L108" s="81" t="str">
        <f t="shared" si="9"/>
        <v/>
      </c>
      <c r="M108" s="82" t="str">
        <f>IF(CÁLCULO!E122="","",CÁLCULO!E122)</f>
        <v/>
      </c>
      <c r="O108" s="81" t="str">
        <f>IF(CÁLCULO!G122="","",CÁLCULO!G122)</f>
        <v/>
      </c>
      <c r="P108" s="80" t="str">
        <f t="shared" si="13"/>
        <v/>
      </c>
      <c r="Q108" s="121" t="str">
        <f>IF(CÁLCULO!I122="","",CÁLCULO!I122)</f>
        <v/>
      </c>
      <c r="R108" s="87"/>
      <c r="S108" s="121" t="str">
        <f t="shared" si="10"/>
        <v/>
      </c>
      <c r="T108" s="121" t="str">
        <f t="shared" si="11"/>
        <v/>
      </c>
      <c r="U108" s="89"/>
      <c r="V108" s="80" t="str">
        <f t="shared" si="8"/>
        <v/>
      </c>
      <c r="W108" s="77" t="str">
        <f>IF(K108="","",SUM($S$5:S107)*$E$11*V108)</f>
        <v/>
      </c>
      <c r="Y108" s="121" t="str">
        <f t="shared" si="12"/>
        <v/>
      </c>
    </row>
    <row r="109" spans="11:25" ht="17.100000000000001" customHeight="1" x14ac:dyDescent="0.25">
      <c r="K109" s="81" t="str">
        <f>IF(CÁLCULO!C123="","",CÁLCULO!C123)</f>
        <v/>
      </c>
      <c r="L109" s="81" t="str">
        <f t="shared" si="9"/>
        <v/>
      </c>
      <c r="M109" s="82" t="str">
        <f>IF(CÁLCULO!E123="","",CÁLCULO!E123)</f>
        <v/>
      </c>
      <c r="O109" s="81" t="str">
        <f>IF(CÁLCULO!G123="","",CÁLCULO!G123)</f>
        <v/>
      </c>
      <c r="P109" s="80" t="str">
        <f t="shared" si="13"/>
        <v/>
      </c>
      <c r="Q109" s="121" t="str">
        <f>IF(CÁLCULO!I123="","",CÁLCULO!I123)</f>
        <v/>
      </c>
      <c r="R109" s="87"/>
      <c r="S109" s="121" t="str">
        <f t="shared" si="10"/>
        <v/>
      </c>
      <c r="T109" s="121" t="str">
        <f t="shared" si="11"/>
        <v/>
      </c>
      <c r="U109" s="89"/>
      <c r="V109" s="80" t="str">
        <f t="shared" si="8"/>
        <v/>
      </c>
      <c r="W109" s="77" t="str">
        <f>IF(K109="","",SUM($S$5:S108)*$E$11*V109)</f>
        <v/>
      </c>
      <c r="Y109" s="121" t="str">
        <f t="shared" si="12"/>
        <v/>
      </c>
    </row>
    <row r="110" spans="11:25" ht="17.100000000000001" customHeight="1" x14ac:dyDescent="0.25">
      <c r="K110" s="81" t="str">
        <f>IF(CÁLCULO!C124="","",CÁLCULO!C124)</f>
        <v/>
      </c>
      <c r="L110" s="81" t="str">
        <f t="shared" si="9"/>
        <v/>
      </c>
      <c r="M110" s="82" t="str">
        <f>IF(CÁLCULO!E124="","",CÁLCULO!E124)</f>
        <v/>
      </c>
      <c r="O110" s="81" t="str">
        <f>IF(CÁLCULO!G124="","",CÁLCULO!G124)</f>
        <v/>
      </c>
      <c r="P110" s="80" t="str">
        <f t="shared" si="13"/>
        <v/>
      </c>
      <c r="Q110" s="121" t="str">
        <f>IF(CÁLCULO!I124="","",CÁLCULO!I124)</f>
        <v/>
      </c>
      <c r="R110" s="87"/>
      <c r="S110" s="121" t="str">
        <f t="shared" si="10"/>
        <v/>
      </c>
      <c r="T110" s="121" t="str">
        <f t="shared" si="11"/>
        <v/>
      </c>
      <c r="U110" s="89"/>
      <c r="V110" s="80" t="str">
        <f t="shared" si="8"/>
        <v/>
      </c>
      <c r="W110" s="77" t="str">
        <f>IF(K110="","",SUM($S$5:S109)*$E$11*V110)</f>
        <v/>
      </c>
      <c r="Y110" s="121" t="str">
        <f t="shared" si="12"/>
        <v/>
      </c>
    </row>
    <row r="111" spans="11:25" ht="17.100000000000001" customHeight="1" x14ac:dyDescent="0.25">
      <c r="K111" s="81" t="str">
        <f>IF(CÁLCULO!C125="","",CÁLCULO!C125)</f>
        <v/>
      </c>
      <c r="L111" s="81" t="str">
        <f t="shared" si="9"/>
        <v/>
      </c>
      <c r="M111" s="82" t="str">
        <f>IF(CÁLCULO!E125="","",CÁLCULO!E125)</f>
        <v/>
      </c>
      <c r="O111" s="81" t="str">
        <f>IF(CÁLCULO!G125="","",CÁLCULO!G125)</f>
        <v/>
      </c>
      <c r="P111" s="80" t="str">
        <f t="shared" si="13"/>
        <v/>
      </c>
      <c r="Q111" s="121" t="str">
        <f>IF(CÁLCULO!I125="","",CÁLCULO!I125)</f>
        <v/>
      </c>
      <c r="R111" s="87"/>
      <c r="S111" s="121" t="str">
        <f t="shared" si="10"/>
        <v/>
      </c>
      <c r="T111" s="121" t="str">
        <f t="shared" si="11"/>
        <v/>
      </c>
      <c r="U111" s="89"/>
      <c r="V111" s="80" t="str">
        <f t="shared" si="8"/>
        <v/>
      </c>
      <c r="W111" s="77" t="str">
        <f>IF(K111="","",SUM($S$5:S110)*$E$11*V111)</f>
        <v/>
      </c>
      <c r="Y111" s="121" t="str">
        <f t="shared" si="12"/>
        <v/>
      </c>
    </row>
    <row r="112" spans="11:25" ht="17.100000000000001" customHeight="1" x14ac:dyDescent="0.25">
      <c r="K112" s="81" t="str">
        <f>IF(CÁLCULO!C126="","",CÁLCULO!C126)</f>
        <v/>
      </c>
      <c r="L112" s="81" t="str">
        <f t="shared" si="9"/>
        <v/>
      </c>
      <c r="M112" s="82" t="str">
        <f>IF(CÁLCULO!E126="","",CÁLCULO!E126)</f>
        <v/>
      </c>
      <c r="O112" s="81" t="str">
        <f>IF(CÁLCULO!G126="","",CÁLCULO!G126)</f>
        <v/>
      </c>
      <c r="P112" s="80" t="str">
        <f t="shared" si="13"/>
        <v/>
      </c>
      <c r="Q112" s="121" t="str">
        <f>IF(CÁLCULO!I126="","",CÁLCULO!I126)</f>
        <v/>
      </c>
      <c r="R112" s="87"/>
      <c r="S112" s="121" t="str">
        <f t="shared" si="10"/>
        <v/>
      </c>
      <c r="T112" s="121" t="str">
        <f t="shared" si="11"/>
        <v/>
      </c>
      <c r="U112" s="89"/>
      <c r="V112" s="80" t="str">
        <f t="shared" si="8"/>
        <v/>
      </c>
      <c r="W112" s="77" t="str">
        <f>IF(K112="","",SUM($S$5:S111)*$E$11*V112)</f>
        <v/>
      </c>
      <c r="Y112" s="121" t="str">
        <f t="shared" si="12"/>
        <v/>
      </c>
    </row>
    <row r="113" spans="11:25" ht="17.100000000000001" customHeight="1" x14ac:dyDescent="0.25">
      <c r="K113" s="81" t="str">
        <f>IF(CÁLCULO!C127="","",CÁLCULO!C127)</f>
        <v/>
      </c>
      <c r="L113" s="81" t="str">
        <f t="shared" si="9"/>
        <v/>
      </c>
      <c r="M113" s="82" t="str">
        <f>IF(CÁLCULO!E127="","",CÁLCULO!E127)</f>
        <v/>
      </c>
      <c r="O113" s="81" t="str">
        <f>IF(CÁLCULO!G127="","",CÁLCULO!G127)</f>
        <v/>
      </c>
      <c r="P113" s="80" t="str">
        <f t="shared" si="13"/>
        <v/>
      </c>
      <c r="Q113" s="121" t="str">
        <f>IF(CÁLCULO!I127="","",CÁLCULO!I127)</f>
        <v/>
      </c>
      <c r="R113" s="87"/>
      <c r="S113" s="121" t="str">
        <f t="shared" si="10"/>
        <v/>
      </c>
      <c r="T113" s="121" t="str">
        <f t="shared" si="11"/>
        <v/>
      </c>
      <c r="U113" s="89"/>
      <c r="V113" s="80" t="str">
        <f t="shared" si="8"/>
        <v/>
      </c>
      <c r="W113" s="77" t="str">
        <f>IF(K113="","",SUM($S$5:S112)*$E$11*V113)</f>
        <v/>
      </c>
      <c r="Y113" s="121" t="str">
        <f t="shared" si="12"/>
        <v/>
      </c>
    </row>
    <row r="114" spans="11:25" ht="17.100000000000001" customHeight="1" x14ac:dyDescent="0.25">
      <c r="K114" s="81" t="str">
        <f>IF(CÁLCULO!C128="","",CÁLCULO!C128)</f>
        <v/>
      </c>
      <c r="L114" s="81" t="str">
        <f t="shared" si="9"/>
        <v/>
      </c>
      <c r="M114" s="82" t="str">
        <f>IF(CÁLCULO!E128="","",CÁLCULO!E128)</f>
        <v/>
      </c>
      <c r="O114" s="81" t="str">
        <f>IF(CÁLCULO!G128="","",CÁLCULO!G128)</f>
        <v/>
      </c>
      <c r="P114" s="80" t="str">
        <f t="shared" si="13"/>
        <v/>
      </c>
      <c r="Q114" s="121" t="str">
        <f>IF(CÁLCULO!I128="","",CÁLCULO!I128)</f>
        <v/>
      </c>
      <c r="R114" s="87"/>
      <c r="S114" s="121" t="str">
        <f t="shared" si="10"/>
        <v/>
      </c>
      <c r="T114" s="121" t="str">
        <f t="shared" si="11"/>
        <v/>
      </c>
      <c r="U114" s="89"/>
      <c r="V114" s="80" t="str">
        <f t="shared" si="8"/>
        <v/>
      </c>
      <c r="W114" s="77" t="str">
        <f>IF(K114="","",SUM($S$5:S113)*$E$11*V114)</f>
        <v/>
      </c>
      <c r="Y114" s="121" t="str">
        <f t="shared" si="12"/>
        <v/>
      </c>
    </row>
    <row r="115" spans="11:25" ht="17.100000000000001" customHeight="1" x14ac:dyDescent="0.25">
      <c r="K115" s="81" t="str">
        <f>IF(CÁLCULO!C129="","",CÁLCULO!C129)</f>
        <v/>
      </c>
      <c r="L115" s="81" t="str">
        <f t="shared" si="9"/>
        <v/>
      </c>
      <c r="M115" s="82" t="str">
        <f>IF(CÁLCULO!E129="","",CÁLCULO!E129)</f>
        <v/>
      </c>
      <c r="O115" s="81" t="str">
        <f>IF(CÁLCULO!G129="","",CÁLCULO!G129)</f>
        <v/>
      </c>
      <c r="P115" s="80" t="str">
        <f t="shared" si="13"/>
        <v/>
      </c>
      <c r="Q115" s="121" t="str">
        <f>IF(CÁLCULO!I129="","",CÁLCULO!I129)</f>
        <v/>
      </c>
      <c r="R115" s="87"/>
      <c r="S115" s="121" t="str">
        <f t="shared" si="10"/>
        <v/>
      </c>
      <c r="T115" s="121" t="str">
        <f t="shared" si="11"/>
        <v/>
      </c>
      <c r="U115" s="89"/>
      <c r="V115" s="80" t="str">
        <f t="shared" si="8"/>
        <v/>
      </c>
      <c r="W115" s="77" t="str">
        <f>IF(K115="","",SUM($S$5:S114)*$E$11*V115)</f>
        <v/>
      </c>
      <c r="Y115" s="121" t="str">
        <f t="shared" si="12"/>
        <v/>
      </c>
    </row>
    <row r="116" spans="11:25" ht="17.100000000000001" customHeight="1" x14ac:dyDescent="0.25">
      <c r="K116" s="81" t="str">
        <f>IF(CÁLCULO!C130="","",CÁLCULO!C130)</f>
        <v/>
      </c>
      <c r="L116" s="81" t="str">
        <f t="shared" si="9"/>
        <v/>
      </c>
      <c r="M116" s="82" t="str">
        <f>IF(CÁLCULO!E130="","",CÁLCULO!E130)</f>
        <v/>
      </c>
      <c r="O116" s="81" t="str">
        <f>IF(CÁLCULO!G130="","",CÁLCULO!G130)</f>
        <v/>
      </c>
      <c r="P116" s="80" t="str">
        <f t="shared" si="13"/>
        <v/>
      </c>
      <c r="Q116" s="121" t="str">
        <f>IF(CÁLCULO!I130="","",CÁLCULO!I130)</f>
        <v/>
      </c>
      <c r="R116" s="87"/>
      <c r="S116" s="121" t="str">
        <f t="shared" si="10"/>
        <v/>
      </c>
      <c r="T116" s="121" t="str">
        <f t="shared" si="11"/>
        <v/>
      </c>
      <c r="U116" s="89"/>
      <c r="V116" s="80" t="str">
        <f t="shared" si="8"/>
        <v/>
      </c>
      <c r="W116" s="77" t="str">
        <f>IF(K116="","",SUM($S$5:S115)*$E$11*V116)</f>
        <v/>
      </c>
      <c r="Y116" s="121" t="str">
        <f t="shared" si="12"/>
        <v/>
      </c>
    </row>
    <row r="117" spans="11:25" ht="17.100000000000001" customHeight="1" x14ac:dyDescent="0.25">
      <c r="K117" s="81" t="str">
        <f>IF(CÁLCULO!C131="","",CÁLCULO!C131)</f>
        <v/>
      </c>
      <c r="L117" s="81" t="str">
        <f t="shared" si="9"/>
        <v/>
      </c>
      <c r="M117" s="82" t="str">
        <f>IF(CÁLCULO!E131="","",CÁLCULO!E131)</f>
        <v/>
      </c>
      <c r="O117" s="81" t="str">
        <f>IF(CÁLCULO!G131="","",CÁLCULO!G131)</f>
        <v/>
      </c>
      <c r="P117" s="80" t="str">
        <f t="shared" si="13"/>
        <v/>
      </c>
      <c r="Q117" s="121" t="str">
        <f>IF(CÁLCULO!I131="","",CÁLCULO!I131)</f>
        <v/>
      </c>
      <c r="R117" s="87"/>
      <c r="S117" s="121" t="str">
        <f t="shared" si="10"/>
        <v/>
      </c>
      <c r="T117" s="121" t="str">
        <f t="shared" si="11"/>
        <v/>
      </c>
      <c r="U117" s="89"/>
      <c r="V117" s="80" t="str">
        <f t="shared" si="8"/>
        <v/>
      </c>
      <c r="W117" s="77" t="str">
        <f>IF(K117="","",SUM($S$5:S116)*$E$11*V117)</f>
        <v/>
      </c>
      <c r="Y117" s="121" t="str">
        <f t="shared" si="12"/>
        <v/>
      </c>
    </row>
    <row r="118" spans="11:25" ht="17.100000000000001" customHeight="1" x14ac:dyDescent="0.25">
      <c r="K118" s="81" t="str">
        <f>IF(CÁLCULO!C132="","",CÁLCULO!C132)</f>
        <v/>
      </c>
      <c r="L118" s="81" t="str">
        <f t="shared" si="9"/>
        <v/>
      </c>
      <c r="M118" s="82" t="str">
        <f>IF(CÁLCULO!E132="","",CÁLCULO!E132)</f>
        <v/>
      </c>
      <c r="O118" s="81" t="str">
        <f>IF(CÁLCULO!G132="","",CÁLCULO!G132)</f>
        <v/>
      </c>
      <c r="P118" s="80" t="str">
        <f t="shared" si="13"/>
        <v/>
      </c>
      <c r="Q118" s="121" t="str">
        <f>IF(CÁLCULO!I132="","",CÁLCULO!I132)</f>
        <v/>
      </c>
      <c r="R118" s="87"/>
      <c r="S118" s="121" t="str">
        <f t="shared" si="10"/>
        <v/>
      </c>
      <c r="T118" s="121" t="str">
        <f t="shared" si="11"/>
        <v/>
      </c>
      <c r="U118" s="89"/>
      <c r="V118" s="80" t="str">
        <f t="shared" si="8"/>
        <v/>
      </c>
      <c r="W118" s="77" t="str">
        <f>IF(K118="","",SUM($S$5:S117)*$E$11*V118)</f>
        <v/>
      </c>
      <c r="Y118" s="121" t="str">
        <f t="shared" si="12"/>
        <v/>
      </c>
    </row>
    <row r="119" spans="11:25" ht="17.100000000000001" customHeight="1" x14ac:dyDescent="0.25">
      <c r="K119" s="81" t="str">
        <f>IF(CÁLCULO!C133="","",CÁLCULO!C133)</f>
        <v/>
      </c>
      <c r="L119" s="81" t="str">
        <f t="shared" si="9"/>
        <v/>
      </c>
      <c r="M119" s="82" t="str">
        <f>IF(CÁLCULO!E133="","",CÁLCULO!E133)</f>
        <v/>
      </c>
      <c r="O119" s="81" t="str">
        <f>IF(CÁLCULO!G133="","",CÁLCULO!G133)</f>
        <v/>
      </c>
      <c r="P119" s="80" t="str">
        <f t="shared" si="13"/>
        <v/>
      </c>
      <c r="Q119" s="121" t="str">
        <f>IF(CÁLCULO!I133="","",CÁLCULO!I133)</f>
        <v/>
      </c>
      <c r="R119" s="87"/>
      <c r="S119" s="121" t="str">
        <f t="shared" si="10"/>
        <v/>
      </c>
      <c r="T119" s="121" t="str">
        <f t="shared" si="11"/>
        <v/>
      </c>
      <c r="U119" s="89"/>
      <c r="V119" s="80" t="str">
        <f t="shared" si="8"/>
        <v/>
      </c>
      <c r="W119" s="77" t="str">
        <f>IF(K119="","",SUM($S$5:S118)*$E$11*V119)</f>
        <v/>
      </c>
      <c r="Y119" s="121" t="str">
        <f t="shared" si="12"/>
        <v/>
      </c>
    </row>
    <row r="120" spans="11:25" ht="17.100000000000001" customHeight="1" x14ac:dyDescent="0.25">
      <c r="K120" s="81" t="str">
        <f>IF(CÁLCULO!C134="","",CÁLCULO!C134)</f>
        <v/>
      </c>
      <c r="L120" s="81" t="str">
        <f t="shared" si="9"/>
        <v/>
      </c>
      <c r="M120" s="82" t="str">
        <f>IF(CÁLCULO!E134="","",CÁLCULO!E134)</f>
        <v/>
      </c>
      <c r="O120" s="81" t="str">
        <f>IF(CÁLCULO!G134="","",CÁLCULO!G134)</f>
        <v/>
      </c>
      <c r="P120" s="80" t="str">
        <f t="shared" si="13"/>
        <v/>
      </c>
      <c r="Q120" s="121" t="str">
        <f>IF(CÁLCULO!I134="","",CÁLCULO!I134)</f>
        <v/>
      </c>
      <c r="R120" s="87"/>
      <c r="S120" s="121" t="str">
        <f t="shared" si="10"/>
        <v/>
      </c>
      <c r="T120" s="121" t="str">
        <f t="shared" si="11"/>
        <v/>
      </c>
      <c r="U120" s="89"/>
      <c r="V120" s="80" t="str">
        <f t="shared" si="8"/>
        <v/>
      </c>
      <c r="W120" s="77" t="str">
        <f>IF(K120="","",SUM($S$5:S119)*$E$11*V120)</f>
        <v/>
      </c>
      <c r="Y120" s="121" t="str">
        <f t="shared" si="12"/>
        <v/>
      </c>
    </row>
    <row r="121" spans="11:25" ht="17.100000000000001" customHeight="1" x14ac:dyDescent="0.25">
      <c r="K121" s="81" t="str">
        <f>IF(CÁLCULO!C135="","",CÁLCULO!C135)</f>
        <v/>
      </c>
      <c r="L121" s="81" t="str">
        <f t="shared" si="9"/>
        <v/>
      </c>
      <c r="M121" s="82" t="str">
        <f>IF(CÁLCULO!E135="","",CÁLCULO!E135)</f>
        <v/>
      </c>
      <c r="O121" s="81" t="str">
        <f>IF(CÁLCULO!G135="","",CÁLCULO!G135)</f>
        <v/>
      </c>
      <c r="P121" s="80" t="str">
        <f t="shared" si="13"/>
        <v/>
      </c>
      <c r="Q121" s="121" t="str">
        <f>IF(CÁLCULO!I135="","",CÁLCULO!I135)</f>
        <v/>
      </c>
      <c r="R121" s="87"/>
      <c r="S121" s="121" t="str">
        <f t="shared" si="10"/>
        <v/>
      </c>
      <c r="T121" s="121" t="str">
        <f t="shared" si="11"/>
        <v/>
      </c>
      <c r="U121" s="89"/>
      <c r="V121" s="80" t="str">
        <f t="shared" si="8"/>
        <v/>
      </c>
      <c r="W121" s="77" t="str">
        <f>IF(K121="","",SUM($S$5:S120)*$E$11*V121)</f>
        <v/>
      </c>
      <c r="Y121" s="121" t="str">
        <f t="shared" si="12"/>
        <v/>
      </c>
    </row>
    <row r="122" spans="11:25" ht="17.100000000000001" customHeight="1" x14ac:dyDescent="0.25">
      <c r="K122" s="81" t="str">
        <f>IF(CÁLCULO!C136="","",CÁLCULO!C136)</f>
        <v/>
      </c>
      <c r="L122" s="81" t="str">
        <f t="shared" si="9"/>
        <v/>
      </c>
      <c r="M122" s="82" t="str">
        <f>IF(CÁLCULO!E136="","",CÁLCULO!E136)</f>
        <v/>
      </c>
      <c r="O122" s="81" t="str">
        <f>IF(CÁLCULO!G136="","",CÁLCULO!G136)</f>
        <v/>
      </c>
      <c r="P122" s="80" t="str">
        <f t="shared" si="13"/>
        <v/>
      </c>
      <c r="Q122" s="121" t="str">
        <f>IF(CÁLCULO!I136="","",CÁLCULO!I136)</f>
        <v/>
      </c>
      <c r="R122" s="87"/>
      <c r="S122" s="121" t="str">
        <f t="shared" si="10"/>
        <v/>
      </c>
      <c r="T122" s="121" t="str">
        <f t="shared" si="11"/>
        <v/>
      </c>
      <c r="U122" s="89"/>
      <c r="V122" s="80" t="str">
        <f t="shared" si="8"/>
        <v/>
      </c>
      <c r="W122" s="77" t="str">
        <f>IF(K122="","",SUM($S$5:S121)*$E$11*V122)</f>
        <v/>
      </c>
      <c r="Y122" s="121" t="str">
        <f t="shared" si="12"/>
        <v/>
      </c>
    </row>
    <row r="123" spans="11:25" ht="17.100000000000001" customHeight="1" x14ac:dyDescent="0.25">
      <c r="K123" s="81" t="str">
        <f>IF(CÁLCULO!C137="","",CÁLCULO!C137)</f>
        <v/>
      </c>
      <c r="L123" s="81" t="str">
        <f t="shared" si="9"/>
        <v/>
      </c>
      <c r="M123" s="82" t="str">
        <f>IF(CÁLCULO!E137="","",CÁLCULO!E137)</f>
        <v/>
      </c>
      <c r="O123" s="81" t="str">
        <f>IF(CÁLCULO!G137="","",CÁLCULO!G137)</f>
        <v/>
      </c>
      <c r="P123" s="80" t="str">
        <f t="shared" si="13"/>
        <v/>
      </c>
      <c r="Q123" s="121" t="str">
        <f>IF(CÁLCULO!I137="","",CÁLCULO!I137)</f>
        <v/>
      </c>
      <c r="R123" s="87"/>
      <c r="S123" s="121" t="str">
        <f t="shared" si="10"/>
        <v/>
      </c>
      <c r="T123" s="121" t="str">
        <f t="shared" si="11"/>
        <v/>
      </c>
      <c r="U123" s="89"/>
      <c r="V123" s="80" t="str">
        <f t="shared" si="8"/>
        <v/>
      </c>
      <c r="W123" s="77" t="str">
        <f>IF(K123="","",SUM($S$5:S122)*$E$11*V123)</f>
        <v/>
      </c>
      <c r="Y123" s="121" t="str">
        <f t="shared" si="12"/>
        <v/>
      </c>
    </row>
    <row r="124" spans="11:25" ht="17.100000000000001" customHeight="1" x14ac:dyDescent="0.25">
      <c r="K124" s="81" t="str">
        <f>IF(CÁLCULO!C138="","",CÁLCULO!C138)</f>
        <v/>
      </c>
      <c r="L124" s="81" t="str">
        <f t="shared" si="9"/>
        <v/>
      </c>
      <c r="M124" s="82" t="str">
        <f>IF(CÁLCULO!E138="","",CÁLCULO!E138)</f>
        <v/>
      </c>
      <c r="O124" s="81" t="str">
        <f>IF(CÁLCULO!G138="","",CÁLCULO!G138)</f>
        <v/>
      </c>
      <c r="P124" s="80" t="str">
        <f t="shared" si="13"/>
        <v/>
      </c>
      <c r="Q124" s="121" t="str">
        <f>IF(CÁLCULO!I138="","",CÁLCULO!I138)</f>
        <v/>
      </c>
      <c r="R124" s="87"/>
      <c r="S124" s="121" t="str">
        <f t="shared" si="10"/>
        <v/>
      </c>
      <c r="T124" s="121" t="str">
        <f t="shared" si="11"/>
        <v/>
      </c>
      <c r="U124" s="89"/>
      <c r="V124" s="80" t="str">
        <f t="shared" si="8"/>
        <v/>
      </c>
      <c r="W124" s="77" t="str">
        <f>IF(K124="","",SUM($S$5:S123)*$E$11*V124)</f>
        <v/>
      </c>
      <c r="Y124" s="121" t="str">
        <f t="shared" si="12"/>
        <v/>
      </c>
    </row>
    <row r="125" spans="11:25" ht="17.100000000000001" customHeight="1" x14ac:dyDescent="0.25">
      <c r="K125" s="81" t="str">
        <f>IF(CÁLCULO!C139="","",CÁLCULO!C139)</f>
        <v/>
      </c>
      <c r="L125" s="81" t="str">
        <f t="shared" si="9"/>
        <v/>
      </c>
      <c r="M125" s="82" t="str">
        <f>IF(CÁLCULO!E139="","",CÁLCULO!E139)</f>
        <v/>
      </c>
      <c r="O125" s="81" t="str">
        <f>IF(CÁLCULO!G139="","",CÁLCULO!G139)</f>
        <v/>
      </c>
      <c r="P125" s="80" t="str">
        <f t="shared" si="13"/>
        <v/>
      </c>
      <c r="Q125" s="121" t="str">
        <f>IF(CÁLCULO!I139="","",CÁLCULO!I139)</f>
        <v/>
      </c>
      <c r="R125" s="87"/>
      <c r="S125" s="121" t="str">
        <f t="shared" si="10"/>
        <v/>
      </c>
      <c r="T125" s="121" t="str">
        <f t="shared" si="11"/>
        <v/>
      </c>
      <c r="U125" s="89"/>
      <c r="V125" s="80" t="str">
        <f t="shared" si="8"/>
        <v/>
      </c>
      <c r="W125" s="77" t="str">
        <f>IF(K125="","",SUM($S$5:S124)*$E$11*V125)</f>
        <v/>
      </c>
      <c r="Y125" s="121" t="str">
        <f t="shared" si="12"/>
        <v/>
      </c>
    </row>
    <row r="126" spans="11:25" ht="17.100000000000001" customHeight="1" x14ac:dyDescent="0.25">
      <c r="K126" s="81" t="str">
        <f>IF(CÁLCULO!C140="","",CÁLCULO!C140)</f>
        <v/>
      </c>
      <c r="L126" s="81" t="str">
        <f t="shared" si="9"/>
        <v/>
      </c>
      <c r="M126" s="82" t="str">
        <f>IF(CÁLCULO!E140="","",CÁLCULO!E140)</f>
        <v/>
      </c>
      <c r="O126" s="81" t="str">
        <f>IF(CÁLCULO!G140="","",CÁLCULO!G140)</f>
        <v/>
      </c>
      <c r="P126" s="80" t="str">
        <f t="shared" si="13"/>
        <v/>
      </c>
      <c r="Q126" s="121" t="str">
        <f>IF(CÁLCULO!I140="","",CÁLCULO!I140)</f>
        <v/>
      </c>
      <c r="R126" s="87"/>
      <c r="S126" s="121" t="str">
        <f t="shared" si="10"/>
        <v/>
      </c>
      <c r="T126" s="121" t="str">
        <f t="shared" si="11"/>
        <v/>
      </c>
      <c r="U126" s="89"/>
      <c r="V126" s="80" t="str">
        <f t="shared" si="8"/>
        <v/>
      </c>
      <c r="W126" s="77" t="str">
        <f>IF(K126="","",SUM($S$5:S125)*$E$11*V126)</f>
        <v/>
      </c>
      <c r="Y126" s="121" t="str">
        <f t="shared" si="12"/>
        <v/>
      </c>
    </row>
    <row r="127" spans="11:25" ht="17.100000000000001" customHeight="1" x14ac:dyDescent="0.25">
      <c r="K127" s="81" t="str">
        <f>IF(CÁLCULO!C141="","",CÁLCULO!C141)</f>
        <v/>
      </c>
      <c r="L127" s="81" t="str">
        <f t="shared" si="9"/>
        <v/>
      </c>
      <c r="M127" s="82" t="str">
        <f>IF(CÁLCULO!E141="","",CÁLCULO!E141)</f>
        <v/>
      </c>
      <c r="O127" s="81" t="str">
        <f>IF(CÁLCULO!G141="","",CÁLCULO!G141)</f>
        <v/>
      </c>
      <c r="P127" s="80" t="str">
        <f t="shared" si="13"/>
        <v/>
      </c>
      <c r="Q127" s="121" t="str">
        <f>IF(CÁLCULO!I141="","",CÁLCULO!I141)</f>
        <v/>
      </c>
      <c r="R127" s="87"/>
      <c r="S127" s="121" t="str">
        <f t="shared" si="10"/>
        <v/>
      </c>
      <c r="T127" s="121" t="str">
        <f t="shared" si="11"/>
        <v/>
      </c>
      <c r="U127" s="89"/>
      <c r="V127" s="80" t="str">
        <f t="shared" si="8"/>
        <v/>
      </c>
      <c r="W127" s="77" t="str">
        <f>IF(K127="","",SUM($S$5:S126)*$E$11*V127)</f>
        <v/>
      </c>
      <c r="Y127" s="121" t="str">
        <f t="shared" si="12"/>
        <v/>
      </c>
    </row>
    <row r="128" spans="11:25" ht="17.100000000000001" customHeight="1" x14ac:dyDescent="0.25">
      <c r="K128" s="81" t="str">
        <f>IF(CÁLCULO!C142="","",CÁLCULO!C142)</f>
        <v/>
      </c>
      <c r="L128" s="81" t="str">
        <f t="shared" si="9"/>
        <v/>
      </c>
      <c r="M128" s="82" t="str">
        <f>IF(CÁLCULO!E142="","",CÁLCULO!E142)</f>
        <v/>
      </c>
      <c r="O128" s="81" t="str">
        <f>IF(CÁLCULO!G142="","",CÁLCULO!G142)</f>
        <v/>
      </c>
      <c r="P128" s="80" t="str">
        <f t="shared" si="13"/>
        <v/>
      </c>
      <c r="Q128" s="121" t="str">
        <f>IF(CÁLCULO!I142="","",CÁLCULO!I142)</f>
        <v/>
      </c>
      <c r="R128" s="87"/>
      <c r="S128" s="121" t="str">
        <f t="shared" si="10"/>
        <v/>
      </c>
      <c r="T128" s="121" t="str">
        <f t="shared" si="11"/>
        <v/>
      </c>
      <c r="U128" s="89"/>
      <c r="V128" s="80" t="str">
        <f t="shared" si="8"/>
        <v/>
      </c>
      <c r="W128" s="77" t="str">
        <f>IF(K128="","",SUM($S$5:S127)*$E$11*V128)</f>
        <v/>
      </c>
      <c r="Y128" s="121" t="str">
        <f t="shared" si="12"/>
        <v/>
      </c>
    </row>
    <row r="129" spans="11:25" ht="17.100000000000001" customHeight="1" x14ac:dyDescent="0.25">
      <c r="K129" s="81" t="str">
        <f>IF(CÁLCULO!C143="","",CÁLCULO!C143)</f>
        <v/>
      </c>
      <c r="L129" s="81" t="str">
        <f t="shared" si="9"/>
        <v/>
      </c>
      <c r="M129" s="82" t="str">
        <f>IF(CÁLCULO!E143="","",CÁLCULO!E143)</f>
        <v/>
      </c>
      <c r="O129" s="81" t="str">
        <f>IF(CÁLCULO!G143="","",CÁLCULO!G143)</f>
        <v/>
      </c>
      <c r="P129" s="80" t="str">
        <f t="shared" si="13"/>
        <v/>
      </c>
      <c r="Q129" s="121" t="str">
        <f>IF(CÁLCULO!I143="","",CÁLCULO!I143)</f>
        <v/>
      </c>
      <c r="R129" s="87"/>
      <c r="S129" s="121" t="str">
        <f t="shared" si="10"/>
        <v/>
      </c>
      <c r="T129" s="121" t="str">
        <f t="shared" si="11"/>
        <v/>
      </c>
      <c r="U129" s="89"/>
      <c r="V129" s="80" t="str">
        <f t="shared" si="8"/>
        <v/>
      </c>
      <c r="W129" s="77" t="str">
        <f>IF(K129="","",SUM($S$5:S128)*$E$11*V129)</f>
        <v/>
      </c>
      <c r="Y129" s="121" t="str">
        <f t="shared" si="12"/>
        <v/>
      </c>
    </row>
    <row r="130" spans="11:25" ht="17.100000000000001" customHeight="1" x14ac:dyDescent="0.25">
      <c r="K130" s="81" t="str">
        <f>IF(CÁLCULO!C144="","",CÁLCULO!C144)</f>
        <v/>
      </c>
      <c r="L130" s="81" t="str">
        <f t="shared" si="9"/>
        <v/>
      </c>
      <c r="M130" s="82" t="str">
        <f>IF(CÁLCULO!E144="","",CÁLCULO!E144)</f>
        <v/>
      </c>
      <c r="O130" s="81" t="str">
        <f>IF(CÁLCULO!G144="","",CÁLCULO!G144)</f>
        <v/>
      </c>
      <c r="P130" s="80" t="str">
        <f t="shared" si="13"/>
        <v/>
      </c>
      <c r="Q130" s="121" t="str">
        <f>IF(CÁLCULO!I144="","",CÁLCULO!I144)</f>
        <v/>
      </c>
      <c r="R130" s="87"/>
      <c r="S130" s="121" t="str">
        <f t="shared" si="10"/>
        <v/>
      </c>
      <c r="T130" s="121" t="str">
        <f t="shared" si="11"/>
        <v/>
      </c>
      <c r="U130" s="89"/>
      <c r="V130" s="80" t="str">
        <f t="shared" si="8"/>
        <v/>
      </c>
      <c r="W130" s="77" t="str">
        <f>IF(K130="","",SUM($S$5:S129)*$E$11*V130)</f>
        <v/>
      </c>
      <c r="Y130" s="121" t="str">
        <f t="shared" si="12"/>
        <v/>
      </c>
    </row>
    <row r="131" spans="11:25" ht="17.100000000000001" customHeight="1" x14ac:dyDescent="0.25">
      <c r="K131" s="81" t="str">
        <f>IF(CÁLCULO!C145="","",CÁLCULO!C145)</f>
        <v/>
      </c>
      <c r="L131" s="81" t="str">
        <f t="shared" si="9"/>
        <v/>
      </c>
      <c r="M131" s="82" t="str">
        <f>IF(CÁLCULO!E145="","",CÁLCULO!E145)</f>
        <v/>
      </c>
      <c r="O131" s="81" t="str">
        <f>IF(CÁLCULO!G145="","",CÁLCULO!G145)</f>
        <v/>
      </c>
      <c r="P131" s="80" t="str">
        <f t="shared" si="13"/>
        <v/>
      </c>
      <c r="Q131" s="121" t="str">
        <f>IF(CÁLCULO!I145="","",CÁLCULO!I145)</f>
        <v/>
      </c>
      <c r="R131" s="87"/>
      <c r="S131" s="121" t="str">
        <f t="shared" si="10"/>
        <v/>
      </c>
      <c r="T131" s="121" t="str">
        <f t="shared" si="11"/>
        <v/>
      </c>
      <c r="U131" s="89"/>
      <c r="V131" s="80" t="str">
        <f t="shared" si="8"/>
        <v/>
      </c>
      <c r="W131" s="77" t="str">
        <f>IF(K131="","",SUM($S$5:S130)*$E$11*V131)</f>
        <v/>
      </c>
      <c r="Y131" s="121" t="str">
        <f t="shared" si="12"/>
        <v/>
      </c>
    </row>
    <row r="132" spans="11:25" ht="17.100000000000001" customHeight="1" x14ac:dyDescent="0.25">
      <c r="K132" s="81" t="str">
        <f>IF(CÁLCULO!C146="","",CÁLCULO!C146)</f>
        <v/>
      </c>
      <c r="L132" s="81" t="str">
        <f t="shared" si="9"/>
        <v/>
      </c>
      <c r="M132" s="82" t="str">
        <f>IF(CÁLCULO!E146="","",CÁLCULO!E146)</f>
        <v/>
      </c>
      <c r="O132" s="81" t="str">
        <f>IF(CÁLCULO!G146="","",CÁLCULO!G146)</f>
        <v/>
      </c>
      <c r="P132" s="80" t="str">
        <f t="shared" si="13"/>
        <v/>
      </c>
      <c r="Q132" s="121" t="str">
        <f>IF(CÁLCULO!I146="","",CÁLCULO!I146)</f>
        <v/>
      </c>
      <c r="R132" s="87"/>
      <c r="S132" s="121" t="str">
        <f t="shared" si="10"/>
        <v/>
      </c>
      <c r="T132" s="121" t="str">
        <f t="shared" si="11"/>
        <v/>
      </c>
      <c r="U132" s="89"/>
      <c r="V132" s="80" t="str">
        <f t="shared" si="8"/>
        <v/>
      </c>
      <c r="W132" s="77" t="str">
        <f>IF(K132="","",SUM($S$5:S131)*$E$11*V132)</f>
        <v/>
      </c>
      <c r="Y132" s="121" t="str">
        <f t="shared" si="12"/>
        <v/>
      </c>
    </row>
    <row r="133" spans="11:25" ht="17.100000000000001" customHeight="1" x14ac:dyDescent="0.25">
      <c r="K133" s="81" t="str">
        <f>IF(CÁLCULO!C147="","",CÁLCULO!C147)</f>
        <v/>
      </c>
      <c r="L133" s="81" t="str">
        <f t="shared" si="9"/>
        <v/>
      </c>
      <c r="M133" s="82" t="str">
        <f>IF(CÁLCULO!E147="","",CÁLCULO!E147)</f>
        <v/>
      </c>
      <c r="O133" s="81" t="str">
        <f>IF(CÁLCULO!G147="","",CÁLCULO!G147)</f>
        <v/>
      </c>
      <c r="P133" s="80" t="str">
        <f t="shared" si="13"/>
        <v/>
      </c>
      <c r="Q133" s="121" t="str">
        <f>IF(CÁLCULO!I147="","",CÁLCULO!I147)</f>
        <v/>
      </c>
      <c r="R133" s="87"/>
      <c r="S133" s="121" t="str">
        <f t="shared" si="10"/>
        <v/>
      </c>
      <c r="T133" s="121" t="str">
        <f t="shared" si="11"/>
        <v/>
      </c>
      <c r="U133" s="89"/>
      <c r="V133" s="80" t="str">
        <f t="shared" ref="V133:V196" si="14">IF(K133="","",IF(O133-(P133-365)&lt;0,0,IF(P133&gt;365,O133-(P133-365),O133)))</f>
        <v/>
      </c>
      <c r="W133" s="77" t="str">
        <f>IF(K133="","",SUM($S$5:S132)*$E$11*V133)</f>
        <v/>
      </c>
      <c r="Y133" s="121" t="str">
        <f t="shared" si="12"/>
        <v/>
      </c>
    </row>
    <row r="134" spans="11:25" ht="17.100000000000001" customHeight="1" x14ac:dyDescent="0.25">
      <c r="K134" s="81" t="str">
        <f>IF(CÁLCULO!C148="","",CÁLCULO!C148)</f>
        <v/>
      </c>
      <c r="L134" s="81" t="str">
        <f t="shared" ref="L134:L197" si="15">IF(K134="","",IF(K134&lt;=TempoCarencia,"-",IF(K134=TempoCarencia+1,1,IF(L133&gt;0,L133+1,""))))</f>
        <v/>
      </c>
      <c r="M134" s="82" t="str">
        <f>IF(CÁLCULO!E148="","",CÁLCULO!E148)</f>
        <v/>
      </c>
      <c r="O134" s="81" t="str">
        <f>IF(CÁLCULO!G148="","",CÁLCULO!G148)</f>
        <v/>
      </c>
      <c r="P134" s="80" t="str">
        <f t="shared" si="13"/>
        <v/>
      </c>
      <c r="Q134" s="121" t="str">
        <f>IF(CÁLCULO!I148="","",CÁLCULO!I148)</f>
        <v/>
      </c>
      <c r="R134" s="87"/>
      <c r="S134" s="121" t="str">
        <f t="shared" ref="S134:S197" si="16">IF(K134="","",PV(TxJurosAoDia,P134,,-Q134))</f>
        <v/>
      </c>
      <c r="T134" s="121" t="str">
        <f t="shared" si="11"/>
        <v/>
      </c>
      <c r="U134" s="89"/>
      <c r="V134" s="80" t="str">
        <f t="shared" si="14"/>
        <v/>
      </c>
      <c r="W134" s="77" t="str">
        <f>IF(K134="","",SUM($S$5:S133)*$E$11*V134)</f>
        <v/>
      </c>
      <c r="Y134" s="121" t="str">
        <f t="shared" si="12"/>
        <v/>
      </c>
    </row>
    <row r="135" spans="11:25" ht="17.100000000000001" customHeight="1" x14ac:dyDescent="0.25">
      <c r="K135" s="81" t="str">
        <f>IF(CÁLCULO!C149="","",CÁLCULO!C149)</f>
        <v/>
      </c>
      <c r="L135" s="81" t="str">
        <f t="shared" si="15"/>
        <v/>
      </c>
      <c r="M135" s="82" t="str">
        <f>IF(CÁLCULO!E149="","",CÁLCULO!E149)</f>
        <v/>
      </c>
      <c r="O135" s="81" t="str">
        <f>IF(CÁLCULO!G149="","",CÁLCULO!G149)</f>
        <v/>
      </c>
      <c r="P135" s="80" t="str">
        <f t="shared" si="13"/>
        <v/>
      </c>
      <c r="Q135" s="121" t="str">
        <f>IF(CÁLCULO!I149="","",CÁLCULO!I149)</f>
        <v/>
      </c>
      <c r="R135" s="87"/>
      <c r="S135" s="121" t="str">
        <f t="shared" si="16"/>
        <v/>
      </c>
      <c r="T135" s="121" t="str">
        <f t="shared" ref="T135:T198" si="17">IF(K135="","",T134+S135)</f>
        <v/>
      </c>
      <c r="U135" s="89"/>
      <c r="V135" s="80" t="str">
        <f t="shared" si="14"/>
        <v/>
      </c>
      <c r="W135" s="77" t="str">
        <f>IF(K135="","",SUM($S$5:S134)*$E$11*V135)</f>
        <v/>
      </c>
      <c r="Y135" s="121" t="str">
        <f t="shared" ref="Y135:Y198" si="18">Q135</f>
        <v/>
      </c>
    </row>
    <row r="136" spans="11:25" ht="17.100000000000001" customHeight="1" x14ac:dyDescent="0.25">
      <c r="K136" s="81" t="str">
        <f>IF(CÁLCULO!C150="","",CÁLCULO!C150)</f>
        <v/>
      </c>
      <c r="L136" s="81" t="str">
        <f t="shared" si="15"/>
        <v/>
      </c>
      <c r="M136" s="82" t="str">
        <f>IF(CÁLCULO!E150="","",CÁLCULO!E150)</f>
        <v/>
      </c>
      <c r="O136" s="81" t="str">
        <f>IF(CÁLCULO!G150="","",CÁLCULO!G150)</f>
        <v/>
      </c>
      <c r="P136" s="80" t="str">
        <f t="shared" si="13"/>
        <v/>
      </c>
      <c r="Q136" s="121" t="str">
        <f>IF(CÁLCULO!I150="","",CÁLCULO!I150)</f>
        <v/>
      </c>
      <c r="R136" s="87"/>
      <c r="S136" s="121" t="str">
        <f t="shared" si="16"/>
        <v/>
      </c>
      <c r="T136" s="121" t="str">
        <f t="shared" si="17"/>
        <v/>
      </c>
      <c r="U136" s="89"/>
      <c r="V136" s="80" t="str">
        <f t="shared" si="14"/>
        <v/>
      </c>
      <c r="W136" s="77" t="str">
        <f>IF(K136="","",SUM($S$5:S135)*$E$11*V136)</f>
        <v/>
      </c>
      <c r="Y136" s="121" t="str">
        <f t="shared" si="18"/>
        <v/>
      </c>
    </row>
    <row r="137" spans="11:25" ht="17.100000000000001" customHeight="1" x14ac:dyDescent="0.25">
      <c r="K137" s="81" t="str">
        <f>IF(CÁLCULO!C151="","",CÁLCULO!C151)</f>
        <v/>
      </c>
      <c r="L137" s="81" t="str">
        <f t="shared" si="15"/>
        <v/>
      </c>
      <c r="M137" s="82" t="str">
        <f>IF(CÁLCULO!E151="","",CÁLCULO!E151)</f>
        <v/>
      </c>
      <c r="O137" s="81" t="str">
        <f>IF(CÁLCULO!G151="","",CÁLCULO!G151)</f>
        <v/>
      </c>
      <c r="P137" s="80" t="str">
        <f t="shared" si="13"/>
        <v/>
      </c>
      <c r="Q137" s="121" t="str">
        <f>IF(CÁLCULO!I151="","",CÁLCULO!I151)</f>
        <v/>
      </c>
      <c r="R137" s="87"/>
      <c r="S137" s="121" t="str">
        <f t="shared" si="16"/>
        <v/>
      </c>
      <c r="T137" s="121" t="str">
        <f t="shared" si="17"/>
        <v/>
      </c>
      <c r="U137" s="89"/>
      <c r="V137" s="80" t="str">
        <f t="shared" si="14"/>
        <v/>
      </c>
      <c r="W137" s="77" t="str">
        <f>IF(K137="","",SUM($S$5:S136)*$E$11*V137)</f>
        <v/>
      </c>
      <c r="Y137" s="121" t="str">
        <f t="shared" si="18"/>
        <v/>
      </c>
    </row>
    <row r="138" spans="11:25" ht="17.100000000000001" customHeight="1" x14ac:dyDescent="0.25">
      <c r="K138" s="81" t="str">
        <f>IF(CÁLCULO!C152="","",CÁLCULO!C152)</f>
        <v/>
      </c>
      <c r="L138" s="81" t="str">
        <f t="shared" si="15"/>
        <v/>
      </c>
      <c r="M138" s="82" t="str">
        <f>IF(CÁLCULO!E152="","",CÁLCULO!E152)</f>
        <v/>
      </c>
      <c r="O138" s="81" t="str">
        <f>IF(CÁLCULO!G152="","",CÁLCULO!G152)</f>
        <v/>
      </c>
      <c r="P138" s="80" t="str">
        <f t="shared" si="13"/>
        <v/>
      </c>
      <c r="Q138" s="121" t="str">
        <f>IF(CÁLCULO!I152="","",CÁLCULO!I152)</f>
        <v/>
      </c>
      <c r="R138" s="87"/>
      <c r="S138" s="121" t="str">
        <f t="shared" si="16"/>
        <v/>
      </c>
      <c r="T138" s="121" t="str">
        <f t="shared" si="17"/>
        <v/>
      </c>
      <c r="U138" s="89"/>
      <c r="V138" s="80" t="str">
        <f t="shared" si="14"/>
        <v/>
      </c>
      <c r="W138" s="77" t="str">
        <f>IF(K138="","",SUM($S$5:S137)*$E$11*V138)</f>
        <v/>
      </c>
      <c r="Y138" s="121" t="str">
        <f t="shared" si="18"/>
        <v/>
      </c>
    </row>
    <row r="139" spans="11:25" ht="17.100000000000001" customHeight="1" x14ac:dyDescent="0.25">
      <c r="K139" s="81" t="str">
        <f>IF(CÁLCULO!C153="","",CÁLCULO!C153)</f>
        <v/>
      </c>
      <c r="L139" s="81" t="str">
        <f t="shared" si="15"/>
        <v/>
      </c>
      <c r="M139" s="82" t="str">
        <f>IF(CÁLCULO!E153="","",CÁLCULO!E153)</f>
        <v/>
      </c>
      <c r="O139" s="81" t="str">
        <f>IF(CÁLCULO!G153="","",CÁLCULO!G153)</f>
        <v/>
      </c>
      <c r="P139" s="80" t="str">
        <f t="shared" si="13"/>
        <v/>
      </c>
      <c r="Q139" s="121" t="str">
        <f>IF(CÁLCULO!I153="","",CÁLCULO!I153)</f>
        <v/>
      </c>
      <c r="R139" s="87"/>
      <c r="S139" s="121" t="str">
        <f t="shared" si="16"/>
        <v/>
      </c>
      <c r="T139" s="121" t="str">
        <f t="shared" si="17"/>
        <v/>
      </c>
      <c r="U139" s="89"/>
      <c r="V139" s="80" t="str">
        <f t="shared" si="14"/>
        <v/>
      </c>
      <c r="W139" s="77" t="str">
        <f>IF(K139="","",SUM($S$5:S138)*$E$11*V139)</f>
        <v/>
      </c>
      <c r="Y139" s="121" t="str">
        <f t="shared" si="18"/>
        <v/>
      </c>
    </row>
    <row r="140" spans="11:25" ht="17.100000000000001" customHeight="1" x14ac:dyDescent="0.25">
      <c r="K140" s="81" t="str">
        <f>IF(CÁLCULO!C154="","",CÁLCULO!C154)</f>
        <v/>
      </c>
      <c r="L140" s="81" t="str">
        <f t="shared" si="15"/>
        <v/>
      </c>
      <c r="M140" s="82" t="str">
        <f>IF(CÁLCULO!E154="","",CÁLCULO!E154)</f>
        <v/>
      </c>
      <c r="O140" s="81" t="str">
        <f>IF(CÁLCULO!G154="","",CÁLCULO!G154)</f>
        <v/>
      </c>
      <c r="P140" s="80" t="str">
        <f t="shared" si="13"/>
        <v/>
      </c>
      <c r="Q140" s="121" t="str">
        <f>IF(CÁLCULO!I154="","",CÁLCULO!I154)</f>
        <v/>
      </c>
      <c r="R140" s="87"/>
      <c r="S140" s="121" t="str">
        <f t="shared" si="16"/>
        <v/>
      </c>
      <c r="T140" s="121" t="str">
        <f t="shared" si="17"/>
        <v/>
      </c>
      <c r="U140" s="89"/>
      <c r="V140" s="80" t="str">
        <f t="shared" si="14"/>
        <v/>
      </c>
      <c r="W140" s="77" t="str">
        <f>IF(K140="","",SUM($S$5:S139)*$E$11*V140)</f>
        <v/>
      </c>
      <c r="Y140" s="121" t="str">
        <f t="shared" si="18"/>
        <v/>
      </c>
    </row>
    <row r="141" spans="11:25" ht="17.100000000000001" customHeight="1" x14ac:dyDescent="0.25">
      <c r="K141" s="81" t="str">
        <f>IF(CÁLCULO!C155="","",CÁLCULO!C155)</f>
        <v/>
      </c>
      <c r="L141" s="81" t="str">
        <f t="shared" si="15"/>
        <v/>
      </c>
      <c r="M141" s="82" t="str">
        <f>IF(CÁLCULO!E155="","",CÁLCULO!E155)</f>
        <v/>
      </c>
      <c r="O141" s="81" t="str">
        <f>IF(CÁLCULO!G155="","",CÁLCULO!G155)</f>
        <v/>
      </c>
      <c r="P141" s="80" t="str">
        <f t="shared" si="13"/>
        <v/>
      </c>
      <c r="Q141" s="121" t="str">
        <f>IF(CÁLCULO!I155="","",CÁLCULO!I155)</f>
        <v/>
      </c>
      <c r="R141" s="87"/>
      <c r="S141" s="121" t="str">
        <f t="shared" si="16"/>
        <v/>
      </c>
      <c r="T141" s="121" t="str">
        <f t="shared" si="17"/>
        <v/>
      </c>
      <c r="U141" s="89"/>
      <c r="V141" s="80" t="str">
        <f t="shared" si="14"/>
        <v/>
      </c>
      <c r="W141" s="77" t="str">
        <f>IF(K141="","",SUM($S$5:S140)*$E$11*V141)</f>
        <v/>
      </c>
      <c r="Y141" s="121" t="str">
        <f t="shared" si="18"/>
        <v/>
      </c>
    </row>
    <row r="142" spans="11:25" ht="17.100000000000001" customHeight="1" x14ac:dyDescent="0.25">
      <c r="K142" s="81" t="str">
        <f>IF(CÁLCULO!C156="","",CÁLCULO!C156)</f>
        <v/>
      </c>
      <c r="L142" s="81" t="str">
        <f t="shared" si="15"/>
        <v/>
      </c>
      <c r="M142" s="82" t="str">
        <f>IF(CÁLCULO!E156="","",CÁLCULO!E156)</f>
        <v/>
      </c>
      <c r="O142" s="81" t="str">
        <f>IF(CÁLCULO!G156="","",CÁLCULO!G156)</f>
        <v/>
      </c>
      <c r="P142" s="80" t="str">
        <f t="shared" si="13"/>
        <v/>
      </c>
      <c r="Q142" s="121" t="str">
        <f>IF(CÁLCULO!I156="","",CÁLCULO!I156)</f>
        <v/>
      </c>
      <c r="R142" s="87"/>
      <c r="S142" s="121" t="str">
        <f t="shared" si="16"/>
        <v/>
      </c>
      <c r="T142" s="121" t="str">
        <f t="shared" si="17"/>
        <v/>
      </c>
      <c r="U142" s="89"/>
      <c r="V142" s="80" t="str">
        <f t="shared" si="14"/>
        <v/>
      </c>
      <c r="W142" s="77" t="str">
        <f>IF(K142="","",SUM($S$5:S141)*$E$11*V142)</f>
        <v/>
      </c>
      <c r="Y142" s="121" t="str">
        <f t="shared" si="18"/>
        <v/>
      </c>
    </row>
    <row r="143" spans="11:25" ht="17.100000000000001" customHeight="1" x14ac:dyDescent="0.25">
      <c r="K143" s="81" t="str">
        <f>IF(CÁLCULO!C157="","",CÁLCULO!C157)</f>
        <v/>
      </c>
      <c r="L143" s="81" t="str">
        <f t="shared" si="15"/>
        <v/>
      </c>
      <c r="M143" s="82" t="str">
        <f>IF(CÁLCULO!E157="","",CÁLCULO!E157)</f>
        <v/>
      </c>
      <c r="O143" s="81" t="str">
        <f>IF(CÁLCULO!G157="","",CÁLCULO!G157)</f>
        <v/>
      </c>
      <c r="P143" s="80" t="str">
        <f t="shared" si="13"/>
        <v/>
      </c>
      <c r="Q143" s="121" t="str">
        <f>IF(CÁLCULO!I157="","",CÁLCULO!I157)</f>
        <v/>
      </c>
      <c r="R143" s="87"/>
      <c r="S143" s="121" t="str">
        <f t="shared" si="16"/>
        <v/>
      </c>
      <c r="T143" s="121" t="str">
        <f t="shared" si="17"/>
        <v/>
      </c>
      <c r="U143" s="89"/>
      <c r="V143" s="80" t="str">
        <f t="shared" si="14"/>
        <v/>
      </c>
      <c r="W143" s="77" t="str">
        <f>IF(K143="","",SUM($S$5:S142)*$E$11*V143)</f>
        <v/>
      </c>
      <c r="Y143" s="121" t="str">
        <f t="shared" si="18"/>
        <v/>
      </c>
    </row>
    <row r="144" spans="11:25" ht="17.100000000000001" customHeight="1" x14ac:dyDescent="0.25">
      <c r="K144" s="81" t="str">
        <f>IF(CÁLCULO!C158="","",CÁLCULO!C158)</f>
        <v/>
      </c>
      <c r="L144" s="81" t="str">
        <f t="shared" si="15"/>
        <v/>
      </c>
      <c r="M144" s="82" t="str">
        <f>IF(CÁLCULO!E158="","",CÁLCULO!E158)</f>
        <v/>
      </c>
      <c r="O144" s="81" t="str">
        <f>IF(CÁLCULO!G158="","",CÁLCULO!G158)</f>
        <v/>
      </c>
      <c r="P144" s="80" t="str">
        <f t="shared" si="13"/>
        <v/>
      </c>
      <c r="Q144" s="121" t="str">
        <f>IF(CÁLCULO!I158="","",CÁLCULO!I158)</f>
        <v/>
      </c>
      <c r="R144" s="87"/>
      <c r="S144" s="121" t="str">
        <f t="shared" si="16"/>
        <v/>
      </c>
      <c r="T144" s="121" t="str">
        <f t="shared" si="17"/>
        <v/>
      </c>
      <c r="U144" s="89"/>
      <c r="V144" s="80" t="str">
        <f t="shared" si="14"/>
        <v/>
      </c>
      <c r="W144" s="77" t="str">
        <f>IF(K144="","",SUM($S$5:S143)*$E$11*V144)</f>
        <v/>
      </c>
      <c r="Y144" s="121" t="str">
        <f t="shared" si="18"/>
        <v/>
      </c>
    </row>
    <row r="145" spans="11:25" ht="17.100000000000001" customHeight="1" x14ac:dyDescent="0.25">
      <c r="K145" s="81" t="str">
        <f>IF(CÁLCULO!C159="","",CÁLCULO!C159)</f>
        <v/>
      </c>
      <c r="L145" s="81" t="str">
        <f t="shared" si="15"/>
        <v/>
      </c>
      <c r="M145" s="82" t="str">
        <f>IF(CÁLCULO!E159="","",CÁLCULO!E159)</f>
        <v/>
      </c>
      <c r="O145" s="81" t="str">
        <f>IF(CÁLCULO!G159="","",CÁLCULO!G159)</f>
        <v/>
      </c>
      <c r="P145" s="80" t="str">
        <f t="shared" si="13"/>
        <v/>
      </c>
      <c r="Q145" s="121" t="str">
        <f>IF(CÁLCULO!I159="","",CÁLCULO!I159)</f>
        <v/>
      </c>
      <c r="R145" s="87"/>
      <c r="S145" s="121" t="str">
        <f t="shared" si="16"/>
        <v/>
      </c>
      <c r="T145" s="121" t="str">
        <f t="shared" si="17"/>
        <v/>
      </c>
      <c r="U145" s="89"/>
      <c r="V145" s="80" t="str">
        <f t="shared" si="14"/>
        <v/>
      </c>
      <c r="W145" s="77" t="str">
        <f>IF(K145="","",SUM($S$5:S144)*$E$11*V145)</f>
        <v/>
      </c>
      <c r="Y145" s="121" t="str">
        <f t="shared" si="18"/>
        <v/>
      </c>
    </row>
    <row r="146" spans="11:25" ht="17.100000000000001" customHeight="1" x14ac:dyDescent="0.25">
      <c r="K146" s="81" t="str">
        <f>IF(CÁLCULO!C160="","",CÁLCULO!C160)</f>
        <v/>
      </c>
      <c r="L146" s="81" t="str">
        <f t="shared" si="15"/>
        <v/>
      </c>
      <c r="M146" s="82" t="str">
        <f>IF(CÁLCULO!E160="","",CÁLCULO!E160)</f>
        <v/>
      </c>
      <c r="O146" s="81" t="str">
        <f>IF(CÁLCULO!G160="","",CÁLCULO!G160)</f>
        <v/>
      </c>
      <c r="P146" s="80" t="str">
        <f t="shared" ref="P146:P209" si="19">IF(O146="","",O146+P145)</f>
        <v/>
      </c>
      <c r="Q146" s="121" t="str">
        <f>IF(CÁLCULO!I160="","",CÁLCULO!I160)</f>
        <v/>
      </c>
      <c r="R146" s="87"/>
      <c r="S146" s="121" t="str">
        <f t="shared" si="16"/>
        <v/>
      </c>
      <c r="T146" s="121" t="str">
        <f t="shared" si="17"/>
        <v/>
      </c>
      <c r="U146" s="89"/>
      <c r="V146" s="80" t="str">
        <f t="shared" si="14"/>
        <v/>
      </c>
      <c r="W146" s="77" t="str">
        <f>IF(K146="","",SUM($S$5:S145)*$E$11*V146)</f>
        <v/>
      </c>
      <c r="Y146" s="121" t="str">
        <f t="shared" si="18"/>
        <v/>
      </c>
    </row>
    <row r="147" spans="11:25" ht="17.100000000000001" customHeight="1" x14ac:dyDescent="0.25">
      <c r="K147" s="81" t="str">
        <f>IF(CÁLCULO!C161="","",CÁLCULO!C161)</f>
        <v/>
      </c>
      <c r="L147" s="81" t="str">
        <f t="shared" si="15"/>
        <v/>
      </c>
      <c r="M147" s="82" t="str">
        <f>IF(CÁLCULO!E161="","",CÁLCULO!E161)</f>
        <v/>
      </c>
      <c r="O147" s="81" t="str">
        <f>IF(CÁLCULO!G161="","",CÁLCULO!G161)</f>
        <v/>
      </c>
      <c r="P147" s="80" t="str">
        <f t="shared" si="19"/>
        <v/>
      </c>
      <c r="Q147" s="121" t="str">
        <f>IF(CÁLCULO!I161="","",CÁLCULO!I161)</f>
        <v/>
      </c>
      <c r="R147" s="87"/>
      <c r="S147" s="121" t="str">
        <f t="shared" si="16"/>
        <v/>
      </c>
      <c r="T147" s="121" t="str">
        <f t="shared" si="17"/>
        <v/>
      </c>
      <c r="U147" s="89"/>
      <c r="V147" s="80" t="str">
        <f t="shared" si="14"/>
        <v/>
      </c>
      <c r="W147" s="77" t="str">
        <f>IF(K147="","",SUM($S$5:S146)*$E$11*V147)</f>
        <v/>
      </c>
      <c r="Y147" s="121" t="str">
        <f t="shared" si="18"/>
        <v/>
      </c>
    </row>
    <row r="148" spans="11:25" ht="17.100000000000001" customHeight="1" x14ac:dyDescent="0.25">
      <c r="K148" s="81" t="str">
        <f>IF(CÁLCULO!C162="","",CÁLCULO!C162)</f>
        <v/>
      </c>
      <c r="L148" s="81" t="str">
        <f t="shared" si="15"/>
        <v/>
      </c>
      <c r="M148" s="82" t="str">
        <f>IF(CÁLCULO!E162="","",CÁLCULO!E162)</f>
        <v/>
      </c>
      <c r="O148" s="81" t="str">
        <f>IF(CÁLCULO!G162="","",CÁLCULO!G162)</f>
        <v/>
      </c>
      <c r="P148" s="80" t="str">
        <f t="shared" si="19"/>
        <v/>
      </c>
      <c r="Q148" s="121" t="str">
        <f>IF(CÁLCULO!I162="","",CÁLCULO!I162)</f>
        <v/>
      </c>
      <c r="R148" s="87"/>
      <c r="S148" s="121" t="str">
        <f t="shared" si="16"/>
        <v/>
      </c>
      <c r="T148" s="121" t="str">
        <f t="shared" si="17"/>
        <v/>
      </c>
      <c r="U148" s="89"/>
      <c r="V148" s="80" t="str">
        <f t="shared" si="14"/>
        <v/>
      </c>
      <c r="W148" s="77" t="str">
        <f>IF(K148="","",SUM($S$5:S147)*$E$11*V148)</f>
        <v/>
      </c>
      <c r="Y148" s="121" t="str">
        <f t="shared" si="18"/>
        <v/>
      </c>
    </row>
    <row r="149" spans="11:25" ht="17.100000000000001" customHeight="1" x14ac:dyDescent="0.25">
      <c r="K149" s="81" t="str">
        <f>IF(CÁLCULO!C163="","",CÁLCULO!C163)</f>
        <v/>
      </c>
      <c r="L149" s="81" t="str">
        <f t="shared" si="15"/>
        <v/>
      </c>
      <c r="M149" s="82" t="str">
        <f>IF(CÁLCULO!E163="","",CÁLCULO!E163)</f>
        <v/>
      </c>
      <c r="O149" s="81" t="str">
        <f>IF(CÁLCULO!G163="","",CÁLCULO!G163)</f>
        <v/>
      </c>
      <c r="P149" s="80" t="str">
        <f t="shared" si="19"/>
        <v/>
      </c>
      <c r="Q149" s="121" t="str">
        <f>IF(CÁLCULO!I163="","",CÁLCULO!I163)</f>
        <v/>
      </c>
      <c r="R149" s="87"/>
      <c r="S149" s="121" t="str">
        <f t="shared" si="16"/>
        <v/>
      </c>
      <c r="T149" s="121" t="str">
        <f t="shared" si="17"/>
        <v/>
      </c>
      <c r="U149" s="89"/>
      <c r="V149" s="80" t="str">
        <f t="shared" si="14"/>
        <v/>
      </c>
      <c r="W149" s="77" t="str">
        <f>IF(K149="","",SUM($S$5:S148)*$E$11*V149)</f>
        <v/>
      </c>
      <c r="Y149" s="121" t="str">
        <f t="shared" si="18"/>
        <v/>
      </c>
    </row>
    <row r="150" spans="11:25" ht="17.100000000000001" customHeight="1" x14ac:dyDescent="0.25">
      <c r="K150" s="81" t="str">
        <f>IF(CÁLCULO!C164="","",CÁLCULO!C164)</f>
        <v/>
      </c>
      <c r="L150" s="81" t="str">
        <f t="shared" si="15"/>
        <v/>
      </c>
      <c r="M150" s="82" t="str">
        <f>IF(CÁLCULO!E164="","",CÁLCULO!E164)</f>
        <v/>
      </c>
      <c r="O150" s="81" t="str">
        <f>IF(CÁLCULO!G164="","",CÁLCULO!G164)</f>
        <v/>
      </c>
      <c r="P150" s="80" t="str">
        <f t="shared" si="19"/>
        <v/>
      </c>
      <c r="Q150" s="121" t="str">
        <f>IF(CÁLCULO!I164="","",CÁLCULO!I164)</f>
        <v/>
      </c>
      <c r="R150" s="87"/>
      <c r="S150" s="121" t="str">
        <f t="shared" si="16"/>
        <v/>
      </c>
      <c r="T150" s="121" t="str">
        <f t="shared" si="17"/>
        <v/>
      </c>
      <c r="U150" s="89"/>
      <c r="V150" s="80" t="str">
        <f t="shared" si="14"/>
        <v/>
      </c>
      <c r="W150" s="77" t="str">
        <f>IF(K150="","",SUM($S$5:S149)*$E$11*V150)</f>
        <v/>
      </c>
      <c r="Y150" s="121" t="str">
        <f t="shared" si="18"/>
        <v/>
      </c>
    </row>
    <row r="151" spans="11:25" ht="17.100000000000001" customHeight="1" x14ac:dyDescent="0.25">
      <c r="K151" s="81" t="str">
        <f>IF(CÁLCULO!C165="","",CÁLCULO!C165)</f>
        <v/>
      </c>
      <c r="L151" s="81" t="str">
        <f t="shared" si="15"/>
        <v/>
      </c>
      <c r="M151" s="82" t="str">
        <f>IF(CÁLCULO!E165="","",CÁLCULO!E165)</f>
        <v/>
      </c>
      <c r="O151" s="81" t="str">
        <f>IF(CÁLCULO!G165="","",CÁLCULO!G165)</f>
        <v/>
      </c>
      <c r="P151" s="80" t="str">
        <f t="shared" si="19"/>
        <v/>
      </c>
      <c r="Q151" s="121" t="str">
        <f>IF(CÁLCULO!I165="","",CÁLCULO!I165)</f>
        <v/>
      </c>
      <c r="R151" s="87"/>
      <c r="S151" s="121" t="str">
        <f t="shared" si="16"/>
        <v/>
      </c>
      <c r="T151" s="121" t="str">
        <f t="shared" si="17"/>
        <v/>
      </c>
      <c r="U151" s="89"/>
      <c r="V151" s="80" t="str">
        <f t="shared" si="14"/>
        <v/>
      </c>
      <c r="W151" s="77" t="str">
        <f>IF(K151="","",SUM($S$5:S150)*$E$11*V151)</f>
        <v/>
      </c>
      <c r="Y151" s="121" t="str">
        <f t="shared" si="18"/>
        <v/>
      </c>
    </row>
    <row r="152" spans="11:25" ht="17.100000000000001" customHeight="1" x14ac:dyDescent="0.25">
      <c r="K152" s="81" t="str">
        <f>IF(CÁLCULO!C166="","",CÁLCULO!C166)</f>
        <v/>
      </c>
      <c r="L152" s="81" t="str">
        <f t="shared" si="15"/>
        <v/>
      </c>
      <c r="M152" s="82" t="str">
        <f>IF(CÁLCULO!E166="","",CÁLCULO!E166)</f>
        <v/>
      </c>
      <c r="O152" s="81" t="str">
        <f>IF(CÁLCULO!G166="","",CÁLCULO!G166)</f>
        <v/>
      </c>
      <c r="P152" s="80" t="str">
        <f t="shared" si="19"/>
        <v/>
      </c>
      <c r="Q152" s="121" t="str">
        <f>IF(CÁLCULO!I166="","",CÁLCULO!I166)</f>
        <v/>
      </c>
      <c r="R152" s="87"/>
      <c r="S152" s="121" t="str">
        <f t="shared" si="16"/>
        <v/>
      </c>
      <c r="T152" s="121" t="str">
        <f t="shared" si="17"/>
        <v/>
      </c>
      <c r="U152" s="89"/>
      <c r="V152" s="80" t="str">
        <f t="shared" si="14"/>
        <v/>
      </c>
      <c r="W152" s="77" t="str">
        <f>IF(K152="","",SUM($S$5:S151)*$E$11*V152)</f>
        <v/>
      </c>
      <c r="Y152" s="121" t="str">
        <f t="shared" si="18"/>
        <v/>
      </c>
    </row>
    <row r="153" spans="11:25" ht="17.100000000000001" customHeight="1" x14ac:dyDescent="0.25">
      <c r="K153" s="81" t="str">
        <f>IF(CÁLCULO!C167="","",CÁLCULO!C167)</f>
        <v/>
      </c>
      <c r="L153" s="81" t="str">
        <f t="shared" si="15"/>
        <v/>
      </c>
      <c r="M153" s="82" t="str">
        <f>IF(CÁLCULO!E167="","",CÁLCULO!E167)</f>
        <v/>
      </c>
      <c r="O153" s="81" t="str">
        <f>IF(CÁLCULO!G167="","",CÁLCULO!G167)</f>
        <v/>
      </c>
      <c r="P153" s="80" t="str">
        <f t="shared" si="19"/>
        <v/>
      </c>
      <c r="Q153" s="121" t="str">
        <f>IF(CÁLCULO!I167="","",CÁLCULO!I167)</f>
        <v/>
      </c>
      <c r="R153" s="87"/>
      <c r="S153" s="121" t="str">
        <f t="shared" si="16"/>
        <v/>
      </c>
      <c r="T153" s="121" t="str">
        <f t="shared" si="17"/>
        <v/>
      </c>
      <c r="U153" s="89"/>
      <c r="V153" s="80" t="str">
        <f t="shared" si="14"/>
        <v/>
      </c>
      <c r="W153" s="77" t="str">
        <f>IF(K153="","",SUM($S$5:S152)*$E$11*V153)</f>
        <v/>
      </c>
      <c r="Y153" s="121" t="str">
        <f t="shared" si="18"/>
        <v/>
      </c>
    </row>
    <row r="154" spans="11:25" ht="17.100000000000001" customHeight="1" x14ac:dyDescent="0.25">
      <c r="K154" s="81" t="str">
        <f>IF(CÁLCULO!C168="","",CÁLCULO!C168)</f>
        <v/>
      </c>
      <c r="L154" s="81" t="str">
        <f t="shared" si="15"/>
        <v/>
      </c>
      <c r="M154" s="82" t="str">
        <f>IF(CÁLCULO!E168="","",CÁLCULO!E168)</f>
        <v/>
      </c>
      <c r="O154" s="81" t="str">
        <f>IF(CÁLCULO!G168="","",CÁLCULO!G168)</f>
        <v/>
      </c>
      <c r="P154" s="80" t="str">
        <f t="shared" si="19"/>
        <v/>
      </c>
      <c r="Q154" s="121" t="str">
        <f>IF(CÁLCULO!I168="","",CÁLCULO!I168)</f>
        <v/>
      </c>
      <c r="R154" s="87"/>
      <c r="S154" s="121" t="str">
        <f t="shared" si="16"/>
        <v/>
      </c>
      <c r="T154" s="121" t="str">
        <f t="shared" si="17"/>
        <v/>
      </c>
      <c r="U154" s="89"/>
      <c r="V154" s="80" t="str">
        <f t="shared" si="14"/>
        <v/>
      </c>
      <c r="W154" s="77" t="str">
        <f>IF(K154="","",SUM($S$5:S153)*$E$11*V154)</f>
        <v/>
      </c>
      <c r="Y154" s="121" t="str">
        <f t="shared" si="18"/>
        <v/>
      </c>
    </row>
    <row r="155" spans="11:25" ht="17.100000000000001" customHeight="1" x14ac:dyDescent="0.25">
      <c r="K155" s="81" t="str">
        <f>IF(CÁLCULO!C169="","",CÁLCULO!C169)</f>
        <v/>
      </c>
      <c r="L155" s="81" t="str">
        <f t="shared" si="15"/>
        <v/>
      </c>
      <c r="M155" s="82" t="str">
        <f>IF(CÁLCULO!E169="","",CÁLCULO!E169)</f>
        <v/>
      </c>
      <c r="O155" s="81" t="str">
        <f>IF(CÁLCULO!G169="","",CÁLCULO!G169)</f>
        <v/>
      </c>
      <c r="P155" s="80" t="str">
        <f t="shared" si="19"/>
        <v/>
      </c>
      <c r="Q155" s="121" t="str">
        <f>IF(CÁLCULO!I169="","",CÁLCULO!I169)</f>
        <v/>
      </c>
      <c r="R155" s="87"/>
      <c r="S155" s="121" t="str">
        <f t="shared" si="16"/>
        <v/>
      </c>
      <c r="T155" s="121" t="str">
        <f t="shared" si="17"/>
        <v/>
      </c>
      <c r="U155" s="89"/>
      <c r="V155" s="80" t="str">
        <f t="shared" si="14"/>
        <v/>
      </c>
      <c r="W155" s="77" t="str">
        <f>IF(K155="","",SUM($S$5:S154)*$E$11*V155)</f>
        <v/>
      </c>
      <c r="Y155" s="121" t="str">
        <f t="shared" si="18"/>
        <v/>
      </c>
    </row>
    <row r="156" spans="11:25" ht="17.100000000000001" customHeight="1" x14ac:dyDescent="0.25">
      <c r="K156" s="81" t="str">
        <f>IF(CÁLCULO!C170="","",CÁLCULO!C170)</f>
        <v/>
      </c>
      <c r="L156" s="81" t="str">
        <f t="shared" si="15"/>
        <v/>
      </c>
      <c r="M156" s="82" t="str">
        <f>IF(CÁLCULO!E170="","",CÁLCULO!E170)</f>
        <v/>
      </c>
      <c r="O156" s="81" t="str">
        <f>IF(CÁLCULO!G170="","",CÁLCULO!G170)</f>
        <v/>
      </c>
      <c r="P156" s="80" t="str">
        <f t="shared" si="19"/>
        <v/>
      </c>
      <c r="Q156" s="121" t="str">
        <f>IF(CÁLCULO!I170="","",CÁLCULO!I170)</f>
        <v/>
      </c>
      <c r="R156" s="87"/>
      <c r="S156" s="121" t="str">
        <f t="shared" si="16"/>
        <v/>
      </c>
      <c r="T156" s="121" t="str">
        <f t="shared" si="17"/>
        <v/>
      </c>
      <c r="U156" s="89"/>
      <c r="V156" s="80" t="str">
        <f t="shared" si="14"/>
        <v/>
      </c>
      <c r="W156" s="77" t="str">
        <f>IF(K156="","",SUM($S$5:S155)*$E$11*V156)</f>
        <v/>
      </c>
      <c r="Y156" s="121" t="str">
        <f t="shared" si="18"/>
        <v/>
      </c>
    </row>
    <row r="157" spans="11:25" ht="17.100000000000001" customHeight="1" x14ac:dyDescent="0.25">
      <c r="K157" s="81" t="str">
        <f>IF(CÁLCULO!C171="","",CÁLCULO!C171)</f>
        <v/>
      </c>
      <c r="L157" s="81" t="str">
        <f t="shared" si="15"/>
        <v/>
      </c>
      <c r="M157" s="82" t="str">
        <f>IF(CÁLCULO!E171="","",CÁLCULO!E171)</f>
        <v/>
      </c>
      <c r="O157" s="81" t="str">
        <f>IF(CÁLCULO!G171="","",CÁLCULO!G171)</f>
        <v/>
      </c>
      <c r="P157" s="80" t="str">
        <f t="shared" si="19"/>
        <v/>
      </c>
      <c r="Q157" s="121" t="str">
        <f>IF(CÁLCULO!I171="","",CÁLCULO!I171)</f>
        <v/>
      </c>
      <c r="R157" s="87"/>
      <c r="S157" s="121" t="str">
        <f t="shared" si="16"/>
        <v/>
      </c>
      <c r="T157" s="121" t="str">
        <f t="shared" si="17"/>
        <v/>
      </c>
      <c r="U157" s="89"/>
      <c r="V157" s="80" t="str">
        <f t="shared" si="14"/>
        <v/>
      </c>
      <c r="W157" s="77" t="str">
        <f>IF(K157="","",SUM($S$5:S156)*$E$11*V157)</f>
        <v/>
      </c>
      <c r="Y157" s="121" t="str">
        <f t="shared" si="18"/>
        <v/>
      </c>
    </row>
    <row r="158" spans="11:25" ht="17.100000000000001" customHeight="1" x14ac:dyDescent="0.25">
      <c r="K158" s="81" t="str">
        <f>IF(CÁLCULO!C172="","",CÁLCULO!C172)</f>
        <v/>
      </c>
      <c r="L158" s="81" t="str">
        <f t="shared" si="15"/>
        <v/>
      </c>
      <c r="M158" s="82" t="str">
        <f>IF(CÁLCULO!E172="","",CÁLCULO!E172)</f>
        <v/>
      </c>
      <c r="O158" s="81" t="str">
        <f>IF(CÁLCULO!G172="","",CÁLCULO!G172)</f>
        <v/>
      </c>
      <c r="P158" s="80" t="str">
        <f t="shared" si="19"/>
        <v/>
      </c>
      <c r="Q158" s="121" t="str">
        <f>IF(CÁLCULO!I172="","",CÁLCULO!I172)</f>
        <v/>
      </c>
      <c r="R158" s="87"/>
      <c r="S158" s="121" t="str">
        <f t="shared" si="16"/>
        <v/>
      </c>
      <c r="T158" s="121" t="str">
        <f t="shared" si="17"/>
        <v/>
      </c>
      <c r="U158" s="89"/>
      <c r="V158" s="80" t="str">
        <f t="shared" si="14"/>
        <v/>
      </c>
      <c r="W158" s="77" t="str">
        <f>IF(K158="","",SUM($S$5:S157)*$E$11*V158)</f>
        <v/>
      </c>
      <c r="Y158" s="121" t="str">
        <f t="shared" si="18"/>
        <v/>
      </c>
    </row>
    <row r="159" spans="11:25" ht="17.100000000000001" customHeight="1" x14ac:dyDescent="0.25">
      <c r="K159" s="81" t="str">
        <f>IF(CÁLCULO!C173="","",CÁLCULO!C173)</f>
        <v/>
      </c>
      <c r="L159" s="81" t="str">
        <f t="shared" si="15"/>
        <v/>
      </c>
      <c r="M159" s="82" t="str">
        <f>IF(CÁLCULO!E173="","",CÁLCULO!E173)</f>
        <v/>
      </c>
      <c r="O159" s="81" t="str">
        <f>IF(CÁLCULO!G173="","",CÁLCULO!G173)</f>
        <v/>
      </c>
      <c r="P159" s="80" t="str">
        <f t="shared" si="19"/>
        <v/>
      </c>
      <c r="Q159" s="121" t="str">
        <f>IF(CÁLCULO!I173="","",CÁLCULO!I173)</f>
        <v/>
      </c>
      <c r="R159" s="87"/>
      <c r="S159" s="121" t="str">
        <f t="shared" si="16"/>
        <v/>
      </c>
      <c r="T159" s="121" t="str">
        <f t="shared" si="17"/>
        <v/>
      </c>
      <c r="U159" s="89"/>
      <c r="V159" s="80" t="str">
        <f t="shared" si="14"/>
        <v/>
      </c>
      <c r="W159" s="77" t="str">
        <f>IF(K159="","",SUM($S$5:S158)*$E$11*V159)</f>
        <v/>
      </c>
      <c r="Y159" s="121" t="str">
        <f t="shared" si="18"/>
        <v/>
      </c>
    </row>
    <row r="160" spans="11:25" ht="17.100000000000001" customHeight="1" x14ac:dyDescent="0.25">
      <c r="K160" s="81" t="str">
        <f>IF(CÁLCULO!C174="","",CÁLCULO!C174)</f>
        <v/>
      </c>
      <c r="L160" s="81" t="str">
        <f t="shared" si="15"/>
        <v/>
      </c>
      <c r="M160" s="82" t="str">
        <f>IF(CÁLCULO!E174="","",CÁLCULO!E174)</f>
        <v/>
      </c>
      <c r="O160" s="81" t="str">
        <f>IF(CÁLCULO!G174="","",CÁLCULO!G174)</f>
        <v/>
      </c>
      <c r="P160" s="80" t="str">
        <f t="shared" si="19"/>
        <v/>
      </c>
      <c r="Q160" s="121" t="str">
        <f>IF(CÁLCULO!I174="","",CÁLCULO!I174)</f>
        <v/>
      </c>
      <c r="R160" s="87"/>
      <c r="S160" s="121" t="str">
        <f t="shared" si="16"/>
        <v/>
      </c>
      <c r="T160" s="121" t="str">
        <f t="shared" si="17"/>
        <v/>
      </c>
      <c r="U160" s="89"/>
      <c r="V160" s="80" t="str">
        <f t="shared" si="14"/>
        <v/>
      </c>
      <c r="W160" s="77" t="str">
        <f>IF(K160="","",SUM($S$5:S159)*$E$11*V160)</f>
        <v/>
      </c>
      <c r="Y160" s="121" t="str">
        <f t="shared" si="18"/>
        <v/>
      </c>
    </row>
    <row r="161" spans="11:25" ht="17.100000000000001" customHeight="1" x14ac:dyDescent="0.25">
      <c r="K161" s="81" t="str">
        <f>IF(CÁLCULO!C175="","",CÁLCULO!C175)</f>
        <v/>
      </c>
      <c r="L161" s="81" t="str">
        <f t="shared" si="15"/>
        <v/>
      </c>
      <c r="M161" s="82" t="str">
        <f>IF(CÁLCULO!E175="","",CÁLCULO!E175)</f>
        <v/>
      </c>
      <c r="O161" s="81" t="str">
        <f>IF(CÁLCULO!G175="","",CÁLCULO!G175)</f>
        <v/>
      </c>
      <c r="P161" s="80" t="str">
        <f t="shared" si="19"/>
        <v/>
      </c>
      <c r="Q161" s="121" t="str">
        <f>IF(CÁLCULO!I175="","",CÁLCULO!I175)</f>
        <v/>
      </c>
      <c r="R161" s="87"/>
      <c r="S161" s="121" t="str">
        <f t="shared" si="16"/>
        <v/>
      </c>
      <c r="T161" s="121" t="str">
        <f t="shared" si="17"/>
        <v/>
      </c>
      <c r="U161" s="89"/>
      <c r="V161" s="80" t="str">
        <f t="shared" si="14"/>
        <v/>
      </c>
      <c r="W161" s="77" t="str">
        <f>IF(K161="","",SUM($S$5:S160)*$E$11*V161)</f>
        <v/>
      </c>
      <c r="Y161" s="121" t="str">
        <f t="shared" si="18"/>
        <v/>
      </c>
    </row>
    <row r="162" spans="11:25" ht="17.100000000000001" customHeight="1" x14ac:dyDescent="0.25">
      <c r="K162" s="81" t="str">
        <f>IF(CÁLCULO!C176="","",CÁLCULO!C176)</f>
        <v/>
      </c>
      <c r="L162" s="81" t="str">
        <f t="shared" si="15"/>
        <v/>
      </c>
      <c r="M162" s="82" t="str">
        <f>IF(CÁLCULO!E176="","",CÁLCULO!E176)</f>
        <v/>
      </c>
      <c r="O162" s="81" t="str">
        <f>IF(CÁLCULO!G176="","",CÁLCULO!G176)</f>
        <v/>
      </c>
      <c r="P162" s="80" t="str">
        <f t="shared" si="19"/>
        <v/>
      </c>
      <c r="Q162" s="121" t="str">
        <f>IF(CÁLCULO!I176="","",CÁLCULO!I176)</f>
        <v/>
      </c>
      <c r="R162" s="87"/>
      <c r="S162" s="121" t="str">
        <f t="shared" si="16"/>
        <v/>
      </c>
      <c r="T162" s="121" t="str">
        <f t="shared" si="17"/>
        <v/>
      </c>
      <c r="U162" s="89"/>
      <c r="V162" s="80" t="str">
        <f t="shared" si="14"/>
        <v/>
      </c>
      <c r="W162" s="77" t="str">
        <f>IF(K162="","",SUM($S$5:S161)*$E$11*V162)</f>
        <v/>
      </c>
      <c r="Y162" s="121" t="str">
        <f t="shared" si="18"/>
        <v/>
      </c>
    </row>
    <row r="163" spans="11:25" ht="17.100000000000001" customHeight="1" x14ac:dyDescent="0.25">
      <c r="K163" s="81" t="str">
        <f>IF(CÁLCULO!C177="","",CÁLCULO!C177)</f>
        <v/>
      </c>
      <c r="L163" s="81" t="str">
        <f t="shared" si="15"/>
        <v/>
      </c>
      <c r="M163" s="82" t="str">
        <f>IF(CÁLCULO!E177="","",CÁLCULO!E177)</f>
        <v/>
      </c>
      <c r="O163" s="81" t="str">
        <f>IF(CÁLCULO!G177="","",CÁLCULO!G177)</f>
        <v/>
      </c>
      <c r="P163" s="80" t="str">
        <f t="shared" si="19"/>
        <v/>
      </c>
      <c r="Q163" s="121" t="str">
        <f>IF(CÁLCULO!I177="","",CÁLCULO!I177)</f>
        <v/>
      </c>
      <c r="R163" s="87"/>
      <c r="S163" s="121" t="str">
        <f t="shared" si="16"/>
        <v/>
      </c>
      <c r="T163" s="121" t="str">
        <f t="shared" si="17"/>
        <v/>
      </c>
      <c r="U163" s="89"/>
      <c r="V163" s="80" t="str">
        <f t="shared" si="14"/>
        <v/>
      </c>
      <c r="W163" s="77" t="str">
        <f>IF(K163="","",SUM($S$5:S162)*$E$11*V163)</f>
        <v/>
      </c>
      <c r="Y163" s="121" t="str">
        <f t="shared" si="18"/>
        <v/>
      </c>
    </row>
    <row r="164" spans="11:25" ht="17.100000000000001" customHeight="1" x14ac:dyDescent="0.25">
      <c r="K164" s="81" t="str">
        <f>IF(CÁLCULO!C178="","",CÁLCULO!C178)</f>
        <v/>
      </c>
      <c r="L164" s="81" t="str">
        <f t="shared" si="15"/>
        <v/>
      </c>
      <c r="M164" s="82" t="str">
        <f>IF(CÁLCULO!E178="","",CÁLCULO!E178)</f>
        <v/>
      </c>
      <c r="O164" s="81" t="str">
        <f>IF(CÁLCULO!G178="","",CÁLCULO!G178)</f>
        <v/>
      </c>
      <c r="P164" s="80" t="str">
        <f t="shared" si="19"/>
        <v/>
      </c>
      <c r="Q164" s="121" t="str">
        <f>IF(CÁLCULO!I178="","",CÁLCULO!I178)</f>
        <v/>
      </c>
      <c r="R164" s="87"/>
      <c r="S164" s="121" t="str">
        <f t="shared" si="16"/>
        <v/>
      </c>
      <c r="T164" s="121" t="str">
        <f t="shared" si="17"/>
        <v/>
      </c>
      <c r="U164" s="89"/>
      <c r="V164" s="80" t="str">
        <f t="shared" si="14"/>
        <v/>
      </c>
      <c r="W164" s="77" t="str">
        <f>IF(K164="","",SUM($S$5:S163)*$E$11*V164)</f>
        <v/>
      </c>
      <c r="Y164" s="121" t="str">
        <f t="shared" si="18"/>
        <v/>
      </c>
    </row>
    <row r="165" spans="11:25" ht="17.100000000000001" customHeight="1" x14ac:dyDescent="0.25">
      <c r="K165" s="81" t="str">
        <f>IF(CÁLCULO!C179="","",CÁLCULO!C179)</f>
        <v/>
      </c>
      <c r="L165" s="81" t="str">
        <f t="shared" si="15"/>
        <v/>
      </c>
      <c r="M165" s="82" t="str">
        <f>IF(CÁLCULO!E179="","",CÁLCULO!E179)</f>
        <v/>
      </c>
      <c r="O165" s="81" t="str">
        <f>IF(CÁLCULO!G179="","",CÁLCULO!G179)</f>
        <v/>
      </c>
      <c r="P165" s="80" t="str">
        <f t="shared" si="19"/>
        <v/>
      </c>
      <c r="Q165" s="121" t="str">
        <f>IF(CÁLCULO!I179="","",CÁLCULO!I179)</f>
        <v/>
      </c>
      <c r="R165" s="87"/>
      <c r="S165" s="121" t="str">
        <f t="shared" si="16"/>
        <v/>
      </c>
      <c r="T165" s="121" t="str">
        <f t="shared" si="17"/>
        <v/>
      </c>
      <c r="U165" s="89"/>
      <c r="V165" s="80" t="str">
        <f t="shared" si="14"/>
        <v/>
      </c>
      <c r="W165" s="77" t="str">
        <f>IF(K165="","",SUM($S$5:S164)*$E$11*V165)</f>
        <v/>
      </c>
      <c r="Y165" s="121" t="str">
        <f t="shared" si="18"/>
        <v/>
      </c>
    </row>
    <row r="166" spans="11:25" ht="17.100000000000001" customHeight="1" x14ac:dyDescent="0.25">
      <c r="K166" s="81" t="str">
        <f>IF(CÁLCULO!C180="","",CÁLCULO!C180)</f>
        <v/>
      </c>
      <c r="L166" s="81" t="str">
        <f t="shared" si="15"/>
        <v/>
      </c>
      <c r="M166" s="82" t="str">
        <f>IF(CÁLCULO!E180="","",CÁLCULO!E180)</f>
        <v/>
      </c>
      <c r="O166" s="81" t="str">
        <f>IF(CÁLCULO!G180="","",CÁLCULO!G180)</f>
        <v/>
      </c>
      <c r="P166" s="80" t="str">
        <f t="shared" si="19"/>
        <v/>
      </c>
      <c r="Q166" s="121" t="str">
        <f>IF(CÁLCULO!I180="","",CÁLCULO!I180)</f>
        <v/>
      </c>
      <c r="R166" s="87"/>
      <c r="S166" s="121" t="str">
        <f t="shared" si="16"/>
        <v/>
      </c>
      <c r="T166" s="121" t="str">
        <f t="shared" si="17"/>
        <v/>
      </c>
      <c r="U166" s="89"/>
      <c r="V166" s="80" t="str">
        <f t="shared" si="14"/>
        <v/>
      </c>
      <c r="W166" s="77" t="str">
        <f>IF(K166="","",SUM($S$5:S165)*$E$11*V166)</f>
        <v/>
      </c>
      <c r="Y166" s="121" t="str">
        <f t="shared" si="18"/>
        <v/>
      </c>
    </row>
    <row r="167" spans="11:25" ht="17.100000000000001" customHeight="1" x14ac:dyDescent="0.25">
      <c r="K167" s="81" t="str">
        <f>IF(CÁLCULO!C181="","",CÁLCULO!C181)</f>
        <v/>
      </c>
      <c r="L167" s="81" t="str">
        <f t="shared" si="15"/>
        <v/>
      </c>
      <c r="M167" s="82" t="str">
        <f>IF(CÁLCULO!E181="","",CÁLCULO!E181)</f>
        <v/>
      </c>
      <c r="O167" s="81" t="str">
        <f>IF(CÁLCULO!G181="","",CÁLCULO!G181)</f>
        <v/>
      </c>
      <c r="P167" s="80" t="str">
        <f t="shared" si="19"/>
        <v/>
      </c>
      <c r="Q167" s="121" t="str">
        <f>IF(CÁLCULO!I181="","",CÁLCULO!I181)</f>
        <v/>
      </c>
      <c r="R167" s="87"/>
      <c r="S167" s="121" t="str">
        <f t="shared" si="16"/>
        <v/>
      </c>
      <c r="T167" s="121" t="str">
        <f t="shared" si="17"/>
        <v/>
      </c>
      <c r="U167" s="89"/>
      <c r="V167" s="80" t="str">
        <f t="shared" si="14"/>
        <v/>
      </c>
      <c r="W167" s="77" t="str">
        <f>IF(K167="","",SUM($S$5:S166)*$E$11*V167)</f>
        <v/>
      </c>
      <c r="Y167" s="121" t="str">
        <f t="shared" si="18"/>
        <v/>
      </c>
    </row>
    <row r="168" spans="11:25" ht="17.100000000000001" customHeight="1" x14ac:dyDescent="0.25">
      <c r="K168" s="81" t="str">
        <f>IF(CÁLCULO!C182="","",CÁLCULO!C182)</f>
        <v/>
      </c>
      <c r="L168" s="81" t="str">
        <f t="shared" si="15"/>
        <v/>
      </c>
      <c r="M168" s="82" t="str">
        <f>IF(CÁLCULO!E182="","",CÁLCULO!E182)</f>
        <v/>
      </c>
      <c r="O168" s="81" t="str">
        <f>IF(CÁLCULO!G182="","",CÁLCULO!G182)</f>
        <v/>
      </c>
      <c r="P168" s="80" t="str">
        <f t="shared" si="19"/>
        <v/>
      </c>
      <c r="Q168" s="121" t="str">
        <f>IF(CÁLCULO!I182="","",CÁLCULO!I182)</f>
        <v/>
      </c>
      <c r="R168" s="87"/>
      <c r="S168" s="121" t="str">
        <f t="shared" si="16"/>
        <v/>
      </c>
      <c r="T168" s="121" t="str">
        <f t="shared" si="17"/>
        <v/>
      </c>
      <c r="U168" s="89"/>
      <c r="V168" s="80" t="str">
        <f t="shared" si="14"/>
        <v/>
      </c>
      <c r="W168" s="77" t="str">
        <f>IF(K168="","",SUM($S$5:S167)*$E$11*V168)</f>
        <v/>
      </c>
      <c r="Y168" s="121" t="str">
        <f t="shared" si="18"/>
        <v/>
      </c>
    </row>
    <row r="169" spans="11:25" ht="17.100000000000001" customHeight="1" x14ac:dyDescent="0.25">
      <c r="K169" s="81" t="str">
        <f>IF(CÁLCULO!C183="","",CÁLCULO!C183)</f>
        <v/>
      </c>
      <c r="L169" s="81" t="str">
        <f t="shared" si="15"/>
        <v/>
      </c>
      <c r="M169" s="82" t="str">
        <f>IF(CÁLCULO!E183="","",CÁLCULO!E183)</f>
        <v/>
      </c>
      <c r="O169" s="81" t="str">
        <f>IF(CÁLCULO!G183="","",CÁLCULO!G183)</f>
        <v/>
      </c>
      <c r="P169" s="80" t="str">
        <f t="shared" si="19"/>
        <v/>
      </c>
      <c r="Q169" s="121" t="str">
        <f>IF(CÁLCULO!I183="","",CÁLCULO!I183)</f>
        <v/>
      </c>
      <c r="R169" s="87"/>
      <c r="S169" s="121" t="str">
        <f t="shared" si="16"/>
        <v/>
      </c>
      <c r="T169" s="121" t="str">
        <f t="shared" si="17"/>
        <v/>
      </c>
      <c r="U169" s="89"/>
      <c r="V169" s="80" t="str">
        <f t="shared" si="14"/>
        <v/>
      </c>
      <c r="W169" s="77" t="str">
        <f>IF(K169="","",SUM($S$5:S168)*$E$11*V169)</f>
        <v/>
      </c>
      <c r="Y169" s="121" t="str">
        <f t="shared" si="18"/>
        <v/>
      </c>
    </row>
    <row r="170" spans="11:25" ht="17.100000000000001" customHeight="1" x14ac:dyDescent="0.25">
      <c r="K170" s="81" t="str">
        <f>IF(CÁLCULO!C184="","",CÁLCULO!C184)</f>
        <v/>
      </c>
      <c r="L170" s="81" t="str">
        <f t="shared" si="15"/>
        <v/>
      </c>
      <c r="M170" s="82" t="str">
        <f>IF(CÁLCULO!E184="","",CÁLCULO!E184)</f>
        <v/>
      </c>
      <c r="O170" s="81" t="str">
        <f>IF(CÁLCULO!G184="","",CÁLCULO!G184)</f>
        <v/>
      </c>
      <c r="P170" s="80" t="str">
        <f t="shared" si="19"/>
        <v/>
      </c>
      <c r="Q170" s="121" t="str">
        <f>IF(CÁLCULO!I184="","",CÁLCULO!I184)</f>
        <v/>
      </c>
      <c r="R170" s="87"/>
      <c r="S170" s="121" t="str">
        <f t="shared" si="16"/>
        <v/>
      </c>
      <c r="T170" s="121" t="str">
        <f t="shared" si="17"/>
        <v/>
      </c>
      <c r="U170" s="89"/>
      <c r="V170" s="80" t="str">
        <f t="shared" si="14"/>
        <v/>
      </c>
      <c r="W170" s="77" t="str">
        <f>IF(K170="","",SUM($S$5:S169)*$E$11*V170)</f>
        <v/>
      </c>
      <c r="Y170" s="121" t="str">
        <f t="shared" si="18"/>
        <v/>
      </c>
    </row>
    <row r="171" spans="11:25" ht="17.100000000000001" customHeight="1" x14ac:dyDescent="0.25">
      <c r="K171" s="81" t="str">
        <f>IF(CÁLCULO!C185="","",CÁLCULO!C185)</f>
        <v/>
      </c>
      <c r="L171" s="81" t="str">
        <f t="shared" si="15"/>
        <v/>
      </c>
      <c r="M171" s="82" t="str">
        <f>IF(CÁLCULO!E185="","",CÁLCULO!E185)</f>
        <v/>
      </c>
      <c r="O171" s="81" t="str">
        <f>IF(CÁLCULO!G185="","",CÁLCULO!G185)</f>
        <v/>
      </c>
      <c r="P171" s="80" t="str">
        <f t="shared" si="19"/>
        <v/>
      </c>
      <c r="Q171" s="121" t="str">
        <f>IF(CÁLCULO!I185="","",CÁLCULO!I185)</f>
        <v/>
      </c>
      <c r="R171" s="87"/>
      <c r="S171" s="121" t="str">
        <f t="shared" si="16"/>
        <v/>
      </c>
      <c r="T171" s="121" t="str">
        <f t="shared" si="17"/>
        <v/>
      </c>
      <c r="U171" s="89"/>
      <c r="V171" s="80" t="str">
        <f t="shared" si="14"/>
        <v/>
      </c>
      <c r="W171" s="77" t="str">
        <f>IF(K171="","",SUM($S$5:S170)*$E$11*V171)</f>
        <v/>
      </c>
      <c r="Y171" s="121" t="str">
        <f t="shared" si="18"/>
        <v/>
      </c>
    </row>
    <row r="172" spans="11:25" ht="17.100000000000001" customHeight="1" x14ac:dyDescent="0.25">
      <c r="K172" s="81" t="str">
        <f>IF(CÁLCULO!C186="","",CÁLCULO!C186)</f>
        <v/>
      </c>
      <c r="L172" s="81" t="str">
        <f t="shared" si="15"/>
        <v/>
      </c>
      <c r="M172" s="82" t="str">
        <f>IF(CÁLCULO!E186="","",CÁLCULO!E186)</f>
        <v/>
      </c>
      <c r="O172" s="81" t="str">
        <f>IF(CÁLCULO!G186="","",CÁLCULO!G186)</f>
        <v/>
      </c>
      <c r="P172" s="80" t="str">
        <f t="shared" si="19"/>
        <v/>
      </c>
      <c r="Q172" s="121" t="str">
        <f>IF(CÁLCULO!I186="","",CÁLCULO!I186)</f>
        <v/>
      </c>
      <c r="R172" s="87"/>
      <c r="S172" s="121" t="str">
        <f t="shared" si="16"/>
        <v/>
      </c>
      <c r="T172" s="121" t="str">
        <f t="shared" si="17"/>
        <v/>
      </c>
      <c r="U172" s="89"/>
      <c r="V172" s="80" t="str">
        <f t="shared" si="14"/>
        <v/>
      </c>
      <c r="W172" s="77" t="str">
        <f>IF(K172="","",SUM($S$5:S171)*$E$11*V172)</f>
        <v/>
      </c>
      <c r="Y172" s="121" t="str">
        <f t="shared" si="18"/>
        <v/>
      </c>
    </row>
    <row r="173" spans="11:25" ht="17.100000000000001" customHeight="1" x14ac:dyDescent="0.25">
      <c r="K173" s="81" t="str">
        <f>IF(CÁLCULO!C187="","",CÁLCULO!C187)</f>
        <v/>
      </c>
      <c r="L173" s="81" t="str">
        <f t="shared" si="15"/>
        <v/>
      </c>
      <c r="M173" s="82" t="str">
        <f>IF(CÁLCULO!E187="","",CÁLCULO!E187)</f>
        <v/>
      </c>
      <c r="O173" s="81" t="str">
        <f>IF(CÁLCULO!G187="","",CÁLCULO!G187)</f>
        <v/>
      </c>
      <c r="P173" s="80" t="str">
        <f t="shared" si="19"/>
        <v/>
      </c>
      <c r="Q173" s="121" t="str">
        <f>IF(CÁLCULO!I187="","",CÁLCULO!I187)</f>
        <v/>
      </c>
      <c r="R173" s="87"/>
      <c r="S173" s="121" t="str">
        <f t="shared" si="16"/>
        <v/>
      </c>
      <c r="T173" s="121" t="str">
        <f t="shared" si="17"/>
        <v/>
      </c>
      <c r="U173" s="89"/>
      <c r="V173" s="80" t="str">
        <f t="shared" si="14"/>
        <v/>
      </c>
      <c r="W173" s="77" t="str">
        <f>IF(K173="","",SUM($S$5:S172)*$E$11*V173)</f>
        <v/>
      </c>
      <c r="Y173" s="121" t="str">
        <f t="shared" si="18"/>
        <v/>
      </c>
    </row>
    <row r="174" spans="11:25" ht="17.100000000000001" customHeight="1" x14ac:dyDescent="0.25">
      <c r="K174" s="81" t="str">
        <f>IF(CÁLCULO!C188="","",CÁLCULO!C188)</f>
        <v/>
      </c>
      <c r="L174" s="81" t="str">
        <f t="shared" si="15"/>
        <v/>
      </c>
      <c r="M174" s="82" t="str">
        <f>IF(CÁLCULO!E188="","",CÁLCULO!E188)</f>
        <v/>
      </c>
      <c r="O174" s="81" t="str">
        <f>IF(CÁLCULO!G188="","",CÁLCULO!G188)</f>
        <v/>
      </c>
      <c r="P174" s="80" t="str">
        <f t="shared" si="19"/>
        <v/>
      </c>
      <c r="Q174" s="121" t="str">
        <f>IF(CÁLCULO!I188="","",CÁLCULO!I188)</f>
        <v/>
      </c>
      <c r="R174" s="87"/>
      <c r="S174" s="121" t="str">
        <f t="shared" si="16"/>
        <v/>
      </c>
      <c r="T174" s="121" t="str">
        <f t="shared" si="17"/>
        <v/>
      </c>
      <c r="U174" s="89"/>
      <c r="V174" s="80" t="str">
        <f t="shared" si="14"/>
        <v/>
      </c>
      <c r="W174" s="77" t="str">
        <f>IF(K174="","",SUM($S$5:S173)*$E$11*V174)</f>
        <v/>
      </c>
      <c r="Y174" s="121" t="str">
        <f t="shared" si="18"/>
        <v/>
      </c>
    </row>
    <row r="175" spans="11:25" ht="17.100000000000001" customHeight="1" x14ac:dyDescent="0.25">
      <c r="K175" s="81" t="str">
        <f>IF(CÁLCULO!C189="","",CÁLCULO!C189)</f>
        <v/>
      </c>
      <c r="L175" s="81" t="str">
        <f t="shared" si="15"/>
        <v/>
      </c>
      <c r="M175" s="82" t="str">
        <f>IF(CÁLCULO!E189="","",CÁLCULO!E189)</f>
        <v/>
      </c>
      <c r="O175" s="81" t="str">
        <f>IF(CÁLCULO!G189="","",CÁLCULO!G189)</f>
        <v/>
      </c>
      <c r="P175" s="80" t="str">
        <f t="shared" si="19"/>
        <v/>
      </c>
      <c r="Q175" s="121" t="str">
        <f>IF(CÁLCULO!I189="","",CÁLCULO!I189)</f>
        <v/>
      </c>
      <c r="R175" s="87"/>
      <c r="S175" s="121" t="str">
        <f t="shared" si="16"/>
        <v/>
      </c>
      <c r="T175" s="121" t="str">
        <f t="shared" si="17"/>
        <v/>
      </c>
      <c r="U175" s="89"/>
      <c r="V175" s="80" t="str">
        <f t="shared" si="14"/>
        <v/>
      </c>
      <c r="W175" s="77" t="str">
        <f>IF(K175="","",SUM($S$5:S174)*$E$11*V175)</f>
        <v/>
      </c>
      <c r="Y175" s="121" t="str">
        <f t="shared" si="18"/>
        <v/>
      </c>
    </row>
    <row r="176" spans="11:25" ht="17.100000000000001" customHeight="1" x14ac:dyDescent="0.25">
      <c r="K176" s="81" t="str">
        <f>IF(CÁLCULO!C190="","",CÁLCULO!C190)</f>
        <v/>
      </c>
      <c r="L176" s="81" t="str">
        <f t="shared" si="15"/>
        <v/>
      </c>
      <c r="M176" s="82" t="str">
        <f>IF(CÁLCULO!E190="","",CÁLCULO!E190)</f>
        <v/>
      </c>
      <c r="O176" s="81" t="str">
        <f>IF(CÁLCULO!G190="","",CÁLCULO!G190)</f>
        <v/>
      </c>
      <c r="P176" s="80" t="str">
        <f t="shared" si="19"/>
        <v/>
      </c>
      <c r="Q176" s="121" t="str">
        <f>IF(CÁLCULO!I190="","",CÁLCULO!I190)</f>
        <v/>
      </c>
      <c r="R176" s="87"/>
      <c r="S176" s="121" t="str">
        <f t="shared" si="16"/>
        <v/>
      </c>
      <c r="T176" s="121" t="str">
        <f t="shared" si="17"/>
        <v/>
      </c>
      <c r="U176" s="89"/>
      <c r="V176" s="80" t="str">
        <f t="shared" si="14"/>
        <v/>
      </c>
      <c r="W176" s="77" t="str">
        <f>IF(K176="","",SUM($S$5:S175)*$E$11*V176)</f>
        <v/>
      </c>
      <c r="Y176" s="121" t="str">
        <f t="shared" si="18"/>
        <v/>
      </c>
    </row>
    <row r="177" spans="11:25" ht="17.100000000000001" customHeight="1" x14ac:dyDescent="0.25">
      <c r="K177" s="81" t="str">
        <f>IF(CÁLCULO!C191="","",CÁLCULO!C191)</f>
        <v/>
      </c>
      <c r="L177" s="81" t="str">
        <f t="shared" si="15"/>
        <v/>
      </c>
      <c r="M177" s="82" t="str">
        <f>IF(CÁLCULO!E191="","",CÁLCULO!E191)</f>
        <v/>
      </c>
      <c r="O177" s="81" t="str">
        <f>IF(CÁLCULO!G191="","",CÁLCULO!G191)</f>
        <v/>
      </c>
      <c r="P177" s="80" t="str">
        <f t="shared" si="19"/>
        <v/>
      </c>
      <c r="Q177" s="121" t="str">
        <f>IF(CÁLCULO!I191="","",CÁLCULO!I191)</f>
        <v/>
      </c>
      <c r="R177" s="87"/>
      <c r="S177" s="121" t="str">
        <f t="shared" si="16"/>
        <v/>
      </c>
      <c r="T177" s="121" t="str">
        <f t="shared" si="17"/>
        <v/>
      </c>
      <c r="U177" s="89"/>
      <c r="V177" s="80" t="str">
        <f t="shared" si="14"/>
        <v/>
      </c>
      <c r="W177" s="77" t="str">
        <f>IF(K177="","",SUM($S$5:S176)*$E$11*V177)</f>
        <v/>
      </c>
      <c r="Y177" s="121" t="str">
        <f t="shared" si="18"/>
        <v/>
      </c>
    </row>
    <row r="178" spans="11:25" ht="17.100000000000001" customHeight="1" x14ac:dyDescent="0.25">
      <c r="K178" s="81" t="str">
        <f>IF(CÁLCULO!C192="","",CÁLCULO!C192)</f>
        <v/>
      </c>
      <c r="L178" s="81" t="str">
        <f t="shared" si="15"/>
        <v/>
      </c>
      <c r="M178" s="82" t="str">
        <f>IF(CÁLCULO!E192="","",CÁLCULO!E192)</f>
        <v/>
      </c>
      <c r="O178" s="81" t="str">
        <f>IF(CÁLCULO!G192="","",CÁLCULO!G192)</f>
        <v/>
      </c>
      <c r="P178" s="80" t="str">
        <f t="shared" si="19"/>
        <v/>
      </c>
      <c r="Q178" s="121" t="str">
        <f>IF(CÁLCULO!I192="","",CÁLCULO!I192)</f>
        <v/>
      </c>
      <c r="R178" s="87"/>
      <c r="S178" s="121" t="str">
        <f t="shared" si="16"/>
        <v/>
      </c>
      <c r="T178" s="121" t="str">
        <f t="shared" si="17"/>
        <v/>
      </c>
      <c r="U178" s="89"/>
      <c r="V178" s="80" t="str">
        <f t="shared" si="14"/>
        <v/>
      </c>
      <c r="W178" s="77" t="str">
        <f>IF(K178="","",SUM($S$5:S177)*$E$11*V178)</f>
        <v/>
      </c>
      <c r="Y178" s="121" t="str">
        <f t="shared" si="18"/>
        <v/>
      </c>
    </row>
    <row r="179" spans="11:25" ht="17.100000000000001" customHeight="1" x14ac:dyDescent="0.25">
      <c r="K179" s="81" t="str">
        <f>IF(CÁLCULO!C193="","",CÁLCULO!C193)</f>
        <v/>
      </c>
      <c r="L179" s="81" t="str">
        <f t="shared" si="15"/>
        <v/>
      </c>
      <c r="M179" s="82" t="str">
        <f>IF(CÁLCULO!E193="","",CÁLCULO!E193)</f>
        <v/>
      </c>
      <c r="O179" s="81" t="str">
        <f>IF(CÁLCULO!G193="","",CÁLCULO!G193)</f>
        <v/>
      </c>
      <c r="P179" s="80" t="str">
        <f t="shared" si="19"/>
        <v/>
      </c>
      <c r="Q179" s="121" t="str">
        <f>IF(CÁLCULO!I193="","",CÁLCULO!I193)</f>
        <v/>
      </c>
      <c r="R179" s="87"/>
      <c r="S179" s="121" t="str">
        <f t="shared" si="16"/>
        <v/>
      </c>
      <c r="T179" s="121" t="str">
        <f t="shared" si="17"/>
        <v/>
      </c>
      <c r="U179" s="89"/>
      <c r="V179" s="80" t="str">
        <f t="shared" si="14"/>
        <v/>
      </c>
      <c r="W179" s="77" t="str">
        <f>IF(K179="","",SUM($S$5:S178)*$E$11*V179)</f>
        <v/>
      </c>
      <c r="Y179" s="121" t="str">
        <f t="shared" si="18"/>
        <v/>
      </c>
    </row>
    <row r="180" spans="11:25" ht="17.100000000000001" customHeight="1" x14ac:dyDescent="0.25">
      <c r="K180" s="81" t="str">
        <f>IF(CÁLCULO!C194="","",CÁLCULO!C194)</f>
        <v/>
      </c>
      <c r="L180" s="81" t="str">
        <f t="shared" si="15"/>
        <v/>
      </c>
      <c r="M180" s="82" t="str">
        <f>IF(CÁLCULO!E194="","",CÁLCULO!E194)</f>
        <v/>
      </c>
      <c r="O180" s="81" t="str">
        <f>IF(CÁLCULO!G194="","",CÁLCULO!G194)</f>
        <v/>
      </c>
      <c r="P180" s="80" t="str">
        <f t="shared" si="19"/>
        <v/>
      </c>
      <c r="Q180" s="121" t="str">
        <f>IF(CÁLCULO!I194="","",CÁLCULO!I194)</f>
        <v/>
      </c>
      <c r="R180" s="87"/>
      <c r="S180" s="121" t="str">
        <f t="shared" si="16"/>
        <v/>
      </c>
      <c r="T180" s="121" t="str">
        <f t="shared" si="17"/>
        <v/>
      </c>
      <c r="U180" s="89"/>
      <c r="V180" s="80" t="str">
        <f t="shared" si="14"/>
        <v/>
      </c>
      <c r="W180" s="77" t="str">
        <f>IF(K180="","",SUM($S$5:S179)*$E$11*V180)</f>
        <v/>
      </c>
      <c r="Y180" s="121" t="str">
        <f t="shared" si="18"/>
        <v/>
      </c>
    </row>
    <row r="181" spans="11:25" ht="17.100000000000001" customHeight="1" x14ac:dyDescent="0.25">
      <c r="K181" s="81" t="str">
        <f>IF(CÁLCULO!C195="","",CÁLCULO!C195)</f>
        <v/>
      </c>
      <c r="L181" s="81" t="str">
        <f t="shared" si="15"/>
        <v/>
      </c>
      <c r="M181" s="82" t="str">
        <f>IF(CÁLCULO!E195="","",CÁLCULO!E195)</f>
        <v/>
      </c>
      <c r="O181" s="81" t="str">
        <f>IF(CÁLCULO!G195="","",CÁLCULO!G195)</f>
        <v/>
      </c>
      <c r="P181" s="80" t="str">
        <f t="shared" si="19"/>
        <v/>
      </c>
      <c r="Q181" s="121" t="str">
        <f>IF(CÁLCULO!I195="","",CÁLCULO!I195)</f>
        <v/>
      </c>
      <c r="R181" s="87"/>
      <c r="S181" s="121" t="str">
        <f t="shared" si="16"/>
        <v/>
      </c>
      <c r="T181" s="121" t="str">
        <f t="shared" si="17"/>
        <v/>
      </c>
      <c r="U181" s="89"/>
      <c r="V181" s="80" t="str">
        <f t="shared" si="14"/>
        <v/>
      </c>
      <c r="W181" s="77" t="str">
        <f>IF(K181="","",SUM($S$5:S180)*$E$11*V181)</f>
        <v/>
      </c>
      <c r="Y181" s="121" t="str">
        <f t="shared" si="18"/>
        <v/>
      </c>
    </row>
    <row r="182" spans="11:25" ht="17.100000000000001" customHeight="1" x14ac:dyDescent="0.25">
      <c r="K182" s="81" t="str">
        <f>IF(CÁLCULO!C196="","",CÁLCULO!C196)</f>
        <v/>
      </c>
      <c r="L182" s="81" t="str">
        <f t="shared" si="15"/>
        <v/>
      </c>
      <c r="M182" s="82" t="str">
        <f>IF(CÁLCULO!E196="","",CÁLCULO!E196)</f>
        <v/>
      </c>
      <c r="O182" s="81" t="str">
        <f>IF(CÁLCULO!G196="","",CÁLCULO!G196)</f>
        <v/>
      </c>
      <c r="P182" s="80" t="str">
        <f t="shared" si="19"/>
        <v/>
      </c>
      <c r="Q182" s="121" t="str">
        <f>IF(CÁLCULO!I196="","",CÁLCULO!I196)</f>
        <v/>
      </c>
      <c r="R182" s="87"/>
      <c r="S182" s="121" t="str">
        <f t="shared" si="16"/>
        <v/>
      </c>
      <c r="T182" s="121" t="str">
        <f t="shared" si="17"/>
        <v/>
      </c>
      <c r="U182" s="89"/>
      <c r="V182" s="80" t="str">
        <f t="shared" si="14"/>
        <v/>
      </c>
      <c r="W182" s="77" t="str">
        <f>IF(K182="","",SUM($S$5:S181)*$E$11*V182)</f>
        <v/>
      </c>
      <c r="Y182" s="121" t="str">
        <f t="shared" si="18"/>
        <v/>
      </c>
    </row>
    <row r="183" spans="11:25" ht="17.100000000000001" customHeight="1" x14ac:dyDescent="0.25">
      <c r="K183" s="81" t="str">
        <f>IF(CÁLCULO!C197="","",CÁLCULO!C197)</f>
        <v/>
      </c>
      <c r="L183" s="81" t="str">
        <f t="shared" si="15"/>
        <v/>
      </c>
      <c r="M183" s="82" t="str">
        <f>IF(CÁLCULO!E197="","",CÁLCULO!E197)</f>
        <v/>
      </c>
      <c r="O183" s="81" t="str">
        <f>IF(CÁLCULO!G197="","",CÁLCULO!G197)</f>
        <v/>
      </c>
      <c r="P183" s="80" t="str">
        <f t="shared" si="19"/>
        <v/>
      </c>
      <c r="Q183" s="121" t="str">
        <f>IF(CÁLCULO!I197="","",CÁLCULO!I197)</f>
        <v/>
      </c>
      <c r="R183" s="87"/>
      <c r="S183" s="121" t="str">
        <f t="shared" si="16"/>
        <v/>
      </c>
      <c r="T183" s="121" t="str">
        <f t="shared" si="17"/>
        <v/>
      </c>
      <c r="U183" s="89"/>
      <c r="V183" s="80" t="str">
        <f t="shared" si="14"/>
        <v/>
      </c>
      <c r="W183" s="77" t="str">
        <f>IF(K183="","",SUM($S$5:S182)*$E$11*V183)</f>
        <v/>
      </c>
      <c r="Y183" s="121" t="str">
        <f t="shared" si="18"/>
        <v/>
      </c>
    </row>
    <row r="184" spans="11:25" ht="17.100000000000001" customHeight="1" x14ac:dyDescent="0.25">
      <c r="K184" s="81" t="str">
        <f>IF(CÁLCULO!C198="","",CÁLCULO!C198)</f>
        <v/>
      </c>
      <c r="L184" s="81" t="str">
        <f t="shared" si="15"/>
        <v/>
      </c>
      <c r="M184" s="82" t="str">
        <f>IF(CÁLCULO!E198="","",CÁLCULO!E198)</f>
        <v/>
      </c>
      <c r="O184" s="81" t="str">
        <f>IF(CÁLCULO!G198="","",CÁLCULO!G198)</f>
        <v/>
      </c>
      <c r="P184" s="80" t="str">
        <f t="shared" si="19"/>
        <v/>
      </c>
      <c r="Q184" s="121" t="str">
        <f>IF(CÁLCULO!I198="","",CÁLCULO!I198)</f>
        <v/>
      </c>
      <c r="R184" s="87"/>
      <c r="S184" s="121" t="str">
        <f t="shared" si="16"/>
        <v/>
      </c>
      <c r="T184" s="121" t="str">
        <f t="shared" si="17"/>
        <v/>
      </c>
      <c r="U184" s="89"/>
      <c r="V184" s="80" t="str">
        <f t="shared" si="14"/>
        <v/>
      </c>
      <c r="W184" s="77" t="str">
        <f>IF(K184="","",SUM($S$5:S183)*$E$11*V184)</f>
        <v/>
      </c>
      <c r="Y184" s="121" t="str">
        <f t="shared" si="18"/>
        <v/>
      </c>
    </row>
    <row r="185" spans="11:25" ht="17.100000000000001" customHeight="1" x14ac:dyDescent="0.25">
      <c r="K185" s="81" t="str">
        <f>IF(CÁLCULO!C199="","",CÁLCULO!C199)</f>
        <v/>
      </c>
      <c r="L185" s="81" t="str">
        <f t="shared" si="15"/>
        <v/>
      </c>
      <c r="M185" s="82" t="str">
        <f>IF(CÁLCULO!E199="","",CÁLCULO!E199)</f>
        <v/>
      </c>
      <c r="O185" s="81" t="str">
        <f>IF(CÁLCULO!G199="","",CÁLCULO!G199)</f>
        <v/>
      </c>
      <c r="P185" s="80" t="str">
        <f t="shared" si="19"/>
        <v/>
      </c>
      <c r="Q185" s="121" t="str">
        <f>IF(CÁLCULO!I199="","",CÁLCULO!I199)</f>
        <v/>
      </c>
      <c r="R185" s="87"/>
      <c r="S185" s="121" t="str">
        <f t="shared" si="16"/>
        <v/>
      </c>
      <c r="T185" s="121" t="str">
        <f t="shared" si="17"/>
        <v/>
      </c>
      <c r="U185" s="89"/>
      <c r="V185" s="80" t="str">
        <f t="shared" si="14"/>
        <v/>
      </c>
      <c r="W185" s="77" t="str">
        <f>IF(K185="","",SUM($S$5:S184)*$E$11*V185)</f>
        <v/>
      </c>
      <c r="Y185" s="121" t="str">
        <f t="shared" si="18"/>
        <v/>
      </c>
    </row>
    <row r="186" spans="11:25" ht="17.100000000000001" customHeight="1" x14ac:dyDescent="0.25">
      <c r="K186" s="81" t="str">
        <f>IF(CÁLCULO!C200="","",CÁLCULO!C200)</f>
        <v/>
      </c>
      <c r="L186" s="81" t="str">
        <f t="shared" si="15"/>
        <v/>
      </c>
      <c r="M186" s="82" t="str">
        <f>IF(CÁLCULO!E200="","",CÁLCULO!E200)</f>
        <v/>
      </c>
      <c r="O186" s="81" t="str">
        <f>IF(CÁLCULO!G200="","",CÁLCULO!G200)</f>
        <v/>
      </c>
      <c r="P186" s="80" t="str">
        <f t="shared" si="19"/>
        <v/>
      </c>
      <c r="Q186" s="121" t="str">
        <f>IF(CÁLCULO!I200="","",CÁLCULO!I200)</f>
        <v/>
      </c>
      <c r="R186" s="87"/>
      <c r="S186" s="121" t="str">
        <f t="shared" si="16"/>
        <v/>
      </c>
      <c r="T186" s="121" t="str">
        <f t="shared" si="17"/>
        <v/>
      </c>
      <c r="U186" s="89"/>
      <c r="V186" s="80" t="str">
        <f t="shared" si="14"/>
        <v/>
      </c>
      <c r="W186" s="77" t="str">
        <f>IF(K186="","",SUM($S$5:S185)*$E$11*V186)</f>
        <v/>
      </c>
      <c r="Y186" s="121" t="str">
        <f t="shared" si="18"/>
        <v/>
      </c>
    </row>
    <row r="187" spans="11:25" ht="17.100000000000001" customHeight="1" x14ac:dyDescent="0.25">
      <c r="K187" s="81" t="str">
        <f>IF(CÁLCULO!C201="","",CÁLCULO!C201)</f>
        <v/>
      </c>
      <c r="L187" s="81" t="str">
        <f t="shared" si="15"/>
        <v/>
      </c>
      <c r="M187" s="82" t="str">
        <f>IF(CÁLCULO!E201="","",CÁLCULO!E201)</f>
        <v/>
      </c>
      <c r="O187" s="81" t="str">
        <f>IF(CÁLCULO!G201="","",CÁLCULO!G201)</f>
        <v/>
      </c>
      <c r="P187" s="80" t="str">
        <f t="shared" si="19"/>
        <v/>
      </c>
      <c r="Q187" s="121" t="str">
        <f>IF(CÁLCULO!I201="","",CÁLCULO!I201)</f>
        <v/>
      </c>
      <c r="R187" s="87"/>
      <c r="S187" s="121" t="str">
        <f t="shared" si="16"/>
        <v/>
      </c>
      <c r="T187" s="121" t="str">
        <f t="shared" si="17"/>
        <v/>
      </c>
      <c r="U187" s="89"/>
      <c r="V187" s="80" t="str">
        <f t="shared" si="14"/>
        <v/>
      </c>
      <c r="W187" s="77" t="str">
        <f>IF(K187="","",SUM($S$5:S186)*$E$11*V187)</f>
        <v/>
      </c>
      <c r="Y187" s="121" t="str">
        <f t="shared" si="18"/>
        <v/>
      </c>
    </row>
    <row r="188" spans="11:25" ht="17.100000000000001" customHeight="1" x14ac:dyDescent="0.25">
      <c r="K188" s="81" t="str">
        <f>IF(CÁLCULO!C202="","",CÁLCULO!C202)</f>
        <v/>
      </c>
      <c r="L188" s="81" t="str">
        <f t="shared" si="15"/>
        <v/>
      </c>
      <c r="M188" s="82" t="str">
        <f>IF(CÁLCULO!E202="","",CÁLCULO!E202)</f>
        <v/>
      </c>
      <c r="O188" s="81" t="str">
        <f>IF(CÁLCULO!G202="","",CÁLCULO!G202)</f>
        <v/>
      </c>
      <c r="P188" s="80" t="str">
        <f t="shared" si="19"/>
        <v/>
      </c>
      <c r="Q188" s="121" t="str">
        <f>IF(CÁLCULO!I202="","",CÁLCULO!I202)</f>
        <v/>
      </c>
      <c r="R188" s="87"/>
      <c r="S188" s="121" t="str">
        <f t="shared" si="16"/>
        <v/>
      </c>
      <c r="T188" s="121" t="str">
        <f t="shared" si="17"/>
        <v/>
      </c>
      <c r="U188" s="89"/>
      <c r="V188" s="80" t="str">
        <f t="shared" si="14"/>
        <v/>
      </c>
      <c r="W188" s="77" t="str">
        <f>IF(K188="","",SUM($S$5:S187)*$E$11*V188)</f>
        <v/>
      </c>
      <c r="Y188" s="121" t="str">
        <f t="shared" si="18"/>
        <v/>
      </c>
    </row>
    <row r="189" spans="11:25" ht="17.100000000000001" customHeight="1" x14ac:dyDescent="0.25">
      <c r="K189" s="81" t="str">
        <f>IF(CÁLCULO!C203="","",CÁLCULO!C203)</f>
        <v/>
      </c>
      <c r="L189" s="81" t="str">
        <f t="shared" si="15"/>
        <v/>
      </c>
      <c r="M189" s="82" t="str">
        <f>IF(CÁLCULO!E203="","",CÁLCULO!E203)</f>
        <v/>
      </c>
      <c r="O189" s="81" t="str">
        <f>IF(CÁLCULO!G203="","",CÁLCULO!G203)</f>
        <v/>
      </c>
      <c r="P189" s="80" t="str">
        <f t="shared" si="19"/>
        <v/>
      </c>
      <c r="Q189" s="121" t="str">
        <f>IF(CÁLCULO!I203="","",CÁLCULO!I203)</f>
        <v/>
      </c>
      <c r="R189" s="87"/>
      <c r="S189" s="121" t="str">
        <f t="shared" si="16"/>
        <v/>
      </c>
      <c r="T189" s="121" t="str">
        <f t="shared" si="17"/>
        <v/>
      </c>
      <c r="U189" s="89"/>
      <c r="V189" s="80" t="str">
        <f t="shared" si="14"/>
        <v/>
      </c>
      <c r="W189" s="77" t="str">
        <f>IF(K189="","",SUM($S$5:S188)*$E$11*V189)</f>
        <v/>
      </c>
      <c r="Y189" s="121" t="str">
        <f t="shared" si="18"/>
        <v/>
      </c>
    </row>
    <row r="190" spans="11:25" ht="17.100000000000001" customHeight="1" x14ac:dyDescent="0.25">
      <c r="K190" s="81" t="str">
        <f>IF(CÁLCULO!C204="","",CÁLCULO!C204)</f>
        <v/>
      </c>
      <c r="L190" s="81" t="str">
        <f t="shared" si="15"/>
        <v/>
      </c>
      <c r="M190" s="82" t="str">
        <f>IF(CÁLCULO!E204="","",CÁLCULO!E204)</f>
        <v/>
      </c>
      <c r="O190" s="81" t="str">
        <f>IF(CÁLCULO!G204="","",CÁLCULO!G204)</f>
        <v/>
      </c>
      <c r="P190" s="80" t="str">
        <f t="shared" si="19"/>
        <v/>
      </c>
      <c r="Q190" s="121" t="str">
        <f>IF(CÁLCULO!I204="","",CÁLCULO!I204)</f>
        <v/>
      </c>
      <c r="R190" s="87"/>
      <c r="S190" s="121" t="str">
        <f t="shared" si="16"/>
        <v/>
      </c>
      <c r="T190" s="121" t="str">
        <f t="shared" si="17"/>
        <v/>
      </c>
      <c r="U190" s="89"/>
      <c r="V190" s="80" t="str">
        <f t="shared" si="14"/>
        <v/>
      </c>
      <c r="W190" s="77" t="str">
        <f>IF(K190="","",SUM($S$5:S189)*$E$11*V190)</f>
        <v/>
      </c>
      <c r="Y190" s="121" t="str">
        <f t="shared" si="18"/>
        <v/>
      </c>
    </row>
    <row r="191" spans="11:25" ht="17.100000000000001" customHeight="1" x14ac:dyDescent="0.25">
      <c r="K191" s="81" t="str">
        <f>IF(CÁLCULO!C205="","",CÁLCULO!C205)</f>
        <v/>
      </c>
      <c r="L191" s="81" t="str">
        <f t="shared" si="15"/>
        <v/>
      </c>
      <c r="M191" s="82" t="str">
        <f>IF(CÁLCULO!E205="","",CÁLCULO!E205)</f>
        <v/>
      </c>
      <c r="O191" s="81" t="str">
        <f>IF(CÁLCULO!G205="","",CÁLCULO!G205)</f>
        <v/>
      </c>
      <c r="P191" s="80" t="str">
        <f t="shared" si="19"/>
        <v/>
      </c>
      <c r="Q191" s="121" t="str">
        <f>IF(CÁLCULO!I205="","",CÁLCULO!I205)</f>
        <v/>
      </c>
      <c r="R191" s="87"/>
      <c r="S191" s="121" t="str">
        <f t="shared" si="16"/>
        <v/>
      </c>
      <c r="T191" s="121" t="str">
        <f t="shared" si="17"/>
        <v/>
      </c>
      <c r="U191" s="89"/>
      <c r="V191" s="80" t="str">
        <f t="shared" si="14"/>
        <v/>
      </c>
      <c r="W191" s="77" t="str">
        <f>IF(K191="","",SUM($S$5:S190)*$E$11*V191)</f>
        <v/>
      </c>
      <c r="Y191" s="121" t="str">
        <f t="shared" si="18"/>
        <v/>
      </c>
    </row>
    <row r="192" spans="11:25" ht="17.100000000000001" customHeight="1" x14ac:dyDescent="0.25">
      <c r="K192" s="81" t="str">
        <f>IF(CÁLCULO!C206="","",CÁLCULO!C206)</f>
        <v/>
      </c>
      <c r="L192" s="81" t="str">
        <f t="shared" si="15"/>
        <v/>
      </c>
      <c r="M192" s="82" t="str">
        <f>IF(CÁLCULO!E206="","",CÁLCULO!E206)</f>
        <v/>
      </c>
      <c r="O192" s="81" t="str">
        <f>IF(CÁLCULO!G206="","",CÁLCULO!G206)</f>
        <v/>
      </c>
      <c r="P192" s="80" t="str">
        <f t="shared" si="19"/>
        <v/>
      </c>
      <c r="Q192" s="121" t="str">
        <f>IF(CÁLCULO!I206="","",CÁLCULO!I206)</f>
        <v/>
      </c>
      <c r="R192" s="87"/>
      <c r="S192" s="121" t="str">
        <f t="shared" si="16"/>
        <v/>
      </c>
      <c r="T192" s="121" t="str">
        <f t="shared" si="17"/>
        <v/>
      </c>
      <c r="U192" s="89"/>
      <c r="V192" s="80" t="str">
        <f t="shared" si="14"/>
        <v/>
      </c>
      <c r="W192" s="77" t="str">
        <f>IF(K192="","",SUM($S$5:S191)*$E$11*V192)</f>
        <v/>
      </c>
      <c r="Y192" s="121" t="str">
        <f t="shared" si="18"/>
        <v/>
      </c>
    </row>
    <row r="193" spans="11:25" ht="17.100000000000001" customHeight="1" x14ac:dyDescent="0.25">
      <c r="K193" s="81" t="str">
        <f>IF(CÁLCULO!C207="","",CÁLCULO!C207)</f>
        <v/>
      </c>
      <c r="L193" s="81" t="str">
        <f t="shared" si="15"/>
        <v/>
      </c>
      <c r="M193" s="82" t="str">
        <f>IF(CÁLCULO!E207="","",CÁLCULO!E207)</f>
        <v/>
      </c>
      <c r="O193" s="81" t="str">
        <f>IF(CÁLCULO!G207="","",CÁLCULO!G207)</f>
        <v/>
      </c>
      <c r="P193" s="80" t="str">
        <f t="shared" si="19"/>
        <v/>
      </c>
      <c r="Q193" s="121" t="str">
        <f>IF(CÁLCULO!I207="","",CÁLCULO!I207)</f>
        <v/>
      </c>
      <c r="R193" s="87"/>
      <c r="S193" s="121" t="str">
        <f t="shared" si="16"/>
        <v/>
      </c>
      <c r="T193" s="121" t="str">
        <f t="shared" si="17"/>
        <v/>
      </c>
      <c r="U193" s="89"/>
      <c r="V193" s="80" t="str">
        <f t="shared" si="14"/>
        <v/>
      </c>
      <c r="W193" s="77" t="str">
        <f>IF(K193="","",SUM($S$5:S192)*$E$11*V193)</f>
        <v/>
      </c>
      <c r="Y193" s="121" t="str">
        <f t="shared" si="18"/>
        <v/>
      </c>
    </row>
    <row r="194" spans="11:25" ht="17.100000000000001" customHeight="1" x14ac:dyDescent="0.25">
      <c r="K194" s="81" t="str">
        <f>IF(CÁLCULO!C208="","",CÁLCULO!C208)</f>
        <v/>
      </c>
      <c r="L194" s="81" t="str">
        <f t="shared" si="15"/>
        <v/>
      </c>
      <c r="M194" s="82" t="str">
        <f>IF(CÁLCULO!E208="","",CÁLCULO!E208)</f>
        <v/>
      </c>
      <c r="O194" s="81" t="str">
        <f>IF(CÁLCULO!G208="","",CÁLCULO!G208)</f>
        <v/>
      </c>
      <c r="P194" s="80" t="str">
        <f t="shared" si="19"/>
        <v/>
      </c>
      <c r="Q194" s="121" t="str">
        <f>IF(CÁLCULO!I208="","",CÁLCULO!I208)</f>
        <v/>
      </c>
      <c r="R194" s="87"/>
      <c r="S194" s="121" t="str">
        <f t="shared" si="16"/>
        <v/>
      </c>
      <c r="T194" s="121" t="str">
        <f t="shared" si="17"/>
        <v/>
      </c>
      <c r="U194" s="89"/>
      <c r="V194" s="80" t="str">
        <f t="shared" si="14"/>
        <v/>
      </c>
      <c r="W194" s="77" t="str">
        <f>IF(K194="","",SUM($S$5:S193)*$E$11*V194)</f>
        <v/>
      </c>
      <c r="Y194" s="121" t="str">
        <f t="shared" si="18"/>
        <v/>
      </c>
    </row>
    <row r="195" spans="11:25" ht="17.100000000000001" customHeight="1" x14ac:dyDescent="0.25">
      <c r="K195" s="81" t="str">
        <f>IF(CÁLCULO!C209="","",CÁLCULO!C209)</f>
        <v/>
      </c>
      <c r="L195" s="81" t="str">
        <f t="shared" si="15"/>
        <v/>
      </c>
      <c r="M195" s="82" t="str">
        <f>IF(CÁLCULO!E209="","",CÁLCULO!E209)</f>
        <v/>
      </c>
      <c r="O195" s="81" t="str">
        <f>IF(CÁLCULO!G209="","",CÁLCULO!G209)</f>
        <v/>
      </c>
      <c r="P195" s="80" t="str">
        <f t="shared" si="19"/>
        <v/>
      </c>
      <c r="Q195" s="121" t="str">
        <f>IF(CÁLCULO!I209="","",CÁLCULO!I209)</f>
        <v/>
      </c>
      <c r="R195" s="87"/>
      <c r="S195" s="121" t="str">
        <f t="shared" si="16"/>
        <v/>
      </c>
      <c r="T195" s="121" t="str">
        <f t="shared" si="17"/>
        <v/>
      </c>
      <c r="U195" s="89"/>
      <c r="V195" s="80" t="str">
        <f t="shared" si="14"/>
        <v/>
      </c>
      <c r="W195" s="77" t="str">
        <f>IF(K195="","",SUM($S$5:S194)*$E$11*V195)</f>
        <v/>
      </c>
      <c r="Y195" s="121" t="str">
        <f t="shared" si="18"/>
        <v/>
      </c>
    </row>
    <row r="196" spans="11:25" ht="17.100000000000001" customHeight="1" x14ac:dyDescent="0.25">
      <c r="K196" s="81" t="str">
        <f>IF(CÁLCULO!C210="","",CÁLCULO!C210)</f>
        <v/>
      </c>
      <c r="L196" s="81" t="str">
        <f t="shared" si="15"/>
        <v/>
      </c>
      <c r="M196" s="82" t="str">
        <f>IF(CÁLCULO!E210="","",CÁLCULO!E210)</f>
        <v/>
      </c>
      <c r="O196" s="81" t="str">
        <f>IF(CÁLCULO!G210="","",CÁLCULO!G210)</f>
        <v/>
      </c>
      <c r="P196" s="80" t="str">
        <f t="shared" si="19"/>
        <v/>
      </c>
      <c r="Q196" s="121" t="str">
        <f>IF(CÁLCULO!I210="","",CÁLCULO!I210)</f>
        <v/>
      </c>
      <c r="R196" s="87"/>
      <c r="S196" s="121" t="str">
        <f t="shared" si="16"/>
        <v/>
      </c>
      <c r="T196" s="121" t="str">
        <f t="shared" si="17"/>
        <v/>
      </c>
      <c r="U196" s="89"/>
      <c r="V196" s="80" t="str">
        <f t="shared" si="14"/>
        <v/>
      </c>
      <c r="W196" s="77" t="str">
        <f>IF(K196="","",SUM($S$5:S195)*$E$11*V196)</f>
        <v/>
      </c>
      <c r="Y196" s="121" t="str">
        <f t="shared" si="18"/>
        <v/>
      </c>
    </row>
    <row r="197" spans="11:25" ht="17.100000000000001" customHeight="1" x14ac:dyDescent="0.25">
      <c r="K197" s="81" t="str">
        <f>IF(CÁLCULO!C211="","",CÁLCULO!C211)</f>
        <v/>
      </c>
      <c r="L197" s="81" t="str">
        <f t="shared" si="15"/>
        <v/>
      </c>
      <c r="M197" s="82" t="str">
        <f>IF(CÁLCULO!E211="","",CÁLCULO!E211)</f>
        <v/>
      </c>
      <c r="O197" s="81" t="str">
        <f>IF(CÁLCULO!G211="","",CÁLCULO!G211)</f>
        <v/>
      </c>
      <c r="P197" s="80" t="str">
        <f t="shared" si="19"/>
        <v/>
      </c>
      <c r="Q197" s="121" t="str">
        <f>IF(CÁLCULO!I211="","",CÁLCULO!I211)</f>
        <v/>
      </c>
      <c r="R197" s="87"/>
      <c r="S197" s="121" t="str">
        <f t="shared" si="16"/>
        <v/>
      </c>
      <c r="T197" s="121" t="str">
        <f t="shared" si="17"/>
        <v/>
      </c>
      <c r="U197" s="89"/>
      <c r="V197" s="80" t="str">
        <f t="shared" ref="V197:V260" si="20">IF(K197="","",IF(O197-(P197-365)&lt;0,0,IF(P197&gt;365,O197-(P197-365),O197)))</f>
        <v/>
      </c>
      <c r="W197" s="77" t="str">
        <f>IF(K197="","",SUM($S$5:S196)*$E$11*V197)</f>
        <v/>
      </c>
      <c r="Y197" s="121" t="str">
        <f t="shared" si="18"/>
        <v/>
      </c>
    </row>
    <row r="198" spans="11:25" ht="17.100000000000001" customHeight="1" x14ac:dyDescent="0.25">
      <c r="K198" s="81" t="str">
        <f>IF(CÁLCULO!C212="","",CÁLCULO!C212)</f>
        <v/>
      </c>
      <c r="L198" s="81" t="str">
        <f t="shared" ref="L198:L261" si="21">IF(K198="","",IF(K198&lt;=TempoCarencia,"-",IF(K198=TempoCarencia+1,1,IF(L197&gt;0,L197+1,""))))</f>
        <v/>
      </c>
      <c r="M198" s="82" t="str">
        <f>IF(CÁLCULO!E212="","",CÁLCULO!E212)</f>
        <v/>
      </c>
      <c r="O198" s="81" t="str">
        <f>IF(CÁLCULO!G212="","",CÁLCULO!G212)</f>
        <v/>
      </c>
      <c r="P198" s="80" t="str">
        <f t="shared" si="19"/>
        <v/>
      </c>
      <c r="Q198" s="121" t="str">
        <f>IF(CÁLCULO!I212="","",CÁLCULO!I212)</f>
        <v/>
      </c>
      <c r="R198" s="87"/>
      <c r="S198" s="121" t="str">
        <f t="shared" ref="S198:S261" si="22">IF(K198="","",PV(TxJurosAoDia,P198,,-Q198))</f>
        <v/>
      </c>
      <c r="T198" s="121" t="str">
        <f t="shared" si="17"/>
        <v/>
      </c>
      <c r="U198" s="89"/>
      <c r="V198" s="80" t="str">
        <f t="shared" si="20"/>
        <v/>
      </c>
      <c r="W198" s="77" t="str">
        <f>IF(K198="","",SUM($S$5:S197)*$E$11*V198)</f>
        <v/>
      </c>
      <c r="Y198" s="121" t="str">
        <f t="shared" si="18"/>
        <v/>
      </c>
    </row>
    <row r="199" spans="11:25" ht="17.100000000000001" customHeight="1" x14ac:dyDescent="0.25">
      <c r="K199" s="81" t="str">
        <f>IF(CÁLCULO!C213="","",CÁLCULO!C213)</f>
        <v/>
      </c>
      <c r="L199" s="81" t="str">
        <f t="shared" si="21"/>
        <v/>
      </c>
      <c r="M199" s="82" t="str">
        <f>IF(CÁLCULO!E213="","",CÁLCULO!E213)</f>
        <v/>
      </c>
      <c r="O199" s="81" t="str">
        <f>IF(CÁLCULO!G213="","",CÁLCULO!G213)</f>
        <v/>
      </c>
      <c r="P199" s="80" t="str">
        <f t="shared" si="19"/>
        <v/>
      </c>
      <c r="Q199" s="121" t="str">
        <f>IF(CÁLCULO!I213="","",CÁLCULO!I213)</f>
        <v/>
      </c>
      <c r="R199" s="87"/>
      <c r="S199" s="121" t="str">
        <f t="shared" si="22"/>
        <v/>
      </c>
      <c r="T199" s="121" t="str">
        <f t="shared" ref="T199:T262" si="23">IF(K199="","",T198+S199)</f>
        <v/>
      </c>
      <c r="U199" s="89"/>
      <c r="V199" s="80" t="str">
        <f t="shared" si="20"/>
        <v/>
      </c>
      <c r="W199" s="77" t="str">
        <f>IF(K199="","",SUM($S$5:S198)*$E$11*V199)</f>
        <v/>
      </c>
      <c r="Y199" s="121" t="str">
        <f t="shared" ref="Y199:Y262" si="24">Q199</f>
        <v/>
      </c>
    </row>
    <row r="200" spans="11:25" ht="17.100000000000001" customHeight="1" x14ac:dyDescent="0.25">
      <c r="K200" s="81" t="str">
        <f>IF(CÁLCULO!C214="","",CÁLCULO!C214)</f>
        <v/>
      </c>
      <c r="L200" s="81" t="str">
        <f t="shared" si="21"/>
        <v/>
      </c>
      <c r="M200" s="82" t="str">
        <f>IF(CÁLCULO!E214="","",CÁLCULO!E214)</f>
        <v/>
      </c>
      <c r="O200" s="81" t="str">
        <f>IF(CÁLCULO!G214="","",CÁLCULO!G214)</f>
        <v/>
      </c>
      <c r="P200" s="80" t="str">
        <f t="shared" si="19"/>
        <v/>
      </c>
      <c r="Q200" s="121" t="str">
        <f>IF(CÁLCULO!I214="","",CÁLCULO!I214)</f>
        <v/>
      </c>
      <c r="R200" s="87"/>
      <c r="S200" s="121" t="str">
        <f t="shared" si="22"/>
        <v/>
      </c>
      <c r="T200" s="121" t="str">
        <f t="shared" si="23"/>
        <v/>
      </c>
      <c r="U200" s="89"/>
      <c r="V200" s="80" t="str">
        <f t="shared" si="20"/>
        <v/>
      </c>
      <c r="W200" s="77" t="str">
        <f>IF(K200="","",SUM($S$5:S199)*$E$11*V200)</f>
        <v/>
      </c>
      <c r="Y200" s="121" t="str">
        <f t="shared" si="24"/>
        <v/>
      </c>
    </row>
    <row r="201" spans="11:25" ht="17.100000000000001" customHeight="1" x14ac:dyDescent="0.25">
      <c r="K201" s="81" t="str">
        <f>IF(CÁLCULO!C215="","",CÁLCULO!C215)</f>
        <v/>
      </c>
      <c r="L201" s="81" t="str">
        <f t="shared" si="21"/>
        <v/>
      </c>
      <c r="M201" s="82" t="str">
        <f>IF(CÁLCULO!E215="","",CÁLCULO!E215)</f>
        <v/>
      </c>
      <c r="O201" s="81" t="str">
        <f>IF(CÁLCULO!G215="","",CÁLCULO!G215)</f>
        <v/>
      </c>
      <c r="P201" s="80" t="str">
        <f t="shared" si="19"/>
        <v/>
      </c>
      <c r="Q201" s="121" t="str">
        <f>IF(CÁLCULO!I215="","",CÁLCULO!I215)</f>
        <v/>
      </c>
      <c r="R201" s="87"/>
      <c r="S201" s="121" t="str">
        <f t="shared" si="22"/>
        <v/>
      </c>
      <c r="T201" s="121" t="str">
        <f t="shared" si="23"/>
        <v/>
      </c>
      <c r="U201" s="89"/>
      <c r="V201" s="80" t="str">
        <f t="shared" si="20"/>
        <v/>
      </c>
      <c r="W201" s="77" t="str">
        <f>IF(K201="","",SUM($S$5:S200)*$E$11*V201)</f>
        <v/>
      </c>
      <c r="Y201" s="121" t="str">
        <f t="shared" si="24"/>
        <v/>
      </c>
    </row>
    <row r="202" spans="11:25" ht="17.100000000000001" customHeight="1" x14ac:dyDescent="0.25">
      <c r="K202" s="81" t="str">
        <f>IF(CÁLCULO!C216="","",CÁLCULO!C216)</f>
        <v/>
      </c>
      <c r="L202" s="81" t="str">
        <f t="shared" si="21"/>
        <v/>
      </c>
      <c r="M202" s="82" t="str">
        <f>IF(CÁLCULO!E216="","",CÁLCULO!E216)</f>
        <v/>
      </c>
      <c r="O202" s="81" t="str">
        <f>IF(CÁLCULO!G216="","",CÁLCULO!G216)</f>
        <v/>
      </c>
      <c r="P202" s="80" t="str">
        <f t="shared" si="19"/>
        <v/>
      </c>
      <c r="Q202" s="121" t="str">
        <f>IF(CÁLCULO!I216="","",CÁLCULO!I216)</f>
        <v/>
      </c>
      <c r="R202" s="87"/>
      <c r="S202" s="121" t="str">
        <f t="shared" si="22"/>
        <v/>
      </c>
      <c r="T202" s="121" t="str">
        <f t="shared" si="23"/>
        <v/>
      </c>
      <c r="U202" s="89"/>
      <c r="V202" s="80" t="str">
        <f t="shared" si="20"/>
        <v/>
      </c>
      <c r="W202" s="77" t="str">
        <f>IF(K202="","",SUM($S$5:S201)*$E$11*V202)</f>
        <v/>
      </c>
      <c r="Y202" s="121" t="str">
        <f t="shared" si="24"/>
        <v/>
      </c>
    </row>
    <row r="203" spans="11:25" ht="17.100000000000001" customHeight="1" x14ac:dyDescent="0.25">
      <c r="K203" s="81" t="str">
        <f>IF(CÁLCULO!C217="","",CÁLCULO!C217)</f>
        <v/>
      </c>
      <c r="L203" s="81" t="str">
        <f t="shared" si="21"/>
        <v/>
      </c>
      <c r="M203" s="82" t="str">
        <f>IF(CÁLCULO!E217="","",CÁLCULO!E217)</f>
        <v/>
      </c>
      <c r="O203" s="81" t="str">
        <f>IF(CÁLCULO!G217="","",CÁLCULO!G217)</f>
        <v/>
      </c>
      <c r="P203" s="80" t="str">
        <f t="shared" si="19"/>
        <v/>
      </c>
      <c r="Q203" s="121" t="str">
        <f>IF(CÁLCULO!I217="","",CÁLCULO!I217)</f>
        <v/>
      </c>
      <c r="R203" s="87"/>
      <c r="S203" s="121" t="str">
        <f t="shared" si="22"/>
        <v/>
      </c>
      <c r="T203" s="121" t="str">
        <f t="shared" si="23"/>
        <v/>
      </c>
      <c r="U203" s="89"/>
      <c r="V203" s="80" t="str">
        <f t="shared" si="20"/>
        <v/>
      </c>
      <c r="W203" s="77" t="str">
        <f>IF(K203="","",SUM($S$5:S202)*$E$11*V203)</f>
        <v/>
      </c>
      <c r="Y203" s="121" t="str">
        <f t="shared" si="24"/>
        <v/>
      </c>
    </row>
    <row r="204" spans="11:25" ht="17.100000000000001" customHeight="1" x14ac:dyDescent="0.25">
      <c r="K204" s="81" t="str">
        <f>IF(CÁLCULO!C218="","",CÁLCULO!C218)</f>
        <v/>
      </c>
      <c r="L204" s="81" t="str">
        <f t="shared" si="21"/>
        <v/>
      </c>
      <c r="M204" s="82" t="str">
        <f>IF(CÁLCULO!E218="","",CÁLCULO!E218)</f>
        <v/>
      </c>
      <c r="O204" s="81" t="str">
        <f>IF(CÁLCULO!G218="","",CÁLCULO!G218)</f>
        <v/>
      </c>
      <c r="P204" s="80" t="str">
        <f t="shared" si="19"/>
        <v/>
      </c>
      <c r="Q204" s="121" t="str">
        <f>IF(CÁLCULO!I218="","",CÁLCULO!I218)</f>
        <v/>
      </c>
      <c r="R204" s="87"/>
      <c r="S204" s="121" t="str">
        <f t="shared" si="22"/>
        <v/>
      </c>
      <c r="T204" s="121" t="str">
        <f t="shared" si="23"/>
        <v/>
      </c>
      <c r="U204" s="89"/>
      <c r="V204" s="80" t="str">
        <f t="shared" si="20"/>
        <v/>
      </c>
      <c r="W204" s="77" t="str">
        <f>IF(K204="","",SUM($S$5:S203)*$E$11*V204)</f>
        <v/>
      </c>
      <c r="Y204" s="121" t="str">
        <f t="shared" si="24"/>
        <v/>
      </c>
    </row>
    <row r="205" spans="11:25" ht="17.100000000000001" customHeight="1" x14ac:dyDescent="0.25">
      <c r="K205" s="81" t="str">
        <f>IF(CÁLCULO!C219="","",CÁLCULO!C219)</f>
        <v/>
      </c>
      <c r="L205" s="81" t="str">
        <f t="shared" si="21"/>
        <v/>
      </c>
      <c r="M205" s="82" t="str">
        <f>IF(CÁLCULO!E219="","",CÁLCULO!E219)</f>
        <v/>
      </c>
      <c r="O205" s="81" t="str">
        <f>IF(CÁLCULO!G219="","",CÁLCULO!G219)</f>
        <v/>
      </c>
      <c r="P205" s="80" t="str">
        <f t="shared" si="19"/>
        <v/>
      </c>
      <c r="Q205" s="121" t="str">
        <f>IF(CÁLCULO!I219="","",CÁLCULO!I219)</f>
        <v/>
      </c>
      <c r="R205" s="87"/>
      <c r="S205" s="121" t="str">
        <f t="shared" si="22"/>
        <v/>
      </c>
      <c r="T205" s="121" t="str">
        <f t="shared" si="23"/>
        <v/>
      </c>
      <c r="U205" s="89"/>
      <c r="V205" s="80" t="str">
        <f t="shared" si="20"/>
        <v/>
      </c>
      <c r="W205" s="77" t="str">
        <f>IF(K205="","",SUM($S$5:S204)*$E$11*V205)</f>
        <v/>
      </c>
      <c r="Y205" s="121" t="str">
        <f t="shared" si="24"/>
        <v/>
      </c>
    </row>
    <row r="206" spans="11:25" ht="17.100000000000001" customHeight="1" x14ac:dyDescent="0.25">
      <c r="K206" s="81" t="str">
        <f>IF(CÁLCULO!C220="","",CÁLCULO!C220)</f>
        <v/>
      </c>
      <c r="L206" s="81" t="str">
        <f t="shared" si="21"/>
        <v/>
      </c>
      <c r="M206" s="82" t="str">
        <f>IF(CÁLCULO!E220="","",CÁLCULO!E220)</f>
        <v/>
      </c>
      <c r="O206" s="81" t="str">
        <f>IF(CÁLCULO!G220="","",CÁLCULO!G220)</f>
        <v/>
      </c>
      <c r="P206" s="80" t="str">
        <f t="shared" si="19"/>
        <v/>
      </c>
      <c r="Q206" s="121" t="str">
        <f>IF(CÁLCULO!I220="","",CÁLCULO!I220)</f>
        <v/>
      </c>
      <c r="R206" s="87"/>
      <c r="S206" s="121" t="str">
        <f t="shared" si="22"/>
        <v/>
      </c>
      <c r="T206" s="121" t="str">
        <f t="shared" si="23"/>
        <v/>
      </c>
      <c r="U206" s="89"/>
      <c r="V206" s="80" t="str">
        <f t="shared" si="20"/>
        <v/>
      </c>
      <c r="W206" s="77" t="str">
        <f>IF(K206="","",SUM($S$5:S205)*$E$11*V206)</f>
        <v/>
      </c>
      <c r="Y206" s="121" t="str">
        <f t="shared" si="24"/>
        <v/>
      </c>
    </row>
    <row r="207" spans="11:25" ht="17.100000000000001" customHeight="1" x14ac:dyDescent="0.25">
      <c r="K207" s="81" t="str">
        <f>IF(CÁLCULO!C221="","",CÁLCULO!C221)</f>
        <v/>
      </c>
      <c r="L207" s="81" t="str">
        <f t="shared" si="21"/>
        <v/>
      </c>
      <c r="M207" s="82" t="str">
        <f>IF(CÁLCULO!E221="","",CÁLCULO!E221)</f>
        <v/>
      </c>
      <c r="O207" s="81" t="str">
        <f>IF(CÁLCULO!G221="","",CÁLCULO!G221)</f>
        <v/>
      </c>
      <c r="P207" s="80" t="str">
        <f t="shared" si="19"/>
        <v/>
      </c>
      <c r="Q207" s="121" t="str">
        <f>IF(CÁLCULO!I221="","",CÁLCULO!I221)</f>
        <v/>
      </c>
      <c r="R207" s="87"/>
      <c r="S207" s="121" t="str">
        <f t="shared" si="22"/>
        <v/>
      </c>
      <c r="T207" s="121" t="str">
        <f t="shared" si="23"/>
        <v/>
      </c>
      <c r="U207" s="89"/>
      <c r="V207" s="80" t="str">
        <f t="shared" si="20"/>
        <v/>
      </c>
      <c r="W207" s="77" t="str">
        <f>IF(K207="","",SUM($S$5:S206)*$E$11*V207)</f>
        <v/>
      </c>
      <c r="Y207" s="121" t="str">
        <f t="shared" si="24"/>
        <v/>
      </c>
    </row>
    <row r="208" spans="11:25" ht="17.100000000000001" customHeight="1" x14ac:dyDescent="0.25">
      <c r="K208" s="81" t="str">
        <f>IF(CÁLCULO!C222="","",CÁLCULO!C222)</f>
        <v/>
      </c>
      <c r="L208" s="81" t="str">
        <f t="shared" si="21"/>
        <v/>
      </c>
      <c r="M208" s="82" t="str">
        <f>IF(CÁLCULO!E222="","",CÁLCULO!E222)</f>
        <v/>
      </c>
      <c r="O208" s="81" t="str">
        <f>IF(CÁLCULO!G222="","",CÁLCULO!G222)</f>
        <v/>
      </c>
      <c r="P208" s="80" t="str">
        <f t="shared" si="19"/>
        <v/>
      </c>
      <c r="Q208" s="121" t="str">
        <f>IF(CÁLCULO!I222="","",CÁLCULO!I222)</f>
        <v/>
      </c>
      <c r="R208" s="87"/>
      <c r="S208" s="121" t="str">
        <f t="shared" si="22"/>
        <v/>
      </c>
      <c r="T208" s="121" t="str">
        <f t="shared" si="23"/>
        <v/>
      </c>
      <c r="U208" s="89"/>
      <c r="V208" s="80" t="str">
        <f t="shared" si="20"/>
        <v/>
      </c>
      <c r="W208" s="77" t="str">
        <f>IF(K208="","",SUM($S$5:S207)*$E$11*V208)</f>
        <v/>
      </c>
      <c r="Y208" s="121" t="str">
        <f t="shared" si="24"/>
        <v/>
      </c>
    </row>
    <row r="209" spans="11:25" ht="17.100000000000001" customHeight="1" x14ac:dyDescent="0.25">
      <c r="K209" s="81" t="str">
        <f>IF(CÁLCULO!C223="","",CÁLCULO!C223)</f>
        <v/>
      </c>
      <c r="L209" s="81" t="str">
        <f t="shared" si="21"/>
        <v/>
      </c>
      <c r="M209" s="82" t="str">
        <f>IF(CÁLCULO!E223="","",CÁLCULO!E223)</f>
        <v/>
      </c>
      <c r="O209" s="81" t="str">
        <f>IF(CÁLCULO!G223="","",CÁLCULO!G223)</f>
        <v/>
      </c>
      <c r="P209" s="80" t="str">
        <f t="shared" si="19"/>
        <v/>
      </c>
      <c r="Q209" s="121" t="str">
        <f>IF(CÁLCULO!I223="","",CÁLCULO!I223)</f>
        <v/>
      </c>
      <c r="R209" s="87"/>
      <c r="S209" s="121" t="str">
        <f t="shared" si="22"/>
        <v/>
      </c>
      <c r="T209" s="121" t="str">
        <f t="shared" si="23"/>
        <v/>
      </c>
      <c r="U209" s="89"/>
      <c r="V209" s="80" t="str">
        <f t="shared" si="20"/>
        <v/>
      </c>
      <c r="W209" s="77" t="str">
        <f>IF(K209="","",SUM($S$5:S208)*$E$11*V209)</f>
        <v/>
      </c>
      <c r="Y209" s="121" t="str">
        <f t="shared" si="24"/>
        <v/>
      </c>
    </row>
    <row r="210" spans="11:25" ht="17.100000000000001" customHeight="1" x14ac:dyDescent="0.25">
      <c r="K210" s="81" t="str">
        <f>IF(CÁLCULO!C224="","",CÁLCULO!C224)</f>
        <v/>
      </c>
      <c r="L210" s="81" t="str">
        <f t="shared" si="21"/>
        <v/>
      </c>
      <c r="M210" s="82" t="str">
        <f>IF(CÁLCULO!E224="","",CÁLCULO!E224)</f>
        <v/>
      </c>
      <c r="O210" s="81" t="str">
        <f>IF(CÁLCULO!G224="","",CÁLCULO!G224)</f>
        <v/>
      </c>
      <c r="P210" s="80" t="str">
        <f t="shared" ref="P210:P273" si="25">IF(O210="","",O210+P209)</f>
        <v/>
      </c>
      <c r="Q210" s="121" t="str">
        <f>IF(CÁLCULO!I224="","",CÁLCULO!I224)</f>
        <v/>
      </c>
      <c r="R210" s="87"/>
      <c r="S210" s="121" t="str">
        <f t="shared" si="22"/>
        <v/>
      </c>
      <c r="T210" s="121" t="str">
        <f t="shared" si="23"/>
        <v/>
      </c>
      <c r="U210" s="89"/>
      <c r="V210" s="80" t="str">
        <f t="shared" si="20"/>
        <v/>
      </c>
      <c r="W210" s="77" t="str">
        <f>IF(K210="","",SUM($S$5:S209)*$E$11*V210)</f>
        <v/>
      </c>
      <c r="Y210" s="121" t="str">
        <f t="shared" si="24"/>
        <v/>
      </c>
    </row>
    <row r="211" spans="11:25" ht="17.100000000000001" customHeight="1" x14ac:dyDescent="0.25">
      <c r="K211" s="81" t="str">
        <f>IF(CÁLCULO!C225="","",CÁLCULO!C225)</f>
        <v/>
      </c>
      <c r="L211" s="81" t="str">
        <f t="shared" si="21"/>
        <v/>
      </c>
      <c r="M211" s="82" t="str">
        <f>IF(CÁLCULO!E225="","",CÁLCULO!E225)</f>
        <v/>
      </c>
      <c r="O211" s="81" t="str">
        <f>IF(CÁLCULO!G225="","",CÁLCULO!G225)</f>
        <v/>
      </c>
      <c r="P211" s="80" t="str">
        <f t="shared" si="25"/>
        <v/>
      </c>
      <c r="Q211" s="121" t="str">
        <f>IF(CÁLCULO!I225="","",CÁLCULO!I225)</f>
        <v/>
      </c>
      <c r="R211" s="87"/>
      <c r="S211" s="121" t="str">
        <f t="shared" si="22"/>
        <v/>
      </c>
      <c r="T211" s="121" t="str">
        <f t="shared" si="23"/>
        <v/>
      </c>
      <c r="U211" s="89"/>
      <c r="V211" s="80" t="str">
        <f t="shared" si="20"/>
        <v/>
      </c>
      <c r="W211" s="77" t="str">
        <f>IF(K211="","",SUM($S$5:S210)*$E$11*V211)</f>
        <v/>
      </c>
      <c r="Y211" s="121" t="str">
        <f t="shared" si="24"/>
        <v/>
      </c>
    </row>
    <row r="212" spans="11:25" ht="17.100000000000001" customHeight="1" x14ac:dyDescent="0.25">
      <c r="K212" s="81" t="str">
        <f>IF(CÁLCULO!C226="","",CÁLCULO!C226)</f>
        <v/>
      </c>
      <c r="L212" s="81" t="str">
        <f t="shared" si="21"/>
        <v/>
      </c>
      <c r="M212" s="82" t="str">
        <f>IF(CÁLCULO!E226="","",CÁLCULO!E226)</f>
        <v/>
      </c>
      <c r="O212" s="81" t="str">
        <f>IF(CÁLCULO!G226="","",CÁLCULO!G226)</f>
        <v/>
      </c>
      <c r="P212" s="80" t="str">
        <f t="shared" si="25"/>
        <v/>
      </c>
      <c r="Q212" s="121" t="str">
        <f>IF(CÁLCULO!I226="","",CÁLCULO!I226)</f>
        <v/>
      </c>
      <c r="R212" s="87"/>
      <c r="S212" s="121" t="str">
        <f t="shared" si="22"/>
        <v/>
      </c>
      <c r="T212" s="121" t="str">
        <f t="shared" si="23"/>
        <v/>
      </c>
      <c r="U212" s="89"/>
      <c r="V212" s="80" t="str">
        <f t="shared" si="20"/>
        <v/>
      </c>
      <c r="W212" s="77" t="str">
        <f>IF(K212="","",SUM($S$5:S211)*$E$11*V212)</f>
        <v/>
      </c>
      <c r="Y212" s="121" t="str">
        <f t="shared" si="24"/>
        <v/>
      </c>
    </row>
    <row r="213" spans="11:25" ht="17.100000000000001" customHeight="1" x14ac:dyDescent="0.25">
      <c r="K213" s="81" t="str">
        <f>IF(CÁLCULO!C227="","",CÁLCULO!C227)</f>
        <v/>
      </c>
      <c r="L213" s="81" t="str">
        <f t="shared" si="21"/>
        <v/>
      </c>
      <c r="M213" s="82" t="str">
        <f>IF(CÁLCULO!E227="","",CÁLCULO!E227)</f>
        <v/>
      </c>
      <c r="O213" s="81" t="str">
        <f>IF(CÁLCULO!G227="","",CÁLCULO!G227)</f>
        <v/>
      </c>
      <c r="P213" s="80" t="str">
        <f t="shared" si="25"/>
        <v/>
      </c>
      <c r="Q213" s="121" t="str">
        <f>IF(CÁLCULO!I227="","",CÁLCULO!I227)</f>
        <v/>
      </c>
      <c r="R213" s="87"/>
      <c r="S213" s="121" t="str">
        <f t="shared" si="22"/>
        <v/>
      </c>
      <c r="T213" s="121" t="str">
        <f t="shared" si="23"/>
        <v/>
      </c>
      <c r="U213" s="89"/>
      <c r="V213" s="80" t="str">
        <f t="shared" si="20"/>
        <v/>
      </c>
      <c r="W213" s="77" t="str">
        <f>IF(K213="","",SUM($S$5:S212)*$E$11*V213)</f>
        <v/>
      </c>
      <c r="Y213" s="121" t="str">
        <f t="shared" si="24"/>
        <v/>
      </c>
    </row>
    <row r="214" spans="11:25" ht="17.100000000000001" customHeight="1" x14ac:dyDescent="0.25">
      <c r="K214" s="81" t="str">
        <f>IF(CÁLCULO!C228="","",CÁLCULO!C228)</f>
        <v/>
      </c>
      <c r="L214" s="81" t="str">
        <f t="shared" si="21"/>
        <v/>
      </c>
      <c r="M214" s="82" t="str">
        <f>IF(CÁLCULO!E228="","",CÁLCULO!E228)</f>
        <v/>
      </c>
      <c r="O214" s="81" t="str">
        <f>IF(CÁLCULO!G228="","",CÁLCULO!G228)</f>
        <v/>
      </c>
      <c r="P214" s="80" t="str">
        <f t="shared" si="25"/>
        <v/>
      </c>
      <c r="Q214" s="121" t="str">
        <f>IF(CÁLCULO!I228="","",CÁLCULO!I228)</f>
        <v/>
      </c>
      <c r="R214" s="87"/>
      <c r="S214" s="121" t="str">
        <f t="shared" si="22"/>
        <v/>
      </c>
      <c r="T214" s="121" t="str">
        <f t="shared" si="23"/>
        <v/>
      </c>
      <c r="U214" s="89"/>
      <c r="V214" s="80" t="str">
        <f t="shared" si="20"/>
        <v/>
      </c>
      <c r="W214" s="77" t="str">
        <f>IF(K214="","",SUM($S$5:S213)*$E$11*V214)</f>
        <v/>
      </c>
      <c r="Y214" s="121" t="str">
        <f t="shared" si="24"/>
        <v/>
      </c>
    </row>
    <row r="215" spans="11:25" ht="17.100000000000001" customHeight="1" x14ac:dyDescent="0.25">
      <c r="K215" s="81" t="str">
        <f>IF(CÁLCULO!C229="","",CÁLCULO!C229)</f>
        <v/>
      </c>
      <c r="L215" s="81" t="str">
        <f t="shared" si="21"/>
        <v/>
      </c>
      <c r="M215" s="82" t="str">
        <f>IF(CÁLCULO!E229="","",CÁLCULO!E229)</f>
        <v/>
      </c>
      <c r="O215" s="81" t="str">
        <f>IF(CÁLCULO!G229="","",CÁLCULO!G229)</f>
        <v/>
      </c>
      <c r="P215" s="80" t="str">
        <f t="shared" si="25"/>
        <v/>
      </c>
      <c r="Q215" s="121" t="str">
        <f>IF(CÁLCULO!I229="","",CÁLCULO!I229)</f>
        <v/>
      </c>
      <c r="R215" s="87"/>
      <c r="S215" s="121" t="str">
        <f t="shared" si="22"/>
        <v/>
      </c>
      <c r="T215" s="121" t="str">
        <f t="shared" si="23"/>
        <v/>
      </c>
      <c r="U215" s="89"/>
      <c r="V215" s="80" t="str">
        <f t="shared" si="20"/>
        <v/>
      </c>
      <c r="W215" s="77" t="str">
        <f>IF(K215="","",SUM($S$5:S214)*$E$11*V215)</f>
        <v/>
      </c>
      <c r="Y215" s="121" t="str">
        <f t="shared" si="24"/>
        <v/>
      </c>
    </row>
    <row r="216" spans="11:25" ht="17.100000000000001" customHeight="1" x14ac:dyDescent="0.25">
      <c r="K216" s="81" t="str">
        <f>IF(CÁLCULO!C230="","",CÁLCULO!C230)</f>
        <v/>
      </c>
      <c r="L216" s="81" t="str">
        <f t="shared" si="21"/>
        <v/>
      </c>
      <c r="M216" s="82" t="str">
        <f>IF(CÁLCULO!E230="","",CÁLCULO!E230)</f>
        <v/>
      </c>
      <c r="O216" s="81" t="str">
        <f>IF(CÁLCULO!G230="","",CÁLCULO!G230)</f>
        <v/>
      </c>
      <c r="P216" s="80" t="str">
        <f t="shared" si="25"/>
        <v/>
      </c>
      <c r="Q216" s="121" t="str">
        <f>IF(CÁLCULO!I230="","",CÁLCULO!I230)</f>
        <v/>
      </c>
      <c r="R216" s="87"/>
      <c r="S216" s="121" t="str">
        <f t="shared" si="22"/>
        <v/>
      </c>
      <c r="T216" s="121" t="str">
        <f t="shared" si="23"/>
        <v/>
      </c>
      <c r="U216" s="89"/>
      <c r="V216" s="80" t="str">
        <f t="shared" si="20"/>
        <v/>
      </c>
      <c r="W216" s="77" t="str">
        <f>IF(K216="","",SUM($S$5:S215)*$E$11*V216)</f>
        <v/>
      </c>
      <c r="Y216" s="121" t="str">
        <f t="shared" si="24"/>
        <v/>
      </c>
    </row>
    <row r="217" spans="11:25" ht="17.100000000000001" customHeight="1" x14ac:dyDescent="0.25">
      <c r="K217" s="81" t="str">
        <f>IF(CÁLCULO!C231="","",CÁLCULO!C231)</f>
        <v/>
      </c>
      <c r="L217" s="81" t="str">
        <f t="shared" si="21"/>
        <v/>
      </c>
      <c r="M217" s="82" t="str">
        <f>IF(CÁLCULO!E231="","",CÁLCULO!E231)</f>
        <v/>
      </c>
      <c r="O217" s="81" t="str">
        <f>IF(CÁLCULO!G231="","",CÁLCULO!G231)</f>
        <v/>
      </c>
      <c r="P217" s="80" t="str">
        <f t="shared" si="25"/>
        <v/>
      </c>
      <c r="Q217" s="121" t="str">
        <f>IF(CÁLCULO!I231="","",CÁLCULO!I231)</f>
        <v/>
      </c>
      <c r="R217" s="87"/>
      <c r="S217" s="121" t="str">
        <f t="shared" si="22"/>
        <v/>
      </c>
      <c r="T217" s="121" t="str">
        <f t="shared" si="23"/>
        <v/>
      </c>
      <c r="U217" s="89"/>
      <c r="V217" s="80" t="str">
        <f t="shared" si="20"/>
        <v/>
      </c>
      <c r="W217" s="77" t="str">
        <f>IF(K217="","",SUM($S$5:S216)*$E$11*V217)</f>
        <v/>
      </c>
      <c r="Y217" s="121" t="str">
        <f t="shared" si="24"/>
        <v/>
      </c>
    </row>
    <row r="218" spans="11:25" ht="17.100000000000001" customHeight="1" x14ac:dyDescent="0.25">
      <c r="K218" s="81" t="str">
        <f>IF(CÁLCULO!C232="","",CÁLCULO!C232)</f>
        <v/>
      </c>
      <c r="L218" s="81" t="str">
        <f t="shared" si="21"/>
        <v/>
      </c>
      <c r="M218" s="82" t="str">
        <f>IF(CÁLCULO!E232="","",CÁLCULO!E232)</f>
        <v/>
      </c>
      <c r="O218" s="81" t="str">
        <f>IF(CÁLCULO!G232="","",CÁLCULO!G232)</f>
        <v/>
      </c>
      <c r="P218" s="80" t="str">
        <f t="shared" si="25"/>
        <v/>
      </c>
      <c r="Q218" s="121" t="str">
        <f>IF(CÁLCULO!I232="","",CÁLCULO!I232)</f>
        <v/>
      </c>
      <c r="R218" s="87"/>
      <c r="S218" s="121" t="str">
        <f t="shared" si="22"/>
        <v/>
      </c>
      <c r="T218" s="121" t="str">
        <f t="shared" si="23"/>
        <v/>
      </c>
      <c r="U218" s="89"/>
      <c r="V218" s="80" t="str">
        <f t="shared" si="20"/>
        <v/>
      </c>
      <c r="W218" s="77" t="str">
        <f>IF(K218="","",SUM($S$5:S217)*$E$11*V218)</f>
        <v/>
      </c>
      <c r="Y218" s="121" t="str">
        <f t="shared" si="24"/>
        <v/>
      </c>
    </row>
    <row r="219" spans="11:25" ht="17.100000000000001" customHeight="1" x14ac:dyDescent="0.25">
      <c r="K219" s="81" t="str">
        <f>IF(CÁLCULO!C233="","",CÁLCULO!C233)</f>
        <v/>
      </c>
      <c r="L219" s="81" t="str">
        <f t="shared" si="21"/>
        <v/>
      </c>
      <c r="M219" s="82" t="str">
        <f>IF(CÁLCULO!E233="","",CÁLCULO!E233)</f>
        <v/>
      </c>
      <c r="O219" s="81" t="str">
        <f>IF(CÁLCULO!G233="","",CÁLCULO!G233)</f>
        <v/>
      </c>
      <c r="P219" s="80" t="str">
        <f t="shared" si="25"/>
        <v/>
      </c>
      <c r="Q219" s="121" t="str">
        <f>IF(CÁLCULO!I233="","",CÁLCULO!I233)</f>
        <v/>
      </c>
      <c r="R219" s="87"/>
      <c r="S219" s="121" t="str">
        <f t="shared" si="22"/>
        <v/>
      </c>
      <c r="T219" s="121" t="str">
        <f t="shared" si="23"/>
        <v/>
      </c>
      <c r="U219" s="89"/>
      <c r="V219" s="80" t="str">
        <f t="shared" si="20"/>
        <v/>
      </c>
      <c r="W219" s="77" t="str">
        <f>IF(K219="","",SUM($S$5:S218)*$E$11*V219)</f>
        <v/>
      </c>
      <c r="Y219" s="121" t="str">
        <f t="shared" si="24"/>
        <v/>
      </c>
    </row>
    <row r="220" spans="11:25" ht="17.100000000000001" customHeight="1" x14ac:dyDescent="0.25">
      <c r="K220" s="81" t="str">
        <f>IF(CÁLCULO!C234="","",CÁLCULO!C234)</f>
        <v/>
      </c>
      <c r="L220" s="81" t="str">
        <f t="shared" si="21"/>
        <v/>
      </c>
      <c r="M220" s="82" t="str">
        <f>IF(CÁLCULO!E234="","",CÁLCULO!E234)</f>
        <v/>
      </c>
      <c r="O220" s="81" t="str">
        <f>IF(CÁLCULO!G234="","",CÁLCULO!G234)</f>
        <v/>
      </c>
      <c r="P220" s="80" t="str">
        <f t="shared" si="25"/>
        <v/>
      </c>
      <c r="Q220" s="121" t="str">
        <f>IF(CÁLCULO!I234="","",CÁLCULO!I234)</f>
        <v/>
      </c>
      <c r="R220" s="87"/>
      <c r="S220" s="121" t="str">
        <f t="shared" si="22"/>
        <v/>
      </c>
      <c r="T220" s="121" t="str">
        <f t="shared" si="23"/>
        <v/>
      </c>
      <c r="U220" s="89"/>
      <c r="V220" s="80" t="str">
        <f t="shared" si="20"/>
        <v/>
      </c>
      <c r="W220" s="77" t="str">
        <f>IF(K220="","",SUM($S$5:S219)*$E$11*V220)</f>
        <v/>
      </c>
      <c r="Y220" s="121" t="str">
        <f t="shared" si="24"/>
        <v/>
      </c>
    </row>
    <row r="221" spans="11:25" ht="17.100000000000001" customHeight="1" x14ac:dyDescent="0.25">
      <c r="K221" s="81" t="str">
        <f>IF(CÁLCULO!C235="","",CÁLCULO!C235)</f>
        <v/>
      </c>
      <c r="L221" s="81" t="str">
        <f t="shared" si="21"/>
        <v/>
      </c>
      <c r="M221" s="82" t="str">
        <f>IF(CÁLCULO!E235="","",CÁLCULO!E235)</f>
        <v/>
      </c>
      <c r="O221" s="81" t="str">
        <f>IF(CÁLCULO!G235="","",CÁLCULO!G235)</f>
        <v/>
      </c>
      <c r="P221" s="80" t="str">
        <f t="shared" si="25"/>
        <v/>
      </c>
      <c r="Q221" s="121" t="str">
        <f>IF(CÁLCULO!I235="","",CÁLCULO!I235)</f>
        <v/>
      </c>
      <c r="R221" s="87"/>
      <c r="S221" s="121" t="str">
        <f t="shared" si="22"/>
        <v/>
      </c>
      <c r="T221" s="121" t="str">
        <f t="shared" si="23"/>
        <v/>
      </c>
      <c r="U221" s="89"/>
      <c r="V221" s="80" t="str">
        <f t="shared" si="20"/>
        <v/>
      </c>
      <c r="W221" s="77" t="str">
        <f>IF(K221="","",SUM($S$5:S220)*$E$11*V221)</f>
        <v/>
      </c>
      <c r="Y221" s="121" t="str">
        <f t="shared" si="24"/>
        <v/>
      </c>
    </row>
    <row r="222" spans="11:25" ht="17.100000000000001" customHeight="1" x14ac:dyDescent="0.25">
      <c r="K222" s="81" t="str">
        <f>IF(CÁLCULO!C236="","",CÁLCULO!C236)</f>
        <v/>
      </c>
      <c r="L222" s="81" t="str">
        <f t="shared" si="21"/>
        <v/>
      </c>
      <c r="M222" s="82" t="str">
        <f>IF(CÁLCULO!E236="","",CÁLCULO!E236)</f>
        <v/>
      </c>
      <c r="O222" s="81" t="str">
        <f>IF(CÁLCULO!G236="","",CÁLCULO!G236)</f>
        <v/>
      </c>
      <c r="P222" s="80" t="str">
        <f t="shared" si="25"/>
        <v/>
      </c>
      <c r="Q222" s="121" t="str">
        <f>IF(CÁLCULO!I236="","",CÁLCULO!I236)</f>
        <v/>
      </c>
      <c r="R222" s="87"/>
      <c r="S222" s="121" t="str">
        <f t="shared" si="22"/>
        <v/>
      </c>
      <c r="T222" s="121" t="str">
        <f t="shared" si="23"/>
        <v/>
      </c>
      <c r="U222" s="89"/>
      <c r="V222" s="80" t="str">
        <f t="shared" si="20"/>
        <v/>
      </c>
      <c r="W222" s="77" t="str">
        <f>IF(K222="","",SUM($S$5:S221)*$E$11*V222)</f>
        <v/>
      </c>
      <c r="Y222" s="121" t="str">
        <f t="shared" si="24"/>
        <v/>
      </c>
    </row>
    <row r="223" spans="11:25" ht="17.100000000000001" customHeight="1" x14ac:dyDescent="0.25">
      <c r="K223" s="81" t="str">
        <f>IF(CÁLCULO!C237="","",CÁLCULO!C237)</f>
        <v/>
      </c>
      <c r="L223" s="81" t="str">
        <f t="shared" si="21"/>
        <v/>
      </c>
      <c r="M223" s="82" t="str">
        <f>IF(CÁLCULO!E237="","",CÁLCULO!E237)</f>
        <v/>
      </c>
      <c r="O223" s="81" t="str">
        <f>IF(CÁLCULO!G237="","",CÁLCULO!G237)</f>
        <v/>
      </c>
      <c r="P223" s="80" t="str">
        <f t="shared" si="25"/>
        <v/>
      </c>
      <c r="Q223" s="121" t="str">
        <f>IF(CÁLCULO!I237="","",CÁLCULO!I237)</f>
        <v/>
      </c>
      <c r="R223" s="87"/>
      <c r="S223" s="121" t="str">
        <f t="shared" si="22"/>
        <v/>
      </c>
      <c r="T223" s="121" t="str">
        <f t="shared" si="23"/>
        <v/>
      </c>
      <c r="U223" s="89"/>
      <c r="V223" s="80" t="str">
        <f t="shared" si="20"/>
        <v/>
      </c>
      <c r="W223" s="77" t="str">
        <f>IF(K223="","",SUM($S$5:S222)*$E$11*V223)</f>
        <v/>
      </c>
      <c r="Y223" s="121" t="str">
        <f t="shared" si="24"/>
        <v/>
      </c>
    </row>
    <row r="224" spans="11:25" ht="17.100000000000001" customHeight="1" x14ac:dyDescent="0.25">
      <c r="K224" s="81" t="str">
        <f>IF(CÁLCULO!C238="","",CÁLCULO!C238)</f>
        <v/>
      </c>
      <c r="L224" s="81" t="str">
        <f t="shared" si="21"/>
        <v/>
      </c>
      <c r="M224" s="82" t="str">
        <f>IF(CÁLCULO!E238="","",CÁLCULO!E238)</f>
        <v/>
      </c>
      <c r="O224" s="81" t="str">
        <f>IF(CÁLCULO!G238="","",CÁLCULO!G238)</f>
        <v/>
      </c>
      <c r="P224" s="80" t="str">
        <f t="shared" si="25"/>
        <v/>
      </c>
      <c r="Q224" s="121" t="str">
        <f>IF(CÁLCULO!I238="","",CÁLCULO!I238)</f>
        <v/>
      </c>
      <c r="R224" s="87"/>
      <c r="S224" s="121" t="str">
        <f t="shared" si="22"/>
        <v/>
      </c>
      <c r="T224" s="121" t="str">
        <f t="shared" si="23"/>
        <v/>
      </c>
      <c r="U224" s="89"/>
      <c r="V224" s="80" t="str">
        <f t="shared" si="20"/>
        <v/>
      </c>
      <c r="W224" s="77" t="str">
        <f>IF(K224="","",SUM($S$5:S223)*$E$11*V224)</f>
        <v/>
      </c>
      <c r="Y224" s="121" t="str">
        <f t="shared" si="24"/>
        <v/>
      </c>
    </row>
    <row r="225" spans="11:25" ht="17.100000000000001" customHeight="1" x14ac:dyDescent="0.25">
      <c r="K225" s="81" t="str">
        <f>IF(CÁLCULO!C239="","",CÁLCULO!C239)</f>
        <v/>
      </c>
      <c r="L225" s="81" t="str">
        <f t="shared" si="21"/>
        <v/>
      </c>
      <c r="M225" s="82" t="str">
        <f>IF(CÁLCULO!E239="","",CÁLCULO!E239)</f>
        <v/>
      </c>
      <c r="O225" s="81" t="str">
        <f>IF(CÁLCULO!G239="","",CÁLCULO!G239)</f>
        <v/>
      </c>
      <c r="P225" s="80" t="str">
        <f t="shared" si="25"/>
        <v/>
      </c>
      <c r="Q225" s="121" t="str">
        <f>IF(CÁLCULO!I239="","",CÁLCULO!I239)</f>
        <v/>
      </c>
      <c r="R225" s="87"/>
      <c r="S225" s="121" t="str">
        <f t="shared" si="22"/>
        <v/>
      </c>
      <c r="T225" s="121" t="str">
        <f t="shared" si="23"/>
        <v/>
      </c>
      <c r="U225" s="89"/>
      <c r="V225" s="80" t="str">
        <f t="shared" si="20"/>
        <v/>
      </c>
      <c r="W225" s="77" t="str">
        <f>IF(K225="","",SUM($S$5:S224)*$E$11*V225)</f>
        <v/>
      </c>
      <c r="Y225" s="121" t="str">
        <f t="shared" si="24"/>
        <v/>
      </c>
    </row>
    <row r="226" spans="11:25" ht="17.100000000000001" customHeight="1" x14ac:dyDescent="0.25">
      <c r="K226" s="81" t="str">
        <f>IF(CÁLCULO!C240="","",CÁLCULO!C240)</f>
        <v/>
      </c>
      <c r="L226" s="81" t="str">
        <f t="shared" si="21"/>
        <v/>
      </c>
      <c r="M226" s="82" t="str">
        <f>IF(CÁLCULO!E240="","",CÁLCULO!E240)</f>
        <v/>
      </c>
      <c r="O226" s="81" t="str">
        <f>IF(CÁLCULO!G240="","",CÁLCULO!G240)</f>
        <v/>
      </c>
      <c r="P226" s="80" t="str">
        <f t="shared" si="25"/>
        <v/>
      </c>
      <c r="Q226" s="121" t="str">
        <f>IF(CÁLCULO!I240="","",CÁLCULO!I240)</f>
        <v/>
      </c>
      <c r="R226" s="87"/>
      <c r="S226" s="121" t="str">
        <f t="shared" si="22"/>
        <v/>
      </c>
      <c r="T226" s="121" t="str">
        <f t="shared" si="23"/>
        <v/>
      </c>
      <c r="U226" s="89"/>
      <c r="V226" s="80" t="str">
        <f t="shared" si="20"/>
        <v/>
      </c>
      <c r="W226" s="77" t="str">
        <f>IF(K226="","",SUM($S$5:S225)*$E$11*V226)</f>
        <v/>
      </c>
      <c r="Y226" s="121" t="str">
        <f t="shared" si="24"/>
        <v/>
      </c>
    </row>
    <row r="227" spans="11:25" ht="17.100000000000001" customHeight="1" x14ac:dyDescent="0.25">
      <c r="K227" s="81" t="str">
        <f>IF(CÁLCULO!C241="","",CÁLCULO!C241)</f>
        <v/>
      </c>
      <c r="L227" s="81" t="str">
        <f t="shared" si="21"/>
        <v/>
      </c>
      <c r="M227" s="82" t="str">
        <f>IF(CÁLCULO!E241="","",CÁLCULO!E241)</f>
        <v/>
      </c>
      <c r="O227" s="81" t="str">
        <f>IF(CÁLCULO!G241="","",CÁLCULO!G241)</f>
        <v/>
      </c>
      <c r="P227" s="80" t="str">
        <f t="shared" si="25"/>
        <v/>
      </c>
      <c r="Q227" s="121" t="str">
        <f>IF(CÁLCULO!I241="","",CÁLCULO!I241)</f>
        <v/>
      </c>
      <c r="R227" s="87"/>
      <c r="S227" s="121" t="str">
        <f t="shared" si="22"/>
        <v/>
      </c>
      <c r="T227" s="121" t="str">
        <f t="shared" si="23"/>
        <v/>
      </c>
      <c r="U227" s="89"/>
      <c r="V227" s="80" t="str">
        <f t="shared" si="20"/>
        <v/>
      </c>
      <c r="W227" s="77" t="str">
        <f>IF(K227="","",SUM($S$5:S226)*$E$11*V227)</f>
        <v/>
      </c>
      <c r="Y227" s="121" t="str">
        <f t="shared" si="24"/>
        <v/>
      </c>
    </row>
    <row r="228" spans="11:25" ht="17.100000000000001" customHeight="1" x14ac:dyDescent="0.25">
      <c r="K228" s="81" t="str">
        <f>IF(CÁLCULO!C242="","",CÁLCULO!C242)</f>
        <v/>
      </c>
      <c r="L228" s="81" t="str">
        <f t="shared" si="21"/>
        <v/>
      </c>
      <c r="M228" s="82" t="str">
        <f>IF(CÁLCULO!E242="","",CÁLCULO!E242)</f>
        <v/>
      </c>
      <c r="O228" s="81" t="str">
        <f>IF(CÁLCULO!G242="","",CÁLCULO!G242)</f>
        <v/>
      </c>
      <c r="P228" s="80" t="str">
        <f t="shared" si="25"/>
        <v/>
      </c>
      <c r="Q228" s="121" t="str">
        <f>IF(CÁLCULO!I242="","",CÁLCULO!I242)</f>
        <v/>
      </c>
      <c r="R228" s="87"/>
      <c r="S228" s="121" t="str">
        <f t="shared" si="22"/>
        <v/>
      </c>
      <c r="T228" s="121" t="str">
        <f t="shared" si="23"/>
        <v/>
      </c>
      <c r="U228" s="89"/>
      <c r="V228" s="80" t="str">
        <f t="shared" si="20"/>
        <v/>
      </c>
      <c r="W228" s="77" t="str">
        <f>IF(K228="","",SUM($S$5:S227)*$E$11*V228)</f>
        <v/>
      </c>
      <c r="Y228" s="121" t="str">
        <f t="shared" si="24"/>
        <v/>
      </c>
    </row>
    <row r="229" spans="11:25" ht="17.100000000000001" customHeight="1" x14ac:dyDescent="0.25">
      <c r="K229" s="81" t="str">
        <f>IF(CÁLCULO!C243="","",CÁLCULO!C243)</f>
        <v/>
      </c>
      <c r="L229" s="81" t="str">
        <f t="shared" si="21"/>
        <v/>
      </c>
      <c r="M229" s="82" t="str">
        <f>IF(CÁLCULO!E243="","",CÁLCULO!E243)</f>
        <v/>
      </c>
      <c r="O229" s="81" t="str">
        <f>IF(CÁLCULO!G243="","",CÁLCULO!G243)</f>
        <v/>
      </c>
      <c r="P229" s="80" t="str">
        <f t="shared" si="25"/>
        <v/>
      </c>
      <c r="Q229" s="121" t="str">
        <f>IF(CÁLCULO!I243="","",CÁLCULO!I243)</f>
        <v/>
      </c>
      <c r="R229" s="87"/>
      <c r="S229" s="121" t="str">
        <f t="shared" si="22"/>
        <v/>
      </c>
      <c r="T229" s="121" t="str">
        <f t="shared" si="23"/>
        <v/>
      </c>
      <c r="U229" s="89"/>
      <c r="V229" s="80" t="str">
        <f t="shared" si="20"/>
        <v/>
      </c>
      <c r="W229" s="77" t="str">
        <f>IF(K229="","",SUM($S$5:S228)*$E$11*V229)</f>
        <v/>
      </c>
      <c r="Y229" s="121" t="str">
        <f t="shared" si="24"/>
        <v/>
      </c>
    </row>
    <row r="230" spans="11:25" ht="17.100000000000001" customHeight="1" x14ac:dyDescent="0.25">
      <c r="K230" s="81" t="str">
        <f>IF(CÁLCULO!C244="","",CÁLCULO!C244)</f>
        <v/>
      </c>
      <c r="L230" s="81" t="str">
        <f t="shared" si="21"/>
        <v/>
      </c>
      <c r="M230" s="82" t="str">
        <f>IF(CÁLCULO!E244="","",CÁLCULO!E244)</f>
        <v/>
      </c>
      <c r="O230" s="81" t="str">
        <f>IF(CÁLCULO!G244="","",CÁLCULO!G244)</f>
        <v/>
      </c>
      <c r="P230" s="80" t="str">
        <f t="shared" si="25"/>
        <v/>
      </c>
      <c r="Q230" s="121" t="str">
        <f>IF(CÁLCULO!I244="","",CÁLCULO!I244)</f>
        <v/>
      </c>
      <c r="R230" s="87"/>
      <c r="S230" s="121" t="str">
        <f t="shared" si="22"/>
        <v/>
      </c>
      <c r="T230" s="121" t="str">
        <f t="shared" si="23"/>
        <v/>
      </c>
      <c r="U230" s="89"/>
      <c r="V230" s="80" t="str">
        <f t="shared" si="20"/>
        <v/>
      </c>
      <c r="W230" s="77" t="str">
        <f>IF(K230="","",SUM($S$5:S229)*$E$11*V230)</f>
        <v/>
      </c>
      <c r="Y230" s="121" t="str">
        <f t="shared" si="24"/>
        <v/>
      </c>
    </row>
    <row r="231" spans="11:25" ht="17.100000000000001" customHeight="1" x14ac:dyDescent="0.25">
      <c r="K231" s="81" t="str">
        <f>IF(CÁLCULO!C245="","",CÁLCULO!C245)</f>
        <v/>
      </c>
      <c r="L231" s="81" t="str">
        <f t="shared" si="21"/>
        <v/>
      </c>
      <c r="M231" s="82" t="str">
        <f>IF(CÁLCULO!E245="","",CÁLCULO!E245)</f>
        <v/>
      </c>
      <c r="O231" s="81" t="str">
        <f>IF(CÁLCULO!G245="","",CÁLCULO!G245)</f>
        <v/>
      </c>
      <c r="P231" s="80" t="str">
        <f t="shared" si="25"/>
        <v/>
      </c>
      <c r="Q231" s="121" t="str">
        <f>IF(CÁLCULO!I245="","",CÁLCULO!I245)</f>
        <v/>
      </c>
      <c r="R231" s="87"/>
      <c r="S231" s="121" t="str">
        <f t="shared" si="22"/>
        <v/>
      </c>
      <c r="T231" s="121" t="str">
        <f t="shared" si="23"/>
        <v/>
      </c>
      <c r="U231" s="89"/>
      <c r="V231" s="80" t="str">
        <f t="shared" si="20"/>
        <v/>
      </c>
      <c r="W231" s="77" t="str">
        <f>IF(K231="","",SUM($S$5:S230)*$E$11*V231)</f>
        <v/>
      </c>
      <c r="Y231" s="121" t="str">
        <f t="shared" si="24"/>
        <v/>
      </c>
    </row>
    <row r="232" spans="11:25" ht="17.100000000000001" customHeight="1" x14ac:dyDescent="0.25">
      <c r="K232" s="81" t="str">
        <f>IF(CÁLCULO!C246="","",CÁLCULO!C246)</f>
        <v/>
      </c>
      <c r="L232" s="81" t="str">
        <f t="shared" si="21"/>
        <v/>
      </c>
      <c r="M232" s="82" t="str">
        <f>IF(CÁLCULO!E246="","",CÁLCULO!E246)</f>
        <v/>
      </c>
      <c r="O232" s="81" t="str">
        <f>IF(CÁLCULO!G246="","",CÁLCULO!G246)</f>
        <v/>
      </c>
      <c r="P232" s="80" t="str">
        <f t="shared" si="25"/>
        <v/>
      </c>
      <c r="Q232" s="121" t="str">
        <f>IF(CÁLCULO!I246="","",CÁLCULO!I246)</f>
        <v/>
      </c>
      <c r="R232" s="87"/>
      <c r="S232" s="121" t="str">
        <f t="shared" si="22"/>
        <v/>
      </c>
      <c r="T232" s="121" t="str">
        <f t="shared" si="23"/>
        <v/>
      </c>
      <c r="U232" s="89"/>
      <c r="V232" s="80" t="str">
        <f t="shared" si="20"/>
        <v/>
      </c>
      <c r="W232" s="77" t="str">
        <f>IF(K232="","",SUM($S$5:S231)*$E$11*V232)</f>
        <v/>
      </c>
      <c r="Y232" s="121" t="str">
        <f t="shared" si="24"/>
        <v/>
      </c>
    </row>
    <row r="233" spans="11:25" ht="17.100000000000001" customHeight="1" x14ac:dyDescent="0.25">
      <c r="K233" s="81" t="str">
        <f>IF(CÁLCULO!C247="","",CÁLCULO!C247)</f>
        <v/>
      </c>
      <c r="L233" s="81" t="str">
        <f t="shared" si="21"/>
        <v/>
      </c>
      <c r="M233" s="82" t="str">
        <f>IF(CÁLCULO!E247="","",CÁLCULO!E247)</f>
        <v/>
      </c>
      <c r="O233" s="81" t="str">
        <f>IF(CÁLCULO!G247="","",CÁLCULO!G247)</f>
        <v/>
      </c>
      <c r="P233" s="80" t="str">
        <f t="shared" si="25"/>
        <v/>
      </c>
      <c r="Q233" s="121" t="str">
        <f>IF(CÁLCULO!I247="","",CÁLCULO!I247)</f>
        <v/>
      </c>
      <c r="R233" s="87"/>
      <c r="S233" s="121" t="str">
        <f t="shared" si="22"/>
        <v/>
      </c>
      <c r="T233" s="121" t="str">
        <f t="shared" si="23"/>
        <v/>
      </c>
      <c r="U233" s="89"/>
      <c r="V233" s="80" t="str">
        <f t="shared" si="20"/>
        <v/>
      </c>
      <c r="W233" s="77" t="str">
        <f>IF(K233="","",SUM($S$5:S232)*$E$11*V233)</f>
        <v/>
      </c>
      <c r="Y233" s="121" t="str">
        <f t="shared" si="24"/>
        <v/>
      </c>
    </row>
    <row r="234" spans="11:25" ht="17.100000000000001" customHeight="1" x14ac:dyDescent="0.25">
      <c r="K234" s="81" t="str">
        <f>IF(CÁLCULO!C248="","",CÁLCULO!C248)</f>
        <v/>
      </c>
      <c r="L234" s="81" t="str">
        <f t="shared" si="21"/>
        <v/>
      </c>
      <c r="M234" s="82" t="str">
        <f>IF(CÁLCULO!E248="","",CÁLCULO!E248)</f>
        <v/>
      </c>
      <c r="O234" s="81" t="str">
        <f>IF(CÁLCULO!G248="","",CÁLCULO!G248)</f>
        <v/>
      </c>
      <c r="P234" s="80" t="str">
        <f t="shared" si="25"/>
        <v/>
      </c>
      <c r="Q234" s="121" t="str">
        <f>IF(CÁLCULO!I248="","",CÁLCULO!I248)</f>
        <v/>
      </c>
      <c r="R234" s="87"/>
      <c r="S234" s="121" t="str">
        <f t="shared" si="22"/>
        <v/>
      </c>
      <c r="T234" s="121" t="str">
        <f t="shared" si="23"/>
        <v/>
      </c>
      <c r="U234" s="89"/>
      <c r="V234" s="80" t="str">
        <f t="shared" si="20"/>
        <v/>
      </c>
      <c r="W234" s="77" t="str">
        <f>IF(K234="","",SUM($S$5:S233)*$E$11*V234)</f>
        <v/>
      </c>
      <c r="Y234" s="121" t="str">
        <f t="shared" si="24"/>
        <v/>
      </c>
    </row>
    <row r="235" spans="11:25" ht="17.100000000000001" customHeight="1" x14ac:dyDescent="0.25">
      <c r="K235" s="81" t="str">
        <f>IF(CÁLCULO!C249="","",CÁLCULO!C249)</f>
        <v/>
      </c>
      <c r="L235" s="81" t="str">
        <f t="shared" si="21"/>
        <v/>
      </c>
      <c r="M235" s="82" t="str">
        <f>IF(CÁLCULO!E249="","",CÁLCULO!E249)</f>
        <v/>
      </c>
      <c r="O235" s="81" t="str">
        <f>IF(CÁLCULO!G249="","",CÁLCULO!G249)</f>
        <v/>
      </c>
      <c r="P235" s="80" t="str">
        <f t="shared" si="25"/>
        <v/>
      </c>
      <c r="Q235" s="121" t="str">
        <f>IF(CÁLCULO!I249="","",CÁLCULO!I249)</f>
        <v/>
      </c>
      <c r="R235" s="87"/>
      <c r="S235" s="121" t="str">
        <f t="shared" si="22"/>
        <v/>
      </c>
      <c r="T235" s="121" t="str">
        <f t="shared" si="23"/>
        <v/>
      </c>
      <c r="U235" s="89"/>
      <c r="V235" s="80" t="str">
        <f t="shared" si="20"/>
        <v/>
      </c>
      <c r="W235" s="77" t="str">
        <f>IF(K235="","",SUM($S$5:S234)*$E$11*V235)</f>
        <v/>
      </c>
      <c r="Y235" s="121" t="str">
        <f t="shared" si="24"/>
        <v/>
      </c>
    </row>
    <row r="236" spans="11:25" ht="17.100000000000001" customHeight="1" x14ac:dyDescent="0.25">
      <c r="K236" s="81" t="str">
        <f>IF(CÁLCULO!C250="","",CÁLCULO!C250)</f>
        <v/>
      </c>
      <c r="L236" s="81" t="str">
        <f t="shared" si="21"/>
        <v/>
      </c>
      <c r="M236" s="82" t="str">
        <f>IF(CÁLCULO!E250="","",CÁLCULO!E250)</f>
        <v/>
      </c>
      <c r="O236" s="81" t="str">
        <f>IF(CÁLCULO!G250="","",CÁLCULO!G250)</f>
        <v/>
      </c>
      <c r="P236" s="80" t="str">
        <f t="shared" si="25"/>
        <v/>
      </c>
      <c r="Q236" s="121" t="str">
        <f>IF(CÁLCULO!I250="","",CÁLCULO!I250)</f>
        <v/>
      </c>
      <c r="R236" s="87"/>
      <c r="S236" s="121" t="str">
        <f t="shared" si="22"/>
        <v/>
      </c>
      <c r="T236" s="121" t="str">
        <f t="shared" si="23"/>
        <v/>
      </c>
      <c r="U236" s="89"/>
      <c r="V236" s="80" t="str">
        <f t="shared" si="20"/>
        <v/>
      </c>
      <c r="W236" s="77" t="str">
        <f>IF(K236="","",SUM($S$5:S235)*$E$11*V236)</f>
        <v/>
      </c>
      <c r="Y236" s="121" t="str">
        <f t="shared" si="24"/>
        <v/>
      </c>
    </row>
    <row r="237" spans="11:25" ht="17.100000000000001" customHeight="1" x14ac:dyDescent="0.25">
      <c r="K237" s="81" t="str">
        <f>IF(CÁLCULO!C251="","",CÁLCULO!C251)</f>
        <v/>
      </c>
      <c r="L237" s="81" t="str">
        <f t="shared" si="21"/>
        <v/>
      </c>
      <c r="M237" s="82" t="str">
        <f>IF(CÁLCULO!E251="","",CÁLCULO!E251)</f>
        <v/>
      </c>
      <c r="O237" s="81" t="str">
        <f>IF(CÁLCULO!G251="","",CÁLCULO!G251)</f>
        <v/>
      </c>
      <c r="P237" s="80" t="str">
        <f t="shared" si="25"/>
        <v/>
      </c>
      <c r="Q237" s="121" t="str">
        <f>IF(CÁLCULO!I251="","",CÁLCULO!I251)</f>
        <v/>
      </c>
      <c r="R237" s="87"/>
      <c r="S237" s="121" t="str">
        <f t="shared" si="22"/>
        <v/>
      </c>
      <c r="T237" s="121" t="str">
        <f t="shared" si="23"/>
        <v/>
      </c>
      <c r="U237" s="89"/>
      <c r="V237" s="80" t="str">
        <f t="shared" si="20"/>
        <v/>
      </c>
      <c r="W237" s="77" t="str">
        <f>IF(K237="","",SUM($S$5:S236)*$E$11*V237)</f>
        <v/>
      </c>
      <c r="Y237" s="121" t="str">
        <f t="shared" si="24"/>
        <v/>
      </c>
    </row>
    <row r="238" spans="11:25" ht="17.100000000000001" customHeight="1" x14ac:dyDescent="0.25">
      <c r="K238" s="81" t="str">
        <f>IF(CÁLCULO!C252="","",CÁLCULO!C252)</f>
        <v/>
      </c>
      <c r="L238" s="81" t="str">
        <f t="shared" si="21"/>
        <v/>
      </c>
      <c r="M238" s="82" t="str">
        <f>IF(CÁLCULO!E252="","",CÁLCULO!E252)</f>
        <v/>
      </c>
      <c r="O238" s="81" t="str">
        <f>IF(CÁLCULO!G252="","",CÁLCULO!G252)</f>
        <v/>
      </c>
      <c r="P238" s="80" t="str">
        <f t="shared" si="25"/>
        <v/>
      </c>
      <c r="Q238" s="121" t="str">
        <f>IF(CÁLCULO!I252="","",CÁLCULO!I252)</f>
        <v/>
      </c>
      <c r="R238" s="87"/>
      <c r="S238" s="121" t="str">
        <f t="shared" si="22"/>
        <v/>
      </c>
      <c r="T238" s="121" t="str">
        <f t="shared" si="23"/>
        <v/>
      </c>
      <c r="U238" s="89"/>
      <c r="V238" s="80" t="str">
        <f t="shared" si="20"/>
        <v/>
      </c>
      <c r="W238" s="77" t="str">
        <f>IF(K238="","",SUM($S$5:S237)*$E$11*V238)</f>
        <v/>
      </c>
      <c r="Y238" s="121" t="str">
        <f t="shared" si="24"/>
        <v/>
      </c>
    </row>
    <row r="239" spans="11:25" ht="17.100000000000001" customHeight="1" x14ac:dyDescent="0.25">
      <c r="K239" s="81" t="str">
        <f>IF(CÁLCULO!C253="","",CÁLCULO!C253)</f>
        <v/>
      </c>
      <c r="L239" s="81" t="str">
        <f t="shared" si="21"/>
        <v/>
      </c>
      <c r="M239" s="82" t="str">
        <f>IF(CÁLCULO!E253="","",CÁLCULO!E253)</f>
        <v/>
      </c>
      <c r="O239" s="81" t="str">
        <f>IF(CÁLCULO!G253="","",CÁLCULO!G253)</f>
        <v/>
      </c>
      <c r="P239" s="80" t="str">
        <f t="shared" si="25"/>
        <v/>
      </c>
      <c r="Q239" s="121" t="str">
        <f>IF(CÁLCULO!I253="","",CÁLCULO!I253)</f>
        <v/>
      </c>
      <c r="R239" s="87"/>
      <c r="S239" s="121" t="str">
        <f t="shared" si="22"/>
        <v/>
      </c>
      <c r="T239" s="121" t="str">
        <f t="shared" si="23"/>
        <v/>
      </c>
      <c r="U239" s="89"/>
      <c r="V239" s="80" t="str">
        <f t="shared" si="20"/>
        <v/>
      </c>
      <c r="W239" s="77" t="str">
        <f>IF(K239="","",SUM($S$5:S238)*$E$11*V239)</f>
        <v/>
      </c>
      <c r="Y239" s="121" t="str">
        <f t="shared" si="24"/>
        <v/>
      </c>
    </row>
    <row r="240" spans="11:25" ht="17.100000000000001" customHeight="1" x14ac:dyDescent="0.25">
      <c r="K240" s="81" t="str">
        <f>IF(CÁLCULO!C254="","",CÁLCULO!C254)</f>
        <v/>
      </c>
      <c r="L240" s="81" t="str">
        <f t="shared" si="21"/>
        <v/>
      </c>
      <c r="M240" s="82" t="str">
        <f>IF(CÁLCULO!E254="","",CÁLCULO!E254)</f>
        <v/>
      </c>
      <c r="O240" s="81" t="str">
        <f>IF(CÁLCULO!G254="","",CÁLCULO!G254)</f>
        <v/>
      </c>
      <c r="P240" s="80" t="str">
        <f t="shared" si="25"/>
        <v/>
      </c>
      <c r="Q240" s="121" t="str">
        <f>IF(CÁLCULO!I254="","",CÁLCULO!I254)</f>
        <v/>
      </c>
      <c r="R240" s="87"/>
      <c r="S240" s="121" t="str">
        <f t="shared" si="22"/>
        <v/>
      </c>
      <c r="T240" s="121" t="str">
        <f t="shared" si="23"/>
        <v/>
      </c>
      <c r="U240" s="89"/>
      <c r="V240" s="80" t="str">
        <f t="shared" si="20"/>
        <v/>
      </c>
      <c r="W240" s="77" t="str">
        <f>IF(K240="","",SUM($S$5:S239)*$E$11*V240)</f>
        <v/>
      </c>
      <c r="Y240" s="121" t="str">
        <f t="shared" si="24"/>
        <v/>
      </c>
    </row>
    <row r="241" spans="11:25" ht="17.100000000000001" customHeight="1" x14ac:dyDescent="0.25">
      <c r="K241" s="81" t="str">
        <f>IF(CÁLCULO!C255="","",CÁLCULO!C255)</f>
        <v/>
      </c>
      <c r="L241" s="81" t="str">
        <f t="shared" si="21"/>
        <v/>
      </c>
      <c r="M241" s="82" t="str">
        <f>IF(CÁLCULO!E255="","",CÁLCULO!E255)</f>
        <v/>
      </c>
      <c r="O241" s="81" t="str">
        <f>IF(CÁLCULO!G255="","",CÁLCULO!G255)</f>
        <v/>
      </c>
      <c r="P241" s="80" t="str">
        <f t="shared" si="25"/>
        <v/>
      </c>
      <c r="Q241" s="121" t="str">
        <f>IF(CÁLCULO!I255="","",CÁLCULO!I255)</f>
        <v/>
      </c>
      <c r="R241" s="87"/>
      <c r="S241" s="121" t="str">
        <f t="shared" si="22"/>
        <v/>
      </c>
      <c r="T241" s="121" t="str">
        <f t="shared" si="23"/>
        <v/>
      </c>
      <c r="U241" s="89"/>
      <c r="V241" s="80" t="str">
        <f t="shared" si="20"/>
        <v/>
      </c>
      <c r="W241" s="77" t="str">
        <f>IF(K241="","",SUM($S$5:S240)*$E$11*V241)</f>
        <v/>
      </c>
      <c r="Y241" s="121" t="str">
        <f t="shared" si="24"/>
        <v/>
      </c>
    </row>
    <row r="242" spans="11:25" ht="17.100000000000001" customHeight="1" x14ac:dyDescent="0.25">
      <c r="K242" s="81" t="str">
        <f>IF(CÁLCULO!C256="","",CÁLCULO!C256)</f>
        <v/>
      </c>
      <c r="L242" s="81" t="str">
        <f t="shared" si="21"/>
        <v/>
      </c>
      <c r="M242" s="82" t="str">
        <f>IF(CÁLCULO!E256="","",CÁLCULO!E256)</f>
        <v/>
      </c>
      <c r="O242" s="81" t="str">
        <f>IF(CÁLCULO!G256="","",CÁLCULO!G256)</f>
        <v/>
      </c>
      <c r="P242" s="80" t="str">
        <f t="shared" si="25"/>
        <v/>
      </c>
      <c r="Q242" s="121" t="str">
        <f>IF(CÁLCULO!I256="","",CÁLCULO!I256)</f>
        <v/>
      </c>
      <c r="R242" s="87"/>
      <c r="S242" s="121" t="str">
        <f t="shared" si="22"/>
        <v/>
      </c>
      <c r="T242" s="121" t="str">
        <f t="shared" si="23"/>
        <v/>
      </c>
      <c r="U242" s="89"/>
      <c r="V242" s="80" t="str">
        <f t="shared" si="20"/>
        <v/>
      </c>
      <c r="W242" s="77" t="str">
        <f>IF(K242="","",SUM($S$5:S241)*$E$11*V242)</f>
        <v/>
      </c>
      <c r="Y242" s="121" t="str">
        <f t="shared" si="24"/>
        <v/>
      </c>
    </row>
    <row r="243" spans="11:25" ht="17.100000000000001" customHeight="1" x14ac:dyDescent="0.25">
      <c r="K243" s="81" t="str">
        <f>IF(CÁLCULO!C257="","",CÁLCULO!C257)</f>
        <v/>
      </c>
      <c r="L243" s="81" t="str">
        <f t="shared" si="21"/>
        <v/>
      </c>
      <c r="M243" s="82" t="str">
        <f>IF(CÁLCULO!E257="","",CÁLCULO!E257)</f>
        <v/>
      </c>
      <c r="O243" s="81" t="str">
        <f>IF(CÁLCULO!G257="","",CÁLCULO!G257)</f>
        <v/>
      </c>
      <c r="P243" s="80" t="str">
        <f t="shared" si="25"/>
        <v/>
      </c>
      <c r="Q243" s="121" t="str">
        <f>IF(CÁLCULO!I257="","",CÁLCULO!I257)</f>
        <v/>
      </c>
      <c r="R243" s="87"/>
      <c r="S243" s="121" t="str">
        <f t="shared" si="22"/>
        <v/>
      </c>
      <c r="T243" s="121" t="str">
        <f t="shared" si="23"/>
        <v/>
      </c>
      <c r="U243" s="89"/>
      <c r="V243" s="80" t="str">
        <f t="shared" si="20"/>
        <v/>
      </c>
      <c r="W243" s="77" t="str">
        <f>IF(K243="","",SUM($S$5:S242)*$E$11*V243)</f>
        <v/>
      </c>
      <c r="Y243" s="121" t="str">
        <f t="shared" si="24"/>
        <v/>
      </c>
    </row>
    <row r="244" spans="11:25" ht="17.100000000000001" customHeight="1" x14ac:dyDescent="0.25">
      <c r="K244" s="81" t="str">
        <f>IF(CÁLCULO!C258="","",CÁLCULO!C258)</f>
        <v/>
      </c>
      <c r="L244" s="81" t="str">
        <f t="shared" si="21"/>
        <v/>
      </c>
      <c r="M244" s="82" t="str">
        <f>IF(CÁLCULO!E258="","",CÁLCULO!E258)</f>
        <v/>
      </c>
      <c r="O244" s="81" t="str">
        <f>IF(CÁLCULO!G258="","",CÁLCULO!G258)</f>
        <v/>
      </c>
      <c r="P244" s="80" t="str">
        <f t="shared" si="25"/>
        <v/>
      </c>
      <c r="Q244" s="121" t="str">
        <f>IF(CÁLCULO!I258="","",CÁLCULO!I258)</f>
        <v/>
      </c>
      <c r="R244" s="87"/>
      <c r="S244" s="121" t="str">
        <f t="shared" si="22"/>
        <v/>
      </c>
      <c r="T244" s="121" t="str">
        <f t="shared" si="23"/>
        <v/>
      </c>
      <c r="U244" s="89"/>
      <c r="V244" s="80" t="str">
        <f t="shared" si="20"/>
        <v/>
      </c>
      <c r="W244" s="77" t="str">
        <f>IF(K244="","",SUM($S$5:S243)*$E$11*V244)</f>
        <v/>
      </c>
      <c r="Y244" s="121" t="str">
        <f t="shared" si="24"/>
        <v/>
      </c>
    </row>
    <row r="245" spans="11:25" ht="17.100000000000001" customHeight="1" x14ac:dyDescent="0.25">
      <c r="K245" s="81" t="str">
        <f>IF(CÁLCULO!C259="","",CÁLCULO!C259)</f>
        <v/>
      </c>
      <c r="L245" s="81" t="str">
        <f t="shared" si="21"/>
        <v/>
      </c>
      <c r="M245" s="82" t="str">
        <f>IF(CÁLCULO!E259="","",CÁLCULO!E259)</f>
        <v/>
      </c>
      <c r="O245" s="81" t="str">
        <f>IF(CÁLCULO!G259="","",CÁLCULO!G259)</f>
        <v/>
      </c>
      <c r="P245" s="80" t="str">
        <f t="shared" si="25"/>
        <v/>
      </c>
      <c r="Q245" s="121" t="str">
        <f>IF(CÁLCULO!I259="","",CÁLCULO!I259)</f>
        <v/>
      </c>
      <c r="R245" s="87"/>
      <c r="S245" s="121" t="str">
        <f t="shared" si="22"/>
        <v/>
      </c>
      <c r="T245" s="121" t="str">
        <f t="shared" si="23"/>
        <v/>
      </c>
      <c r="U245" s="89"/>
      <c r="V245" s="80" t="str">
        <f t="shared" si="20"/>
        <v/>
      </c>
      <c r="W245" s="77" t="str">
        <f>IF(K245="","",SUM($S$5:S244)*$E$11*V245)</f>
        <v/>
      </c>
      <c r="Y245" s="121" t="str">
        <f t="shared" si="24"/>
        <v/>
      </c>
    </row>
    <row r="246" spans="11:25" ht="17.100000000000001" customHeight="1" x14ac:dyDescent="0.25">
      <c r="K246" s="81" t="str">
        <f>IF(CÁLCULO!C260="","",CÁLCULO!C260)</f>
        <v/>
      </c>
      <c r="L246" s="81" t="str">
        <f t="shared" si="21"/>
        <v/>
      </c>
      <c r="M246" s="82" t="str">
        <f>IF(CÁLCULO!E260="","",CÁLCULO!E260)</f>
        <v/>
      </c>
      <c r="O246" s="81" t="str">
        <f>IF(CÁLCULO!G260="","",CÁLCULO!G260)</f>
        <v/>
      </c>
      <c r="P246" s="80" t="str">
        <f t="shared" si="25"/>
        <v/>
      </c>
      <c r="Q246" s="121" t="str">
        <f>IF(CÁLCULO!I260="","",CÁLCULO!I260)</f>
        <v/>
      </c>
      <c r="R246" s="87"/>
      <c r="S246" s="121" t="str">
        <f t="shared" si="22"/>
        <v/>
      </c>
      <c r="T246" s="121" t="str">
        <f t="shared" si="23"/>
        <v/>
      </c>
      <c r="U246" s="89"/>
      <c r="V246" s="80" t="str">
        <f t="shared" si="20"/>
        <v/>
      </c>
      <c r="W246" s="77" t="str">
        <f>IF(K246="","",SUM($S$5:S245)*$E$11*V246)</f>
        <v/>
      </c>
      <c r="Y246" s="121" t="str">
        <f t="shared" si="24"/>
        <v/>
      </c>
    </row>
    <row r="247" spans="11:25" ht="17.100000000000001" customHeight="1" x14ac:dyDescent="0.25">
      <c r="K247" s="81" t="str">
        <f>IF(CÁLCULO!C261="","",CÁLCULO!C261)</f>
        <v/>
      </c>
      <c r="L247" s="81" t="str">
        <f t="shared" si="21"/>
        <v/>
      </c>
      <c r="M247" s="82" t="str">
        <f>IF(CÁLCULO!E261="","",CÁLCULO!E261)</f>
        <v/>
      </c>
      <c r="O247" s="81" t="str">
        <f>IF(CÁLCULO!G261="","",CÁLCULO!G261)</f>
        <v/>
      </c>
      <c r="P247" s="80" t="str">
        <f t="shared" si="25"/>
        <v/>
      </c>
      <c r="Q247" s="121" t="str">
        <f>IF(CÁLCULO!I261="","",CÁLCULO!I261)</f>
        <v/>
      </c>
      <c r="R247" s="87"/>
      <c r="S247" s="121" t="str">
        <f t="shared" si="22"/>
        <v/>
      </c>
      <c r="T247" s="121" t="str">
        <f t="shared" si="23"/>
        <v/>
      </c>
      <c r="U247" s="89"/>
      <c r="V247" s="80" t="str">
        <f t="shared" si="20"/>
        <v/>
      </c>
      <c r="W247" s="77" t="str">
        <f>IF(K247="","",SUM($S$5:S246)*$E$11*V247)</f>
        <v/>
      </c>
      <c r="Y247" s="121" t="str">
        <f t="shared" si="24"/>
        <v/>
      </c>
    </row>
    <row r="248" spans="11:25" ht="17.100000000000001" customHeight="1" x14ac:dyDescent="0.25">
      <c r="K248" s="81" t="str">
        <f>IF(CÁLCULO!C262="","",CÁLCULO!C262)</f>
        <v/>
      </c>
      <c r="L248" s="81" t="str">
        <f t="shared" si="21"/>
        <v/>
      </c>
      <c r="M248" s="82" t="str">
        <f>IF(CÁLCULO!E262="","",CÁLCULO!E262)</f>
        <v/>
      </c>
      <c r="O248" s="81" t="str">
        <f>IF(CÁLCULO!G262="","",CÁLCULO!G262)</f>
        <v/>
      </c>
      <c r="P248" s="80" t="str">
        <f t="shared" si="25"/>
        <v/>
      </c>
      <c r="Q248" s="121" t="str">
        <f>IF(CÁLCULO!I262="","",CÁLCULO!I262)</f>
        <v/>
      </c>
      <c r="R248" s="87"/>
      <c r="S248" s="121" t="str">
        <f t="shared" si="22"/>
        <v/>
      </c>
      <c r="T248" s="121" t="str">
        <f t="shared" si="23"/>
        <v/>
      </c>
      <c r="U248" s="89"/>
      <c r="V248" s="80" t="str">
        <f t="shared" si="20"/>
        <v/>
      </c>
      <c r="W248" s="77" t="str">
        <f>IF(K248="","",SUM($S$5:S247)*$E$11*V248)</f>
        <v/>
      </c>
      <c r="Y248" s="121" t="str">
        <f t="shared" si="24"/>
        <v/>
      </c>
    </row>
    <row r="249" spans="11:25" ht="17.100000000000001" customHeight="1" x14ac:dyDescent="0.25">
      <c r="K249" s="81" t="str">
        <f>IF(CÁLCULO!C263="","",CÁLCULO!C263)</f>
        <v/>
      </c>
      <c r="L249" s="81" t="str">
        <f t="shared" si="21"/>
        <v/>
      </c>
      <c r="M249" s="82" t="str">
        <f>IF(CÁLCULO!E263="","",CÁLCULO!E263)</f>
        <v/>
      </c>
      <c r="O249" s="81" t="str">
        <f>IF(CÁLCULO!G263="","",CÁLCULO!G263)</f>
        <v/>
      </c>
      <c r="P249" s="80" t="str">
        <f t="shared" si="25"/>
        <v/>
      </c>
      <c r="Q249" s="121" t="str">
        <f>IF(CÁLCULO!I263="","",CÁLCULO!I263)</f>
        <v/>
      </c>
      <c r="R249" s="87"/>
      <c r="S249" s="121" t="str">
        <f t="shared" si="22"/>
        <v/>
      </c>
      <c r="T249" s="121" t="str">
        <f t="shared" si="23"/>
        <v/>
      </c>
      <c r="U249" s="89"/>
      <c r="V249" s="80" t="str">
        <f t="shared" si="20"/>
        <v/>
      </c>
      <c r="W249" s="77" t="str">
        <f>IF(K249="","",SUM($S$5:S248)*$E$11*V249)</f>
        <v/>
      </c>
      <c r="Y249" s="121" t="str">
        <f t="shared" si="24"/>
        <v/>
      </c>
    </row>
    <row r="250" spans="11:25" ht="17.100000000000001" customHeight="1" x14ac:dyDescent="0.25">
      <c r="K250" s="81" t="str">
        <f>IF(CÁLCULO!C264="","",CÁLCULO!C264)</f>
        <v/>
      </c>
      <c r="L250" s="81" t="str">
        <f t="shared" si="21"/>
        <v/>
      </c>
      <c r="M250" s="82" t="str">
        <f>IF(CÁLCULO!E264="","",CÁLCULO!E264)</f>
        <v/>
      </c>
      <c r="O250" s="81" t="str">
        <f>IF(CÁLCULO!G264="","",CÁLCULO!G264)</f>
        <v/>
      </c>
      <c r="P250" s="80" t="str">
        <f t="shared" si="25"/>
        <v/>
      </c>
      <c r="Q250" s="121" t="str">
        <f>IF(CÁLCULO!I264="","",CÁLCULO!I264)</f>
        <v/>
      </c>
      <c r="R250" s="87"/>
      <c r="S250" s="121" t="str">
        <f t="shared" si="22"/>
        <v/>
      </c>
      <c r="T250" s="121" t="str">
        <f t="shared" si="23"/>
        <v/>
      </c>
      <c r="U250" s="89"/>
      <c r="V250" s="80" t="str">
        <f t="shared" si="20"/>
        <v/>
      </c>
      <c r="W250" s="77" t="str">
        <f>IF(K250="","",SUM($S$5:S249)*$E$11*V250)</f>
        <v/>
      </c>
      <c r="Y250" s="121" t="str">
        <f t="shared" si="24"/>
        <v/>
      </c>
    </row>
    <row r="251" spans="11:25" ht="17.100000000000001" customHeight="1" x14ac:dyDescent="0.25">
      <c r="K251" s="81" t="str">
        <f>IF(CÁLCULO!C265="","",CÁLCULO!C265)</f>
        <v/>
      </c>
      <c r="L251" s="81" t="str">
        <f t="shared" si="21"/>
        <v/>
      </c>
      <c r="M251" s="82" t="str">
        <f>IF(CÁLCULO!E265="","",CÁLCULO!E265)</f>
        <v/>
      </c>
      <c r="O251" s="81" t="str">
        <f>IF(CÁLCULO!G265="","",CÁLCULO!G265)</f>
        <v/>
      </c>
      <c r="P251" s="80" t="str">
        <f t="shared" si="25"/>
        <v/>
      </c>
      <c r="Q251" s="121" t="str">
        <f>IF(CÁLCULO!I265="","",CÁLCULO!I265)</f>
        <v/>
      </c>
      <c r="R251" s="87"/>
      <c r="S251" s="121" t="str">
        <f t="shared" si="22"/>
        <v/>
      </c>
      <c r="T251" s="121" t="str">
        <f t="shared" si="23"/>
        <v/>
      </c>
      <c r="U251" s="89"/>
      <c r="V251" s="80" t="str">
        <f t="shared" si="20"/>
        <v/>
      </c>
      <c r="W251" s="77" t="str">
        <f>IF(K251="","",SUM($S$5:S250)*$E$11*V251)</f>
        <v/>
      </c>
      <c r="Y251" s="121" t="str">
        <f t="shared" si="24"/>
        <v/>
      </c>
    </row>
    <row r="252" spans="11:25" ht="17.100000000000001" customHeight="1" x14ac:dyDescent="0.25">
      <c r="K252" s="81" t="str">
        <f>IF(CÁLCULO!C266="","",CÁLCULO!C266)</f>
        <v/>
      </c>
      <c r="L252" s="81" t="str">
        <f t="shared" si="21"/>
        <v/>
      </c>
      <c r="M252" s="82" t="str">
        <f>IF(CÁLCULO!E266="","",CÁLCULO!E266)</f>
        <v/>
      </c>
      <c r="O252" s="81" t="str">
        <f>IF(CÁLCULO!G266="","",CÁLCULO!G266)</f>
        <v/>
      </c>
      <c r="P252" s="80" t="str">
        <f t="shared" si="25"/>
        <v/>
      </c>
      <c r="Q252" s="121" t="str">
        <f>IF(CÁLCULO!I266="","",CÁLCULO!I266)</f>
        <v/>
      </c>
      <c r="R252" s="87"/>
      <c r="S252" s="121" t="str">
        <f t="shared" si="22"/>
        <v/>
      </c>
      <c r="T252" s="121" t="str">
        <f t="shared" si="23"/>
        <v/>
      </c>
      <c r="U252" s="89"/>
      <c r="V252" s="80" t="str">
        <f t="shared" si="20"/>
        <v/>
      </c>
      <c r="W252" s="77" t="str">
        <f>IF(K252="","",SUM($S$5:S251)*$E$11*V252)</f>
        <v/>
      </c>
      <c r="Y252" s="121" t="str">
        <f t="shared" si="24"/>
        <v/>
      </c>
    </row>
    <row r="253" spans="11:25" ht="17.100000000000001" customHeight="1" x14ac:dyDescent="0.25">
      <c r="K253" s="81" t="str">
        <f>IF(CÁLCULO!C267="","",CÁLCULO!C267)</f>
        <v/>
      </c>
      <c r="L253" s="81" t="str">
        <f t="shared" si="21"/>
        <v/>
      </c>
      <c r="M253" s="82" t="str">
        <f>IF(CÁLCULO!E267="","",CÁLCULO!E267)</f>
        <v/>
      </c>
      <c r="O253" s="81" t="str">
        <f>IF(CÁLCULO!G267="","",CÁLCULO!G267)</f>
        <v/>
      </c>
      <c r="P253" s="80" t="str">
        <f t="shared" si="25"/>
        <v/>
      </c>
      <c r="Q253" s="121" t="str">
        <f>IF(CÁLCULO!I267="","",CÁLCULO!I267)</f>
        <v/>
      </c>
      <c r="R253" s="87"/>
      <c r="S253" s="121" t="str">
        <f t="shared" si="22"/>
        <v/>
      </c>
      <c r="T253" s="121" t="str">
        <f t="shared" si="23"/>
        <v/>
      </c>
      <c r="U253" s="89"/>
      <c r="V253" s="80" t="str">
        <f t="shared" si="20"/>
        <v/>
      </c>
      <c r="W253" s="77" t="str">
        <f>IF(K253="","",SUM($S$5:S252)*$E$11*V253)</f>
        <v/>
      </c>
      <c r="Y253" s="121" t="str">
        <f t="shared" si="24"/>
        <v/>
      </c>
    </row>
    <row r="254" spans="11:25" ht="17.100000000000001" customHeight="1" x14ac:dyDescent="0.25">
      <c r="K254" s="81" t="str">
        <f>IF(CÁLCULO!C268="","",CÁLCULO!C268)</f>
        <v/>
      </c>
      <c r="L254" s="81" t="str">
        <f t="shared" si="21"/>
        <v/>
      </c>
      <c r="M254" s="82" t="str">
        <f>IF(CÁLCULO!E268="","",CÁLCULO!E268)</f>
        <v/>
      </c>
      <c r="O254" s="81" t="str">
        <f>IF(CÁLCULO!G268="","",CÁLCULO!G268)</f>
        <v/>
      </c>
      <c r="P254" s="80" t="str">
        <f t="shared" si="25"/>
        <v/>
      </c>
      <c r="Q254" s="121" t="str">
        <f>IF(CÁLCULO!I268="","",CÁLCULO!I268)</f>
        <v/>
      </c>
      <c r="R254" s="87"/>
      <c r="S254" s="121" t="str">
        <f t="shared" si="22"/>
        <v/>
      </c>
      <c r="T254" s="121" t="str">
        <f t="shared" si="23"/>
        <v/>
      </c>
      <c r="U254" s="89"/>
      <c r="V254" s="80" t="str">
        <f t="shared" si="20"/>
        <v/>
      </c>
      <c r="W254" s="77" t="str">
        <f>IF(K254="","",SUM($S$5:S253)*$E$11*V254)</f>
        <v/>
      </c>
      <c r="Y254" s="121" t="str">
        <f t="shared" si="24"/>
        <v/>
      </c>
    </row>
    <row r="255" spans="11:25" ht="17.100000000000001" customHeight="1" x14ac:dyDescent="0.25">
      <c r="K255" s="81" t="str">
        <f>IF(CÁLCULO!C269="","",CÁLCULO!C269)</f>
        <v/>
      </c>
      <c r="L255" s="81" t="str">
        <f t="shared" si="21"/>
        <v/>
      </c>
      <c r="M255" s="82" t="str">
        <f>IF(CÁLCULO!E269="","",CÁLCULO!E269)</f>
        <v/>
      </c>
      <c r="O255" s="81" t="str">
        <f>IF(CÁLCULO!G269="","",CÁLCULO!G269)</f>
        <v/>
      </c>
      <c r="P255" s="80" t="str">
        <f t="shared" si="25"/>
        <v/>
      </c>
      <c r="Q255" s="121" t="str">
        <f>IF(CÁLCULO!I269="","",CÁLCULO!I269)</f>
        <v/>
      </c>
      <c r="R255" s="87"/>
      <c r="S255" s="121" t="str">
        <f t="shared" si="22"/>
        <v/>
      </c>
      <c r="T255" s="121" t="str">
        <f t="shared" si="23"/>
        <v/>
      </c>
      <c r="U255" s="89"/>
      <c r="V255" s="80" t="str">
        <f t="shared" si="20"/>
        <v/>
      </c>
      <c r="W255" s="77" t="str">
        <f>IF(K255="","",SUM($S$5:S254)*$E$11*V255)</f>
        <v/>
      </c>
      <c r="Y255" s="121" t="str">
        <f t="shared" si="24"/>
        <v/>
      </c>
    </row>
    <row r="256" spans="11:25" ht="17.100000000000001" customHeight="1" x14ac:dyDescent="0.25">
      <c r="K256" s="81" t="str">
        <f>IF(CÁLCULO!C270="","",CÁLCULO!C270)</f>
        <v/>
      </c>
      <c r="L256" s="81" t="str">
        <f t="shared" si="21"/>
        <v/>
      </c>
      <c r="M256" s="82" t="str">
        <f>IF(CÁLCULO!E270="","",CÁLCULO!E270)</f>
        <v/>
      </c>
      <c r="O256" s="81" t="str">
        <f>IF(CÁLCULO!G270="","",CÁLCULO!G270)</f>
        <v/>
      </c>
      <c r="P256" s="80" t="str">
        <f t="shared" si="25"/>
        <v/>
      </c>
      <c r="Q256" s="121" t="str">
        <f>IF(CÁLCULO!I270="","",CÁLCULO!I270)</f>
        <v/>
      </c>
      <c r="R256" s="87"/>
      <c r="S256" s="121" t="str">
        <f t="shared" si="22"/>
        <v/>
      </c>
      <c r="T256" s="121" t="str">
        <f t="shared" si="23"/>
        <v/>
      </c>
      <c r="U256" s="89"/>
      <c r="V256" s="80" t="str">
        <f t="shared" si="20"/>
        <v/>
      </c>
      <c r="W256" s="77" t="str">
        <f>IF(K256="","",SUM($S$5:S255)*$E$11*V256)</f>
        <v/>
      </c>
      <c r="Y256" s="121" t="str">
        <f t="shared" si="24"/>
        <v/>
      </c>
    </row>
    <row r="257" spans="11:25" ht="17.100000000000001" customHeight="1" x14ac:dyDescent="0.25">
      <c r="K257" s="81" t="str">
        <f>IF(CÁLCULO!C271="","",CÁLCULO!C271)</f>
        <v/>
      </c>
      <c r="L257" s="81" t="str">
        <f t="shared" si="21"/>
        <v/>
      </c>
      <c r="M257" s="82" t="str">
        <f>IF(CÁLCULO!E271="","",CÁLCULO!E271)</f>
        <v/>
      </c>
      <c r="O257" s="81" t="str">
        <f>IF(CÁLCULO!G271="","",CÁLCULO!G271)</f>
        <v/>
      </c>
      <c r="P257" s="80" t="str">
        <f t="shared" si="25"/>
        <v/>
      </c>
      <c r="Q257" s="121" t="str">
        <f>IF(CÁLCULO!I271="","",CÁLCULO!I271)</f>
        <v/>
      </c>
      <c r="R257" s="87"/>
      <c r="S257" s="121" t="str">
        <f t="shared" si="22"/>
        <v/>
      </c>
      <c r="T257" s="121" t="str">
        <f t="shared" si="23"/>
        <v/>
      </c>
      <c r="U257" s="89"/>
      <c r="V257" s="80" t="str">
        <f t="shared" si="20"/>
        <v/>
      </c>
      <c r="W257" s="77" t="str">
        <f>IF(K257="","",SUM($S$5:S256)*$E$11*V257)</f>
        <v/>
      </c>
      <c r="Y257" s="121" t="str">
        <f t="shared" si="24"/>
        <v/>
      </c>
    </row>
    <row r="258" spans="11:25" ht="17.100000000000001" customHeight="1" x14ac:dyDescent="0.25">
      <c r="K258" s="81" t="str">
        <f>IF(CÁLCULO!C272="","",CÁLCULO!C272)</f>
        <v/>
      </c>
      <c r="L258" s="81" t="str">
        <f t="shared" si="21"/>
        <v/>
      </c>
      <c r="M258" s="82" t="str">
        <f>IF(CÁLCULO!E272="","",CÁLCULO!E272)</f>
        <v/>
      </c>
      <c r="O258" s="81" t="str">
        <f>IF(CÁLCULO!G272="","",CÁLCULO!G272)</f>
        <v/>
      </c>
      <c r="P258" s="80" t="str">
        <f t="shared" si="25"/>
        <v/>
      </c>
      <c r="Q258" s="121" t="str">
        <f>IF(CÁLCULO!I272="","",CÁLCULO!I272)</f>
        <v/>
      </c>
      <c r="R258" s="87"/>
      <c r="S258" s="121" t="str">
        <f t="shared" si="22"/>
        <v/>
      </c>
      <c r="T258" s="121" t="str">
        <f t="shared" si="23"/>
        <v/>
      </c>
      <c r="U258" s="89"/>
      <c r="V258" s="80" t="str">
        <f t="shared" si="20"/>
        <v/>
      </c>
      <c r="W258" s="77" t="str">
        <f>IF(K258="","",SUM($S$5:S257)*$E$11*V258)</f>
        <v/>
      </c>
      <c r="Y258" s="121" t="str">
        <f t="shared" si="24"/>
        <v/>
      </c>
    </row>
    <row r="259" spans="11:25" ht="17.100000000000001" customHeight="1" x14ac:dyDescent="0.25">
      <c r="K259" s="81" t="str">
        <f>IF(CÁLCULO!C273="","",CÁLCULO!C273)</f>
        <v/>
      </c>
      <c r="L259" s="81" t="str">
        <f t="shared" si="21"/>
        <v/>
      </c>
      <c r="M259" s="82" t="str">
        <f>IF(CÁLCULO!E273="","",CÁLCULO!E273)</f>
        <v/>
      </c>
      <c r="O259" s="81" t="str">
        <f>IF(CÁLCULO!G273="","",CÁLCULO!G273)</f>
        <v/>
      </c>
      <c r="P259" s="80" t="str">
        <f t="shared" si="25"/>
        <v/>
      </c>
      <c r="Q259" s="121" t="str">
        <f>IF(CÁLCULO!I273="","",CÁLCULO!I273)</f>
        <v/>
      </c>
      <c r="R259" s="87"/>
      <c r="S259" s="121" t="str">
        <f t="shared" si="22"/>
        <v/>
      </c>
      <c r="T259" s="121" t="str">
        <f t="shared" si="23"/>
        <v/>
      </c>
      <c r="U259" s="89"/>
      <c r="V259" s="80" t="str">
        <f t="shared" si="20"/>
        <v/>
      </c>
      <c r="W259" s="77" t="str">
        <f>IF(K259="","",SUM($S$5:S258)*$E$11*V259)</f>
        <v/>
      </c>
      <c r="Y259" s="121" t="str">
        <f t="shared" si="24"/>
        <v/>
      </c>
    </row>
    <row r="260" spans="11:25" ht="17.100000000000001" customHeight="1" x14ac:dyDescent="0.25">
      <c r="K260" s="81" t="str">
        <f>IF(CÁLCULO!C274="","",CÁLCULO!C274)</f>
        <v/>
      </c>
      <c r="L260" s="81" t="str">
        <f t="shared" si="21"/>
        <v/>
      </c>
      <c r="M260" s="82" t="str">
        <f>IF(CÁLCULO!E274="","",CÁLCULO!E274)</f>
        <v/>
      </c>
      <c r="O260" s="81" t="str">
        <f>IF(CÁLCULO!G274="","",CÁLCULO!G274)</f>
        <v/>
      </c>
      <c r="P260" s="80" t="str">
        <f t="shared" si="25"/>
        <v/>
      </c>
      <c r="Q260" s="121" t="str">
        <f>IF(CÁLCULO!I274="","",CÁLCULO!I274)</f>
        <v/>
      </c>
      <c r="R260" s="87"/>
      <c r="S260" s="121" t="str">
        <f t="shared" si="22"/>
        <v/>
      </c>
      <c r="T260" s="121" t="str">
        <f t="shared" si="23"/>
        <v/>
      </c>
      <c r="U260" s="89"/>
      <c r="V260" s="80" t="str">
        <f t="shared" si="20"/>
        <v/>
      </c>
      <c r="W260" s="77" t="str">
        <f>IF(K260="","",SUM($S$5:S259)*$E$11*V260)</f>
        <v/>
      </c>
      <c r="Y260" s="121" t="str">
        <f t="shared" si="24"/>
        <v/>
      </c>
    </row>
    <row r="261" spans="11:25" ht="17.100000000000001" customHeight="1" x14ac:dyDescent="0.25">
      <c r="K261" s="81" t="str">
        <f>IF(CÁLCULO!C275="","",CÁLCULO!C275)</f>
        <v/>
      </c>
      <c r="L261" s="81" t="str">
        <f t="shared" si="21"/>
        <v/>
      </c>
      <c r="M261" s="82" t="str">
        <f>IF(CÁLCULO!E275="","",CÁLCULO!E275)</f>
        <v/>
      </c>
      <c r="O261" s="81" t="str">
        <f>IF(CÁLCULO!G275="","",CÁLCULO!G275)</f>
        <v/>
      </c>
      <c r="P261" s="80" t="str">
        <f t="shared" si="25"/>
        <v/>
      </c>
      <c r="Q261" s="121" t="str">
        <f>IF(CÁLCULO!I275="","",CÁLCULO!I275)</f>
        <v/>
      </c>
      <c r="R261" s="87"/>
      <c r="S261" s="121" t="str">
        <f t="shared" si="22"/>
        <v/>
      </c>
      <c r="T261" s="121" t="str">
        <f t="shared" si="23"/>
        <v/>
      </c>
      <c r="U261" s="89"/>
      <c r="V261" s="80" t="str">
        <f t="shared" ref="V261:V324" si="26">IF(K261="","",IF(O261-(P261-365)&lt;0,0,IF(P261&gt;365,O261-(P261-365),O261)))</f>
        <v/>
      </c>
      <c r="W261" s="77" t="str">
        <f>IF(K261="","",SUM($S$5:S260)*$E$11*V261)</f>
        <v/>
      </c>
      <c r="Y261" s="121" t="str">
        <f t="shared" si="24"/>
        <v/>
      </c>
    </row>
    <row r="262" spans="11:25" ht="17.100000000000001" customHeight="1" x14ac:dyDescent="0.25">
      <c r="K262" s="81" t="str">
        <f>IF(CÁLCULO!C276="","",CÁLCULO!C276)</f>
        <v/>
      </c>
      <c r="L262" s="81" t="str">
        <f t="shared" ref="L262:L325" si="27">IF(K262="","",IF(K262&lt;=TempoCarencia,"-",IF(K262=TempoCarencia+1,1,IF(L261&gt;0,L261+1,""))))</f>
        <v/>
      </c>
      <c r="M262" s="82" t="str">
        <f>IF(CÁLCULO!E276="","",CÁLCULO!E276)</f>
        <v/>
      </c>
      <c r="O262" s="81" t="str">
        <f>IF(CÁLCULO!G276="","",CÁLCULO!G276)</f>
        <v/>
      </c>
      <c r="P262" s="80" t="str">
        <f t="shared" si="25"/>
        <v/>
      </c>
      <c r="Q262" s="121" t="str">
        <f>IF(CÁLCULO!I276="","",CÁLCULO!I276)</f>
        <v/>
      </c>
      <c r="R262" s="87"/>
      <c r="S262" s="121" t="str">
        <f t="shared" ref="S262:S325" si="28">IF(K262="","",PV(TxJurosAoDia,P262,,-Q262))</f>
        <v/>
      </c>
      <c r="T262" s="121" t="str">
        <f t="shared" si="23"/>
        <v/>
      </c>
      <c r="U262" s="89"/>
      <c r="V262" s="80" t="str">
        <f t="shared" si="26"/>
        <v/>
      </c>
      <c r="W262" s="77" t="str">
        <f>IF(K262="","",SUM($S$5:S261)*$E$11*V262)</f>
        <v/>
      </c>
      <c r="Y262" s="121" t="str">
        <f t="shared" si="24"/>
        <v/>
      </c>
    </row>
    <row r="263" spans="11:25" ht="17.100000000000001" customHeight="1" x14ac:dyDescent="0.25">
      <c r="K263" s="81" t="str">
        <f>IF(CÁLCULO!C277="","",CÁLCULO!C277)</f>
        <v/>
      </c>
      <c r="L263" s="81" t="str">
        <f t="shared" si="27"/>
        <v/>
      </c>
      <c r="M263" s="82" t="str">
        <f>IF(CÁLCULO!E277="","",CÁLCULO!E277)</f>
        <v/>
      </c>
      <c r="O263" s="81" t="str">
        <f>IF(CÁLCULO!G277="","",CÁLCULO!G277)</f>
        <v/>
      </c>
      <c r="P263" s="80" t="str">
        <f t="shared" si="25"/>
        <v/>
      </c>
      <c r="Q263" s="121" t="str">
        <f>IF(CÁLCULO!I277="","",CÁLCULO!I277)</f>
        <v/>
      </c>
      <c r="R263" s="87"/>
      <c r="S263" s="121" t="str">
        <f t="shared" si="28"/>
        <v/>
      </c>
      <c r="T263" s="121" t="str">
        <f t="shared" ref="T263:T326" si="29">IF(K263="","",T262+S263)</f>
        <v/>
      </c>
      <c r="U263" s="89"/>
      <c r="V263" s="80" t="str">
        <f t="shared" si="26"/>
        <v/>
      </c>
      <c r="W263" s="77" t="str">
        <f>IF(K263="","",SUM($S$5:S262)*$E$11*V263)</f>
        <v/>
      </c>
      <c r="Y263" s="121" t="str">
        <f t="shared" ref="Y263:Y326" si="30">Q263</f>
        <v/>
      </c>
    </row>
    <row r="264" spans="11:25" ht="17.100000000000001" customHeight="1" x14ac:dyDescent="0.25">
      <c r="K264" s="81" t="str">
        <f>IF(CÁLCULO!C278="","",CÁLCULO!C278)</f>
        <v/>
      </c>
      <c r="L264" s="81" t="str">
        <f t="shared" si="27"/>
        <v/>
      </c>
      <c r="M264" s="82" t="str">
        <f>IF(CÁLCULO!E278="","",CÁLCULO!E278)</f>
        <v/>
      </c>
      <c r="O264" s="81" t="str">
        <f>IF(CÁLCULO!G278="","",CÁLCULO!G278)</f>
        <v/>
      </c>
      <c r="P264" s="80" t="str">
        <f t="shared" si="25"/>
        <v/>
      </c>
      <c r="Q264" s="121" t="str">
        <f>IF(CÁLCULO!I278="","",CÁLCULO!I278)</f>
        <v/>
      </c>
      <c r="R264" s="87"/>
      <c r="S264" s="121" t="str">
        <f t="shared" si="28"/>
        <v/>
      </c>
      <c r="T264" s="121" t="str">
        <f t="shared" si="29"/>
        <v/>
      </c>
      <c r="U264" s="89"/>
      <c r="V264" s="80" t="str">
        <f t="shared" si="26"/>
        <v/>
      </c>
      <c r="W264" s="77" t="str">
        <f>IF(K264="","",SUM($S$5:S263)*$E$11*V264)</f>
        <v/>
      </c>
      <c r="Y264" s="121" t="str">
        <f t="shared" si="30"/>
        <v/>
      </c>
    </row>
    <row r="265" spans="11:25" ht="17.100000000000001" customHeight="1" x14ac:dyDescent="0.25">
      <c r="K265" s="81" t="str">
        <f>IF(CÁLCULO!C279="","",CÁLCULO!C279)</f>
        <v/>
      </c>
      <c r="L265" s="81" t="str">
        <f t="shared" si="27"/>
        <v/>
      </c>
      <c r="M265" s="82" t="str">
        <f>IF(CÁLCULO!E279="","",CÁLCULO!E279)</f>
        <v/>
      </c>
      <c r="O265" s="81" t="str">
        <f>IF(CÁLCULO!G279="","",CÁLCULO!G279)</f>
        <v/>
      </c>
      <c r="P265" s="80" t="str">
        <f t="shared" si="25"/>
        <v/>
      </c>
      <c r="Q265" s="121" t="str">
        <f>IF(CÁLCULO!I279="","",CÁLCULO!I279)</f>
        <v/>
      </c>
      <c r="R265" s="87"/>
      <c r="S265" s="121" t="str">
        <f t="shared" si="28"/>
        <v/>
      </c>
      <c r="T265" s="121" t="str">
        <f t="shared" si="29"/>
        <v/>
      </c>
      <c r="U265" s="89"/>
      <c r="V265" s="80" t="str">
        <f t="shared" si="26"/>
        <v/>
      </c>
      <c r="W265" s="77" t="str">
        <f>IF(K265="","",SUM($S$5:S264)*$E$11*V265)</f>
        <v/>
      </c>
      <c r="Y265" s="121" t="str">
        <f t="shared" si="30"/>
        <v/>
      </c>
    </row>
    <row r="266" spans="11:25" ht="17.100000000000001" customHeight="1" x14ac:dyDescent="0.25">
      <c r="K266" s="81" t="str">
        <f>IF(CÁLCULO!C280="","",CÁLCULO!C280)</f>
        <v/>
      </c>
      <c r="L266" s="81" t="str">
        <f t="shared" si="27"/>
        <v/>
      </c>
      <c r="M266" s="82" t="str">
        <f>IF(CÁLCULO!E280="","",CÁLCULO!E280)</f>
        <v/>
      </c>
      <c r="O266" s="81" t="str">
        <f>IF(CÁLCULO!G280="","",CÁLCULO!G280)</f>
        <v/>
      </c>
      <c r="P266" s="80" t="str">
        <f t="shared" si="25"/>
        <v/>
      </c>
      <c r="Q266" s="121" t="str">
        <f>IF(CÁLCULO!I280="","",CÁLCULO!I280)</f>
        <v/>
      </c>
      <c r="R266" s="87"/>
      <c r="S266" s="121" t="str">
        <f t="shared" si="28"/>
        <v/>
      </c>
      <c r="T266" s="121" t="str">
        <f t="shared" si="29"/>
        <v/>
      </c>
      <c r="U266" s="89"/>
      <c r="V266" s="80" t="str">
        <f t="shared" si="26"/>
        <v/>
      </c>
      <c r="W266" s="77" t="str">
        <f>IF(K266="","",SUM($S$5:S265)*$E$11*V266)</f>
        <v/>
      </c>
      <c r="Y266" s="121" t="str">
        <f t="shared" si="30"/>
        <v/>
      </c>
    </row>
    <row r="267" spans="11:25" ht="17.100000000000001" customHeight="1" x14ac:dyDescent="0.25">
      <c r="K267" s="81" t="str">
        <f>IF(CÁLCULO!C281="","",CÁLCULO!C281)</f>
        <v/>
      </c>
      <c r="L267" s="81" t="str">
        <f t="shared" si="27"/>
        <v/>
      </c>
      <c r="M267" s="82" t="str">
        <f>IF(CÁLCULO!E281="","",CÁLCULO!E281)</f>
        <v/>
      </c>
      <c r="O267" s="81" t="str">
        <f>IF(CÁLCULO!G281="","",CÁLCULO!G281)</f>
        <v/>
      </c>
      <c r="P267" s="80" t="str">
        <f t="shared" si="25"/>
        <v/>
      </c>
      <c r="Q267" s="121" t="str">
        <f>IF(CÁLCULO!I281="","",CÁLCULO!I281)</f>
        <v/>
      </c>
      <c r="R267" s="87"/>
      <c r="S267" s="121" t="str">
        <f t="shared" si="28"/>
        <v/>
      </c>
      <c r="T267" s="121" t="str">
        <f t="shared" si="29"/>
        <v/>
      </c>
      <c r="U267" s="89"/>
      <c r="V267" s="80" t="str">
        <f t="shared" si="26"/>
        <v/>
      </c>
      <c r="W267" s="77" t="str">
        <f>IF(K267="","",SUM($S$5:S266)*$E$11*V267)</f>
        <v/>
      </c>
      <c r="Y267" s="121" t="str">
        <f t="shared" si="30"/>
        <v/>
      </c>
    </row>
    <row r="268" spans="11:25" ht="17.100000000000001" customHeight="1" x14ac:dyDescent="0.25">
      <c r="K268" s="81" t="str">
        <f>IF(CÁLCULO!C282="","",CÁLCULO!C282)</f>
        <v/>
      </c>
      <c r="L268" s="81" t="str">
        <f t="shared" si="27"/>
        <v/>
      </c>
      <c r="M268" s="82" t="str">
        <f>IF(CÁLCULO!E282="","",CÁLCULO!E282)</f>
        <v/>
      </c>
      <c r="O268" s="81" t="str">
        <f>IF(CÁLCULO!G282="","",CÁLCULO!G282)</f>
        <v/>
      </c>
      <c r="P268" s="80" t="str">
        <f t="shared" si="25"/>
        <v/>
      </c>
      <c r="Q268" s="121" t="str">
        <f>IF(CÁLCULO!I282="","",CÁLCULO!I282)</f>
        <v/>
      </c>
      <c r="R268" s="87"/>
      <c r="S268" s="121" t="str">
        <f t="shared" si="28"/>
        <v/>
      </c>
      <c r="T268" s="121" t="str">
        <f t="shared" si="29"/>
        <v/>
      </c>
      <c r="U268" s="89"/>
      <c r="V268" s="80" t="str">
        <f t="shared" si="26"/>
        <v/>
      </c>
      <c r="W268" s="77" t="str">
        <f>IF(K268="","",SUM($S$5:S267)*$E$11*V268)</f>
        <v/>
      </c>
      <c r="Y268" s="121" t="str">
        <f t="shared" si="30"/>
        <v/>
      </c>
    </row>
    <row r="269" spans="11:25" ht="17.100000000000001" customHeight="1" x14ac:dyDescent="0.25">
      <c r="K269" s="81" t="str">
        <f>IF(CÁLCULO!C283="","",CÁLCULO!C283)</f>
        <v/>
      </c>
      <c r="L269" s="81" t="str">
        <f t="shared" si="27"/>
        <v/>
      </c>
      <c r="M269" s="82" t="str">
        <f>IF(CÁLCULO!E283="","",CÁLCULO!E283)</f>
        <v/>
      </c>
      <c r="O269" s="81" t="str">
        <f>IF(CÁLCULO!G283="","",CÁLCULO!G283)</f>
        <v/>
      </c>
      <c r="P269" s="80" t="str">
        <f t="shared" si="25"/>
        <v/>
      </c>
      <c r="Q269" s="121" t="str">
        <f>IF(CÁLCULO!I283="","",CÁLCULO!I283)</f>
        <v/>
      </c>
      <c r="R269" s="87"/>
      <c r="S269" s="121" t="str">
        <f t="shared" si="28"/>
        <v/>
      </c>
      <c r="T269" s="121" t="str">
        <f t="shared" si="29"/>
        <v/>
      </c>
      <c r="U269" s="89"/>
      <c r="V269" s="80" t="str">
        <f t="shared" si="26"/>
        <v/>
      </c>
      <c r="W269" s="77" t="str">
        <f>IF(K269="","",SUM($S$5:S268)*$E$11*V269)</f>
        <v/>
      </c>
      <c r="Y269" s="121" t="str">
        <f t="shared" si="30"/>
        <v/>
      </c>
    </row>
    <row r="270" spans="11:25" ht="17.100000000000001" customHeight="1" x14ac:dyDescent="0.25">
      <c r="K270" s="81" t="str">
        <f>IF(CÁLCULO!C284="","",CÁLCULO!C284)</f>
        <v/>
      </c>
      <c r="L270" s="81" t="str">
        <f t="shared" si="27"/>
        <v/>
      </c>
      <c r="M270" s="82" t="str">
        <f>IF(CÁLCULO!E284="","",CÁLCULO!E284)</f>
        <v/>
      </c>
      <c r="O270" s="81" t="str">
        <f>IF(CÁLCULO!G284="","",CÁLCULO!G284)</f>
        <v/>
      </c>
      <c r="P270" s="80" t="str">
        <f t="shared" si="25"/>
        <v/>
      </c>
      <c r="Q270" s="121" t="str">
        <f>IF(CÁLCULO!I284="","",CÁLCULO!I284)</f>
        <v/>
      </c>
      <c r="R270" s="87"/>
      <c r="S270" s="121" t="str">
        <f t="shared" si="28"/>
        <v/>
      </c>
      <c r="T270" s="121" t="str">
        <f t="shared" si="29"/>
        <v/>
      </c>
      <c r="U270" s="89"/>
      <c r="V270" s="80" t="str">
        <f t="shared" si="26"/>
        <v/>
      </c>
      <c r="W270" s="77" t="str">
        <f>IF(K270="","",SUM($S$5:S269)*$E$11*V270)</f>
        <v/>
      </c>
      <c r="Y270" s="121" t="str">
        <f t="shared" si="30"/>
        <v/>
      </c>
    </row>
    <row r="271" spans="11:25" ht="17.100000000000001" customHeight="1" x14ac:dyDescent="0.25">
      <c r="K271" s="81" t="str">
        <f>IF(CÁLCULO!C285="","",CÁLCULO!C285)</f>
        <v/>
      </c>
      <c r="L271" s="81" t="str">
        <f t="shared" si="27"/>
        <v/>
      </c>
      <c r="M271" s="82" t="str">
        <f>IF(CÁLCULO!E285="","",CÁLCULO!E285)</f>
        <v/>
      </c>
      <c r="O271" s="81" t="str">
        <f>IF(CÁLCULO!G285="","",CÁLCULO!G285)</f>
        <v/>
      </c>
      <c r="P271" s="80" t="str">
        <f t="shared" si="25"/>
        <v/>
      </c>
      <c r="Q271" s="121" t="str">
        <f>IF(CÁLCULO!I285="","",CÁLCULO!I285)</f>
        <v/>
      </c>
      <c r="R271" s="87"/>
      <c r="S271" s="121" t="str">
        <f t="shared" si="28"/>
        <v/>
      </c>
      <c r="T271" s="121" t="str">
        <f t="shared" si="29"/>
        <v/>
      </c>
      <c r="U271" s="89"/>
      <c r="V271" s="80" t="str">
        <f t="shared" si="26"/>
        <v/>
      </c>
      <c r="W271" s="77" t="str">
        <f>IF(K271="","",SUM($S$5:S270)*$E$11*V271)</f>
        <v/>
      </c>
      <c r="Y271" s="121" t="str">
        <f t="shared" si="30"/>
        <v/>
      </c>
    </row>
    <row r="272" spans="11:25" ht="17.100000000000001" customHeight="1" x14ac:dyDescent="0.25">
      <c r="K272" s="81" t="str">
        <f>IF(CÁLCULO!C286="","",CÁLCULO!C286)</f>
        <v/>
      </c>
      <c r="L272" s="81" t="str">
        <f t="shared" si="27"/>
        <v/>
      </c>
      <c r="M272" s="82" t="str">
        <f>IF(CÁLCULO!E286="","",CÁLCULO!E286)</f>
        <v/>
      </c>
      <c r="O272" s="81" t="str">
        <f>IF(CÁLCULO!G286="","",CÁLCULO!G286)</f>
        <v/>
      </c>
      <c r="P272" s="80" t="str">
        <f t="shared" si="25"/>
        <v/>
      </c>
      <c r="Q272" s="121" t="str">
        <f>IF(CÁLCULO!I286="","",CÁLCULO!I286)</f>
        <v/>
      </c>
      <c r="R272" s="87"/>
      <c r="S272" s="121" t="str">
        <f t="shared" si="28"/>
        <v/>
      </c>
      <c r="T272" s="121" t="str">
        <f t="shared" si="29"/>
        <v/>
      </c>
      <c r="U272" s="89"/>
      <c r="V272" s="80" t="str">
        <f t="shared" si="26"/>
        <v/>
      </c>
      <c r="W272" s="77" t="str">
        <f>IF(K272="","",SUM($S$5:S271)*$E$11*V272)</f>
        <v/>
      </c>
      <c r="Y272" s="121" t="str">
        <f t="shared" si="30"/>
        <v/>
      </c>
    </row>
    <row r="273" spans="11:25" ht="17.100000000000001" customHeight="1" x14ac:dyDescent="0.25">
      <c r="K273" s="81" t="str">
        <f>IF(CÁLCULO!C287="","",CÁLCULO!C287)</f>
        <v/>
      </c>
      <c r="L273" s="81" t="str">
        <f t="shared" si="27"/>
        <v/>
      </c>
      <c r="M273" s="82" t="str">
        <f>IF(CÁLCULO!E287="","",CÁLCULO!E287)</f>
        <v/>
      </c>
      <c r="O273" s="81" t="str">
        <f>IF(CÁLCULO!G287="","",CÁLCULO!G287)</f>
        <v/>
      </c>
      <c r="P273" s="80" t="str">
        <f t="shared" si="25"/>
        <v/>
      </c>
      <c r="Q273" s="121" t="str">
        <f>IF(CÁLCULO!I287="","",CÁLCULO!I287)</f>
        <v/>
      </c>
      <c r="R273" s="87"/>
      <c r="S273" s="121" t="str">
        <f t="shared" si="28"/>
        <v/>
      </c>
      <c r="T273" s="121" t="str">
        <f t="shared" si="29"/>
        <v/>
      </c>
      <c r="U273" s="89"/>
      <c r="V273" s="80" t="str">
        <f t="shared" si="26"/>
        <v/>
      </c>
      <c r="W273" s="77" t="str">
        <f>IF(K273="","",SUM($S$5:S272)*$E$11*V273)</f>
        <v/>
      </c>
      <c r="Y273" s="121" t="str">
        <f t="shared" si="30"/>
        <v/>
      </c>
    </row>
    <row r="274" spans="11:25" ht="17.100000000000001" customHeight="1" x14ac:dyDescent="0.25">
      <c r="K274" s="81" t="str">
        <f>IF(CÁLCULO!C288="","",CÁLCULO!C288)</f>
        <v/>
      </c>
      <c r="L274" s="81" t="str">
        <f t="shared" si="27"/>
        <v/>
      </c>
      <c r="M274" s="82" t="str">
        <f>IF(CÁLCULO!E288="","",CÁLCULO!E288)</f>
        <v/>
      </c>
      <c r="O274" s="81" t="str">
        <f>IF(CÁLCULO!G288="","",CÁLCULO!G288)</f>
        <v/>
      </c>
      <c r="P274" s="80" t="str">
        <f t="shared" ref="P274:P337" si="31">IF(O274="","",O274+P273)</f>
        <v/>
      </c>
      <c r="Q274" s="121" t="str">
        <f>IF(CÁLCULO!I288="","",CÁLCULO!I288)</f>
        <v/>
      </c>
      <c r="R274" s="87"/>
      <c r="S274" s="121" t="str">
        <f t="shared" si="28"/>
        <v/>
      </c>
      <c r="T274" s="121" t="str">
        <f t="shared" si="29"/>
        <v/>
      </c>
      <c r="U274" s="89"/>
      <c r="V274" s="80" t="str">
        <f t="shared" si="26"/>
        <v/>
      </c>
      <c r="W274" s="77" t="str">
        <f>IF(K274="","",SUM($S$5:S273)*$E$11*V274)</f>
        <v/>
      </c>
      <c r="Y274" s="121" t="str">
        <f t="shared" si="30"/>
        <v/>
      </c>
    </row>
    <row r="275" spans="11:25" ht="17.100000000000001" customHeight="1" x14ac:dyDescent="0.25">
      <c r="K275" s="81" t="str">
        <f>IF(CÁLCULO!C289="","",CÁLCULO!C289)</f>
        <v/>
      </c>
      <c r="L275" s="81" t="str">
        <f t="shared" si="27"/>
        <v/>
      </c>
      <c r="M275" s="82" t="str">
        <f>IF(CÁLCULO!E289="","",CÁLCULO!E289)</f>
        <v/>
      </c>
      <c r="O275" s="81" t="str">
        <f>IF(CÁLCULO!G289="","",CÁLCULO!G289)</f>
        <v/>
      </c>
      <c r="P275" s="80" t="str">
        <f t="shared" si="31"/>
        <v/>
      </c>
      <c r="Q275" s="121" t="str">
        <f>IF(CÁLCULO!I289="","",CÁLCULO!I289)</f>
        <v/>
      </c>
      <c r="R275" s="87"/>
      <c r="S275" s="121" t="str">
        <f t="shared" si="28"/>
        <v/>
      </c>
      <c r="T275" s="121" t="str">
        <f t="shared" si="29"/>
        <v/>
      </c>
      <c r="U275" s="89"/>
      <c r="V275" s="80" t="str">
        <f t="shared" si="26"/>
        <v/>
      </c>
      <c r="W275" s="77" t="str">
        <f>IF(K275="","",SUM($S$5:S274)*$E$11*V275)</f>
        <v/>
      </c>
      <c r="Y275" s="121" t="str">
        <f t="shared" si="30"/>
        <v/>
      </c>
    </row>
    <row r="276" spans="11:25" ht="17.100000000000001" customHeight="1" x14ac:dyDescent="0.25">
      <c r="K276" s="81" t="str">
        <f>IF(CÁLCULO!C290="","",CÁLCULO!C290)</f>
        <v/>
      </c>
      <c r="L276" s="81" t="str">
        <f t="shared" si="27"/>
        <v/>
      </c>
      <c r="M276" s="82" t="str">
        <f>IF(CÁLCULO!E290="","",CÁLCULO!E290)</f>
        <v/>
      </c>
      <c r="O276" s="81" t="str">
        <f>IF(CÁLCULO!G290="","",CÁLCULO!G290)</f>
        <v/>
      </c>
      <c r="P276" s="80" t="str">
        <f t="shared" si="31"/>
        <v/>
      </c>
      <c r="Q276" s="121" t="str">
        <f>IF(CÁLCULO!I290="","",CÁLCULO!I290)</f>
        <v/>
      </c>
      <c r="R276" s="87"/>
      <c r="S276" s="121" t="str">
        <f t="shared" si="28"/>
        <v/>
      </c>
      <c r="T276" s="121" t="str">
        <f t="shared" si="29"/>
        <v/>
      </c>
      <c r="U276" s="89"/>
      <c r="V276" s="80" t="str">
        <f t="shared" si="26"/>
        <v/>
      </c>
      <c r="W276" s="77" t="str">
        <f>IF(K276="","",SUM($S$5:S275)*$E$11*V276)</f>
        <v/>
      </c>
      <c r="Y276" s="121" t="str">
        <f t="shared" si="30"/>
        <v/>
      </c>
    </row>
    <row r="277" spans="11:25" ht="17.100000000000001" customHeight="1" x14ac:dyDescent="0.25">
      <c r="K277" s="81" t="str">
        <f>IF(CÁLCULO!C291="","",CÁLCULO!C291)</f>
        <v/>
      </c>
      <c r="L277" s="81" t="str">
        <f t="shared" si="27"/>
        <v/>
      </c>
      <c r="M277" s="82" t="str">
        <f>IF(CÁLCULO!E291="","",CÁLCULO!E291)</f>
        <v/>
      </c>
      <c r="O277" s="81" t="str">
        <f>IF(CÁLCULO!G291="","",CÁLCULO!G291)</f>
        <v/>
      </c>
      <c r="P277" s="80" t="str">
        <f t="shared" si="31"/>
        <v/>
      </c>
      <c r="Q277" s="121" t="str">
        <f>IF(CÁLCULO!I291="","",CÁLCULO!I291)</f>
        <v/>
      </c>
      <c r="R277" s="87"/>
      <c r="S277" s="121" t="str">
        <f t="shared" si="28"/>
        <v/>
      </c>
      <c r="T277" s="121" t="str">
        <f t="shared" si="29"/>
        <v/>
      </c>
      <c r="U277" s="89"/>
      <c r="V277" s="80" t="str">
        <f t="shared" si="26"/>
        <v/>
      </c>
      <c r="W277" s="77" t="str">
        <f>IF(K277="","",SUM($S$5:S276)*$E$11*V277)</f>
        <v/>
      </c>
      <c r="Y277" s="121" t="str">
        <f t="shared" si="30"/>
        <v/>
      </c>
    </row>
    <row r="278" spans="11:25" ht="17.100000000000001" customHeight="1" x14ac:dyDescent="0.25">
      <c r="K278" s="81" t="str">
        <f>IF(CÁLCULO!C292="","",CÁLCULO!C292)</f>
        <v/>
      </c>
      <c r="L278" s="81" t="str">
        <f t="shared" si="27"/>
        <v/>
      </c>
      <c r="M278" s="82" t="str">
        <f>IF(CÁLCULO!E292="","",CÁLCULO!E292)</f>
        <v/>
      </c>
      <c r="O278" s="81" t="str">
        <f>IF(CÁLCULO!G292="","",CÁLCULO!G292)</f>
        <v/>
      </c>
      <c r="P278" s="80" t="str">
        <f t="shared" si="31"/>
        <v/>
      </c>
      <c r="Q278" s="121" t="str">
        <f>IF(CÁLCULO!I292="","",CÁLCULO!I292)</f>
        <v/>
      </c>
      <c r="R278" s="87"/>
      <c r="S278" s="121" t="str">
        <f t="shared" si="28"/>
        <v/>
      </c>
      <c r="T278" s="121" t="str">
        <f t="shared" si="29"/>
        <v/>
      </c>
      <c r="U278" s="89"/>
      <c r="V278" s="80" t="str">
        <f t="shared" si="26"/>
        <v/>
      </c>
      <c r="W278" s="77" t="str">
        <f>IF(K278="","",SUM($S$5:S277)*$E$11*V278)</f>
        <v/>
      </c>
      <c r="Y278" s="121" t="str">
        <f t="shared" si="30"/>
        <v/>
      </c>
    </row>
    <row r="279" spans="11:25" ht="17.100000000000001" customHeight="1" x14ac:dyDescent="0.25">
      <c r="K279" s="81" t="str">
        <f>IF(CÁLCULO!C293="","",CÁLCULO!C293)</f>
        <v/>
      </c>
      <c r="L279" s="81" t="str">
        <f t="shared" si="27"/>
        <v/>
      </c>
      <c r="M279" s="82" t="str">
        <f>IF(CÁLCULO!E293="","",CÁLCULO!E293)</f>
        <v/>
      </c>
      <c r="O279" s="81" t="str">
        <f>IF(CÁLCULO!G293="","",CÁLCULO!G293)</f>
        <v/>
      </c>
      <c r="P279" s="80" t="str">
        <f t="shared" si="31"/>
        <v/>
      </c>
      <c r="Q279" s="121" t="str">
        <f>IF(CÁLCULO!I293="","",CÁLCULO!I293)</f>
        <v/>
      </c>
      <c r="R279" s="87"/>
      <c r="S279" s="121" t="str">
        <f t="shared" si="28"/>
        <v/>
      </c>
      <c r="T279" s="121" t="str">
        <f t="shared" si="29"/>
        <v/>
      </c>
      <c r="U279" s="89"/>
      <c r="V279" s="80" t="str">
        <f t="shared" si="26"/>
        <v/>
      </c>
      <c r="W279" s="77" t="str">
        <f>IF(K279="","",SUM($S$5:S278)*$E$11*V279)</f>
        <v/>
      </c>
      <c r="Y279" s="121" t="str">
        <f t="shared" si="30"/>
        <v/>
      </c>
    </row>
    <row r="280" spans="11:25" ht="17.100000000000001" customHeight="1" x14ac:dyDescent="0.25">
      <c r="K280" s="81" t="str">
        <f>IF(CÁLCULO!C294="","",CÁLCULO!C294)</f>
        <v/>
      </c>
      <c r="L280" s="81" t="str">
        <f t="shared" si="27"/>
        <v/>
      </c>
      <c r="M280" s="82" t="str">
        <f>IF(CÁLCULO!E294="","",CÁLCULO!E294)</f>
        <v/>
      </c>
      <c r="O280" s="81" t="str">
        <f>IF(CÁLCULO!G294="","",CÁLCULO!G294)</f>
        <v/>
      </c>
      <c r="P280" s="80" t="str">
        <f t="shared" si="31"/>
        <v/>
      </c>
      <c r="Q280" s="121" t="str">
        <f>IF(CÁLCULO!I294="","",CÁLCULO!I294)</f>
        <v/>
      </c>
      <c r="R280" s="87"/>
      <c r="S280" s="121" t="str">
        <f t="shared" si="28"/>
        <v/>
      </c>
      <c r="T280" s="121" t="str">
        <f t="shared" si="29"/>
        <v/>
      </c>
      <c r="U280" s="89"/>
      <c r="V280" s="80" t="str">
        <f t="shared" si="26"/>
        <v/>
      </c>
      <c r="W280" s="77" t="str">
        <f>IF(K280="","",SUM($S$5:S279)*$E$11*V280)</f>
        <v/>
      </c>
      <c r="Y280" s="121" t="str">
        <f t="shared" si="30"/>
        <v/>
      </c>
    </row>
    <row r="281" spans="11:25" ht="17.100000000000001" customHeight="1" x14ac:dyDescent="0.25">
      <c r="K281" s="81" t="str">
        <f>IF(CÁLCULO!C295="","",CÁLCULO!C295)</f>
        <v/>
      </c>
      <c r="L281" s="81" t="str">
        <f t="shared" si="27"/>
        <v/>
      </c>
      <c r="M281" s="82" t="str">
        <f>IF(CÁLCULO!E295="","",CÁLCULO!E295)</f>
        <v/>
      </c>
      <c r="O281" s="81" t="str">
        <f>IF(CÁLCULO!G295="","",CÁLCULO!G295)</f>
        <v/>
      </c>
      <c r="P281" s="80" t="str">
        <f t="shared" si="31"/>
        <v/>
      </c>
      <c r="Q281" s="121" t="str">
        <f>IF(CÁLCULO!I295="","",CÁLCULO!I295)</f>
        <v/>
      </c>
      <c r="R281" s="87"/>
      <c r="S281" s="121" t="str">
        <f t="shared" si="28"/>
        <v/>
      </c>
      <c r="T281" s="121" t="str">
        <f t="shared" si="29"/>
        <v/>
      </c>
      <c r="U281" s="89"/>
      <c r="V281" s="80" t="str">
        <f t="shared" si="26"/>
        <v/>
      </c>
      <c r="W281" s="77" t="str">
        <f>IF(K281="","",SUM($S$5:S280)*$E$11*V281)</f>
        <v/>
      </c>
      <c r="Y281" s="121" t="str">
        <f t="shared" si="30"/>
        <v/>
      </c>
    </row>
    <row r="282" spans="11:25" ht="17.100000000000001" customHeight="1" x14ac:dyDescent="0.25">
      <c r="K282" s="81" t="str">
        <f>IF(CÁLCULO!C296="","",CÁLCULO!C296)</f>
        <v/>
      </c>
      <c r="L282" s="81" t="str">
        <f t="shared" si="27"/>
        <v/>
      </c>
      <c r="M282" s="82" t="str">
        <f>IF(CÁLCULO!E296="","",CÁLCULO!E296)</f>
        <v/>
      </c>
      <c r="O282" s="81" t="str">
        <f>IF(CÁLCULO!G296="","",CÁLCULO!G296)</f>
        <v/>
      </c>
      <c r="P282" s="80" t="str">
        <f t="shared" si="31"/>
        <v/>
      </c>
      <c r="Q282" s="121" t="str">
        <f>IF(CÁLCULO!I296="","",CÁLCULO!I296)</f>
        <v/>
      </c>
      <c r="R282" s="87"/>
      <c r="S282" s="121" t="str">
        <f t="shared" si="28"/>
        <v/>
      </c>
      <c r="T282" s="121" t="str">
        <f t="shared" si="29"/>
        <v/>
      </c>
      <c r="U282" s="89"/>
      <c r="V282" s="80" t="str">
        <f t="shared" si="26"/>
        <v/>
      </c>
      <c r="W282" s="77" t="str">
        <f>IF(K282="","",SUM($S$5:S281)*$E$11*V282)</f>
        <v/>
      </c>
      <c r="Y282" s="121" t="str">
        <f t="shared" si="30"/>
        <v/>
      </c>
    </row>
    <row r="283" spans="11:25" ht="17.100000000000001" customHeight="1" x14ac:dyDescent="0.25">
      <c r="K283" s="81" t="str">
        <f>IF(CÁLCULO!C297="","",CÁLCULO!C297)</f>
        <v/>
      </c>
      <c r="L283" s="81" t="str">
        <f t="shared" si="27"/>
        <v/>
      </c>
      <c r="M283" s="82" t="str">
        <f>IF(CÁLCULO!E297="","",CÁLCULO!E297)</f>
        <v/>
      </c>
      <c r="O283" s="81" t="str">
        <f>IF(CÁLCULO!G297="","",CÁLCULO!G297)</f>
        <v/>
      </c>
      <c r="P283" s="80" t="str">
        <f t="shared" si="31"/>
        <v/>
      </c>
      <c r="Q283" s="121" t="str">
        <f>IF(CÁLCULO!I297="","",CÁLCULO!I297)</f>
        <v/>
      </c>
      <c r="R283" s="87"/>
      <c r="S283" s="121" t="str">
        <f t="shared" si="28"/>
        <v/>
      </c>
      <c r="T283" s="121" t="str">
        <f t="shared" si="29"/>
        <v/>
      </c>
      <c r="U283" s="89"/>
      <c r="V283" s="80" t="str">
        <f t="shared" si="26"/>
        <v/>
      </c>
      <c r="W283" s="77" t="str">
        <f>IF(K283="","",SUM($S$5:S282)*$E$11*V283)</f>
        <v/>
      </c>
      <c r="Y283" s="121" t="str">
        <f t="shared" si="30"/>
        <v/>
      </c>
    </row>
    <row r="284" spans="11:25" ht="17.100000000000001" customHeight="1" x14ac:dyDescent="0.25">
      <c r="K284" s="81" t="str">
        <f>IF(CÁLCULO!C298="","",CÁLCULO!C298)</f>
        <v/>
      </c>
      <c r="L284" s="81" t="str">
        <f t="shared" si="27"/>
        <v/>
      </c>
      <c r="M284" s="82" t="str">
        <f>IF(CÁLCULO!E298="","",CÁLCULO!E298)</f>
        <v/>
      </c>
      <c r="O284" s="81" t="str">
        <f>IF(CÁLCULO!G298="","",CÁLCULO!G298)</f>
        <v/>
      </c>
      <c r="P284" s="80" t="str">
        <f t="shared" si="31"/>
        <v/>
      </c>
      <c r="Q284" s="121" t="str">
        <f>IF(CÁLCULO!I298="","",CÁLCULO!I298)</f>
        <v/>
      </c>
      <c r="R284" s="87"/>
      <c r="S284" s="121" t="str">
        <f t="shared" si="28"/>
        <v/>
      </c>
      <c r="T284" s="121" t="str">
        <f t="shared" si="29"/>
        <v/>
      </c>
      <c r="U284" s="89"/>
      <c r="V284" s="80" t="str">
        <f t="shared" si="26"/>
        <v/>
      </c>
      <c r="W284" s="77" t="str">
        <f>IF(K284="","",SUM($S$5:S283)*$E$11*V284)</f>
        <v/>
      </c>
      <c r="Y284" s="121" t="str">
        <f t="shared" si="30"/>
        <v/>
      </c>
    </row>
    <row r="285" spans="11:25" ht="17.100000000000001" customHeight="1" x14ac:dyDescent="0.25">
      <c r="K285" s="81" t="str">
        <f>IF(CÁLCULO!C299="","",CÁLCULO!C299)</f>
        <v/>
      </c>
      <c r="L285" s="81" t="str">
        <f t="shared" si="27"/>
        <v/>
      </c>
      <c r="M285" s="82" t="str">
        <f>IF(CÁLCULO!E299="","",CÁLCULO!E299)</f>
        <v/>
      </c>
      <c r="O285" s="81" t="str">
        <f>IF(CÁLCULO!G299="","",CÁLCULO!G299)</f>
        <v/>
      </c>
      <c r="P285" s="80" t="str">
        <f t="shared" si="31"/>
        <v/>
      </c>
      <c r="Q285" s="121" t="str">
        <f>IF(CÁLCULO!I299="","",CÁLCULO!I299)</f>
        <v/>
      </c>
      <c r="R285" s="87"/>
      <c r="S285" s="121" t="str">
        <f t="shared" si="28"/>
        <v/>
      </c>
      <c r="T285" s="121" t="str">
        <f t="shared" si="29"/>
        <v/>
      </c>
      <c r="U285" s="89"/>
      <c r="V285" s="80" t="str">
        <f t="shared" si="26"/>
        <v/>
      </c>
      <c r="W285" s="77" t="str">
        <f>IF(K285="","",SUM($S$5:S284)*$E$11*V285)</f>
        <v/>
      </c>
      <c r="Y285" s="121" t="str">
        <f t="shared" si="30"/>
        <v/>
      </c>
    </row>
    <row r="286" spans="11:25" ht="17.100000000000001" customHeight="1" x14ac:dyDescent="0.25">
      <c r="K286" s="81" t="str">
        <f>IF(CÁLCULO!C300="","",CÁLCULO!C300)</f>
        <v/>
      </c>
      <c r="L286" s="81" t="str">
        <f t="shared" si="27"/>
        <v/>
      </c>
      <c r="M286" s="82" t="str">
        <f>IF(CÁLCULO!E300="","",CÁLCULO!E300)</f>
        <v/>
      </c>
      <c r="O286" s="81" t="str">
        <f>IF(CÁLCULO!G300="","",CÁLCULO!G300)</f>
        <v/>
      </c>
      <c r="P286" s="80" t="str">
        <f t="shared" si="31"/>
        <v/>
      </c>
      <c r="Q286" s="121" t="str">
        <f>IF(CÁLCULO!I300="","",CÁLCULO!I300)</f>
        <v/>
      </c>
      <c r="R286" s="87"/>
      <c r="S286" s="121" t="str">
        <f t="shared" si="28"/>
        <v/>
      </c>
      <c r="T286" s="121" t="str">
        <f t="shared" si="29"/>
        <v/>
      </c>
      <c r="U286" s="89"/>
      <c r="V286" s="80" t="str">
        <f t="shared" si="26"/>
        <v/>
      </c>
      <c r="W286" s="77" t="str">
        <f>IF(K286="","",SUM($S$5:S285)*$E$11*V286)</f>
        <v/>
      </c>
      <c r="Y286" s="121" t="str">
        <f t="shared" si="30"/>
        <v/>
      </c>
    </row>
    <row r="287" spans="11:25" ht="17.100000000000001" customHeight="1" x14ac:dyDescent="0.25">
      <c r="K287" s="81" t="str">
        <f>IF(CÁLCULO!C301="","",CÁLCULO!C301)</f>
        <v/>
      </c>
      <c r="L287" s="81" t="str">
        <f t="shared" si="27"/>
        <v/>
      </c>
      <c r="M287" s="82" t="str">
        <f>IF(CÁLCULO!E301="","",CÁLCULO!E301)</f>
        <v/>
      </c>
      <c r="O287" s="81" t="str">
        <f>IF(CÁLCULO!G301="","",CÁLCULO!G301)</f>
        <v/>
      </c>
      <c r="P287" s="80" t="str">
        <f t="shared" si="31"/>
        <v/>
      </c>
      <c r="Q287" s="121" t="str">
        <f>IF(CÁLCULO!I301="","",CÁLCULO!I301)</f>
        <v/>
      </c>
      <c r="R287" s="87"/>
      <c r="S287" s="121" t="str">
        <f t="shared" si="28"/>
        <v/>
      </c>
      <c r="T287" s="121" t="str">
        <f t="shared" si="29"/>
        <v/>
      </c>
      <c r="U287" s="89"/>
      <c r="V287" s="80" t="str">
        <f t="shared" si="26"/>
        <v/>
      </c>
      <c r="W287" s="77" t="str">
        <f>IF(K287="","",SUM($S$5:S286)*$E$11*V287)</f>
        <v/>
      </c>
      <c r="Y287" s="121" t="str">
        <f t="shared" si="30"/>
        <v/>
      </c>
    </row>
    <row r="288" spans="11:25" ht="17.100000000000001" customHeight="1" x14ac:dyDescent="0.25">
      <c r="K288" s="81" t="str">
        <f>IF(CÁLCULO!C302="","",CÁLCULO!C302)</f>
        <v/>
      </c>
      <c r="L288" s="81" t="str">
        <f t="shared" si="27"/>
        <v/>
      </c>
      <c r="M288" s="82" t="str">
        <f>IF(CÁLCULO!E302="","",CÁLCULO!E302)</f>
        <v/>
      </c>
      <c r="O288" s="81" t="str">
        <f>IF(CÁLCULO!G302="","",CÁLCULO!G302)</f>
        <v/>
      </c>
      <c r="P288" s="80" t="str">
        <f t="shared" si="31"/>
        <v/>
      </c>
      <c r="Q288" s="121" t="str">
        <f>IF(CÁLCULO!I302="","",CÁLCULO!I302)</f>
        <v/>
      </c>
      <c r="R288" s="87"/>
      <c r="S288" s="121" t="str">
        <f t="shared" si="28"/>
        <v/>
      </c>
      <c r="T288" s="121" t="str">
        <f t="shared" si="29"/>
        <v/>
      </c>
      <c r="U288" s="89"/>
      <c r="V288" s="80" t="str">
        <f t="shared" si="26"/>
        <v/>
      </c>
      <c r="W288" s="77" t="str">
        <f>IF(K288="","",SUM($S$5:S287)*$E$11*V288)</f>
        <v/>
      </c>
      <c r="Y288" s="121" t="str">
        <f t="shared" si="30"/>
        <v/>
      </c>
    </row>
    <row r="289" spans="11:25" ht="17.100000000000001" customHeight="1" x14ac:dyDescent="0.25">
      <c r="K289" s="81" t="str">
        <f>IF(CÁLCULO!C303="","",CÁLCULO!C303)</f>
        <v/>
      </c>
      <c r="L289" s="81" t="str">
        <f t="shared" si="27"/>
        <v/>
      </c>
      <c r="M289" s="82" t="str">
        <f>IF(CÁLCULO!E303="","",CÁLCULO!E303)</f>
        <v/>
      </c>
      <c r="O289" s="81" t="str">
        <f>IF(CÁLCULO!G303="","",CÁLCULO!G303)</f>
        <v/>
      </c>
      <c r="P289" s="80" t="str">
        <f t="shared" si="31"/>
        <v/>
      </c>
      <c r="Q289" s="121" t="str">
        <f>IF(CÁLCULO!I303="","",CÁLCULO!I303)</f>
        <v/>
      </c>
      <c r="R289" s="87"/>
      <c r="S289" s="121" t="str">
        <f t="shared" si="28"/>
        <v/>
      </c>
      <c r="T289" s="121" t="str">
        <f t="shared" si="29"/>
        <v/>
      </c>
      <c r="U289" s="89"/>
      <c r="V289" s="80" t="str">
        <f t="shared" si="26"/>
        <v/>
      </c>
      <c r="W289" s="77" t="str">
        <f>IF(K289="","",SUM($S$5:S288)*$E$11*V289)</f>
        <v/>
      </c>
      <c r="Y289" s="121" t="str">
        <f t="shared" si="30"/>
        <v/>
      </c>
    </row>
    <row r="290" spans="11:25" ht="17.100000000000001" customHeight="1" x14ac:dyDescent="0.25">
      <c r="K290" s="81" t="str">
        <f>IF(CÁLCULO!C304="","",CÁLCULO!C304)</f>
        <v/>
      </c>
      <c r="L290" s="81" t="str">
        <f t="shared" si="27"/>
        <v/>
      </c>
      <c r="M290" s="82" t="str">
        <f>IF(CÁLCULO!E304="","",CÁLCULO!E304)</f>
        <v/>
      </c>
      <c r="O290" s="81" t="str">
        <f>IF(CÁLCULO!G304="","",CÁLCULO!G304)</f>
        <v/>
      </c>
      <c r="P290" s="80" t="str">
        <f t="shared" si="31"/>
        <v/>
      </c>
      <c r="Q290" s="121" t="str">
        <f>IF(CÁLCULO!I304="","",CÁLCULO!I304)</f>
        <v/>
      </c>
      <c r="R290" s="87"/>
      <c r="S290" s="121" t="str">
        <f t="shared" si="28"/>
        <v/>
      </c>
      <c r="T290" s="121" t="str">
        <f t="shared" si="29"/>
        <v/>
      </c>
      <c r="U290" s="89"/>
      <c r="V290" s="80" t="str">
        <f t="shared" si="26"/>
        <v/>
      </c>
      <c r="W290" s="77" t="str">
        <f>IF(K290="","",SUM($S$5:S289)*$E$11*V290)</f>
        <v/>
      </c>
      <c r="Y290" s="121" t="str">
        <f t="shared" si="30"/>
        <v/>
      </c>
    </row>
    <row r="291" spans="11:25" ht="17.100000000000001" customHeight="1" x14ac:dyDescent="0.25">
      <c r="K291" s="81" t="str">
        <f>IF(CÁLCULO!C305="","",CÁLCULO!C305)</f>
        <v/>
      </c>
      <c r="L291" s="81" t="str">
        <f t="shared" si="27"/>
        <v/>
      </c>
      <c r="M291" s="82" t="str">
        <f>IF(CÁLCULO!E305="","",CÁLCULO!E305)</f>
        <v/>
      </c>
      <c r="O291" s="81" t="str">
        <f>IF(CÁLCULO!G305="","",CÁLCULO!G305)</f>
        <v/>
      </c>
      <c r="P291" s="80" t="str">
        <f t="shared" si="31"/>
        <v/>
      </c>
      <c r="Q291" s="121" t="str">
        <f>IF(CÁLCULO!I305="","",CÁLCULO!I305)</f>
        <v/>
      </c>
      <c r="R291" s="87"/>
      <c r="S291" s="121" t="str">
        <f t="shared" si="28"/>
        <v/>
      </c>
      <c r="T291" s="121" t="str">
        <f t="shared" si="29"/>
        <v/>
      </c>
      <c r="U291" s="89"/>
      <c r="V291" s="80" t="str">
        <f t="shared" si="26"/>
        <v/>
      </c>
      <c r="W291" s="77" t="str">
        <f>IF(K291="","",SUM($S$5:S290)*$E$11*V291)</f>
        <v/>
      </c>
      <c r="Y291" s="121" t="str">
        <f t="shared" si="30"/>
        <v/>
      </c>
    </row>
    <row r="292" spans="11:25" ht="17.100000000000001" customHeight="1" x14ac:dyDescent="0.25">
      <c r="K292" s="81" t="str">
        <f>IF(CÁLCULO!C306="","",CÁLCULO!C306)</f>
        <v/>
      </c>
      <c r="L292" s="81" t="str">
        <f t="shared" si="27"/>
        <v/>
      </c>
      <c r="M292" s="82" t="str">
        <f>IF(CÁLCULO!E306="","",CÁLCULO!E306)</f>
        <v/>
      </c>
      <c r="O292" s="81" t="str">
        <f>IF(CÁLCULO!G306="","",CÁLCULO!G306)</f>
        <v/>
      </c>
      <c r="P292" s="80" t="str">
        <f t="shared" si="31"/>
        <v/>
      </c>
      <c r="Q292" s="121" t="str">
        <f>IF(CÁLCULO!I306="","",CÁLCULO!I306)</f>
        <v/>
      </c>
      <c r="R292" s="87"/>
      <c r="S292" s="121" t="str">
        <f t="shared" si="28"/>
        <v/>
      </c>
      <c r="T292" s="121" t="str">
        <f t="shared" si="29"/>
        <v/>
      </c>
      <c r="U292" s="89"/>
      <c r="V292" s="80" t="str">
        <f t="shared" si="26"/>
        <v/>
      </c>
      <c r="W292" s="77" t="str">
        <f>IF(K292="","",SUM($S$5:S291)*$E$11*V292)</f>
        <v/>
      </c>
      <c r="Y292" s="121" t="str">
        <f t="shared" si="30"/>
        <v/>
      </c>
    </row>
    <row r="293" spans="11:25" ht="17.100000000000001" customHeight="1" x14ac:dyDescent="0.25">
      <c r="K293" s="81" t="str">
        <f>IF(CÁLCULO!C307="","",CÁLCULO!C307)</f>
        <v/>
      </c>
      <c r="L293" s="81" t="str">
        <f t="shared" si="27"/>
        <v/>
      </c>
      <c r="M293" s="82" t="str">
        <f>IF(CÁLCULO!E307="","",CÁLCULO!E307)</f>
        <v/>
      </c>
      <c r="O293" s="81" t="str">
        <f>IF(CÁLCULO!G307="","",CÁLCULO!G307)</f>
        <v/>
      </c>
      <c r="P293" s="80" t="str">
        <f t="shared" si="31"/>
        <v/>
      </c>
      <c r="Q293" s="121" t="str">
        <f>IF(CÁLCULO!I307="","",CÁLCULO!I307)</f>
        <v/>
      </c>
      <c r="R293" s="87"/>
      <c r="S293" s="121" t="str">
        <f t="shared" si="28"/>
        <v/>
      </c>
      <c r="T293" s="121" t="str">
        <f t="shared" si="29"/>
        <v/>
      </c>
      <c r="U293" s="89"/>
      <c r="V293" s="80" t="str">
        <f t="shared" si="26"/>
        <v/>
      </c>
      <c r="W293" s="77" t="str">
        <f>IF(K293="","",SUM($S$5:S292)*$E$11*V293)</f>
        <v/>
      </c>
      <c r="Y293" s="121" t="str">
        <f t="shared" si="30"/>
        <v/>
      </c>
    </row>
    <row r="294" spans="11:25" ht="17.100000000000001" customHeight="1" x14ac:dyDescent="0.25">
      <c r="K294" s="81" t="str">
        <f>IF(CÁLCULO!C308="","",CÁLCULO!C308)</f>
        <v/>
      </c>
      <c r="L294" s="81" t="str">
        <f t="shared" si="27"/>
        <v/>
      </c>
      <c r="M294" s="82" t="str">
        <f>IF(CÁLCULO!E308="","",CÁLCULO!E308)</f>
        <v/>
      </c>
      <c r="O294" s="81" t="str">
        <f>IF(CÁLCULO!G308="","",CÁLCULO!G308)</f>
        <v/>
      </c>
      <c r="P294" s="80" t="str">
        <f t="shared" si="31"/>
        <v/>
      </c>
      <c r="Q294" s="121" t="str">
        <f>IF(CÁLCULO!I308="","",CÁLCULO!I308)</f>
        <v/>
      </c>
      <c r="R294" s="87"/>
      <c r="S294" s="121" t="str">
        <f t="shared" si="28"/>
        <v/>
      </c>
      <c r="T294" s="121" t="str">
        <f t="shared" si="29"/>
        <v/>
      </c>
      <c r="U294" s="89"/>
      <c r="V294" s="80" t="str">
        <f t="shared" si="26"/>
        <v/>
      </c>
      <c r="W294" s="77" t="str">
        <f>IF(K294="","",SUM($S$5:S293)*$E$11*V294)</f>
        <v/>
      </c>
      <c r="Y294" s="121" t="str">
        <f t="shared" si="30"/>
        <v/>
      </c>
    </row>
    <row r="295" spans="11:25" ht="17.100000000000001" customHeight="1" x14ac:dyDescent="0.25">
      <c r="K295" s="81" t="str">
        <f>IF(CÁLCULO!C309="","",CÁLCULO!C309)</f>
        <v/>
      </c>
      <c r="L295" s="81" t="str">
        <f t="shared" si="27"/>
        <v/>
      </c>
      <c r="M295" s="82" t="str">
        <f>IF(CÁLCULO!E309="","",CÁLCULO!E309)</f>
        <v/>
      </c>
      <c r="O295" s="81" t="str">
        <f>IF(CÁLCULO!G309="","",CÁLCULO!G309)</f>
        <v/>
      </c>
      <c r="P295" s="80" t="str">
        <f t="shared" si="31"/>
        <v/>
      </c>
      <c r="Q295" s="121" t="str">
        <f>IF(CÁLCULO!I309="","",CÁLCULO!I309)</f>
        <v/>
      </c>
      <c r="R295" s="87"/>
      <c r="S295" s="121" t="str">
        <f t="shared" si="28"/>
        <v/>
      </c>
      <c r="T295" s="121" t="str">
        <f t="shared" si="29"/>
        <v/>
      </c>
      <c r="U295" s="89"/>
      <c r="V295" s="80" t="str">
        <f t="shared" si="26"/>
        <v/>
      </c>
      <c r="W295" s="77" t="str">
        <f>IF(K295="","",SUM($S$5:S294)*$E$11*V295)</f>
        <v/>
      </c>
      <c r="Y295" s="121" t="str">
        <f t="shared" si="30"/>
        <v/>
      </c>
    </row>
    <row r="296" spans="11:25" ht="17.100000000000001" customHeight="1" x14ac:dyDescent="0.25">
      <c r="K296" s="81" t="str">
        <f>IF(CÁLCULO!C310="","",CÁLCULO!C310)</f>
        <v/>
      </c>
      <c r="L296" s="81" t="str">
        <f t="shared" si="27"/>
        <v/>
      </c>
      <c r="M296" s="82" t="str">
        <f>IF(CÁLCULO!E310="","",CÁLCULO!E310)</f>
        <v/>
      </c>
      <c r="O296" s="81" t="str">
        <f>IF(CÁLCULO!G310="","",CÁLCULO!G310)</f>
        <v/>
      </c>
      <c r="P296" s="80" t="str">
        <f t="shared" si="31"/>
        <v/>
      </c>
      <c r="Q296" s="121" t="str">
        <f>IF(CÁLCULO!I310="","",CÁLCULO!I310)</f>
        <v/>
      </c>
      <c r="R296" s="87"/>
      <c r="S296" s="121" t="str">
        <f t="shared" si="28"/>
        <v/>
      </c>
      <c r="T296" s="121" t="str">
        <f t="shared" si="29"/>
        <v/>
      </c>
      <c r="U296" s="89"/>
      <c r="V296" s="80" t="str">
        <f t="shared" si="26"/>
        <v/>
      </c>
      <c r="W296" s="77" t="str">
        <f>IF(K296="","",SUM($S$5:S295)*$E$11*V296)</f>
        <v/>
      </c>
      <c r="Y296" s="121" t="str">
        <f t="shared" si="30"/>
        <v/>
      </c>
    </row>
    <row r="297" spans="11:25" ht="17.100000000000001" customHeight="1" x14ac:dyDescent="0.25">
      <c r="K297" s="81" t="str">
        <f>IF(CÁLCULO!C311="","",CÁLCULO!C311)</f>
        <v/>
      </c>
      <c r="L297" s="81" t="str">
        <f t="shared" si="27"/>
        <v/>
      </c>
      <c r="M297" s="82" t="str">
        <f>IF(CÁLCULO!E311="","",CÁLCULO!E311)</f>
        <v/>
      </c>
      <c r="O297" s="81" t="str">
        <f>IF(CÁLCULO!G311="","",CÁLCULO!G311)</f>
        <v/>
      </c>
      <c r="P297" s="80" t="str">
        <f t="shared" si="31"/>
        <v/>
      </c>
      <c r="Q297" s="121" t="str">
        <f>IF(CÁLCULO!I311="","",CÁLCULO!I311)</f>
        <v/>
      </c>
      <c r="R297" s="87"/>
      <c r="S297" s="121" t="str">
        <f t="shared" si="28"/>
        <v/>
      </c>
      <c r="T297" s="121" t="str">
        <f t="shared" si="29"/>
        <v/>
      </c>
      <c r="U297" s="89"/>
      <c r="V297" s="80" t="str">
        <f t="shared" si="26"/>
        <v/>
      </c>
      <c r="W297" s="77" t="str">
        <f>IF(K297="","",SUM($S$5:S296)*$E$11*V297)</f>
        <v/>
      </c>
      <c r="Y297" s="121" t="str">
        <f t="shared" si="30"/>
        <v/>
      </c>
    </row>
    <row r="298" spans="11:25" ht="17.100000000000001" customHeight="1" x14ac:dyDescent="0.25">
      <c r="K298" s="81" t="str">
        <f>IF(CÁLCULO!C312="","",CÁLCULO!C312)</f>
        <v/>
      </c>
      <c r="L298" s="81" t="str">
        <f t="shared" si="27"/>
        <v/>
      </c>
      <c r="M298" s="82" t="str">
        <f>IF(CÁLCULO!E312="","",CÁLCULO!E312)</f>
        <v/>
      </c>
      <c r="O298" s="81" t="str">
        <f>IF(CÁLCULO!G312="","",CÁLCULO!G312)</f>
        <v/>
      </c>
      <c r="P298" s="80" t="str">
        <f t="shared" si="31"/>
        <v/>
      </c>
      <c r="Q298" s="121" t="str">
        <f>IF(CÁLCULO!I312="","",CÁLCULO!I312)</f>
        <v/>
      </c>
      <c r="R298" s="87"/>
      <c r="S298" s="121" t="str">
        <f t="shared" si="28"/>
        <v/>
      </c>
      <c r="T298" s="121" t="str">
        <f t="shared" si="29"/>
        <v/>
      </c>
      <c r="U298" s="89"/>
      <c r="V298" s="80" t="str">
        <f t="shared" si="26"/>
        <v/>
      </c>
      <c r="W298" s="77" t="str">
        <f>IF(K298="","",SUM($S$5:S297)*$E$11*V298)</f>
        <v/>
      </c>
      <c r="Y298" s="121" t="str">
        <f t="shared" si="30"/>
        <v/>
      </c>
    </row>
    <row r="299" spans="11:25" ht="17.100000000000001" customHeight="1" x14ac:dyDescent="0.25">
      <c r="K299" s="81" t="str">
        <f>IF(CÁLCULO!C313="","",CÁLCULO!C313)</f>
        <v/>
      </c>
      <c r="L299" s="81" t="str">
        <f t="shared" si="27"/>
        <v/>
      </c>
      <c r="M299" s="82" t="str">
        <f>IF(CÁLCULO!E313="","",CÁLCULO!E313)</f>
        <v/>
      </c>
      <c r="O299" s="81" t="str">
        <f>IF(CÁLCULO!G313="","",CÁLCULO!G313)</f>
        <v/>
      </c>
      <c r="P299" s="80" t="str">
        <f t="shared" si="31"/>
        <v/>
      </c>
      <c r="Q299" s="121" t="str">
        <f>IF(CÁLCULO!I313="","",CÁLCULO!I313)</f>
        <v/>
      </c>
      <c r="R299" s="87"/>
      <c r="S299" s="121" t="str">
        <f t="shared" si="28"/>
        <v/>
      </c>
      <c r="T299" s="121" t="str">
        <f t="shared" si="29"/>
        <v/>
      </c>
      <c r="U299" s="89"/>
      <c r="V299" s="80" t="str">
        <f t="shared" si="26"/>
        <v/>
      </c>
      <c r="W299" s="77" t="str">
        <f>IF(K299="","",SUM($S$5:S298)*$E$11*V299)</f>
        <v/>
      </c>
      <c r="Y299" s="121" t="str">
        <f t="shared" si="30"/>
        <v/>
      </c>
    </row>
    <row r="300" spans="11:25" ht="17.100000000000001" customHeight="1" x14ac:dyDescent="0.25">
      <c r="K300" s="81" t="str">
        <f>IF(CÁLCULO!C314="","",CÁLCULO!C314)</f>
        <v/>
      </c>
      <c r="L300" s="81" t="str">
        <f t="shared" si="27"/>
        <v/>
      </c>
      <c r="M300" s="82" t="str">
        <f>IF(CÁLCULO!E314="","",CÁLCULO!E314)</f>
        <v/>
      </c>
      <c r="O300" s="81" t="str">
        <f>IF(CÁLCULO!G314="","",CÁLCULO!G314)</f>
        <v/>
      </c>
      <c r="P300" s="80" t="str">
        <f t="shared" si="31"/>
        <v/>
      </c>
      <c r="Q300" s="121" t="str">
        <f>IF(CÁLCULO!I314="","",CÁLCULO!I314)</f>
        <v/>
      </c>
      <c r="R300" s="87"/>
      <c r="S300" s="121" t="str">
        <f t="shared" si="28"/>
        <v/>
      </c>
      <c r="T300" s="121" t="str">
        <f t="shared" si="29"/>
        <v/>
      </c>
      <c r="U300" s="89"/>
      <c r="V300" s="80" t="str">
        <f t="shared" si="26"/>
        <v/>
      </c>
      <c r="W300" s="77" t="str">
        <f>IF(K300="","",SUM($S$5:S299)*$E$11*V300)</f>
        <v/>
      </c>
      <c r="Y300" s="121" t="str">
        <f t="shared" si="30"/>
        <v/>
      </c>
    </row>
    <row r="301" spans="11:25" ht="17.100000000000001" customHeight="1" x14ac:dyDescent="0.25">
      <c r="K301" s="81" t="str">
        <f>IF(CÁLCULO!C315="","",CÁLCULO!C315)</f>
        <v/>
      </c>
      <c r="L301" s="81" t="str">
        <f t="shared" si="27"/>
        <v/>
      </c>
      <c r="M301" s="82" t="str">
        <f>IF(CÁLCULO!E315="","",CÁLCULO!E315)</f>
        <v/>
      </c>
      <c r="O301" s="81" t="str">
        <f>IF(CÁLCULO!G315="","",CÁLCULO!G315)</f>
        <v/>
      </c>
      <c r="P301" s="80" t="str">
        <f t="shared" si="31"/>
        <v/>
      </c>
      <c r="Q301" s="121" t="str">
        <f>IF(CÁLCULO!I315="","",CÁLCULO!I315)</f>
        <v/>
      </c>
      <c r="R301" s="87"/>
      <c r="S301" s="121" t="str">
        <f t="shared" si="28"/>
        <v/>
      </c>
      <c r="T301" s="121" t="str">
        <f t="shared" si="29"/>
        <v/>
      </c>
      <c r="U301" s="89"/>
      <c r="V301" s="80" t="str">
        <f t="shared" si="26"/>
        <v/>
      </c>
      <c r="W301" s="77" t="str">
        <f>IF(K301="","",SUM($S$5:S300)*$E$11*V301)</f>
        <v/>
      </c>
      <c r="Y301" s="121" t="str">
        <f t="shared" si="30"/>
        <v/>
      </c>
    </row>
    <row r="302" spans="11:25" ht="17.100000000000001" customHeight="1" x14ac:dyDescent="0.25">
      <c r="K302" s="81" t="str">
        <f>IF(CÁLCULO!C316="","",CÁLCULO!C316)</f>
        <v/>
      </c>
      <c r="L302" s="81" t="str">
        <f t="shared" si="27"/>
        <v/>
      </c>
      <c r="M302" s="82" t="str">
        <f>IF(CÁLCULO!E316="","",CÁLCULO!E316)</f>
        <v/>
      </c>
      <c r="O302" s="81" t="str">
        <f>IF(CÁLCULO!G316="","",CÁLCULO!G316)</f>
        <v/>
      </c>
      <c r="P302" s="80" t="str">
        <f t="shared" si="31"/>
        <v/>
      </c>
      <c r="Q302" s="121" t="str">
        <f>IF(CÁLCULO!I316="","",CÁLCULO!I316)</f>
        <v/>
      </c>
      <c r="R302" s="87"/>
      <c r="S302" s="121" t="str">
        <f t="shared" si="28"/>
        <v/>
      </c>
      <c r="T302" s="121" t="str">
        <f t="shared" si="29"/>
        <v/>
      </c>
      <c r="U302" s="89"/>
      <c r="V302" s="80" t="str">
        <f t="shared" si="26"/>
        <v/>
      </c>
      <c r="W302" s="77" t="str">
        <f>IF(K302="","",SUM($S$5:S301)*$E$11*V302)</f>
        <v/>
      </c>
      <c r="Y302" s="121" t="str">
        <f t="shared" si="30"/>
        <v/>
      </c>
    </row>
    <row r="303" spans="11:25" ht="17.100000000000001" customHeight="1" x14ac:dyDescent="0.25">
      <c r="K303" s="81" t="str">
        <f>IF(CÁLCULO!C317="","",CÁLCULO!C317)</f>
        <v/>
      </c>
      <c r="L303" s="81" t="str">
        <f t="shared" si="27"/>
        <v/>
      </c>
      <c r="M303" s="82" t="str">
        <f>IF(CÁLCULO!E317="","",CÁLCULO!E317)</f>
        <v/>
      </c>
      <c r="O303" s="81" t="str">
        <f>IF(CÁLCULO!G317="","",CÁLCULO!G317)</f>
        <v/>
      </c>
      <c r="P303" s="80" t="str">
        <f t="shared" si="31"/>
        <v/>
      </c>
      <c r="Q303" s="121" t="str">
        <f>IF(CÁLCULO!I317="","",CÁLCULO!I317)</f>
        <v/>
      </c>
      <c r="R303" s="87"/>
      <c r="S303" s="121" t="str">
        <f t="shared" si="28"/>
        <v/>
      </c>
      <c r="T303" s="121" t="str">
        <f t="shared" si="29"/>
        <v/>
      </c>
      <c r="U303" s="89"/>
      <c r="V303" s="80" t="str">
        <f t="shared" si="26"/>
        <v/>
      </c>
      <c r="W303" s="77" t="str">
        <f>IF(K303="","",SUM($S$5:S302)*$E$11*V303)</f>
        <v/>
      </c>
      <c r="Y303" s="121" t="str">
        <f t="shared" si="30"/>
        <v/>
      </c>
    </row>
    <row r="304" spans="11:25" ht="17.100000000000001" customHeight="1" x14ac:dyDescent="0.25">
      <c r="K304" s="81" t="str">
        <f>IF(CÁLCULO!C318="","",CÁLCULO!C318)</f>
        <v/>
      </c>
      <c r="L304" s="81" t="str">
        <f t="shared" si="27"/>
        <v/>
      </c>
      <c r="M304" s="82" t="str">
        <f>IF(CÁLCULO!E318="","",CÁLCULO!E318)</f>
        <v/>
      </c>
      <c r="O304" s="81" t="str">
        <f>IF(CÁLCULO!G318="","",CÁLCULO!G318)</f>
        <v/>
      </c>
      <c r="P304" s="80" t="str">
        <f t="shared" si="31"/>
        <v/>
      </c>
      <c r="Q304" s="121" t="str">
        <f>IF(CÁLCULO!I318="","",CÁLCULO!I318)</f>
        <v/>
      </c>
      <c r="R304" s="87"/>
      <c r="S304" s="121" t="str">
        <f t="shared" si="28"/>
        <v/>
      </c>
      <c r="T304" s="121" t="str">
        <f t="shared" si="29"/>
        <v/>
      </c>
      <c r="U304" s="89"/>
      <c r="V304" s="80" t="str">
        <f t="shared" si="26"/>
        <v/>
      </c>
      <c r="W304" s="77" t="str">
        <f>IF(K304="","",SUM($S$5:S303)*$E$11*V304)</f>
        <v/>
      </c>
      <c r="Y304" s="121" t="str">
        <f t="shared" si="30"/>
        <v/>
      </c>
    </row>
    <row r="305" spans="11:25" ht="17.100000000000001" customHeight="1" x14ac:dyDescent="0.25">
      <c r="K305" s="81" t="str">
        <f>IF(CÁLCULO!C319="","",CÁLCULO!C319)</f>
        <v/>
      </c>
      <c r="L305" s="81" t="str">
        <f t="shared" si="27"/>
        <v/>
      </c>
      <c r="M305" s="82" t="str">
        <f>IF(CÁLCULO!E319="","",CÁLCULO!E319)</f>
        <v/>
      </c>
      <c r="O305" s="81" t="str">
        <f>IF(CÁLCULO!G319="","",CÁLCULO!G319)</f>
        <v/>
      </c>
      <c r="P305" s="80" t="str">
        <f t="shared" si="31"/>
        <v/>
      </c>
      <c r="Q305" s="121" t="str">
        <f>IF(CÁLCULO!I319="","",CÁLCULO!I319)</f>
        <v/>
      </c>
      <c r="R305" s="87"/>
      <c r="S305" s="121" t="str">
        <f t="shared" si="28"/>
        <v/>
      </c>
      <c r="T305" s="121" t="str">
        <f t="shared" si="29"/>
        <v/>
      </c>
      <c r="U305" s="89"/>
      <c r="V305" s="80" t="str">
        <f t="shared" si="26"/>
        <v/>
      </c>
      <c r="W305" s="77" t="str">
        <f>IF(K305="","",SUM($S$5:S304)*$E$11*V305)</f>
        <v/>
      </c>
      <c r="Y305" s="121" t="str">
        <f t="shared" si="30"/>
        <v/>
      </c>
    </row>
    <row r="306" spans="11:25" ht="17.100000000000001" customHeight="1" x14ac:dyDescent="0.25">
      <c r="K306" s="81" t="str">
        <f>IF(CÁLCULO!C320="","",CÁLCULO!C320)</f>
        <v/>
      </c>
      <c r="L306" s="81" t="str">
        <f t="shared" si="27"/>
        <v/>
      </c>
      <c r="M306" s="82" t="str">
        <f>IF(CÁLCULO!E320="","",CÁLCULO!E320)</f>
        <v/>
      </c>
      <c r="O306" s="81" t="str">
        <f>IF(CÁLCULO!G320="","",CÁLCULO!G320)</f>
        <v/>
      </c>
      <c r="P306" s="80" t="str">
        <f t="shared" si="31"/>
        <v/>
      </c>
      <c r="Q306" s="121" t="str">
        <f>IF(CÁLCULO!I320="","",CÁLCULO!I320)</f>
        <v/>
      </c>
      <c r="R306" s="87"/>
      <c r="S306" s="121" t="str">
        <f t="shared" si="28"/>
        <v/>
      </c>
      <c r="T306" s="121" t="str">
        <f t="shared" si="29"/>
        <v/>
      </c>
      <c r="U306" s="89"/>
      <c r="V306" s="80" t="str">
        <f t="shared" si="26"/>
        <v/>
      </c>
      <c r="W306" s="77" t="str">
        <f>IF(K306="","",SUM($S$5:S305)*$E$11*V306)</f>
        <v/>
      </c>
      <c r="Y306" s="121" t="str">
        <f t="shared" si="30"/>
        <v/>
      </c>
    </row>
    <row r="307" spans="11:25" ht="17.100000000000001" customHeight="1" x14ac:dyDescent="0.25">
      <c r="K307" s="81" t="str">
        <f>IF(CÁLCULO!C321="","",CÁLCULO!C321)</f>
        <v/>
      </c>
      <c r="L307" s="81" t="str">
        <f t="shared" si="27"/>
        <v/>
      </c>
      <c r="M307" s="82" t="str">
        <f>IF(CÁLCULO!E321="","",CÁLCULO!E321)</f>
        <v/>
      </c>
      <c r="O307" s="81" t="str">
        <f>IF(CÁLCULO!G321="","",CÁLCULO!G321)</f>
        <v/>
      </c>
      <c r="P307" s="80" t="str">
        <f t="shared" si="31"/>
        <v/>
      </c>
      <c r="Q307" s="121" t="str">
        <f>IF(CÁLCULO!I321="","",CÁLCULO!I321)</f>
        <v/>
      </c>
      <c r="R307" s="87"/>
      <c r="S307" s="121" t="str">
        <f t="shared" si="28"/>
        <v/>
      </c>
      <c r="T307" s="121" t="str">
        <f t="shared" si="29"/>
        <v/>
      </c>
      <c r="U307" s="89"/>
      <c r="V307" s="80" t="str">
        <f t="shared" si="26"/>
        <v/>
      </c>
      <c r="W307" s="77" t="str">
        <f>IF(K307="","",SUM($S$5:S306)*$E$11*V307)</f>
        <v/>
      </c>
      <c r="Y307" s="121" t="str">
        <f t="shared" si="30"/>
        <v/>
      </c>
    </row>
    <row r="308" spans="11:25" ht="17.100000000000001" customHeight="1" x14ac:dyDescent="0.25">
      <c r="K308" s="81" t="str">
        <f>IF(CÁLCULO!C322="","",CÁLCULO!C322)</f>
        <v/>
      </c>
      <c r="L308" s="81" t="str">
        <f t="shared" si="27"/>
        <v/>
      </c>
      <c r="M308" s="82" t="str">
        <f>IF(CÁLCULO!E322="","",CÁLCULO!E322)</f>
        <v/>
      </c>
      <c r="O308" s="81" t="str">
        <f>IF(CÁLCULO!G322="","",CÁLCULO!G322)</f>
        <v/>
      </c>
      <c r="P308" s="80" t="str">
        <f t="shared" si="31"/>
        <v/>
      </c>
      <c r="Q308" s="121" t="str">
        <f>IF(CÁLCULO!I322="","",CÁLCULO!I322)</f>
        <v/>
      </c>
      <c r="R308" s="87"/>
      <c r="S308" s="121" t="str">
        <f t="shared" si="28"/>
        <v/>
      </c>
      <c r="T308" s="121" t="str">
        <f t="shared" si="29"/>
        <v/>
      </c>
      <c r="U308" s="89"/>
      <c r="V308" s="80" t="str">
        <f t="shared" si="26"/>
        <v/>
      </c>
      <c r="W308" s="77" t="str">
        <f>IF(K308="","",SUM($S$5:S307)*$E$11*V308)</f>
        <v/>
      </c>
      <c r="Y308" s="121" t="str">
        <f t="shared" si="30"/>
        <v/>
      </c>
    </row>
    <row r="309" spans="11:25" ht="17.100000000000001" customHeight="1" x14ac:dyDescent="0.25">
      <c r="K309" s="81" t="str">
        <f>IF(CÁLCULO!C323="","",CÁLCULO!C323)</f>
        <v/>
      </c>
      <c r="L309" s="81" t="str">
        <f t="shared" si="27"/>
        <v/>
      </c>
      <c r="M309" s="82" t="str">
        <f>IF(CÁLCULO!E323="","",CÁLCULO!E323)</f>
        <v/>
      </c>
      <c r="O309" s="81" t="str">
        <f>IF(CÁLCULO!G323="","",CÁLCULO!G323)</f>
        <v/>
      </c>
      <c r="P309" s="80" t="str">
        <f t="shared" si="31"/>
        <v/>
      </c>
      <c r="Q309" s="121" t="str">
        <f>IF(CÁLCULO!I323="","",CÁLCULO!I323)</f>
        <v/>
      </c>
      <c r="R309" s="87"/>
      <c r="S309" s="121" t="str">
        <f t="shared" si="28"/>
        <v/>
      </c>
      <c r="T309" s="121" t="str">
        <f t="shared" si="29"/>
        <v/>
      </c>
      <c r="U309" s="89"/>
      <c r="V309" s="80" t="str">
        <f t="shared" si="26"/>
        <v/>
      </c>
      <c r="W309" s="77" t="str">
        <f>IF(K309="","",SUM($S$5:S308)*$E$11*V309)</f>
        <v/>
      </c>
      <c r="Y309" s="121" t="str">
        <f t="shared" si="30"/>
        <v/>
      </c>
    </row>
    <row r="310" spans="11:25" ht="17.100000000000001" customHeight="1" x14ac:dyDescent="0.25">
      <c r="K310" s="81" t="str">
        <f>IF(CÁLCULO!C324="","",CÁLCULO!C324)</f>
        <v/>
      </c>
      <c r="L310" s="81" t="str">
        <f t="shared" si="27"/>
        <v/>
      </c>
      <c r="M310" s="82" t="str">
        <f>IF(CÁLCULO!E324="","",CÁLCULO!E324)</f>
        <v/>
      </c>
      <c r="O310" s="81" t="str">
        <f>IF(CÁLCULO!G324="","",CÁLCULO!G324)</f>
        <v/>
      </c>
      <c r="P310" s="80" t="str">
        <f t="shared" si="31"/>
        <v/>
      </c>
      <c r="Q310" s="121" t="str">
        <f>IF(CÁLCULO!I324="","",CÁLCULO!I324)</f>
        <v/>
      </c>
      <c r="R310" s="87"/>
      <c r="S310" s="121" t="str">
        <f t="shared" si="28"/>
        <v/>
      </c>
      <c r="T310" s="121" t="str">
        <f t="shared" si="29"/>
        <v/>
      </c>
      <c r="U310" s="89"/>
      <c r="V310" s="80" t="str">
        <f t="shared" si="26"/>
        <v/>
      </c>
      <c r="W310" s="77" t="str">
        <f>IF(K310="","",SUM($S$5:S309)*$E$11*V310)</f>
        <v/>
      </c>
      <c r="Y310" s="121" t="str">
        <f t="shared" si="30"/>
        <v/>
      </c>
    </row>
    <row r="311" spans="11:25" ht="17.100000000000001" customHeight="1" x14ac:dyDescent="0.25">
      <c r="K311" s="81" t="str">
        <f>IF(CÁLCULO!C325="","",CÁLCULO!C325)</f>
        <v/>
      </c>
      <c r="L311" s="81" t="str">
        <f t="shared" si="27"/>
        <v/>
      </c>
      <c r="M311" s="82" t="str">
        <f>IF(CÁLCULO!E325="","",CÁLCULO!E325)</f>
        <v/>
      </c>
      <c r="O311" s="81" t="str">
        <f>IF(CÁLCULO!G325="","",CÁLCULO!G325)</f>
        <v/>
      </c>
      <c r="P311" s="80" t="str">
        <f t="shared" si="31"/>
        <v/>
      </c>
      <c r="Q311" s="121" t="str">
        <f>IF(CÁLCULO!I325="","",CÁLCULO!I325)</f>
        <v/>
      </c>
      <c r="R311" s="87"/>
      <c r="S311" s="121" t="str">
        <f t="shared" si="28"/>
        <v/>
      </c>
      <c r="T311" s="121" t="str">
        <f t="shared" si="29"/>
        <v/>
      </c>
      <c r="U311" s="89"/>
      <c r="V311" s="80" t="str">
        <f t="shared" si="26"/>
        <v/>
      </c>
      <c r="W311" s="77" t="str">
        <f>IF(K311="","",SUM($S$5:S310)*$E$11*V311)</f>
        <v/>
      </c>
      <c r="Y311" s="121" t="str">
        <f t="shared" si="30"/>
        <v/>
      </c>
    </row>
    <row r="312" spans="11:25" ht="17.100000000000001" customHeight="1" x14ac:dyDescent="0.25">
      <c r="K312" s="81" t="str">
        <f>IF(CÁLCULO!C326="","",CÁLCULO!C326)</f>
        <v/>
      </c>
      <c r="L312" s="81" t="str">
        <f t="shared" si="27"/>
        <v/>
      </c>
      <c r="M312" s="82" t="str">
        <f>IF(CÁLCULO!E326="","",CÁLCULO!E326)</f>
        <v/>
      </c>
      <c r="O312" s="81" t="str">
        <f>IF(CÁLCULO!G326="","",CÁLCULO!G326)</f>
        <v/>
      </c>
      <c r="P312" s="80" t="str">
        <f t="shared" si="31"/>
        <v/>
      </c>
      <c r="Q312" s="121" t="str">
        <f>IF(CÁLCULO!I326="","",CÁLCULO!I326)</f>
        <v/>
      </c>
      <c r="R312" s="87"/>
      <c r="S312" s="121" t="str">
        <f t="shared" si="28"/>
        <v/>
      </c>
      <c r="T312" s="121" t="str">
        <f t="shared" si="29"/>
        <v/>
      </c>
      <c r="U312" s="89"/>
      <c r="V312" s="80" t="str">
        <f t="shared" si="26"/>
        <v/>
      </c>
      <c r="W312" s="77" t="str">
        <f>IF(K312="","",SUM($S$5:S311)*$E$11*V312)</f>
        <v/>
      </c>
      <c r="Y312" s="121" t="str">
        <f t="shared" si="30"/>
        <v/>
      </c>
    </row>
    <row r="313" spans="11:25" ht="17.100000000000001" customHeight="1" x14ac:dyDescent="0.25">
      <c r="K313" s="81" t="str">
        <f>IF(CÁLCULO!C327="","",CÁLCULO!C327)</f>
        <v/>
      </c>
      <c r="L313" s="81" t="str">
        <f t="shared" si="27"/>
        <v/>
      </c>
      <c r="M313" s="82" t="str">
        <f>IF(CÁLCULO!E327="","",CÁLCULO!E327)</f>
        <v/>
      </c>
      <c r="O313" s="81" t="str">
        <f>IF(CÁLCULO!G327="","",CÁLCULO!G327)</f>
        <v/>
      </c>
      <c r="P313" s="80" t="str">
        <f t="shared" si="31"/>
        <v/>
      </c>
      <c r="Q313" s="121" t="str">
        <f>IF(CÁLCULO!I327="","",CÁLCULO!I327)</f>
        <v/>
      </c>
      <c r="R313" s="87"/>
      <c r="S313" s="121" t="str">
        <f t="shared" si="28"/>
        <v/>
      </c>
      <c r="T313" s="121" t="str">
        <f t="shared" si="29"/>
        <v/>
      </c>
      <c r="U313" s="89"/>
      <c r="V313" s="80" t="str">
        <f t="shared" si="26"/>
        <v/>
      </c>
      <c r="W313" s="77" t="str">
        <f>IF(K313="","",SUM($S$5:S312)*$E$11*V313)</f>
        <v/>
      </c>
      <c r="Y313" s="121" t="str">
        <f t="shared" si="30"/>
        <v/>
      </c>
    </row>
    <row r="314" spans="11:25" ht="17.100000000000001" customHeight="1" x14ac:dyDescent="0.25">
      <c r="K314" s="81" t="str">
        <f>IF(CÁLCULO!C328="","",CÁLCULO!C328)</f>
        <v/>
      </c>
      <c r="L314" s="81" t="str">
        <f t="shared" si="27"/>
        <v/>
      </c>
      <c r="M314" s="82" t="str">
        <f>IF(CÁLCULO!E328="","",CÁLCULO!E328)</f>
        <v/>
      </c>
      <c r="O314" s="81" t="str">
        <f>IF(CÁLCULO!G328="","",CÁLCULO!G328)</f>
        <v/>
      </c>
      <c r="P314" s="80" t="str">
        <f t="shared" si="31"/>
        <v/>
      </c>
      <c r="Q314" s="121" t="str">
        <f>IF(CÁLCULO!I328="","",CÁLCULO!I328)</f>
        <v/>
      </c>
      <c r="R314" s="87"/>
      <c r="S314" s="121" t="str">
        <f t="shared" si="28"/>
        <v/>
      </c>
      <c r="T314" s="121" t="str">
        <f t="shared" si="29"/>
        <v/>
      </c>
      <c r="U314" s="89"/>
      <c r="V314" s="80" t="str">
        <f t="shared" si="26"/>
        <v/>
      </c>
      <c r="W314" s="77" t="str">
        <f>IF(K314="","",SUM($S$5:S313)*$E$11*V314)</f>
        <v/>
      </c>
      <c r="Y314" s="121" t="str">
        <f t="shared" si="30"/>
        <v/>
      </c>
    </row>
    <row r="315" spans="11:25" ht="17.100000000000001" customHeight="1" x14ac:dyDescent="0.25">
      <c r="K315" s="81" t="str">
        <f>IF(CÁLCULO!C329="","",CÁLCULO!C329)</f>
        <v/>
      </c>
      <c r="L315" s="81" t="str">
        <f t="shared" si="27"/>
        <v/>
      </c>
      <c r="M315" s="82" t="str">
        <f>IF(CÁLCULO!E329="","",CÁLCULO!E329)</f>
        <v/>
      </c>
      <c r="O315" s="81" t="str">
        <f>IF(CÁLCULO!G329="","",CÁLCULO!G329)</f>
        <v/>
      </c>
      <c r="P315" s="80" t="str">
        <f t="shared" si="31"/>
        <v/>
      </c>
      <c r="Q315" s="121" t="str">
        <f>IF(CÁLCULO!I329="","",CÁLCULO!I329)</f>
        <v/>
      </c>
      <c r="R315" s="87"/>
      <c r="S315" s="121" t="str">
        <f t="shared" si="28"/>
        <v/>
      </c>
      <c r="T315" s="121" t="str">
        <f t="shared" si="29"/>
        <v/>
      </c>
      <c r="U315" s="89"/>
      <c r="V315" s="80" t="str">
        <f t="shared" si="26"/>
        <v/>
      </c>
      <c r="W315" s="77" t="str">
        <f>IF(K315="","",SUM($S$5:S314)*$E$11*V315)</f>
        <v/>
      </c>
      <c r="Y315" s="121" t="str">
        <f t="shared" si="30"/>
        <v/>
      </c>
    </row>
    <row r="316" spans="11:25" ht="17.100000000000001" customHeight="1" x14ac:dyDescent="0.25">
      <c r="K316" s="81" t="str">
        <f>IF(CÁLCULO!C330="","",CÁLCULO!C330)</f>
        <v/>
      </c>
      <c r="L316" s="81" t="str">
        <f t="shared" si="27"/>
        <v/>
      </c>
      <c r="M316" s="82" t="str">
        <f>IF(CÁLCULO!E330="","",CÁLCULO!E330)</f>
        <v/>
      </c>
      <c r="O316" s="81" t="str">
        <f>IF(CÁLCULO!G330="","",CÁLCULO!G330)</f>
        <v/>
      </c>
      <c r="P316" s="80" t="str">
        <f t="shared" si="31"/>
        <v/>
      </c>
      <c r="Q316" s="121" t="str">
        <f>IF(CÁLCULO!I330="","",CÁLCULO!I330)</f>
        <v/>
      </c>
      <c r="R316" s="87"/>
      <c r="S316" s="121" t="str">
        <f t="shared" si="28"/>
        <v/>
      </c>
      <c r="T316" s="121" t="str">
        <f t="shared" si="29"/>
        <v/>
      </c>
      <c r="U316" s="89"/>
      <c r="V316" s="80" t="str">
        <f t="shared" si="26"/>
        <v/>
      </c>
      <c r="W316" s="77" t="str">
        <f>IF(K316="","",SUM($S$5:S315)*$E$11*V316)</f>
        <v/>
      </c>
      <c r="Y316" s="121" t="str">
        <f t="shared" si="30"/>
        <v/>
      </c>
    </row>
    <row r="317" spans="11:25" ht="17.100000000000001" customHeight="1" x14ac:dyDescent="0.25">
      <c r="K317" s="81" t="str">
        <f>IF(CÁLCULO!C331="","",CÁLCULO!C331)</f>
        <v/>
      </c>
      <c r="L317" s="81" t="str">
        <f t="shared" si="27"/>
        <v/>
      </c>
      <c r="M317" s="82" t="str">
        <f>IF(CÁLCULO!E331="","",CÁLCULO!E331)</f>
        <v/>
      </c>
      <c r="O317" s="81" t="str">
        <f>IF(CÁLCULO!G331="","",CÁLCULO!G331)</f>
        <v/>
      </c>
      <c r="P317" s="80" t="str">
        <f t="shared" si="31"/>
        <v/>
      </c>
      <c r="Q317" s="121" t="str">
        <f>IF(CÁLCULO!I331="","",CÁLCULO!I331)</f>
        <v/>
      </c>
      <c r="R317" s="87"/>
      <c r="S317" s="121" t="str">
        <f t="shared" si="28"/>
        <v/>
      </c>
      <c r="T317" s="121" t="str">
        <f t="shared" si="29"/>
        <v/>
      </c>
      <c r="U317" s="89"/>
      <c r="V317" s="80" t="str">
        <f t="shared" si="26"/>
        <v/>
      </c>
      <c r="W317" s="77" t="str">
        <f>IF(K317="","",SUM($S$5:S316)*$E$11*V317)</f>
        <v/>
      </c>
      <c r="Y317" s="121" t="str">
        <f t="shared" si="30"/>
        <v/>
      </c>
    </row>
    <row r="318" spans="11:25" ht="17.100000000000001" customHeight="1" x14ac:dyDescent="0.25">
      <c r="K318" s="81" t="str">
        <f>IF(CÁLCULO!C332="","",CÁLCULO!C332)</f>
        <v/>
      </c>
      <c r="L318" s="81" t="str">
        <f t="shared" si="27"/>
        <v/>
      </c>
      <c r="M318" s="82" t="str">
        <f>IF(CÁLCULO!E332="","",CÁLCULO!E332)</f>
        <v/>
      </c>
      <c r="O318" s="81" t="str">
        <f>IF(CÁLCULO!G332="","",CÁLCULO!G332)</f>
        <v/>
      </c>
      <c r="P318" s="80" t="str">
        <f t="shared" si="31"/>
        <v/>
      </c>
      <c r="Q318" s="121" t="str">
        <f>IF(CÁLCULO!I332="","",CÁLCULO!I332)</f>
        <v/>
      </c>
      <c r="R318" s="87"/>
      <c r="S318" s="121" t="str">
        <f t="shared" si="28"/>
        <v/>
      </c>
      <c r="T318" s="121" t="str">
        <f t="shared" si="29"/>
        <v/>
      </c>
      <c r="U318" s="89"/>
      <c r="V318" s="80" t="str">
        <f t="shared" si="26"/>
        <v/>
      </c>
      <c r="W318" s="77" t="str">
        <f>IF(K318="","",SUM($S$5:S317)*$E$11*V318)</f>
        <v/>
      </c>
      <c r="Y318" s="121" t="str">
        <f t="shared" si="30"/>
        <v/>
      </c>
    </row>
    <row r="319" spans="11:25" ht="17.100000000000001" customHeight="1" x14ac:dyDescent="0.25">
      <c r="K319" s="81" t="str">
        <f>IF(CÁLCULO!C333="","",CÁLCULO!C333)</f>
        <v/>
      </c>
      <c r="L319" s="81" t="str">
        <f t="shared" si="27"/>
        <v/>
      </c>
      <c r="M319" s="82" t="str">
        <f>IF(CÁLCULO!E333="","",CÁLCULO!E333)</f>
        <v/>
      </c>
      <c r="O319" s="81" t="str">
        <f>IF(CÁLCULO!G333="","",CÁLCULO!G333)</f>
        <v/>
      </c>
      <c r="P319" s="80" t="str">
        <f t="shared" si="31"/>
        <v/>
      </c>
      <c r="Q319" s="121" t="str">
        <f>IF(CÁLCULO!I333="","",CÁLCULO!I333)</f>
        <v/>
      </c>
      <c r="R319" s="87"/>
      <c r="S319" s="121" t="str">
        <f t="shared" si="28"/>
        <v/>
      </c>
      <c r="T319" s="121" t="str">
        <f t="shared" si="29"/>
        <v/>
      </c>
      <c r="U319" s="89"/>
      <c r="V319" s="80" t="str">
        <f t="shared" si="26"/>
        <v/>
      </c>
      <c r="W319" s="77" t="str">
        <f>IF(K319="","",SUM($S$5:S318)*$E$11*V319)</f>
        <v/>
      </c>
      <c r="Y319" s="121" t="str">
        <f t="shared" si="30"/>
        <v/>
      </c>
    </row>
    <row r="320" spans="11:25" ht="17.100000000000001" customHeight="1" x14ac:dyDescent="0.25">
      <c r="K320" s="81" t="str">
        <f>IF(CÁLCULO!C334="","",CÁLCULO!C334)</f>
        <v/>
      </c>
      <c r="L320" s="81" t="str">
        <f t="shared" si="27"/>
        <v/>
      </c>
      <c r="M320" s="82" t="str">
        <f>IF(CÁLCULO!E334="","",CÁLCULO!E334)</f>
        <v/>
      </c>
      <c r="O320" s="81" t="str">
        <f>IF(CÁLCULO!G334="","",CÁLCULO!G334)</f>
        <v/>
      </c>
      <c r="P320" s="80" t="str">
        <f t="shared" si="31"/>
        <v/>
      </c>
      <c r="Q320" s="121" t="str">
        <f>IF(CÁLCULO!I334="","",CÁLCULO!I334)</f>
        <v/>
      </c>
      <c r="R320" s="87"/>
      <c r="S320" s="121" t="str">
        <f t="shared" si="28"/>
        <v/>
      </c>
      <c r="T320" s="121" t="str">
        <f t="shared" si="29"/>
        <v/>
      </c>
      <c r="U320" s="89"/>
      <c r="V320" s="80" t="str">
        <f t="shared" si="26"/>
        <v/>
      </c>
      <c r="W320" s="77" t="str">
        <f>IF(K320="","",SUM($S$5:S319)*$E$11*V320)</f>
        <v/>
      </c>
      <c r="Y320" s="121" t="str">
        <f t="shared" si="30"/>
        <v/>
      </c>
    </row>
    <row r="321" spans="11:25" ht="17.100000000000001" customHeight="1" x14ac:dyDescent="0.25">
      <c r="K321" s="81" t="str">
        <f>IF(CÁLCULO!C335="","",CÁLCULO!C335)</f>
        <v/>
      </c>
      <c r="L321" s="81" t="str">
        <f t="shared" si="27"/>
        <v/>
      </c>
      <c r="M321" s="82" t="str">
        <f>IF(CÁLCULO!E335="","",CÁLCULO!E335)</f>
        <v/>
      </c>
      <c r="O321" s="81" t="str">
        <f>IF(CÁLCULO!G335="","",CÁLCULO!G335)</f>
        <v/>
      </c>
      <c r="P321" s="80" t="str">
        <f t="shared" si="31"/>
        <v/>
      </c>
      <c r="Q321" s="121" t="str">
        <f>IF(CÁLCULO!I335="","",CÁLCULO!I335)</f>
        <v/>
      </c>
      <c r="R321" s="87"/>
      <c r="S321" s="121" t="str">
        <f t="shared" si="28"/>
        <v/>
      </c>
      <c r="T321" s="121" t="str">
        <f t="shared" si="29"/>
        <v/>
      </c>
      <c r="U321" s="89"/>
      <c r="V321" s="80" t="str">
        <f t="shared" si="26"/>
        <v/>
      </c>
      <c r="W321" s="77" t="str">
        <f>IF(K321="","",SUM($S$5:S320)*$E$11*V321)</f>
        <v/>
      </c>
      <c r="Y321" s="121" t="str">
        <f t="shared" si="30"/>
        <v/>
      </c>
    </row>
    <row r="322" spans="11:25" ht="17.100000000000001" customHeight="1" x14ac:dyDescent="0.25">
      <c r="K322" s="81" t="str">
        <f>IF(CÁLCULO!C336="","",CÁLCULO!C336)</f>
        <v/>
      </c>
      <c r="L322" s="81" t="str">
        <f t="shared" si="27"/>
        <v/>
      </c>
      <c r="M322" s="82" t="str">
        <f>IF(CÁLCULO!E336="","",CÁLCULO!E336)</f>
        <v/>
      </c>
      <c r="O322" s="81" t="str">
        <f>IF(CÁLCULO!G336="","",CÁLCULO!G336)</f>
        <v/>
      </c>
      <c r="P322" s="80" t="str">
        <f t="shared" si="31"/>
        <v/>
      </c>
      <c r="Q322" s="121" t="str">
        <f>IF(CÁLCULO!I336="","",CÁLCULO!I336)</f>
        <v/>
      </c>
      <c r="R322" s="87"/>
      <c r="S322" s="121" t="str">
        <f t="shared" si="28"/>
        <v/>
      </c>
      <c r="T322" s="121" t="str">
        <f t="shared" si="29"/>
        <v/>
      </c>
      <c r="U322" s="89"/>
      <c r="V322" s="80" t="str">
        <f t="shared" si="26"/>
        <v/>
      </c>
      <c r="W322" s="77" t="str">
        <f>IF(K322="","",SUM($S$5:S321)*$E$11*V322)</f>
        <v/>
      </c>
      <c r="Y322" s="121" t="str">
        <f t="shared" si="30"/>
        <v/>
      </c>
    </row>
    <row r="323" spans="11:25" ht="17.100000000000001" customHeight="1" x14ac:dyDescent="0.25">
      <c r="K323" s="81" t="str">
        <f>IF(CÁLCULO!C337="","",CÁLCULO!C337)</f>
        <v/>
      </c>
      <c r="L323" s="81" t="str">
        <f t="shared" si="27"/>
        <v/>
      </c>
      <c r="M323" s="82" t="str">
        <f>IF(CÁLCULO!E337="","",CÁLCULO!E337)</f>
        <v/>
      </c>
      <c r="O323" s="81" t="str">
        <f>IF(CÁLCULO!G337="","",CÁLCULO!G337)</f>
        <v/>
      </c>
      <c r="P323" s="80" t="str">
        <f t="shared" si="31"/>
        <v/>
      </c>
      <c r="Q323" s="121" t="str">
        <f>IF(CÁLCULO!I337="","",CÁLCULO!I337)</f>
        <v/>
      </c>
      <c r="R323" s="87"/>
      <c r="S323" s="121" t="str">
        <f t="shared" si="28"/>
        <v/>
      </c>
      <c r="T323" s="121" t="str">
        <f t="shared" si="29"/>
        <v/>
      </c>
      <c r="U323" s="89"/>
      <c r="V323" s="80" t="str">
        <f t="shared" si="26"/>
        <v/>
      </c>
      <c r="W323" s="77" t="str">
        <f>IF(K323="","",SUM($S$5:S322)*$E$11*V323)</f>
        <v/>
      </c>
      <c r="Y323" s="121" t="str">
        <f t="shared" si="30"/>
        <v/>
      </c>
    </row>
    <row r="324" spans="11:25" ht="17.100000000000001" customHeight="1" x14ac:dyDescent="0.25">
      <c r="K324" s="81" t="str">
        <f>IF(CÁLCULO!C338="","",CÁLCULO!C338)</f>
        <v/>
      </c>
      <c r="L324" s="81" t="str">
        <f t="shared" si="27"/>
        <v/>
      </c>
      <c r="M324" s="82" t="str">
        <f>IF(CÁLCULO!E338="","",CÁLCULO!E338)</f>
        <v/>
      </c>
      <c r="O324" s="81" t="str">
        <f>IF(CÁLCULO!G338="","",CÁLCULO!G338)</f>
        <v/>
      </c>
      <c r="P324" s="80" t="str">
        <f t="shared" si="31"/>
        <v/>
      </c>
      <c r="Q324" s="121" t="str">
        <f>IF(CÁLCULO!I338="","",CÁLCULO!I338)</f>
        <v/>
      </c>
      <c r="R324" s="87"/>
      <c r="S324" s="121" t="str">
        <f t="shared" si="28"/>
        <v/>
      </c>
      <c r="T324" s="121" t="str">
        <f t="shared" si="29"/>
        <v/>
      </c>
      <c r="U324" s="89"/>
      <c r="V324" s="80" t="str">
        <f t="shared" si="26"/>
        <v/>
      </c>
      <c r="W324" s="77" t="str">
        <f>IF(K324="","",SUM($S$5:S323)*$E$11*V324)</f>
        <v/>
      </c>
      <c r="Y324" s="121" t="str">
        <f t="shared" si="30"/>
        <v/>
      </c>
    </row>
    <row r="325" spans="11:25" ht="17.100000000000001" customHeight="1" x14ac:dyDescent="0.25">
      <c r="K325" s="81" t="str">
        <f>IF(CÁLCULO!C339="","",CÁLCULO!C339)</f>
        <v/>
      </c>
      <c r="L325" s="81" t="str">
        <f t="shared" si="27"/>
        <v/>
      </c>
      <c r="M325" s="82" t="str">
        <f>IF(CÁLCULO!E339="","",CÁLCULO!E339)</f>
        <v/>
      </c>
      <c r="O325" s="81" t="str">
        <f>IF(CÁLCULO!G339="","",CÁLCULO!G339)</f>
        <v/>
      </c>
      <c r="P325" s="80" t="str">
        <f t="shared" si="31"/>
        <v/>
      </c>
      <c r="Q325" s="121" t="str">
        <f>IF(CÁLCULO!I339="","",CÁLCULO!I339)</f>
        <v/>
      </c>
      <c r="R325" s="87"/>
      <c r="S325" s="121" t="str">
        <f t="shared" si="28"/>
        <v/>
      </c>
      <c r="T325" s="121" t="str">
        <f t="shared" si="29"/>
        <v/>
      </c>
      <c r="U325" s="89"/>
      <c r="V325" s="80" t="str">
        <f t="shared" ref="V325:V388" si="32">IF(K325="","",IF(O325-(P325-365)&lt;0,0,IF(P325&gt;365,O325-(P325-365),O325)))</f>
        <v/>
      </c>
      <c r="W325" s="77" t="str">
        <f>IF(K325="","",SUM($S$5:S324)*$E$11*V325)</f>
        <v/>
      </c>
      <c r="Y325" s="121" t="str">
        <f t="shared" si="30"/>
        <v/>
      </c>
    </row>
    <row r="326" spans="11:25" ht="17.100000000000001" customHeight="1" x14ac:dyDescent="0.25">
      <c r="K326" s="81" t="str">
        <f>IF(CÁLCULO!C340="","",CÁLCULO!C340)</f>
        <v/>
      </c>
      <c r="L326" s="81" t="str">
        <f t="shared" ref="L326:L389" si="33">IF(K326="","",IF(K326&lt;=TempoCarencia,"-",IF(K326=TempoCarencia+1,1,IF(L325&gt;0,L325+1,""))))</f>
        <v/>
      </c>
      <c r="M326" s="82" t="str">
        <f>IF(CÁLCULO!E340="","",CÁLCULO!E340)</f>
        <v/>
      </c>
      <c r="O326" s="81" t="str">
        <f>IF(CÁLCULO!G340="","",CÁLCULO!G340)</f>
        <v/>
      </c>
      <c r="P326" s="80" t="str">
        <f t="shared" si="31"/>
        <v/>
      </c>
      <c r="Q326" s="121" t="str">
        <f>IF(CÁLCULO!I340="","",CÁLCULO!I340)</f>
        <v/>
      </c>
      <c r="R326" s="87"/>
      <c r="S326" s="121" t="str">
        <f t="shared" ref="S326:S389" si="34">IF(K326="","",PV(TxJurosAoDia,P326,,-Q326))</f>
        <v/>
      </c>
      <c r="T326" s="121" t="str">
        <f t="shared" si="29"/>
        <v/>
      </c>
      <c r="U326" s="89"/>
      <c r="V326" s="80" t="str">
        <f t="shared" si="32"/>
        <v/>
      </c>
      <c r="W326" s="77" t="str">
        <f>IF(K326="","",SUM($S$5:S325)*$E$11*V326)</f>
        <v/>
      </c>
      <c r="Y326" s="121" t="str">
        <f t="shared" si="30"/>
        <v/>
      </c>
    </row>
    <row r="327" spans="11:25" ht="17.100000000000001" customHeight="1" x14ac:dyDescent="0.25">
      <c r="K327" s="81" t="str">
        <f>IF(CÁLCULO!C341="","",CÁLCULO!C341)</f>
        <v/>
      </c>
      <c r="L327" s="81" t="str">
        <f t="shared" si="33"/>
        <v/>
      </c>
      <c r="M327" s="82" t="str">
        <f>IF(CÁLCULO!E341="","",CÁLCULO!E341)</f>
        <v/>
      </c>
      <c r="O327" s="81" t="str">
        <f>IF(CÁLCULO!G341="","",CÁLCULO!G341)</f>
        <v/>
      </c>
      <c r="P327" s="80" t="str">
        <f t="shared" si="31"/>
        <v/>
      </c>
      <c r="Q327" s="121" t="str">
        <f>IF(CÁLCULO!I341="","",CÁLCULO!I341)</f>
        <v/>
      </c>
      <c r="R327" s="87"/>
      <c r="S327" s="121" t="str">
        <f t="shared" si="34"/>
        <v/>
      </c>
      <c r="T327" s="121" t="str">
        <f t="shared" ref="T327:T390" si="35">IF(K327="","",T326+S327)</f>
        <v/>
      </c>
      <c r="U327" s="89"/>
      <c r="V327" s="80" t="str">
        <f t="shared" si="32"/>
        <v/>
      </c>
      <c r="W327" s="77" t="str">
        <f>IF(K327="","",SUM($S$5:S326)*$E$11*V327)</f>
        <v/>
      </c>
      <c r="Y327" s="121" t="str">
        <f t="shared" ref="Y327:Y390" si="36">Q327</f>
        <v/>
      </c>
    </row>
    <row r="328" spans="11:25" ht="17.100000000000001" customHeight="1" x14ac:dyDescent="0.25">
      <c r="K328" s="81" t="str">
        <f>IF(CÁLCULO!C342="","",CÁLCULO!C342)</f>
        <v/>
      </c>
      <c r="L328" s="81" t="str">
        <f t="shared" si="33"/>
        <v/>
      </c>
      <c r="M328" s="82" t="str">
        <f>IF(CÁLCULO!E342="","",CÁLCULO!E342)</f>
        <v/>
      </c>
      <c r="O328" s="81" t="str">
        <f>IF(CÁLCULO!G342="","",CÁLCULO!G342)</f>
        <v/>
      </c>
      <c r="P328" s="80" t="str">
        <f t="shared" si="31"/>
        <v/>
      </c>
      <c r="Q328" s="121" t="str">
        <f>IF(CÁLCULO!I342="","",CÁLCULO!I342)</f>
        <v/>
      </c>
      <c r="R328" s="87"/>
      <c r="S328" s="121" t="str">
        <f t="shared" si="34"/>
        <v/>
      </c>
      <c r="T328" s="121" t="str">
        <f t="shared" si="35"/>
        <v/>
      </c>
      <c r="U328" s="89"/>
      <c r="V328" s="80" t="str">
        <f t="shared" si="32"/>
        <v/>
      </c>
      <c r="W328" s="77" t="str">
        <f>IF(K328="","",SUM($S$5:S327)*$E$11*V328)</f>
        <v/>
      </c>
      <c r="Y328" s="121" t="str">
        <f t="shared" si="36"/>
        <v/>
      </c>
    </row>
    <row r="329" spans="11:25" ht="17.100000000000001" customHeight="1" x14ac:dyDescent="0.25">
      <c r="K329" s="81" t="str">
        <f>IF(CÁLCULO!C343="","",CÁLCULO!C343)</f>
        <v/>
      </c>
      <c r="L329" s="81" t="str">
        <f t="shared" si="33"/>
        <v/>
      </c>
      <c r="M329" s="82" t="str">
        <f>IF(CÁLCULO!E343="","",CÁLCULO!E343)</f>
        <v/>
      </c>
      <c r="O329" s="81" t="str">
        <f>IF(CÁLCULO!G343="","",CÁLCULO!G343)</f>
        <v/>
      </c>
      <c r="P329" s="80" t="str">
        <f t="shared" si="31"/>
        <v/>
      </c>
      <c r="Q329" s="121" t="str">
        <f>IF(CÁLCULO!I343="","",CÁLCULO!I343)</f>
        <v/>
      </c>
      <c r="R329" s="87"/>
      <c r="S329" s="121" t="str">
        <f t="shared" si="34"/>
        <v/>
      </c>
      <c r="T329" s="121" t="str">
        <f t="shared" si="35"/>
        <v/>
      </c>
      <c r="U329" s="89"/>
      <c r="V329" s="80" t="str">
        <f t="shared" si="32"/>
        <v/>
      </c>
      <c r="W329" s="77" t="str">
        <f>IF(K329="","",SUM($S$5:S328)*$E$11*V329)</f>
        <v/>
      </c>
      <c r="Y329" s="121" t="str">
        <f t="shared" si="36"/>
        <v/>
      </c>
    </row>
    <row r="330" spans="11:25" ht="17.100000000000001" customHeight="1" x14ac:dyDescent="0.25">
      <c r="K330" s="81" t="str">
        <f>IF(CÁLCULO!C344="","",CÁLCULO!C344)</f>
        <v/>
      </c>
      <c r="L330" s="81" t="str">
        <f t="shared" si="33"/>
        <v/>
      </c>
      <c r="M330" s="82" t="str">
        <f>IF(CÁLCULO!E344="","",CÁLCULO!E344)</f>
        <v/>
      </c>
      <c r="O330" s="81" t="str">
        <f>IF(CÁLCULO!G344="","",CÁLCULO!G344)</f>
        <v/>
      </c>
      <c r="P330" s="80" t="str">
        <f t="shared" si="31"/>
        <v/>
      </c>
      <c r="Q330" s="121" t="str">
        <f>IF(CÁLCULO!I344="","",CÁLCULO!I344)</f>
        <v/>
      </c>
      <c r="R330" s="87"/>
      <c r="S330" s="121" t="str">
        <f t="shared" si="34"/>
        <v/>
      </c>
      <c r="T330" s="121" t="str">
        <f t="shared" si="35"/>
        <v/>
      </c>
      <c r="U330" s="89"/>
      <c r="V330" s="80" t="str">
        <f t="shared" si="32"/>
        <v/>
      </c>
      <c r="W330" s="77" t="str">
        <f>IF(K330="","",SUM($S$5:S329)*$E$11*V330)</f>
        <v/>
      </c>
      <c r="Y330" s="121" t="str">
        <f t="shared" si="36"/>
        <v/>
      </c>
    </row>
    <row r="331" spans="11:25" ht="17.100000000000001" customHeight="1" x14ac:dyDescent="0.25">
      <c r="K331" s="81" t="str">
        <f>IF(CÁLCULO!C345="","",CÁLCULO!C345)</f>
        <v/>
      </c>
      <c r="L331" s="81" t="str">
        <f t="shared" si="33"/>
        <v/>
      </c>
      <c r="M331" s="82" t="str">
        <f>IF(CÁLCULO!E345="","",CÁLCULO!E345)</f>
        <v/>
      </c>
      <c r="O331" s="81" t="str">
        <f>IF(CÁLCULO!G345="","",CÁLCULO!G345)</f>
        <v/>
      </c>
      <c r="P331" s="80" t="str">
        <f t="shared" si="31"/>
        <v/>
      </c>
      <c r="Q331" s="121" t="str">
        <f>IF(CÁLCULO!I345="","",CÁLCULO!I345)</f>
        <v/>
      </c>
      <c r="R331" s="87"/>
      <c r="S331" s="121" t="str">
        <f t="shared" si="34"/>
        <v/>
      </c>
      <c r="T331" s="121" t="str">
        <f t="shared" si="35"/>
        <v/>
      </c>
      <c r="U331" s="89"/>
      <c r="V331" s="80" t="str">
        <f t="shared" si="32"/>
        <v/>
      </c>
      <c r="W331" s="77" t="str">
        <f>IF(K331="","",SUM($S$5:S330)*$E$11*V331)</f>
        <v/>
      </c>
      <c r="Y331" s="121" t="str">
        <f t="shared" si="36"/>
        <v/>
      </c>
    </row>
    <row r="332" spans="11:25" ht="17.100000000000001" customHeight="1" x14ac:dyDescent="0.25">
      <c r="K332" s="81" t="str">
        <f>IF(CÁLCULO!C346="","",CÁLCULO!C346)</f>
        <v/>
      </c>
      <c r="L332" s="81" t="str">
        <f t="shared" si="33"/>
        <v/>
      </c>
      <c r="M332" s="82" t="str">
        <f>IF(CÁLCULO!E346="","",CÁLCULO!E346)</f>
        <v/>
      </c>
      <c r="O332" s="81" t="str">
        <f>IF(CÁLCULO!G346="","",CÁLCULO!G346)</f>
        <v/>
      </c>
      <c r="P332" s="80" t="str">
        <f t="shared" si="31"/>
        <v/>
      </c>
      <c r="Q332" s="121" t="str">
        <f>IF(CÁLCULO!I346="","",CÁLCULO!I346)</f>
        <v/>
      </c>
      <c r="R332" s="87"/>
      <c r="S332" s="121" t="str">
        <f t="shared" si="34"/>
        <v/>
      </c>
      <c r="T332" s="121" t="str">
        <f t="shared" si="35"/>
        <v/>
      </c>
      <c r="U332" s="89"/>
      <c r="V332" s="80" t="str">
        <f t="shared" si="32"/>
        <v/>
      </c>
      <c r="W332" s="77" t="str">
        <f>IF(K332="","",SUM($S$5:S331)*$E$11*V332)</f>
        <v/>
      </c>
      <c r="Y332" s="121" t="str">
        <f t="shared" si="36"/>
        <v/>
      </c>
    </row>
    <row r="333" spans="11:25" ht="17.100000000000001" customHeight="1" x14ac:dyDescent="0.25">
      <c r="K333" s="81" t="str">
        <f>IF(CÁLCULO!C347="","",CÁLCULO!C347)</f>
        <v/>
      </c>
      <c r="L333" s="81" t="str">
        <f t="shared" si="33"/>
        <v/>
      </c>
      <c r="M333" s="82" t="str">
        <f>IF(CÁLCULO!E347="","",CÁLCULO!E347)</f>
        <v/>
      </c>
      <c r="O333" s="81" t="str">
        <f>IF(CÁLCULO!G347="","",CÁLCULO!G347)</f>
        <v/>
      </c>
      <c r="P333" s="80" t="str">
        <f t="shared" si="31"/>
        <v/>
      </c>
      <c r="Q333" s="121" t="str">
        <f>IF(CÁLCULO!I347="","",CÁLCULO!I347)</f>
        <v/>
      </c>
      <c r="R333" s="87"/>
      <c r="S333" s="121" t="str">
        <f t="shared" si="34"/>
        <v/>
      </c>
      <c r="T333" s="121" t="str">
        <f t="shared" si="35"/>
        <v/>
      </c>
      <c r="U333" s="89"/>
      <c r="V333" s="80" t="str">
        <f t="shared" si="32"/>
        <v/>
      </c>
      <c r="W333" s="77" t="str">
        <f>IF(K333="","",SUM($S$5:S332)*$E$11*V333)</f>
        <v/>
      </c>
      <c r="Y333" s="121" t="str">
        <f t="shared" si="36"/>
        <v/>
      </c>
    </row>
    <row r="334" spans="11:25" ht="17.100000000000001" customHeight="1" x14ac:dyDescent="0.25">
      <c r="K334" s="81" t="str">
        <f>IF(CÁLCULO!C348="","",CÁLCULO!C348)</f>
        <v/>
      </c>
      <c r="L334" s="81" t="str">
        <f t="shared" si="33"/>
        <v/>
      </c>
      <c r="M334" s="82" t="str">
        <f>IF(CÁLCULO!E348="","",CÁLCULO!E348)</f>
        <v/>
      </c>
      <c r="O334" s="81" t="str">
        <f>IF(CÁLCULO!G348="","",CÁLCULO!G348)</f>
        <v/>
      </c>
      <c r="P334" s="80" t="str">
        <f t="shared" si="31"/>
        <v/>
      </c>
      <c r="Q334" s="121" t="str">
        <f>IF(CÁLCULO!I348="","",CÁLCULO!I348)</f>
        <v/>
      </c>
      <c r="R334" s="87"/>
      <c r="S334" s="121" t="str">
        <f t="shared" si="34"/>
        <v/>
      </c>
      <c r="T334" s="121" t="str">
        <f t="shared" si="35"/>
        <v/>
      </c>
      <c r="U334" s="89"/>
      <c r="V334" s="80" t="str">
        <f t="shared" si="32"/>
        <v/>
      </c>
      <c r="W334" s="77" t="str">
        <f>IF(K334="","",SUM($S$5:S333)*$E$11*V334)</f>
        <v/>
      </c>
      <c r="Y334" s="121" t="str">
        <f t="shared" si="36"/>
        <v/>
      </c>
    </row>
    <row r="335" spans="11:25" ht="17.100000000000001" customHeight="1" x14ac:dyDescent="0.25">
      <c r="K335" s="81" t="str">
        <f>IF(CÁLCULO!C349="","",CÁLCULO!C349)</f>
        <v/>
      </c>
      <c r="L335" s="81" t="str">
        <f t="shared" si="33"/>
        <v/>
      </c>
      <c r="M335" s="82" t="str">
        <f>IF(CÁLCULO!E349="","",CÁLCULO!E349)</f>
        <v/>
      </c>
      <c r="O335" s="81" t="str">
        <f>IF(CÁLCULO!G349="","",CÁLCULO!G349)</f>
        <v/>
      </c>
      <c r="P335" s="80" t="str">
        <f t="shared" si="31"/>
        <v/>
      </c>
      <c r="Q335" s="121" t="str">
        <f>IF(CÁLCULO!I349="","",CÁLCULO!I349)</f>
        <v/>
      </c>
      <c r="R335" s="87"/>
      <c r="S335" s="121" t="str">
        <f t="shared" si="34"/>
        <v/>
      </c>
      <c r="T335" s="121" t="str">
        <f t="shared" si="35"/>
        <v/>
      </c>
      <c r="U335" s="89"/>
      <c r="V335" s="80" t="str">
        <f t="shared" si="32"/>
        <v/>
      </c>
      <c r="W335" s="77" t="str">
        <f>IF(K335="","",SUM($S$5:S334)*$E$11*V335)</f>
        <v/>
      </c>
      <c r="Y335" s="121" t="str">
        <f t="shared" si="36"/>
        <v/>
      </c>
    </row>
    <row r="336" spans="11:25" ht="17.100000000000001" customHeight="1" x14ac:dyDescent="0.25">
      <c r="K336" s="81" t="str">
        <f>IF(CÁLCULO!C350="","",CÁLCULO!C350)</f>
        <v/>
      </c>
      <c r="L336" s="81" t="str">
        <f t="shared" si="33"/>
        <v/>
      </c>
      <c r="M336" s="82" t="str">
        <f>IF(CÁLCULO!E350="","",CÁLCULO!E350)</f>
        <v/>
      </c>
      <c r="O336" s="81" t="str">
        <f>IF(CÁLCULO!G350="","",CÁLCULO!G350)</f>
        <v/>
      </c>
      <c r="P336" s="80" t="str">
        <f t="shared" si="31"/>
        <v/>
      </c>
      <c r="Q336" s="121" t="str">
        <f>IF(CÁLCULO!I350="","",CÁLCULO!I350)</f>
        <v/>
      </c>
      <c r="R336" s="87"/>
      <c r="S336" s="121" t="str">
        <f t="shared" si="34"/>
        <v/>
      </c>
      <c r="T336" s="121" t="str">
        <f t="shared" si="35"/>
        <v/>
      </c>
      <c r="U336" s="89"/>
      <c r="V336" s="80" t="str">
        <f t="shared" si="32"/>
        <v/>
      </c>
      <c r="W336" s="77" t="str">
        <f>IF(K336="","",SUM($S$5:S335)*$E$11*V336)</f>
        <v/>
      </c>
      <c r="Y336" s="121" t="str">
        <f t="shared" si="36"/>
        <v/>
      </c>
    </row>
    <row r="337" spans="11:25" ht="17.100000000000001" customHeight="1" x14ac:dyDescent="0.25">
      <c r="K337" s="81" t="str">
        <f>IF(CÁLCULO!C351="","",CÁLCULO!C351)</f>
        <v/>
      </c>
      <c r="L337" s="81" t="str">
        <f t="shared" si="33"/>
        <v/>
      </c>
      <c r="M337" s="82" t="str">
        <f>IF(CÁLCULO!E351="","",CÁLCULO!E351)</f>
        <v/>
      </c>
      <c r="O337" s="81" t="str">
        <f>IF(CÁLCULO!G351="","",CÁLCULO!G351)</f>
        <v/>
      </c>
      <c r="P337" s="80" t="str">
        <f t="shared" si="31"/>
        <v/>
      </c>
      <c r="Q337" s="121" t="str">
        <f>IF(CÁLCULO!I351="","",CÁLCULO!I351)</f>
        <v/>
      </c>
      <c r="R337" s="87"/>
      <c r="S337" s="121" t="str">
        <f t="shared" si="34"/>
        <v/>
      </c>
      <c r="T337" s="121" t="str">
        <f t="shared" si="35"/>
        <v/>
      </c>
      <c r="U337" s="89"/>
      <c r="V337" s="80" t="str">
        <f t="shared" si="32"/>
        <v/>
      </c>
      <c r="W337" s="77" t="str">
        <f>IF(K337="","",SUM($S$5:S336)*$E$11*V337)</f>
        <v/>
      </c>
      <c r="Y337" s="121" t="str">
        <f t="shared" si="36"/>
        <v/>
      </c>
    </row>
    <row r="338" spans="11:25" ht="17.100000000000001" customHeight="1" x14ac:dyDescent="0.25">
      <c r="K338" s="81" t="str">
        <f>IF(CÁLCULO!C352="","",CÁLCULO!C352)</f>
        <v/>
      </c>
      <c r="L338" s="81" t="str">
        <f t="shared" si="33"/>
        <v/>
      </c>
      <c r="M338" s="82" t="str">
        <f>IF(CÁLCULO!E352="","",CÁLCULO!E352)</f>
        <v/>
      </c>
      <c r="O338" s="81" t="str">
        <f>IF(CÁLCULO!G352="","",CÁLCULO!G352)</f>
        <v/>
      </c>
      <c r="P338" s="80" t="str">
        <f t="shared" ref="P338:P401" si="37">IF(O338="","",O338+P337)</f>
        <v/>
      </c>
      <c r="Q338" s="121" t="str">
        <f>IF(CÁLCULO!I352="","",CÁLCULO!I352)</f>
        <v/>
      </c>
      <c r="R338" s="87"/>
      <c r="S338" s="121" t="str">
        <f t="shared" si="34"/>
        <v/>
      </c>
      <c r="T338" s="121" t="str">
        <f t="shared" si="35"/>
        <v/>
      </c>
      <c r="U338" s="89"/>
      <c r="V338" s="80" t="str">
        <f t="shared" si="32"/>
        <v/>
      </c>
      <c r="W338" s="77" t="str">
        <f>IF(K338="","",SUM($S$5:S337)*$E$11*V338)</f>
        <v/>
      </c>
      <c r="Y338" s="121" t="str">
        <f t="shared" si="36"/>
        <v/>
      </c>
    </row>
    <row r="339" spans="11:25" ht="17.100000000000001" customHeight="1" x14ac:dyDescent="0.25">
      <c r="K339" s="81" t="str">
        <f>IF(CÁLCULO!C353="","",CÁLCULO!C353)</f>
        <v/>
      </c>
      <c r="L339" s="81" t="str">
        <f t="shared" si="33"/>
        <v/>
      </c>
      <c r="M339" s="82" t="str">
        <f>IF(CÁLCULO!E353="","",CÁLCULO!E353)</f>
        <v/>
      </c>
      <c r="O339" s="81" t="str">
        <f>IF(CÁLCULO!G353="","",CÁLCULO!G353)</f>
        <v/>
      </c>
      <c r="P339" s="80" t="str">
        <f t="shared" si="37"/>
        <v/>
      </c>
      <c r="Q339" s="121" t="str">
        <f>IF(CÁLCULO!I353="","",CÁLCULO!I353)</f>
        <v/>
      </c>
      <c r="R339" s="87"/>
      <c r="S339" s="121" t="str">
        <f t="shared" si="34"/>
        <v/>
      </c>
      <c r="T339" s="121" t="str">
        <f t="shared" si="35"/>
        <v/>
      </c>
      <c r="U339" s="89"/>
      <c r="V339" s="80" t="str">
        <f t="shared" si="32"/>
        <v/>
      </c>
      <c r="W339" s="77" t="str">
        <f>IF(K339="","",SUM($S$5:S338)*$E$11*V339)</f>
        <v/>
      </c>
      <c r="Y339" s="121" t="str">
        <f t="shared" si="36"/>
        <v/>
      </c>
    </row>
    <row r="340" spans="11:25" ht="17.100000000000001" customHeight="1" x14ac:dyDescent="0.25">
      <c r="K340" s="81" t="str">
        <f>IF(CÁLCULO!C354="","",CÁLCULO!C354)</f>
        <v/>
      </c>
      <c r="L340" s="81" t="str">
        <f t="shared" si="33"/>
        <v/>
      </c>
      <c r="M340" s="82" t="str">
        <f>IF(CÁLCULO!E354="","",CÁLCULO!E354)</f>
        <v/>
      </c>
      <c r="O340" s="81" t="str">
        <f>IF(CÁLCULO!G354="","",CÁLCULO!G354)</f>
        <v/>
      </c>
      <c r="P340" s="80" t="str">
        <f t="shared" si="37"/>
        <v/>
      </c>
      <c r="Q340" s="121" t="str">
        <f>IF(CÁLCULO!I354="","",CÁLCULO!I354)</f>
        <v/>
      </c>
      <c r="R340" s="87"/>
      <c r="S340" s="121" t="str">
        <f t="shared" si="34"/>
        <v/>
      </c>
      <c r="T340" s="121" t="str">
        <f t="shared" si="35"/>
        <v/>
      </c>
      <c r="U340" s="89"/>
      <c r="V340" s="80" t="str">
        <f t="shared" si="32"/>
        <v/>
      </c>
      <c r="W340" s="77" t="str">
        <f>IF(K340="","",SUM($S$5:S339)*$E$11*V340)</f>
        <v/>
      </c>
      <c r="Y340" s="121" t="str">
        <f t="shared" si="36"/>
        <v/>
      </c>
    </row>
    <row r="341" spans="11:25" ht="17.100000000000001" customHeight="1" x14ac:dyDescent="0.25">
      <c r="K341" s="81" t="str">
        <f>IF(CÁLCULO!C355="","",CÁLCULO!C355)</f>
        <v/>
      </c>
      <c r="L341" s="81" t="str">
        <f t="shared" si="33"/>
        <v/>
      </c>
      <c r="M341" s="82" t="str">
        <f>IF(CÁLCULO!E355="","",CÁLCULO!E355)</f>
        <v/>
      </c>
      <c r="O341" s="81" t="str">
        <f>IF(CÁLCULO!G355="","",CÁLCULO!G355)</f>
        <v/>
      </c>
      <c r="P341" s="80" t="str">
        <f t="shared" si="37"/>
        <v/>
      </c>
      <c r="Q341" s="121" t="str">
        <f>IF(CÁLCULO!I355="","",CÁLCULO!I355)</f>
        <v/>
      </c>
      <c r="R341" s="87"/>
      <c r="S341" s="121" t="str">
        <f t="shared" si="34"/>
        <v/>
      </c>
      <c r="T341" s="121" t="str">
        <f t="shared" si="35"/>
        <v/>
      </c>
      <c r="U341" s="89"/>
      <c r="V341" s="80" t="str">
        <f t="shared" si="32"/>
        <v/>
      </c>
      <c r="W341" s="77" t="str">
        <f>IF(K341="","",SUM($S$5:S340)*$E$11*V341)</f>
        <v/>
      </c>
      <c r="Y341" s="121" t="str">
        <f t="shared" si="36"/>
        <v/>
      </c>
    </row>
    <row r="342" spans="11:25" ht="17.100000000000001" customHeight="1" x14ac:dyDescent="0.25">
      <c r="K342" s="81" t="str">
        <f>IF(CÁLCULO!C356="","",CÁLCULO!C356)</f>
        <v/>
      </c>
      <c r="L342" s="81" t="str">
        <f t="shared" si="33"/>
        <v/>
      </c>
      <c r="M342" s="82" t="str">
        <f>IF(CÁLCULO!E356="","",CÁLCULO!E356)</f>
        <v/>
      </c>
      <c r="O342" s="81" t="str">
        <f>IF(CÁLCULO!G356="","",CÁLCULO!G356)</f>
        <v/>
      </c>
      <c r="P342" s="80" t="str">
        <f t="shared" si="37"/>
        <v/>
      </c>
      <c r="Q342" s="121" t="str">
        <f>IF(CÁLCULO!I356="","",CÁLCULO!I356)</f>
        <v/>
      </c>
      <c r="R342" s="87"/>
      <c r="S342" s="121" t="str">
        <f t="shared" si="34"/>
        <v/>
      </c>
      <c r="T342" s="121" t="str">
        <f t="shared" si="35"/>
        <v/>
      </c>
      <c r="U342" s="89"/>
      <c r="V342" s="80" t="str">
        <f t="shared" si="32"/>
        <v/>
      </c>
      <c r="W342" s="77" t="str">
        <f>IF(K342="","",SUM($S$5:S341)*$E$11*V342)</f>
        <v/>
      </c>
      <c r="Y342" s="121" t="str">
        <f t="shared" si="36"/>
        <v/>
      </c>
    </row>
    <row r="343" spans="11:25" ht="17.100000000000001" customHeight="1" x14ac:dyDescent="0.25">
      <c r="K343" s="81" t="str">
        <f>IF(CÁLCULO!C357="","",CÁLCULO!C357)</f>
        <v/>
      </c>
      <c r="L343" s="81" t="str">
        <f t="shared" si="33"/>
        <v/>
      </c>
      <c r="M343" s="82" t="str">
        <f>IF(CÁLCULO!E357="","",CÁLCULO!E357)</f>
        <v/>
      </c>
      <c r="O343" s="81" t="str">
        <f>IF(CÁLCULO!G357="","",CÁLCULO!G357)</f>
        <v/>
      </c>
      <c r="P343" s="80" t="str">
        <f t="shared" si="37"/>
        <v/>
      </c>
      <c r="Q343" s="121" t="str">
        <f>IF(CÁLCULO!I357="","",CÁLCULO!I357)</f>
        <v/>
      </c>
      <c r="R343" s="87"/>
      <c r="S343" s="121" t="str">
        <f t="shared" si="34"/>
        <v/>
      </c>
      <c r="T343" s="121" t="str">
        <f t="shared" si="35"/>
        <v/>
      </c>
      <c r="U343" s="89"/>
      <c r="V343" s="80" t="str">
        <f t="shared" si="32"/>
        <v/>
      </c>
      <c r="W343" s="77" t="str">
        <f>IF(K343="","",SUM($S$5:S342)*$E$11*V343)</f>
        <v/>
      </c>
      <c r="Y343" s="121" t="str">
        <f t="shared" si="36"/>
        <v/>
      </c>
    </row>
    <row r="344" spans="11:25" ht="17.100000000000001" customHeight="1" x14ac:dyDescent="0.25">
      <c r="K344" s="81" t="str">
        <f>IF(CÁLCULO!C358="","",CÁLCULO!C358)</f>
        <v/>
      </c>
      <c r="L344" s="81" t="str">
        <f t="shared" si="33"/>
        <v/>
      </c>
      <c r="M344" s="82" t="str">
        <f>IF(CÁLCULO!E358="","",CÁLCULO!E358)</f>
        <v/>
      </c>
      <c r="O344" s="81" t="str">
        <f>IF(CÁLCULO!G358="","",CÁLCULO!G358)</f>
        <v/>
      </c>
      <c r="P344" s="80" t="str">
        <f t="shared" si="37"/>
        <v/>
      </c>
      <c r="Q344" s="121" t="str">
        <f>IF(CÁLCULO!I358="","",CÁLCULO!I358)</f>
        <v/>
      </c>
      <c r="R344" s="87"/>
      <c r="S344" s="121" t="str">
        <f t="shared" si="34"/>
        <v/>
      </c>
      <c r="T344" s="121" t="str">
        <f t="shared" si="35"/>
        <v/>
      </c>
      <c r="U344" s="89"/>
      <c r="V344" s="80" t="str">
        <f t="shared" si="32"/>
        <v/>
      </c>
      <c r="W344" s="77" t="str">
        <f>IF(K344="","",SUM($S$5:S343)*$E$11*V344)</f>
        <v/>
      </c>
      <c r="Y344" s="121" t="str">
        <f t="shared" si="36"/>
        <v/>
      </c>
    </row>
    <row r="345" spans="11:25" ht="17.100000000000001" customHeight="1" x14ac:dyDescent="0.25">
      <c r="K345" s="81" t="str">
        <f>IF(CÁLCULO!C359="","",CÁLCULO!C359)</f>
        <v/>
      </c>
      <c r="L345" s="81" t="str">
        <f t="shared" si="33"/>
        <v/>
      </c>
      <c r="M345" s="82" t="str">
        <f>IF(CÁLCULO!E359="","",CÁLCULO!E359)</f>
        <v/>
      </c>
      <c r="O345" s="81" t="str">
        <f>IF(CÁLCULO!G359="","",CÁLCULO!G359)</f>
        <v/>
      </c>
      <c r="P345" s="80" t="str">
        <f t="shared" si="37"/>
        <v/>
      </c>
      <c r="Q345" s="121" t="str">
        <f>IF(CÁLCULO!I359="","",CÁLCULO!I359)</f>
        <v/>
      </c>
      <c r="R345" s="87"/>
      <c r="S345" s="121" t="str">
        <f t="shared" si="34"/>
        <v/>
      </c>
      <c r="T345" s="121" t="str">
        <f t="shared" si="35"/>
        <v/>
      </c>
      <c r="U345" s="89"/>
      <c r="V345" s="80" t="str">
        <f t="shared" si="32"/>
        <v/>
      </c>
      <c r="W345" s="77" t="str">
        <f>IF(K345="","",SUM($S$5:S344)*$E$11*V345)</f>
        <v/>
      </c>
      <c r="Y345" s="121" t="str">
        <f t="shared" si="36"/>
        <v/>
      </c>
    </row>
    <row r="346" spans="11:25" ht="17.100000000000001" customHeight="1" x14ac:dyDescent="0.25">
      <c r="K346" s="81" t="str">
        <f>IF(CÁLCULO!C360="","",CÁLCULO!C360)</f>
        <v/>
      </c>
      <c r="L346" s="81" t="str">
        <f t="shared" si="33"/>
        <v/>
      </c>
      <c r="M346" s="82" t="str">
        <f>IF(CÁLCULO!E360="","",CÁLCULO!E360)</f>
        <v/>
      </c>
      <c r="O346" s="81" t="str">
        <f>IF(CÁLCULO!G360="","",CÁLCULO!G360)</f>
        <v/>
      </c>
      <c r="P346" s="80" t="str">
        <f t="shared" si="37"/>
        <v/>
      </c>
      <c r="Q346" s="121" t="str">
        <f>IF(CÁLCULO!I360="","",CÁLCULO!I360)</f>
        <v/>
      </c>
      <c r="R346" s="87"/>
      <c r="S346" s="121" t="str">
        <f t="shared" si="34"/>
        <v/>
      </c>
      <c r="T346" s="121" t="str">
        <f t="shared" si="35"/>
        <v/>
      </c>
      <c r="U346" s="89"/>
      <c r="V346" s="80" t="str">
        <f t="shared" si="32"/>
        <v/>
      </c>
      <c r="W346" s="77" t="str">
        <f>IF(K346="","",SUM($S$5:S345)*$E$11*V346)</f>
        <v/>
      </c>
      <c r="Y346" s="121" t="str">
        <f t="shared" si="36"/>
        <v/>
      </c>
    </row>
    <row r="347" spans="11:25" ht="17.100000000000001" customHeight="1" x14ac:dyDescent="0.25">
      <c r="K347" s="81" t="str">
        <f>IF(CÁLCULO!C361="","",CÁLCULO!C361)</f>
        <v/>
      </c>
      <c r="L347" s="81" t="str">
        <f t="shared" si="33"/>
        <v/>
      </c>
      <c r="M347" s="82" t="str">
        <f>IF(CÁLCULO!E361="","",CÁLCULO!E361)</f>
        <v/>
      </c>
      <c r="O347" s="81" t="str">
        <f>IF(CÁLCULO!G361="","",CÁLCULO!G361)</f>
        <v/>
      </c>
      <c r="P347" s="80" t="str">
        <f t="shared" si="37"/>
        <v/>
      </c>
      <c r="Q347" s="121" t="str">
        <f>IF(CÁLCULO!I361="","",CÁLCULO!I361)</f>
        <v/>
      </c>
      <c r="R347" s="87"/>
      <c r="S347" s="121" t="str">
        <f t="shared" si="34"/>
        <v/>
      </c>
      <c r="T347" s="121" t="str">
        <f t="shared" si="35"/>
        <v/>
      </c>
      <c r="U347" s="89"/>
      <c r="V347" s="80" t="str">
        <f t="shared" si="32"/>
        <v/>
      </c>
      <c r="W347" s="77" t="str">
        <f>IF(K347="","",SUM($S$5:S346)*$E$11*V347)</f>
        <v/>
      </c>
      <c r="Y347" s="121" t="str">
        <f t="shared" si="36"/>
        <v/>
      </c>
    </row>
    <row r="348" spans="11:25" ht="17.100000000000001" customHeight="1" x14ac:dyDescent="0.25">
      <c r="K348" s="81" t="str">
        <f>IF(CÁLCULO!C362="","",CÁLCULO!C362)</f>
        <v/>
      </c>
      <c r="L348" s="81" t="str">
        <f t="shared" si="33"/>
        <v/>
      </c>
      <c r="M348" s="82" t="str">
        <f>IF(CÁLCULO!E362="","",CÁLCULO!E362)</f>
        <v/>
      </c>
      <c r="O348" s="81" t="str">
        <f>IF(CÁLCULO!G362="","",CÁLCULO!G362)</f>
        <v/>
      </c>
      <c r="P348" s="80" t="str">
        <f t="shared" si="37"/>
        <v/>
      </c>
      <c r="Q348" s="121" t="str">
        <f>IF(CÁLCULO!I362="","",CÁLCULO!I362)</f>
        <v/>
      </c>
      <c r="R348" s="87"/>
      <c r="S348" s="121" t="str">
        <f t="shared" si="34"/>
        <v/>
      </c>
      <c r="T348" s="121" t="str">
        <f t="shared" si="35"/>
        <v/>
      </c>
      <c r="U348" s="89"/>
      <c r="V348" s="80" t="str">
        <f t="shared" si="32"/>
        <v/>
      </c>
      <c r="W348" s="77" t="str">
        <f>IF(K348="","",SUM($S$5:S347)*$E$11*V348)</f>
        <v/>
      </c>
      <c r="Y348" s="121" t="str">
        <f t="shared" si="36"/>
        <v/>
      </c>
    </row>
    <row r="349" spans="11:25" ht="17.100000000000001" customHeight="1" x14ac:dyDescent="0.25">
      <c r="K349" s="81" t="str">
        <f>IF(CÁLCULO!C363="","",CÁLCULO!C363)</f>
        <v/>
      </c>
      <c r="L349" s="81" t="str">
        <f t="shared" si="33"/>
        <v/>
      </c>
      <c r="M349" s="82" t="str">
        <f>IF(CÁLCULO!E363="","",CÁLCULO!E363)</f>
        <v/>
      </c>
      <c r="O349" s="81" t="str">
        <f>IF(CÁLCULO!G363="","",CÁLCULO!G363)</f>
        <v/>
      </c>
      <c r="P349" s="80" t="str">
        <f t="shared" si="37"/>
        <v/>
      </c>
      <c r="Q349" s="121" t="str">
        <f>IF(CÁLCULO!I363="","",CÁLCULO!I363)</f>
        <v/>
      </c>
      <c r="R349" s="87"/>
      <c r="S349" s="121" t="str">
        <f t="shared" si="34"/>
        <v/>
      </c>
      <c r="T349" s="121" t="str">
        <f t="shared" si="35"/>
        <v/>
      </c>
      <c r="U349" s="89"/>
      <c r="V349" s="80" t="str">
        <f t="shared" si="32"/>
        <v/>
      </c>
      <c r="W349" s="77" t="str">
        <f>IF(K349="","",SUM($S$5:S348)*$E$11*V349)</f>
        <v/>
      </c>
      <c r="Y349" s="121" t="str">
        <f t="shared" si="36"/>
        <v/>
      </c>
    </row>
    <row r="350" spans="11:25" ht="17.100000000000001" customHeight="1" x14ac:dyDescent="0.25">
      <c r="K350" s="81" t="str">
        <f>IF(CÁLCULO!C364="","",CÁLCULO!C364)</f>
        <v/>
      </c>
      <c r="L350" s="81" t="str">
        <f t="shared" si="33"/>
        <v/>
      </c>
      <c r="M350" s="82" t="str">
        <f>IF(CÁLCULO!E364="","",CÁLCULO!E364)</f>
        <v/>
      </c>
      <c r="O350" s="81" t="str">
        <f>IF(CÁLCULO!G364="","",CÁLCULO!G364)</f>
        <v/>
      </c>
      <c r="P350" s="80" t="str">
        <f t="shared" si="37"/>
        <v/>
      </c>
      <c r="Q350" s="121" t="str">
        <f>IF(CÁLCULO!I364="","",CÁLCULO!I364)</f>
        <v/>
      </c>
      <c r="R350" s="87"/>
      <c r="S350" s="121" t="str">
        <f t="shared" si="34"/>
        <v/>
      </c>
      <c r="T350" s="121" t="str">
        <f t="shared" si="35"/>
        <v/>
      </c>
      <c r="U350" s="89"/>
      <c r="V350" s="80" t="str">
        <f t="shared" si="32"/>
        <v/>
      </c>
      <c r="W350" s="77" t="str">
        <f>IF(K350="","",SUM($S$5:S349)*$E$11*V350)</f>
        <v/>
      </c>
      <c r="Y350" s="121" t="str">
        <f t="shared" si="36"/>
        <v/>
      </c>
    </row>
    <row r="351" spans="11:25" ht="17.100000000000001" customHeight="1" x14ac:dyDescent="0.25">
      <c r="K351" s="81" t="str">
        <f>IF(CÁLCULO!C365="","",CÁLCULO!C365)</f>
        <v/>
      </c>
      <c r="L351" s="81" t="str">
        <f t="shared" si="33"/>
        <v/>
      </c>
      <c r="M351" s="82" t="str">
        <f>IF(CÁLCULO!E365="","",CÁLCULO!E365)</f>
        <v/>
      </c>
      <c r="O351" s="81" t="str">
        <f>IF(CÁLCULO!G365="","",CÁLCULO!G365)</f>
        <v/>
      </c>
      <c r="P351" s="80" t="str">
        <f t="shared" si="37"/>
        <v/>
      </c>
      <c r="Q351" s="121" t="str">
        <f>IF(CÁLCULO!I365="","",CÁLCULO!I365)</f>
        <v/>
      </c>
      <c r="R351" s="87"/>
      <c r="S351" s="121" t="str">
        <f t="shared" si="34"/>
        <v/>
      </c>
      <c r="T351" s="121" t="str">
        <f t="shared" si="35"/>
        <v/>
      </c>
      <c r="U351" s="89"/>
      <c r="V351" s="80" t="str">
        <f t="shared" si="32"/>
        <v/>
      </c>
      <c r="W351" s="77" t="str">
        <f>IF(K351="","",SUM($S$5:S350)*$E$11*V351)</f>
        <v/>
      </c>
      <c r="Y351" s="121" t="str">
        <f t="shared" si="36"/>
        <v/>
      </c>
    </row>
    <row r="352" spans="11:25" ht="17.100000000000001" customHeight="1" x14ac:dyDescent="0.25">
      <c r="K352" s="81" t="str">
        <f>IF(CÁLCULO!C366="","",CÁLCULO!C366)</f>
        <v/>
      </c>
      <c r="L352" s="81" t="str">
        <f t="shared" si="33"/>
        <v/>
      </c>
      <c r="M352" s="82" t="str">
        <f>IF(CÁLCULO!E366="","",CÁLCULO!E366)</f>
        <v/>
      </c>
      <c r="O352" s="81" t="str">
        <f>IF(CÁLCULO!G366="","",CÁLCULO!G366)</f>
        <v/>
      </c>
      <c r="P352" s="80" t="str">
        <f t="shared" si="37"/>
        <v/>
      </c>
      <c r="Q352" s="121" t="str">
        <f>IF(CÁLCULO!I366="","",CÁLCULO!I366)</f>
        <v/>
      </c>
      <c r="R352" s="87"/>
      <c r="S352" s="121" t="str">
        <f t="shared" si="34"/>
        <v/>
      </c>
      <c r="T352" s="121" t="str">
        <f t="shared" si="35"/>
        <v/>
      </c>
      <c r="U352" s="89"/>
      <c r="V352" s="80" t="str">
        <f t="shared" si="32"/>
        <v/>
      </c>
      <c r="W352" s="77" t="str">
        <f>IF(K352="","",SUM($S$5:S351)*$E$11*V352)</f>
        <v/>
      </c>
      <c r="Y352" s="121" t="str">
        <f t="shared" si="36"/>
        <v/>
      </c>
    </row>
    <row r="353" spans="11:25" ht="17.100000000000001" customHeight="1" x14ac:dyDescent="0.25">
      <c r="K353" s="81" t="str">
        <f>IF(CÁLCULO!C367="","",CÁLCULO!C367)</f>
        <v/>
      </c>
      <c r="L353" s="81" t="str">
        <f t="shared" si="33"/>
        <v/>
      </c>
      <c r="M353" s="82" t="str">
        <f>IF(CÁLCULO!E367="","",CÁLCULO!E367)</f>
        <v/>
      </c>
      <c r="O353" s="81" t="str">
        <f>IF(CÁLCULO!G367="","",CÁLCULO!G367)</f>
        <v/>
      </c>
      <c r="P353" s="80" t="str">
        <f t="shared" si="37"/>
        <v/>
      </c>
      <c r="Q353" s="121" t="str">
        <f>IF(CÁLCULO!I367="","",CÁLCULO!I367)</f>
        <v/>
      </c>
      <c r="R353" s="87"/>
      <c r="S353" s="121" t="str">
        <f t="shared" si="34"/>
        <v/>
      </c>
      <c r="T353" s="121" t="str">
        <f t="shared" si="35"/>
        <v/>
      </c>
      <c r="U353" s="89"/>
      <c r="V353" s="80" t="str">
        <f t="shared" si="32"/>
        <v/>
      </c>
      <c r="W353" s="77" t="str">
        <f>IF(K353="","",SUM($S$5:S352)*$E$11*V353)</f>
        <v/>
      </c>
      <c r="Y353" s="121" t="str">
        <f t="shared" si="36"/>
        <v/>
      </c>
    </row>
    <row r="354" spans="11:25" ht="17.100000000000001" customHeight="1" x14ac:dyDescent="0.25">
      <c r="K354" s="81" t="str">
        <f>IF(CÁLCULO!C368="","",CÁLCULO!C368)</f>
        <v/>
      </c>
      <c r="L354" s="81" t="str">
        <f t="shared" si="33"/>
        <v/>
      </c>
      <c r="M354" s="82" t="str">
        <f>IF(CÁLCULO!E368="","",CÁLCULO!E368)</f>
        <v/>
      </c>
      <c r="O354" s="81" t="str">
        <f>IF(CÁLCULO!G368="","",CÁLCULO!G368)</f>
        <v/>
      </c>
      <c r="P354" s="80" t="str">
        <f t="shared" si="37"/>
        <v/>
      </c>
      <c r="Q354" s="121" t="str">
        <f>IF(CÁLCULO!I368="","",CÁLCULO!I368)</f>
        <v/>
      </c>
      <c r="R354" s="87"/>
      <c r="S354" s="121" t="str">
        <f t="shared" si="34"/>
        <v/>
      </c>
      <c r="T354" s="121" t="str">
        <f t="shared" si="35"/>
        <v/>
      </c>
      <c r="U354" s="89"/>
      <c r="V354" s="80" t="str">
        <f t="shared" si="32"/>
        <v/>
      </c>
      <c r="W354" s="77" t="str">
        <f>IF(K354="","",SUM($S$5:S353)*$E$11*V354)</f>
        <v/>
      </c>
      <c r="Y354" s="121" t="str">
        <f t="shared" si="36"/>
        <v/>
      </c>
    </row>
    <row r="355" spans="11:25" ht="17.100000000000001" customHeight="1" x14ac:dyDescent="0.25">
      <c r="K355" s="81" t="str">
        <f>IF(CÁLCULO!C369="","",CÁLCULO!C369)</f>
        <v/>
      </c>
      <c r="L355" s="81" t="str">
        <f t="shared" si="33"/>
        <v/>
      </c>
      <c r="M355" s="82" t="str">
        <f>IF(CÁLCULO!E369="","",CÁLCULO!E369)</f>
        <v/>
      </c>
      <c r="O355" s="81" t="str">
        <f>IF(CÁLCULO!G369="","",CÁLCULO!G369)</f>
        <v/>
      </c>
      <c r="P355" s="80" t="str">
        <f t="shared" si="37"/>
        <v/>
      </c>
      <c r="Q355" s="121" t="str">
        <f>IF(CÁLCULO!I369="","",CÁLCULO!I369)</f>
        <v/>
      </c>
      <c r="R355" s="87"/>
      <c r="S355" s="121" t="str">
        <f t="shared" si="34"/>
        <v/>
      </c>
      <c r="T355" s="121" t="str">
        <f t="shared" si="35"/>
        <v/>
      </c>
      <c r="U355" s="89"/>
      <c r="V355" s="80" t="str">
        <f t="shared" si="32"/>
        <v/>
      </c>
      <c r="W355" s="77" t="str">
        <f>IF(K355="","",SUM($S$5:S354)*$E$11*V355)</f>
        <v/>
      </c>
      <c r="Y355" s="121" t="str">
        <f t="shared" si="36"/>
        <v/>
      </c>
    </row>
    <row r="356" spans="11:25" ht="17.100000000000001" customHeight="1" x14ac:dyDescent="0.25">
      <c r="K356" s="81" t="str">
        <f>IF(CÁLCULO!C370="","",CÁLCULO!C370)</f>
        <v/>
      </c>
      <c r="L356" s="81" t="str">
        <f t="shared" si="33"/>
        <v/>
      </c>
      <c r="M356" s="82" t="str">
        <f>IF(CÁLCULO!E370="","",CÁLCULO!E370)</f>
        <v/>
      </c>
      <c r="O356" s="81" t="str">
        <f>IF(CÁLCULO!G370="","",CÁLCULO!G370)</f>
        <v/>
      </c>
      <c r="P356" s="80" t="str">
        <f t="shared" si="37"/>
        <v/>
      </c>
      <c r="Q356" s="121" t="str">
        <f>IF(CÁLCULO!I370="","",CÁLCULO!I370)</f>
        <v/>
      </c>
      <c r="R356" s="87"/>
      <c r="S356" s="121" t="str">
        <f t="shared" si="34"/>
        <v/>
      </c>
      <c r="T356" s="121" t="str">
        <f t="shared" si="35"/>
        <v/>
      </c>
      <c r="U356" s="89"/>
      <c r="V356" s="80" t="str">
        <f t="shared" si="32"/>
        <v/>
      </c>
      <c r="W356" s="77" t="str">
        <f>IF(K356="","",SUM($S$5:S355)*$E$11*V356)</f>
        <v/>
      </c>
      <c r="Y356" s="121" t="str">
        <f t="shared" si="36"/>
        <v/>
      </c>
    </row>
    <row r="357" spans="11:25" ht="17.100000000000001" customHeight="1" x14ac:dyDescent="0.25">
      <c r="K357" s="81" t="str">
        <f>IF(CÁLCULO!C371="","",CÁLCULO!C371)</f>
        <v/>
      </c>
      <c r="L357" s="81" t="str">
        <f t="shared" si="33"/>
        <v/>
      </c>
      <c r="M357" s="82" t="str">
        <f>IF(CÁLCULO!E371="","",CÁLCULO!E371)</f>
        <v/>
      </c>
      <c r="O357" s="81" t="str">
        <f>IF(CÁLCULO!G371="","",CÁLCULO!G371)</f>
        <v/>
      </c>
      <c r="P357" s="80" t="str">
        <f t="shared" si="37"/>
        <v/>
      </c>
      <c r="Q357" s="121" t="str">
        <f>IF(CÁLCULO!I371="","",CÁLCULO!I371)</f>
        <v/>
      </c>
      <c r="R357" s="87"/>
      <c r="S357" s="121" t="str">
        <f t="shared" si="34"/>
        <v/>
      </c>
      <c r="T357" s="121" t="str">
        <f t="shared" si="35"/>
        <v/>
      </c>
      <c r="U357" s="89"/>
      <c r="V357" s="80" t="str">
        <f t="shared" si="32"/>
        <v/>
      </c>
      <c r="W357" s="77" t="str">
        <f>IF(K357="","",SUM($S$5:S356)*$E$11*V357)</f>
        <v/>
      </c>
      <c r="Y357" s="121" t="str">
        <f t="shared" si="36"/>
        <v/>
      </c>
    </row>
    <row r="358" spans="11:25" ht="17.100000000000001" customHeight="1" x14ac:dyDescent="0.25">
      <c r="K358" s="81" t="str">
        <f>IF(CÁLCULO!C372="","",CÁLCULO!C372)</f>
        <v/>
      </c>
      <c r="L358" s="81" t="str">
        <f t="shared" si="33"/>
        <v/>
      </c>
      <c r="M358" s="82" t="str">
        <f>IF(CÁLCULO!E372="","",CÁLCULO!E372)</f>
        <v/>
      </c>
      <c r="O358" s="81" t="str">
        <f>IF(CÁLCULO!G372="","",CÁLCULO!G372)</f>
        <v/>
      </c>
      <c r="P358" s="80" t="str">
        <f t="shared" si="37"/>
        <v/>
      </c>
      <c r="Q358" s="121" t="str">
        <f>IF(CÁLCULO!I372="","",CÁLCULO!I372)</f>
        <v/>
      </c>
      <c r="R358" s="87"/>
      <c r="S358" s="121" t="str">
        <f t="shared" si="34"/>
        <v/>
      </c>
      <c r="T358" s="121" t="str">
        <f t="shared" si="35"/>
        <v/>
      </c>
      <c r="U358" s="89"/>
      <c r="V358" s="80" t="str">
        <f t="shared" si="32"/>
        <v/>
      </c>
      <c r="W358" s="77" t="str">
        <f>IF(K358="","",SUM($S$5:S357)*$E$11*V358)</f>
        <v/>
      </c>
      <c r="Y358" s="121" t="str">
        <f t="shared" si="36"/>
        <v/>
      </c>
    </row>
    <row r="359" spans="11:25" ht="17.100000000000001" customHeight="1" x14ac:dyDescent="0.25">
      <c r="K359" s="81" t="str">
        <f>IF(CÁLCULO!C373="","",CÁLCULO!C373)</f>
        <v/>
      </c>
      <c r="L359" s="81" t="str">
        <f t="shared" si="33"/>
        <v/>
      </c>
      <c r="M359" s="82" t="str">
        <f>IF(CÁLCULO!E373="","",CÁLCULO!E373)</f>
        <v/>
      </c>
      <c r="O359" s="81" t="str">
        <f>IF(CÁLCULO!G373="","",CÁLCULO!G373)</f>
        <v/>
      </c>
      <c r="P359" s="80" t="str">
        <f t="shared" si="37"/>
        <v/>
      </c>
      <c r="Q359" s="121" t="str">
        <f>IF(CÁLCULO!I373="","",CÁLCULO!I373)</f>
        <v/>
      </c>
      <c r="R359" s="87"/>
      <c r="S359" s="121" t="str">
        <f t="shared" si="34"/>
        <v/>
      </c>
      <c r="T359" s="121" t="str">
        <f t="shared" si="35"/>
        <v/>
      </c>
      <c r="U359" s="89"/>
      <c r="V359" s="80" t="str">
        <f t="shared" si="32"/>
        <v/>
      </c>
      <c r="W359" s="77" t="str">
        <f>IF(K359="","",SUM($S$5:S358)*$E$11*V359)</f>
        <v/>
      </c>
      <c r="Y359" s="121" t="str">
        <f t="shared" si="36"/>
        <v/>
      </c>
    </row>
    <row r="360" spans="11:25" ht="17.100000000000001" customHeight="1" x14ac:dyDescent="0.25">
      <c r="K360" s="81" t="str">
        <f>IF(CÁLCULO!C374="","",CÁLCULO!C374)</f>
        <v/>
      </c>
      <c r="L360" s="81" t="str">
        <f t="shared" si="33"/>
        <v/>
      </c>
      <c r="M360" s="82" t="str">
        <f>IF(CÁLCULO!E374="","",CÁLCULO!E374)</f>
        <v/>
      </c>
      <c r="O360" s="81" t="str">
        <f>IF(CÁLCULO!G374="","",CÁLCULO!G374)</f>
        <v/>
      </c>
      <c r="P360" s="80" t="str">
        <f t="shared" si="37"/>
        <v/>
      </c>
      <c r="Q360" s="121" t="str">
        <f>IF(CÁLCULO!I374="","",CÁLCULO!I374)</f>
        <v/>
      </c>
      <c r="R360" s="87"/>
      <c r="S360" s="121" t="str">
        <f t="shared" si="34"/>
        <v/>
      </c>
      <c r="T360" s="121" t="str">
        <f t="shared" si="35"/>
        <v/>
      </c>
      <c r="U360" s="89"/>
      <c r="V360" s="80" t="str">
        <f t="shared" si="32"/>
        <v/>
      </c>
      <c r="W360" s="77" t="str">
        <f>IF(K360="","",SUM($S$5:S359)*$E$11*V360)</f>
        <v/>
      </c>
      <c r="Y360" s="121" t="str">
        <f t="shared" si="36"/>
        <v/>
      </c>
    </row>
    <row r="361" spans="11:25" ht="17.100000000000001" customHeight="1" x14ac:dyDescent="0.25">
      <c r="K361" s="81" t="str">
        <f>IF(CÁLCULO!C375="","",CÁLCULO!C375)</f>
        <v/>
      </c>
      <c r="L361" s="81" t="str">
        <f t="shared" si="33"/>
        <v/>
      </c>
      <c r="M361" s="82" t="str">
        <f>IF(CÁLCULO!E375="","",CÁLCULO!E375)</f>
        <v/>
      </c>
      <c r="O361" s="81" t="str">
        <f>IF(CÁLCULO!G375="","",CÁLCULO!G375)</f>
        <v/>
      </c>
      <c r="P361" s="80" t="str">
        <f t="shared" si="37"/>
        <v/>
      </c>
      <c r="Q361" s="121" t="str">
        <f>IF(CÁLCULO!I375="","",CÁLCULO!I375)</f>
        <v/>
      </c>
      <c r="R361" s="87"/>
      <c r="S361" s="121" t="str">
        <f t="shared" si="34"/>
        <v/>
      </c>
      <c r="T361" s="121" t="str">
        <f t="shared" si="35"/>
        <v/>
      </c>
      <c r="U361" s="89"/>
      <c r="V361" s="80" t="str">
        <f t="shared" si="32"/>
        <v/>
      </c>
      <c r="W361" s="77" t="str">
        <f>IF(K361="","",SUM($S$5:S360)*$E$11*V361)</f>
        <v/>
      </c>
      <c r="Y361" s="121" t="str">
        <f t="shared" si="36"/>
        <v/>
      </c>
    </row>
    <row r="362" spans="11:25" ht="17.100000000000001" customHeight="1" x14ac:dyDescent="0.25">
      <c r="K362" s="81" t="str">
        <f>IF(CÁLCULO!C376="","",CÁLCULO!C376)</f>
        <v/>
      </c>
      <c r="L362" s="81" t="str">
        <f t="shared" si="33"/>
        <v/>
      </c>
      <c r="M362" s="82" t="str">
        <f>IF(CÁLCULO!E376="","",CÁLCULO!E376)</f>
        <v/>
      </c>
      <c r="O362" s="81" t="str">
        <f>IF(CÁLCULO!G376="","",CÁLCULO!G376)</f>
        <v/>
      </c>
      <c r="P362" s="80" t="str">
        <f t="shared" si="37"/>
        <v/>
      </c>
      <c r="Q362" s="121" t="str">
        <f>IF(CÁLCULO!I376="","",CÁLCULO!I376)</f>
        <v/>
      </c>
      <c r="R362" s="87"/>
      <c r="S362" s="121" t="str">
        <f t="shared" si="34"/>
        <v/>
      </c>
      <c r="T362" s="121" t="str">
        <f t="shared" si="35"/>
        <v/>
      </c>
      <c r="U362" s="89"/>
      <c r="V362" s="80" t="str">
        <f t="shared" si="32"/>
        <v/>
      </c>
      <c r="W362" s="77" t="str">
        <f>IF(K362="","",SUM($S$5:S361)*$E$11*V362)</f>
        <v/>
      </c>
      <c r="Y362" s="121" t="str">
        <f t="shared" si="36"/>
        <v/>
      </c>
    </row>
    <row r="363" spans="11:25" ht="17.100000000000001" customHeight="1" x14ac:dyDescent="0.25">
      <c r="K363" s="81" t="str">
        <f>IF(CÁLCULO!C377="","",CÁLCULO!C377)</f>
        <v/>
      </c>
      <c r="L363" s="81" t="str">
        <f t="shared" si="33"/>
        <v/>
      </c>
      <c r="M363" s="82" t="str">
        <f>IF(CÁLCULO!E377="","",CÁLCULO!E377)</f>
        <v/>
      </c>
      <c r="O363" s="81" t="str">
        <f>IF(CÁLCULO!G377="","",CÁLCULO!G377)</f>
        <v/>
      </c>
      <c r="P363" s="80" t="str">
        <f t="shared" si="37"/>
        <v/>
      </c>
      <c r="Q363" s="121" t="str">
        <f>IF(CÁLCULO!I377="","",CÁLCULO!I377)</f>
        <v/>
      </c>
      <c r="R363" s="87"/>
      <c r="S363" s="121" t="str">
        <f t="shared" si="34"/>
        <v/>
      </c>
      <c r="T363" s="121" t="str">
        <f t="shared" si="35"/>
        <v/>
      </c>
      <c r="U363" s="89"/>
      <c r="V363" s="80" t="str">
        <f t="shared" si="32"/>
        <v/>
      </c>
      <c r="W363" s="77" t="str">
        <f>IF(K363="","",SUM($S$5:S362)*$E$11*V363)</f>
        <v/>
      </c>
      <c r="Y363" s="121" t="str">
        <f t="shared" si="36"/>
        <v/>
      </c>
    </row>
    <row r="364" spans="11:25" ht="17.100000000000001" customHeight="1" x14ac:dyDescent="0.25">
      <c r="K364" s="81" t="str">
        <f>IF(CÁLCULO!C378="","",CÁLCULO!C378)</f>
        <v/>
      </c>
      <c r="L364" s="81" t="str">
        <f t="shared" si="33"/>
        <v/>
      </c>
      <c r="M364" s="82" t="str">
        <f>IF(CÁLCULO!E378="","",CÁLCULO!E378)</f>
        <v/>
      </c>
      <c r="O364" s="81" t="str">
        <f>IF(CÁLCULO!G378="","",CÁLCULO!G378)</f>
        <v/>
      </c>
      <c r="P364" s="80" t="str">
        <f t="shared" si="37"/>
        <v/>
      </c>
      <c r="Q364" s="121" t="str">
        <f>IF(CÁLCULO!I378="","",CÁLCULO!I378)</f>
        <v/>
      </c>
      <c r="R364" s="87"/>
      <c r="S364" s="121" t="str">
        <f t="shared" si="34"/>
        <v/>
      </c>
      <c r="T364" s="121" t="str">
        <f t="shared" si="35"/>
        <v/>
      </c>
      <c r="U364" s="89"/>
      <c r="V364" s="80" t="str">
        <f t="shared" si="32"/>
        <v/>
      </c>
      <c r="W364" s="77" t="str">
        <f>IF(K364="","",SUM($S$5:S363)*$E$11*V364)</f>
        <v/>
      </c>
      <c r="Y364" s="121" t="str">
        <f t="shared" si="36"/>
        <v/>
      </c>
    </row>
    <row r="365" spans="11:25" ht="17.100000000000001" customHeight="1" x14ac:dyDescent="0.25">
      <c r="K365" s="81" t="str">
        <f>IF(CÁLCULO!C379="","",CÁLCULO!C379)</f>
        <v/>
      </c>
      <c r="L365" s="81" t="str">
        <f t="shared" si="33"/>
        <v/>
      </c>
      <c r="M365" s="82" t="str">
        <f>IF(CÁLCULO!E379="","",CÁLCULO!E379)</f>
        <v/>
      </c>
      <c r="O365" s="81" t="str">
        <f>IF(CÁLCULO!G379="","",CÁLCULO!G379)</f>
        <v/>
      </c>
      <c r="P365" s="80" t="str">
        <f t="shared" si="37"/>
        <v/>
      </c>
      <c r="Q365" s="121" t="str">
        <f>IF(CÁLCULO!I379="","",CÁLCULO!I379)</f>
        <v/>
      </c>
      <c r="R365" s="87"/>
      <c r="S365" s="121" t="str">
        <f t="shared" si="34"/>
        <v/>
      </c>
      <c r="T365" s="121" t="str">
        <f t="shared" si="35"/>
        <v/>
      </c>
      <c r="U365" s="89"/>
      <c r="V365" s="80" t="str">
        <f t="shared" si="32"/>
        <v/>
      </c>
      <c r="W365" s="77" t="str">
        <f>IF(K365="","",SUM($S$5:S364)*$E$11*V365)</f>
        <v/>
      </c>
      <c r="Y365" s="121" t="str">
        <f t="shared" si="36"/>
        <v/>
      </c>
    </row>
    <row r="366" spans="11:25" ht="17.100000000000001" customHeight="1" x14ac:dyDescent="0.25">
      <c r="K366" s="81" t="str">
        <f>IF(CÁLCULO!C380="","",CÁLCULO!C380)</f>
        <v/>
      </c>
      <c r="L366" s="81" t="str">
        <f t="shared" si="33"/>
        <v/>
      </c>
      <c r="M366" s="82" t="str">
        <f>IF(CÁLCULO!E380="","",CÁLCULO!E380)</f>
        <v/>
      </c>
      <c r="O366" s="81" t="str">
        <f>IF(CÁLCULO!G380="","",CÁLCULO!G380)</f>
        <v/>
      </c>
      <c r="P366" s="80" t="str">
        <f t="shared" si="37"/>
        <v/>
      </c>
      <c r="Q366" s="121" t="str">
        <f>IF(CÁLCULO!I380="","",CÁLCULO!I380)</f>
        <v/>
      </c>
      <c r="R366" s="87"/>
      <c r="S366" s="121" t="str">
        <f t="shared" si="34"/>
        <v/>
      </c>
      <c r="T366" s="121" t="str">
        <f t="shared" si="35"/>
        <v/>
      </c>
      <c r="U366" s="89"/>
      <c r="V366" s="80" t="str">
        <f t="shared" si="32"/>
        <v/>
      </c>
      <c r="W366" s="77" t="str">
        <f>IF(K366="","",SUM($S$5:S365)*$E$11*V366)</f>
        <v/>
      </c>
      <c r="Y366" s="121" t="str">
        <f t="shared" si="36"/>
        <v/>
      </c>
    </row>
    <row r="367" spans="11:25" ht="17.100000000000001" customHeight="1" x14ac:dyDescent="0.25">
      <c r="K367" s="81" t="str">
        <f>IF(CÁLCULO!C381="","",CÁLCULO!C381)</f>
        <v/>
      </c>
      <c r="L367" s="81" t="str">
        <f t="shared" si="33"/>
        <v/>
      </c>
      <c r="M367" s="82" t="str">
        <f>IF(CÁLCULO!E381="","",CÁLCULO!E381)</f>
        <v/>
      </c>
      <c r="O367" s="81" t="str">
        <f>IF(CÁLCULO!G381="","",CÁLCULO!G381)</f>
        <v/>
      </c>
      <c r="P367" s="80" t="str">
        <f t="shared" si="37"/>
        <v/>
      </c>
      <c r="Q367" s="121" t="str">
        <f>IF(CÁLCULO!I381="","",CÁLCULO!I381)</f>
        <v/>
      </c>
      <c r="R367" s="87"/>
      <c r="S367" s="121" t="str">
        <f t="shared" si="34"/>
        <v/>
      </c>
      <c r="T367" s="121" t="str">
        <f t="shared" si="35"/>
        <v/>
      </c>
      <c r="U367" s="89"/>
      <c r="V367" s="80" t="str">
        <f t="shared" si="32"/>
        <v/>
      </c>
      <c r="W367" s="77" t="str">
        <f>IF(K367="","",SUM($S$5:S366)*$E$11*V367)</f>
        <v/>
      </c>
      <c r="Y367" s="121" t="str">
        <f t="shared" si="36"/>
        <v/>
      </c>
    </row>
    <row r="368" spans="11:25" ht="17.100000000000001" customHeight="1" x14ac:dyDescent="0.25">
      <c r="K368" s="81" t="str">
        <f>IF(CÁLCULO!C382="","",CÁLCULO!C382)</f>
        <v/>
      </c>
      <c r="L368" s="81" t="str">
        <f t="shared" si="33"/>
        <v/>
      </c>
      <c r="M368" s="82" t="str">
        <f>IF(CÁLCULO!E382="","",CÁLCULO!E382)</f>
        <v/>
      </c>
      <c r="O368" s="81" t="str">
        <f>IF(CÁLCULO!G382="","",CÁLCULO!G382)</f>
        <v/>
      </c>
      <c r="P368" s="80" t="str">
        <f t="shared" si="37"/>
        <v/>
      </c>
      <c r="Q368" s="121" t="str">
        <f>IF(CÁLCULO!I382="","",CÁLCULO!I382)</f>
        <v/>
      </c>
      <c r="R368" s="87"/>
      <c r="S368" s="121" t="str">
        <f t="shared" si="34"/>
        <v/>
      </c>
      <c r="T368" s="121" t="str">
        <f t="shared" si="35"/>
        <v/>
      </c>
      <c r="U368" s="89"/>
      <c r="V368" s="80" t="str">
        <f t="shared" si="32"/>
        <v/>
      </c>
      <c r="W368" s="77" t="str">
        <f>IF(K368="","",SUM($S$5:S367)*$E$11*V368)</f>
        <v/>
      </c>
      <c r="Y368" s="121" t="str">
        <f t="shared" si="36"/>
        <v/>
      </c>
    </row>
    <row r="369" spans="11:25" ht="17.100000000000001" customHeight="1" x14ac:dyDescent="0.25">
      <c r="K369" s="81" t="str">
        <f>IF(CÁLCULO!C383="","",CÁLCULO!C383)</f>
        <v/>
      </c>
      <c r="L369" s="81" t="str">
        <f t="shared" si="33"/>
        <v/>
      </c>
      <c r="M369" s="82" t="str">
        <f>IF(CÁLCULO!E383="","",CÁLCULO!E383)</f>
        <v/>
      </c>
      <c r="O369" s="81" t="str">
        <f>IF(CÁLCULO!G383="","",CÁLCULO!G383)</f>
        <v/>
      </c>
      <c r="P369" s="80" t="str">
        <f t="shared" si="37"/>
        <v/>
      </c>
      <c r="Q369" s="121" t="str">
        <f>IF(CÁLCULO!I383="","",CÁLCULO!I383)</f>
        <v/>
      </c>
      <c r="R369" s="87"/>
      <c r="S369" s="121" t="str">
        <f t="shared" si="34"/>
        <v/>
      </c>
      <c r="T369" s="121" t="str">
        <f t="shared" si="35"/>
        <v/>
      </c>
      <c r="U369" s="89"/>
      <c r="V369" s="80" t="str">
        <f t="shared" si="32"/>
        <v/>
      </c>
      <c r="W369" s="77" t="str">
        <f>IF(K369="","",SUM($S$5:S368)*$E$11*V369)</f>
        <v/>
      </c>
      <c r="Y369" s="121" t="str">
        <f t="shared" si="36"/>
        <v/>
      </c>
    </row>
    <row r="370" spans="11:25" ht="17.100000000000001" customHeight="1" x14ac:dyDescent="0.25">
      <c r="K370" s="81" t="str">
        <f>IF(CÁLCULO!C384="","",CÁLCULO!C384)</f>
        <v/>
      </c>
      <c r="L370" s="81" t="str">
        <f t="shared" si="33"/>
        <v/>
      </c>
      <c r="M370" s="82" t="str">
        <f>IF(CÁLCULO!E384="","",CÁLCULO!E384)</f>
        <v/>
      </c>
      <c r="O370" s="81" t="str">
        <f>IF(CÁLCULO!G384="","",CÁLCULO!G384)</f>
        <v/>
      </c>
      <c r="P370" s="80" t="str">
        <f t="shared" si="37"/>
        <v/>
      </c>
      <c r="Q370" s="121" t="str">
        <f>IF(CÁLCULO!I384="","",CÁLCULO!I384)</f>
        <v/>
      </c>
      <c r="R370" s="87"/>
      <c r="S370" s="121" t="str">
        <f t="shared" si="34"/>
        <v/>
      </c>
      <c r="T370" s="121" t="str">
        <f t="shared" si="35"/>
        <v/>
      </c>
      <c r="U370" s="89"/>
      <c r="V370" s="80" t="str">
        <f t="shared" si="32"/>
        <v/>
      </c>
      <c r="W370" s="77" t="str">
        <f>IF(K370="","",SUM($S$5:S369)*$E$11*V370)</f>
        <v/>
      </c>
      <c r="Y370" s="121" t="str">
        <f t="shared" si="36"/>
        <v/>
      </c>
    </row>
    <row r="371" spans="11:25" ht="17.100000000000001" customHeight="1" x14ac:dyDescent="0.25">
      <c r="K371" s="81" t="str">
        <f>IF(CÁLCULO!C385="","",CÁLCULO!C385)</f>
        <v/>
      </c>
      <c r="L371" s="81" t="str">
        <f t="shared" si="33"/>
        <v/>
      </c>
      <c r="M371" s="82" t="str">
        <f>IF(CÁLCULO!E385="","",CÁLCULO!E385)</f>
        <v/>
      </c>
      <c r="O371" s="81" t="str">
        <f>IF(CÁLCULO!G385="","",CÁLCULO!G385)</f>
        <v/>
      </c>
      <c r="P371" s="80" t="str">
        <f t="shared" si="37"/>
        <v/>
      </c>
      <c r="Q371" s="121" t="str">
        <f>IF(CÁLCULO!I385="","",CÁLCULO!I385)</f>
        <v/>
      </c>
      <c r="R371" s="87"/>
      <c r="S371" s="121" t="str">
        <f t="shared" si="34"/>
        <v/>
      </c>
      <c r="T371" s="121" t="str">
        <f t="shared" si="35"/>
        <v/>
      </c>
      <c r="U371" s="89"/>
      <c r="V371" s="80" t="str">
        <f t="shared" si="32"/>
        <v/>
      </c>
      <c r="W371" s="77" t="str">
        <f>IF(K371="","",SUM($S$5:S370)*$E$11*V371)</f>
        <v/>
      </c>
      <c r="Y371" s="121" t="str">
        <f t="shared" si="36"/>
        <v/>
      </c>
    </row>
    <row r="372" spans="11:25" ht="17.100000000000001" customHeight="1" x14ac:dyDescent="0.25">
      <c r="K372" s="81" t="str">
        <f>IF(CÁLCULO!C386="","",CÁLCULO!C386)</f>
        <v/>
      </c>
      <c r="L372" s="81" t="str">
        <f t="shared" si="33"/>
        <v/>
      </c>
      <c r="M372" s="82" t="str">
        <f>IF(CÁLCULO!E386="","",CÁLCULO!E386)</f>
        <v/>
      </c>
      <c r="O372" s="81" t="str">
        <f>IF(CÁLCULO!G386="","",CÁLCULO!G386)</f>
        <v/>
      </c>
      <c r="P372" s="80" t="str">
        <f t="shared" si="37"/>
        <v/>
      </c>
      <c r="Q372" s="121" t="str">
        <f>IF(CÁLCULO!I386="","",CÁLCULO!I386)</f>
        <v/>
      </c>
      <c r="R372" s="87"/>
      <c r="S372" s="121" t="str">
        <f t="shared" si="34"/>
        <v/>
      </c>
      <c r="T372" s="121" t="str">
        <f t="shared" si="35"/>
        <v/>
      </c>
      <c r="U372" s="89"/>
      <c r="V372" s="80" t="str">
        <f t="shared" si="32"/>
        <v/>
      </c>
      <c r="W372" s="77" t="str">
        <f>IF(K372="","",SUM($S$5:S371)*$E$11*V372)</f>
        <v/>
      </c>
      <c r="Y372" s="121" t="str">
        <f t="shared" si="36"/>
        <v/>
      </c>
    </row>
    <row r="373" spans="11:25" ht="17.100000000000001" customHeight="1" x14ac:dyDescent="0.25">
      <c r="K373" s="81" t="str">
        <f>IF(CÁLCULO!C387="","",CÁLCULO!C387)</f>
        <v/>
      </c>
      <c r="L373" s="81" t="str">
        <f t="shared" si="33"/>
        <v/>
      </c>
      <c r="M373" s="82" t="str">
        <f>IF(CÁLCULO!E387="","",CÁLCULO!E387)</f>
        <v/>
      </c>
      <c r="O373" s="81" t="str">
        <f>IF(CÁLCULO!G387="","",CÁLCULO!G387)</f>
        <v/>
      </c>
      <c r="P373" s="80" t="str">
        <f t="shared" si="37"/>
        <v/>
      </c>
      <c r="Q373" s="121" t="str">
        <f>IF(CÁLCULO!I387="","",CÁLCULO!I387)</f>
        <v/>
      </c>
      <c r="R373" s="87"/>
      <c r="S373" s="121" t="str">
        <f t="shared" si="34"/>
        <v/>
      </c>
      <c r="T373" s="121" t="str">
        <f t="shared" si="35"/>
        <v/>
      </c>
      <c r="U373" s="89"/>
      <c r="V373" s="80" t="str">
        <f t="shared" si="32"/>
        <v/>
      </c>
      <c r="W373" s="77" t="str">
        <f>IF(K373="","",SUM($S$5:S372)*$E$11*V373)</f>
        <v/>
      </c>
      <c r="Y373" s="121" t="str">
        <f t="shared" si="36"/>
        <v/>
      </c>
    </row>
    <row r="374" spans="11:25" ht="17.100000000000001" customHeight="1" x14ac:dyDescent="0.25">
      <c r="K374" s="81" t="str">
        <f>IF(CÁLCULO!C388="","",CÁLCULO!C388)</f>
        <v/>
      </c>
      <c r="L374" s="81" t="str">
        <f t="shared" si="33"/>
        <v/>
      </c>
      <c r="M374" s="82" t="str">
        <f>IF(CÁLCULO!E388="","",CÁLCULO!E388)</f>
        <v/>
      </c>
      <c r="O374" s="81" t="str">
        <f>IF(CÁLCULO!G388="","",CÁLCULO!G388)</f>
        <v/>
      </c>
      <c r="P374" s="80" t="str">
        <f t="shared" si="37"/>
        <v/>
      </c>
      <c r="Q374" s="121" t="str">
        <f>IF(CÁLCULO!I388="","",CÁLCULO!I388)</f>
        <v/>
      </c>
      <c r="R374" s="87"/>
      <c r="S374" s="121" t="str">
        <f t="shared" si="34"/>
        <v/>
      </c>
      <c r="T374" s="121" t="str">
        <f t="shared" si="35"/>
        <v/>
      </c>
      <c r="U374" s="89"/>
      <c r="V374" s="80" t="str">
        <f t="shared" si="32"/>
        <v/>
      </c>
      <c r="W374" s="77" t="str">
        <f>IF(K374="","",SUM($S$5:S373)*$E$11*V374)</f>
        <v/>
      </c>
      <c r="Y374" s="121" t="str">
        <f t="shared" si="36"/>
        <v/>
      </c>
    </row>
    <row r="375" spans="11:25" ht="17.100000000000001" customHeight="1" x14ac:dyDescent="0.25">
      <c r="K375" s="81" t="str">
        <f>IF(CÁLCULO!C389="","",CÁLCULO!C389)</f>
        <v/>
      </c>
      <c r="L375" s="81" t="str">
        <f t="shared" si="33"/>
        <v/>
      </c>
      <c r="M375" s="82" t="str">
        <f>IF(CÁLCULO!E389="","",CÁLCULO!E389)</f>
        <v/>
      </c>
      <c r="O375" s="81" t="str">
        <f>IF(CÁLCULO!G389="","",CÁLCULO!G389)</f>
        <v/>
      </c>
      <c r="P375" s="80" t="str">
        <f t="shared" si="37"/>
        <v/>
      </c>
      <c r="Q375" s="121" t="str">
        <f>IF(CÁLCULO!I389="","",CÁLCULO!I389)</f>
        <v/>
      </c>
      <c r="R375" s="87"/>
      <c r="S375" s="121" t="str">
        <f t="shared" si="34"/>
        <v/>
      </c>
      <c r="T375" s="121" t="str">
        <f t="shared" si="35"/>
        <v/>
      </c>
      <c r="U375" s="89"/>
      <c r="V375" s="80" t="str">
        <f t="shared" si="32"/>
        <v/>
      </c>
      <c r="W375" s="77" t="str">
        <f>IF(K375="","",SUM($S$5:S374)*$E$11*V375)</f>
        <v/>
      </c>
      <c r="Y375" s="121" t="str">
        <f t="shared" si="36"/>
        <v/>
      </c>
    </row>
    <row r="376" spans="11:25" ht="17.100000000000001" customHeight="1" x14ac:dyDescent="0.25">
      <c r="K376" s="81" t="str">
        <f>IF(CÁLCULO!C390="","",CÁLCULO!C390)</f>
        <v/>
      </c>
      <c r="L376" s="81" t="str">
        <f t="shared" si="33"/>
        <v/>
      </c>
      <c r="M376" s="82" t="str">
        <f>IF(CÁLCULO!E390="","",CÁLCULO!E390)</f>
        <v/>
      </c>
      <c r="O376" s="81" t="str">
        <f>IF(CÁLCULO!G390="","",CÁLCULO!G390)</f>
        <v/>
      </c>
      <c r="P376" s="80" t="str">
        <f t="shared" si="37"/>
        <v/>
      </c>
      <c r="Q376" s="121" t="str">
        <f>IF(CÁLCULO!I390="","",CÁLCULO!I390)</f>
        <v/>
      </c>
      <c r="R376" s="87"/>
      <c r="S376" s="121" t="str">
        <f t="shared" si="34"/>
        <v/>
      </c>
      <c r="T376" s="121" t="str">
        <f t="shared" si="35"/>
        <v/>
      </c>
      <c r="U376" s="89"/>
      <c r="V376" s="80" t="str">
        <f t="shared" si="32"/>
        <v/>
      </c>
      <c r="W376" s="77" t="str">
        <f>IF(K376="","",SUM($S$5:S375)*$E$11*V376)</f>
        <v/>
      </c>
      <c r="Y376" s="121" t="str">
        <f t="shared" si="36"/>
        <v/>
      </c>
    </row>
    <row r="377" spans="11:25" ht="17.100000000000001" customHeight="1" x14ac:dyDescent="0.25">
      <c r="K377" s="81" t="str">
        <f>IF(CÁLCULO!C391="","",CÁLCULO!C391)</f>
        <v/>
      </c>
      <c r="L377" s="81" t="str">
        <f t="shared" si="33"/>
        <v/>
      </c>
      <c r="M377" s="82" t="str">
        <f>IF(CÁLCULO!E391="","",CÁLCULO!E391)</f>
        <v/>
      </c>
      <c r="O377" s="81" t="str">
        <f>IF(CÁLCULO!G391="","",CÁLCULO!G391)</f>
        <v/>
      </c>
      <c r="P377" s="80" t="str">
        <f t="shared" si="37"/>
        <v/>
      </c>
      <c r="Q377" s="121" t="str">
        <f>IF(CÁLCULO!I391="","",CÁLCULO!I391)</f>
        <v/>
      </c>
      <c r="R377" s="87"/>
      <c r="S377" s="121" t="str">
        <f t="shared" si="34"/>
        <v/>
      </c>
      <c r="T377" s="121" t="str">
        <f t="shared" si="35"/>
        <v/>
      </c>
      <c r="U377" s="89"/>
      <c r="V377" s="80" t="str">
        <f t="shared" si="32"/>
        <v/>
      </c>
      <c r="W377" s="77" t="str">
        <f>IF(K377="","",SUM($S$5:S376)*$E$11*V377)</f>
        <v/>
      </c>
      <c r="Y377" s="121" t="str">
        <f t="shared" si="36"/>
        <v/>
      </c>
    </row>
    <row r="378" spans="11:25" ht="17.100000000000001" customHeight="1" x14ac:dyDescent="0.25">
      <c r="K378" s="81" t="str">
        <f>IF(CÁLCULO!C392="","",CÁLCULO!C392)</f>
        <v/>
      </c>
      <c r="L378" s="81" t="str">
        <f t="shared" si="33"/>
        <v/>
      </c>
      <c r="M378" s="82" t="str">
        <f>IF(CÁLCULO!E392="","",CÁLCULO!E392)</f>
        <v/>
      </c>
      <c r="O378" s="81" t="str">
        <f>IF(CÁLCULO!G392="","",CÁLCULO!G392)</f>
        <v/>
      </c>
      <c r="P378" s="80" t="str">
        <f t="shared" si="37"/>
        <v/>
      </c>
      <c r="Q378" s="121" t="str">
        <f>IF(CÁLCULO!I392="","",CÁLCULO!I392)</f>
        <v/>
      </c>
      <c r="R378" s="87"/>
      <c r="S378" s="121" t="str">
        <f t="shared" si="34"/>
        <v/>
      </c>
      <c r="T378" s="121" t="str">
        <f t="shared" si="35"/>
        <v/>
      </c>
      <c r="U378" s="89"/>
      <c r="V378" s="80" t="str">
        <f t="shared" si="32"/>
        <v/>
      </c>
      <c r="W378" s="77" t="str">
        <f>IF(K378="","",SUM($S$5:S377)*$E$11*V378)</f>
        <v/>
      </c>
      <c r="Y378" s="121" t="str">
        <f t="shared" si="36"/>
        <v/>
      </c>
    </row>
    <row r="379" spans="11:25" ht="17.100000000000001" customHeight="1" x14ac:dyDescent="0.25">
      <c r="K379" s="81" t="str">
        <f>IF(CÁLCULO!C393="","",CÁLCULO!C393)</f>
        <v/>
      </c>
      <c r="L379" s="81" t="str">
        <f t="shared" si="33"/>
        <v/>
      </c>
      <c r="M379" s="82" t="str">
        <f>IF(CÁLCULO!E393="","",CÁLCULO!E393)</f>
        <v/>
      </c>
      <c r="O379" s="81" t="str">
        <f>IF(CÁLCULO!G393="","",CÁLCULO!G393)</f>
        <v/>
      </c>
      <c r="P379" s="80" t="str">
        <f t="shared" si="37"/>
        <v/>
      </c>
      <c r="Q379" s="121" t="str">
        <f>IF(CÁLCULO!I393="","",CÁLCULO!I393)</f>
        <v/>
      </c>
      <c r="R379" s="87"/>
      <c r="S379" s="121" t="str">
        <f t="shared" si="34"/>
        <v/>
      </c>
      <c r="T379" s="121" t="str">
        <f t="shared" si="35"/>
        <v/>
      </c>
      <c r="U379" s="89"/>
      <c r="V379" s="80" t="str">
        <f t="shared" si="32"/>
        <v/>
      </c>
      <c r="W379" s="77" t="str">
        <f>IF(K379="","",SUM($S$5:S378)*$E$11*V379)</f>
        <v/>
      </c>
      <c r="Y379" s="121" t="str">
        <f t="shared" si="36"/>
        <v/>
      </c>
    </row>
    <row r="380" spans="11:25" ht="17.100000000000001" customHeight="1" x14ac:dyDescent="0.25">
      <c r="K380" s="81" t="str">
        <f>IF(CÁLCULO!C394="","",CÁLCULO!C394)</f>
        <v/>
      </c>
      <c r="L380" s="81" t="str">
        <f t="shared" si="33"/>
        <v/>
      </c>
      <c r="M380" s="82" t="str">
        <f>IF(CÁLCULO!E394="","",CÁLCULO!E394)</f>
        <v/>
      </c>
      <c r="O380" s="81" t="str">
        <f>IF(CÁLCULO!G394="","",CÁLCULO!G394)</f>
        <v/>
      </c>
      <c r="P380" s="80" t="str">
        <f t="shared" si="37"/>
        <v/>
      </c>
      <c r="Q380" s="121" t="str">
        <f>IF(CÁLCULO!I394="","",CÁLCULO!I394)</f>
        <v/>
      </c>
      <c r="R380" s="87"/>
      <c r="S380" s="121" t="str">
        <f t="shared" si="34"/>
        <v/>
      </c>
      <c r="T380" s="121" t="str">
        <f t="shared" si="35"/>
        <v/>
      </c>
      <c r="U380" s="89"/>
      <c r="V380" s="80" t="str">
        <f t="shared" si="32"/>
        <v/>
      </c>
      <c r="W380" s="77" t="str">
        <f>IF(K380="","",SUM($S$5:S379)*$E$11*V380)</f>
        <v/>
      </c>
      <c r="Y380" s="121" t="str">
        <f t="shared" si="36"/>
        <v/>
      </c>
    </row>
    <row r="381" spans="11:25" ht="17.100000000000001" customHeight="1" x14ac:dyDescent="0.25">
      <c r="K381" s="81" t="str">
        <f>IF(CÁLCULO!C395="","",CÁLCULO!C395)</f>
        <v/>
      </c>
      <c r="L381" s="81" t="str">
        <f t="shared" si="33"/>
        <v/>
      </c>
      <c r="M381" s="82" t="str">
        <f>IF(CÁLCULO!E395="","",CÁLCULO!E395)</f>
        <v/>
      </c>
      <c r="O381" s="81" t="str">
        <f>IF(CÁLCULO!G395="","",CÁLCULO!G395)</f>
        <v/>
      </c>
      <c r="P381" s="80" t="str">
        <f t="shared" si="37"/>
        <v/>
      </c>
      <c r="Q381" s="121" t="str">
        <f>IF(CÁLCULO!I395="","",CÁLCULO!I395)</f>
        <v/>
      </c>
      <c r="R381" s="87"/>
      <c r="S381" s="121" t="str">
        <f t="shared" si="34"/>
        <v/>
      </c>
      <c r="T381" s="121" t="str">
        <f t="shared" si="35"/>
        <v/>
      </c>
      <c r="U381" s="89"/>
      <c r="V381" s="80" t="str">
        <f t="shared" si="32"/>
        <v/>
      </c>
      <c r="W381" s="77" t="str">
        <f>IF(K381="","",SUM($S$5:S380)*$E$11*V381)</f>
        <v/>
      </c>
      <c r="Y381" s="121" t="str">
        <f t="shared" si="36"/>
        <v/>
      </c>
    </row>
    <row r="382" spans="11:25" ht="17.100000000000001" customHeight="1" x14ac:dyDescent="0.25">
      <c r="K382" s="81" t="str">
        <f>IF(CÁLCULO!C396="","",CÁLCULO!C396)</f>
        <v/>
      </c>
      <c r="L382" s="81" t="str">
        <f t="shared" si="33"/>
        <v/>
      </c>
      <c r="M382" s="82" t="str">
        <f>IF(CÁLCULO!E396="","",CÁLCULO!E396)</f>
        <v/>
      </c>
      <c r="O382" s="81" t="str">
        <f>IF(CÁLCULO!G396="","",CÁLCULO!G396)</f>
        <v/>
      </c>
      <c r="P382" s="80" t="str">
        <f t="shared" si="37"/>
        <v/>
      </c>
      <c r="Q382" s="121" t="str">
        <f>IF(CÁLCULO!I396="","",CÁLCULO!I396)</f>
        <v/>
      </c>
      <c r="R382" s="87"/>
      <c r="S382" s="121" t="str">
        <f t="shared" si="34"/>
        <v/>
      </c>
      <c r="T382" s="121" t="str">
        <f t="shared" si="35"/>
        <v/>
      </c>
      <c r="U382" s="89"/>
      <c r="V382" s="80" t="str">
        <f t="shared" si="32"/>
        <v/>
      </c>
      <c r="W382" s="77" t="str">
        <f>IF(K382="","",SUM($S$5:S381)*$E$11*V382)</f>
        <v/>
      </c>
      <c r="Y382" s="121" t="str">
        <f t="shared" si="36"/>
        <v/>
      </c>
    </row>
    <row r="383" spans="11:25" ht="17.100000000000001" customHeight="1" x14ac:dyDescent="0.25">
      <c r="K383" s="81" t="str">
        <f>IF(CÁLCULO!C397="","",CÁLCULO!C397)</f>
        <v/>
      </c>
      <c r="L383" s="81" t="str">
        <f t="shared" si="33"/>
        <v/>
      </c>
      <c r="M383" s="82" t="str">
        <f>IF(CÁLCULO!E397="","",CÁLCULO!E397)</f>
        <v/>
      </c>
      <c r="O383" s="81" t="str">
        <f>IF(CÁLCULO!G397="","",CÁLCULO!G397)</f>
        <v/>
      </c>
      <c r="P383" s="80" t="str">
        <f t="shared" si="37"/>
        <v/>
      </c>
      <c r="Q383" s="121" t="str">
        <f>IF(CÁLCULO!I397="","",CÁLCULO!I397)</f>
        <v/>
      </c>
      <c r="R383" s="87"/>
      <c r="S383" s="121" t="str">
        <f t="shared" si="34"/>
        <v/>
      </c>
      <c r="T383" s="121" t="str">
        <f t="shared" si="35"/>
        <v/>
      </c>
      <c r="U383" s="89"/>
      <c r="V383" s="80" t="str">
        <f t="shared" si="32"/>
        <v/>
      </c>
      <c r="W383" s="77" t="str">
        <f>IF(K383="","",SUM($S$5:S382)*$E$11*V383)</f>
        <v/>
      </c>
      <c r="Y383" s="121" t="str">
        <f t="shared" si="36"/>
        <v/>
      </c>
    </row>
    <row r="384" spans="11:25" ht="17.100000000000001" customHeight="1" x14ac:dyDescent="0.25">
      <c r="K384" s="81" t="str">
        <f>IF(CÁLCULO!C398="","",CÁLCULO!C398)</f>
        <v/>
      </c>
      <c r="L384" s="81" t="str">
        <f t="shared" si="33"/>
        <v/>
      </c>
      <c r="M384" s="82" t="str">
        <f>IF(CÁLCULO!E398="","",CÁLCULO!E398)</f>
        <v/>
      </c>
      <c r="O384" s="81" t="str">
        <f>IF(CÁLCULO!G398="","",CÁLCULO!G398)</f>
        <v/>
      </c>
      <c r="P384" s="80" t="str">
        <f t="shared" si="37"/>
        <v/>
      </c>
      <c r="Q384" s="121" t="str">
        <f>IF(CÁLCULO!I398="","",CÁLCULO!I398)</f>
        <v/>
      </c>
      <c r="R384" s="87"/>
      <c r="S384" s="121" t="str">
        <f t="shared" si="34"/>
        <v/>
      </c>
      <c r="T384" s="121" t="str">
        <f t="shared" si="35"/>
        <v/>
      </c>
      <c r="U384" s="89"/>
      <c r="V384" s="80" t="str">
        <f t="shared" si="32"/>
        <v/>
      </c>
      <c r="W384" s="77" t="str">
        <f>IF(K384="","",SUM($S$5:S383)*$E$11*V384)</f>
        <v/>
      </c>
      <c r="Y384" s="121" t="str">
        <f t="shared" si="36"/>
        <v/>
      </c>
    </row>
    <row r="385" spans="11:25" ht="17.100000000000001" customHeight="1" x14ac:dyDescent="0.25">
      <c r="K385" s="81" t="str">
        <f>IF(CÁLCULO!C399="","",CÁLCULO!C399)</f>
        <v/>
      </c>
      <c r="L385" s="81" t="str">
        <f t="shared" si="33"/>
        <v/>
      </c>
      <c r="M385" s="82" t="str">
        <f>IF(CÁLCULO!E399="","",CÁLCULO!E399)</f>
        <v/>
      </c>
      <c r="O385" s="81" t="str">
        <f>IF(CÁLCULO!G399="","",CÁLCULO!G399)</f>
        <v/>
      </c>
      <c r="P385" s="80" t="str">
        <f t="shared" si="37"/>
        <v/>
      </c>
      <c r="Q385" s="121" t="str">
        <f>IF(CÁLCULO!I399="","",CÁLCULO!I399)</f>
        <v/>
      </c>
      <c r="R385" s="87"/>
      <c r="S385" s="121" t="str">
        <f t="shared" si="34"/>
        <v/>
      </c>
      <c r="T385" s="121" t="str">
        <f t="shared" si="35"/>
        <v/>
      </c>
      <c r="U385" s="89"/>
      <c r="V385" s="80" t="str">
        <f t="shared" si="32"/>
        <v/>
      </c>
      <c r="W385" s="77" t="str">
        <f>IF(K385="","",SUM($S$5:S384)*$E$11*V385)</f>
        <v/>
      </c>
      <c r="Y385" s="121" t="str">
        <f t="shared" si="36"/>
        <v/>
      </c>
    </row>
    <row r="386" spans="11:25" ht="17.100000000000001" customHeight="1" x14ac:dyDescent="0.25">
      <c r="K386" s="81" t="str">
        <f>IF(CÁLCULO!C400="","",CÁLCULO!C400)</f>
        <v/>
      </c>
      <c r="L386" s="81" t="str">
        <f t="shared" si="33"/>
        <v/>
      </c>
      <c r="M386" s="82" t="str">
        <f>IF(CÁLCULO!E400="","",CÁLCULO!E400)</f>
        <v/>
      </c>
      <c r="O386" s="81" t="str">
        <f>IF(CÁLCULO!G400="","",CÁLCULO!G400)</f>
        <v/>
      </c>
      <c r="P386" s="80" t="str">
        <f t="shared" si="37"/>
        <v/>
      </c>
      <c r="Q386" s="121" t="str">
        <f>IF(CÁLCULO!I400="","",CÁLCULO!I400)</f>
        <v/>
      </c>
      <c r="R386" s="87"/>
      <c r="S386" s="121" t="str">
        <f t="shared" si="34"/>
        <v/>
      </c>
      <c r="T386" s="121" t="str">
        <f t="shared" si="35"/>
        <v/>
      </c>
      <c r="U386" s="89"/>
      <c r="V386" s="80" t="str">
        <f t="shared" si="32"/>
        <v/>
      </c>
      <c r="W386" s="77" t="str">
        <f>IF(K386="","",SUM($S$5:S385)*$E$11*V386)</f>
        <v/>
      </c>
      <c r="Y386" s="121" t="str">
        <f t="shared" si="36"/>
        <v/>
      </c>
    </row>
    <row r="387" spans="11:25" ht="17.100000000000001" customHeight="1" x14ac:dyDescent="0.25">
      <c r="K387" s="81" t="str">
        <f>IF(CÁLCULO!C401="","",CÁLCULO!C401)</f>
        <v/>
      </c>
      <c r="L387" s="81" t="str">
        <f t="shared" si="33"/>
        <v/>
      </c>
      <c r="M387" s="82" t="str">
        <f>IF(CÁLCULO!E401="","",CÁLCULO!E401)</f>
        <v/>
      </c>
      <c r="O387" s="81" t="str">
        <f>IF(CÁLCULO!G401="","",CÁLCULO!G401)</f>
        <v/>
      </c>
      <c r="P387" s="80" t="str">
        <f t="shared" si="37"/>
        <v/>
      </c>
      <c r="Q387" s="121" t="str">
        <f>IF(CÁLCULO!I401="","",CÁLCULO!I401)</f>
        <v/>
      </c>
      <c r="R387" s="87"/>
      <c r="S387" s="121" t="str">
        <f t="shared" si="34"/>
        <v/>
      </c>
      <c r="T387" s="121" t="str">
        <f t="shared" si="35"/>
        <v/>
      </c>
      <c r="U387" s="89"/>
      <c r="V387" s="80" t="str">
        <f t="shared" si="32"/>
        <v/>
      </c>
      <c r="W387" s="77" t="str">
        <f>IF(K387="","",SUM($S$5:S386)*$E$11*V387)</f>
        <v/>
      </c>
      <c r="Y387" s="121" t="str">
        <f t="shared" si="36"/>
        <v/>
      </c>
    </row>
    <row r="388" spans="11:25" ht="17.100000000000001" customHeight="1" x14ac:dyDescent="0.25">
      <c r="K388" s="81" t="str">
        <f>IF(CÁLCULO!C402="","",CÁLCULO!C402)</f>
        <v/>
      </c>
      <c r="L388" s="81" t="str">
        <f t="shared" si="33"/>
        <v/>
      </c>
      <c r="M388" s="82" t="str">
        <f>IF(CÁLCULO!E402="","",CÁLCULO!E402)</f>
        <v/>
      </c>
      <c r="O388" s="81" t="str">
        <f>IF(CÁLCULO!G402="","",CÁLCULO!G402)</f>
        <v/>
      </c>
      <c r="P388" s="80" t="str">
        <f t="shared" si="37"/>
        <v/>
      </c>
      <c r="Q388" s="121" t="str">
        <f>IF(CÁLCULO!I402="","",CÁLCULO!I402)</f>
        <v/>
      </c>
      <c r="R388" s="87"/>
      <c r="S388" s="121" t="str">
        <f t="shared" si="34"/>
        <v/>
      </c>
      <c r="T388" s="121" t="str">
        <f t="shared" si="35"/>
        <v/>
      </c>
      <c r="U388" s="89"/>
      <c r="V388" s="80" t="str">
        <f t="shared" si="32"/>
        <v/>
      </c>
      <c r="W388" s="77" t="str">
        <f>IF(K388="","",SUM($S$5:S387)*$E$11*V388)</f>
        <v/>
      </c>
      <c r="Y388" s="121" t="str">
        <f t="shared" si="36"/>
        <v/>
      </c>
    </row>
    <row r="389" spans="11:25" ht="17.100000000000001" customHeight="1" x14ac:dyDescent="0.25">
      <c r="K389" s="81" t="str">
        <f>IF(CÁLCULO!C403="","",CÁLCULO!C403)</f>
        <v/>
      </c>
      <c r="L389" s="81" t="str">
        <f t="shared" si="33"/>
        <v/>
      </c>
      <c r="M389" s="82" t="str">
        <f>IF(CÁLCULO!E403="","",CÁLCULO!E403)</f>
        <v/>
      </c>
      <c r="O389" s="81" t="str">
        <f>IF(CÁLCULO!G403="","",CÁLCULO!G403)</f>
        <v/>
      </c>
      <c r="P389" s="80" t="str">
        <f t="shared" si="37"/>
        <v/>
      </c>
      <c r="Q389" s="121" t="str">
        <f>IF(CÁLCULO!I403="","",CÁLCULO!I403)</f>
        <v/>
      </c>
      <c r="R389" s="87"/>
      <c r="S389" s="121" t="str">
        <f t="shared" si="34"/>
        <v/>
      </c>
      <c r="T389" s="121" t="str">
        <f t="shared" si="35"/>
        <v/>
      </c>
      <c r="U389" s="89"/>
      <c r="V389" s="80" t="str">
        <f t="shared" ref="V389:V452" si="38">IF(K389="","",IF(O389-(P389-365)&lt;0,0,IF(P389&gt;365,O389-(P389-365),O389)))</f>
        <v/>
      </c>
      <c r="W389" s="77" t="str">
        <f>IF(K389="","",SUM($S$5:S388)*$E$11*V389)</f>
        <v/>
      </c>
      <c r="Y389" s="121" t="str">
        <f t="shared" si="36"/>
        <v/>
      </c>
    </row>
    <row r="390" spans="11:25" ht="17.100000000000001" customHeight="1" x14ac:dyDescent="0.25">
      <c r="K390" s="81" t="str">
        <f>IF(CÁLCULO!C404="","",CÁLCULO!C404)</f>
        <v/>
      </c>
      <c r="L390" s="81" t="str">
        <f t="shared" ref="L390:L453" si="39">IF(K390="","",IF(K390&lt;=TempoCarencia,"-",IF(K390=TempoCarencia+1,1,IF(L389&gt;0,L389+1,""))))</f>
        <v/>
      </c>
      <c r="M390" s="82" t="str">
        <f>IF(CÁLCULO!E404="","",CÁLCULO!E404)</f>
        <v/>
      </c>
      <c r="O390" s="81" t="str">
        <f>IF(CÁLCULO!G404="","",CÁLCULO!G404)</f>
        <v/>
      </c>
      <c r="P390" s="80" t="str">
        <f t="shared" si="37"/>
        <v/>
      </c>
      <c r="Q390" s="121" t="str">
        <f>IF(CÁLCULO!I404="","",CÁLCULO!I404)</f>
        <v/>
      </c>
      <c r="R390" s="87"/>
      <c r="S390" s="121" t="str">
        <f t="shared" ref="S390:S453" si="40">IF(K390="","",PV(TxJurosAoDia,P390,,-Q390))</f>
        <v/>
      </c>
      <c r="T390" s="121" t="str">
        <f t="shared" si="35"/>
        <v/>
      </c>
      <c r="U390" s="89"/>
      <c r="V390" s="80" t="str">
        <f t="shared" si="38"/>
        <v/>
      </c>
      <c r="W390" s="77" t="str">
        <f>IF(K390="","",SUM($S$5:S389)*$E$11*V390)</f>
        <v/>
      </c>
      <c r="Y390" s="121" t="str">
        <f t="shared" si="36"/>
        <v/>
      </c>
    </row>
    <row r="391" spans="11:25" ht="17.100000000000001" customHeight="1" x14ac:dyDescent="0.25">
      <c r="K391" s="81" t="str">
        <f>IF(CÁLCULO!C405="","",CÁLCULO!C405)</f>
        <v/>
      </c>
      <c r="L391" s="81" t="str">
        <f t="shared" si="39"/>
        <v/>
      </c>
      <c r="M391" s="82" t="str">
        <f>IF(CÁLCULO!E405="","",CÁLCULO!E405)</f>
        <v/>
      </c>
      <c r="O391" s="81" t="str">
        <f>IF(CÁLCULO!G405="","",CÁLCULO!G405)</f>
        <v/>
      </c>
      <c r="P391" s="80" t="str">
        <f t="shared" si="37"/>
        <v/>
      </c>
      <c r="Q391" s="121" t="str">
        <f>IF(CÁLCULO!I405="","",CÁLCULO!I405)</f>
        <v/>
      </c>
      <c r="R391" s="87"/>
      <c r="S391" s="121" t="str">
        <f t="shared" si="40"/>
        <v/>
      </c>
      <c r="T391" s="121" t="str">
        <f t="shared" ref="T391:T454" si="41">IF(K391="","",T390+S391)</f>
        <v/>
      </c>
      <c r="U391" s="89"/>
      <c r="V391" s="80" t="str">
        <f t="shared" si="38"/>
        <v/>
      </c>
      <c r="W391" s="77" t="str">
        <f>IF(K391="","",SUM($S$5:S390)*$E$11*V391)</f>
        <v/>
      </c>
      <c r="Y391" s="121" t="str">
        <f t="shared" ref="Y391:Y454" si="42">Q391</f>
        <v/>
      </c>
    </row>
    <row r="392" spans="11:25" ht="17.100000000000001" customHeight="1" x14ac:dyDescent="0.25">
      <c r="K392" s="81" t="str">
        <f>IF(CÁLCULO!C406="","",CÁLCULO!C406)</f>
        <v/>
      </c>
      <c r="L392" s="81" t="str">
        <f t="shared" si="39"/>
        <v/>
      </c>
      <c r="M392" s="82" t="str">
        <f>IF(CÁLCULO!E406="","",CÁLCULO!E406)</f>
        <v/>
      </c>
      <c r="O392" s="81" t="str">
        <f>IF(CÁLCULO!G406="","",CÁLCULO!G406)</f>
        <v/>
      </c>
      <c r="P392" s="80" t="str">
        <f t="shared" si="37"/>
        <v/>
      </c>
      <c r="Q392" s="121" t="str">
        <f>IF(CÁLCULO!I406="","",CÁLCULO!I406)</f>
        <v/>
      </c>
      <c r="R392" s="87"/>
      <c r="S392" s="121" t="str">
        <f t="shared" si="40"/>
        <v/>
      </c>
      <c r="T392" s="121" t="str">
        <f t="shared" si="41"/>
        <v/>
      </c>
      <c r="U392" s="89"/>
      <c r="V392" s="80" t="str">
        <f t="shared" si="38"/>
        <v/>
      </c>
      <c r="W392" s="77" t="str">
        <f>IF(K392="","",SUM($S$5:S391)*$E$11*V392)</f>
        <v/>
      </c>
      <c r="Y392" s="121" t="str">
        <f t="shared" si="42"/>
        <v/>
      </c>
    </row>
    <row r="393" spans="11:25" ht="17.100000000000001" customHeight="1" x14ac:dyDescent="0.25">
      <c r="K393" s="81" t="str">
        <f>IF(CÁLCULO!C407="","",CÁLCULO!C407)</f>
        <v/>
      </c>
      <c r="L393" s="81" t="str">
        <f t="shared" si="39"/>
        <v/>
      </c>
      <c r="M393" s="82" t="str">
        <f>IF(CÁLCULO!E407="","",CÁLCULO!E407)</f>
        <v/>
      </c>
      <c r="O393" s="81" t="str">
        <f>IF(CÁLCULO!G407="","",CÁLCULO!G407)</f>
        <v/>
      </c>
      <c r="P393" s="80" t="str">
        <f t="shared" si="37"/>
        <v/>
      </c>
      <c r="Q393" s="121" t="str">
        <f>IF(CÁLCULO!I407="","",CÁLCULO!I407)</f>
        <v/>
      </c>
      <c r="R393" s="87"/>
      <c r="S393" s="121" t="str">
        <f t="shared" si="40"/>
        <v/>
      </c>
      <c r="T393" s="121" t="str">
        <f t="shared" si="41"/>
        <v/>
      </c>
      <c r="U393" s="89"/>
      <c r="V393" s="80" t="str">
        <f t="shared" si="38"/>
        <v/>
      </c>
      <c r="W393" s="77" t="str">
        <f>IF(K393="","",SUM($S$5:S392)*$E$11*V393)</f>
        <v/>
      </c>
      <c r="Y393" s="121" t="str">
        <f t="shared" si="42"/>
        <v/>
      </c>
    </row>
    <row r="394" spans="11:25" ht="17.100000000000001" customHeight="1" x14ac:dyDescent="0.25">
      <c r="K394" s="81" t="str">
        <f>IF(CÁLCULO!C408="","",CÁLCULO!C408)</f>
        <v/>
      </c>
      <c r="L394" s="81" t="str">
        <f t="shared" si="39"/>
        <v/>
      </c>
      <c r="M394" s="82" t="str">
        <f>IF(CÁLCULO!E408="","",CÁLCULO!E408)</f>
        <v/>
      </c>
      <c r="O394" s="81" t="str">
        <f>IF(CÁLCULO!G408="","",CÁLCULO!G408)</f>
        <v/>
      </c>
      <c r="P394" s="80" t="str">
        <f t="shared" si="37"/>
        <v/>
      </c>
      <c r="Q394" s="121" t="str">
        <f>IF(CÁLCULO!I408="","",CÁLCULO!I408)</f>
        <v/>
      </c>
      <c r="R394" s="87"/>
      <c r="S394" s="121" t="str">
        <f t="shared" si="40"/>
        <v/>
      </c>
      <c r="T394" s="121" t="str">
        <f t="shared" si="41"/>
        <v/>
      </c>
      <c r="U394" s="89"/>
      <c r="V394" s="80" t="str">
        <f t="shared" si="38"/>
        <v/>
      </c>
      <c r="W394" s="77" t="str">
        <f>IF(K394="","",SUM($S$5:S393)*$E$11*V394)</f>
        <v/>
      </c>
      <c r="Y394" s="121" t="str">
        <f t="shared" si="42"/>
        <v/>
      </c>
    </row>
    <row r="395" spans="11:25" ht="17.100000000000001" customHeight="1" x14ac:dyDescent="0.25">
      <c r="K395" s="81" t="str">
        <f>IF(CÁLCULO!C409="","",CÁLCULO!C409)</f>
        <v/>
      </c>
      <c r="L395" s="81" t="str">
        <f t="shared" si="39"/>
        <v/>
      </c>
      <c r="M395" s="82" t="str">
        <f>IF(CÁLCULO!E409="","",CÁLCULO!E409)</f>
        <v/>
      </c>
      <c r="O395" s="81" t="str">
        <f>IF(CÁLCULO!G409="","",CÁLCULO!G409)</f>
        <v/>
      </c>
      <c r="P395" s="80" t="str">
        <f t="shared" si="37"/>
        <v/>
      </c>
      <c r="Q395" s="121" t="str">
        <f>IF(CÁLCULO!I409="","",CÁLCULO!I409)</f>
        <v/>
      </c>
      <c r="R395" s="87"/>
      <c r="S395" s="121" t="str">
        <f t="shared" si="40"/>
        <v/>
      </c>
      <c r="T395" s="121" t="str">
        <f t="shared" si="41"/>
        <v/>
      </c>
      <c r="U395" s="89"/>
      <c r="V395" s="80" t="str">
        <f t="shared" si="38"/>
        <v/>
      </c>
      <c r="W395" s="77" t="str">
        <f>IF(K395="","",SUM($S$5:S394)*$E$11*V395)</f>
        <v/>
      </c>
      <c r="Y395" s="121" t="str">
        <f t="shared" si="42"/>
        <v/>
      </c>
    </row>
    <row r="396" spans="11:25" ht="17.100000000000001" customHeight="1" x14ac:dyDescent="0.25">
      <c r="K396" s="81" t="str">
        <f>IF(CÁLCULO!C410="","",CÁLCULO!C410)</f>
        <v/>
      </c>
      <c r="L396" s="81" t="str">
        <f t="shared" si="39"/>
        <v/>
      </c>
      <c r="M396" s="82" t="str">
        <f>IF(CÁLCULO!E410="","",CÁLCULO!E410)</f>
        <v/>
      </c>
      <c r="O396" s="81" t="str">
        <f>IF(CÁLCULO!G410="","",CÁLCULO!G410)</f>
        <v/>
      </c>
      <c r="P396" s="80" t="str">
        <f t="shared" si="37"/>
        <v/>
      </c>
      <c r="Q396" s="121" t="str">
        <f>IF(CÁLCULO!I410="","",CÁLCULO!I410)</f>
        <v/>
      </c>
      <c r="R396" s="87"/>
      <c r="S396" s="121" t="str">
        <f t="shared" si="40"/>
        <v/>
      </c>
      <c r="T396" s="121" t="str">
        <f t="shared" si="41"/>
        <v/>
      </c>
      <c r="U396" s="89"/>
      <c r="V396" s="80" t="str">
        <f t="shared" si="38"/>
        <v/>
      </c>
      <c r="W396" s="77" t="str">
        <f>IF(K396="","",SUM($S$5:S395)*$E$11*V396)</f>
        <v/>
      </c>
      <c r="Y396" s="121" t="str">
        <f t="shared" si="42"/>
        <v/>
      </c>
    </row>
    <row r="397" spans="11:25" ht="17.100000000000001" customHeight="1" x14ac:dyDescent="0.25">
      <c r="K397" s="81" t="str">
        <f>IF(CÁLCULO!C411="","",CÁLCULO!C411)</f>
        <v/>
      </c>
      <c r="L397" s="81" t="str">
        <f t="shared" si="39"/>
        <v/>
      </c>
      <c r="M397" s="82" t="str">
        <f>IF(CÁLCULO!E411="","",CÁLCULO!E411)</f>
        <v/>
      </c>
      <c r="O397" s="81" t="str">
        <f>IF(CÁLCULO!G411="","",CÁLCULO!G411)</f>
        <v/>
      </c>
      <c r="P397" s="80" t="str">
        <f t="shared" si="37"/>
        <v/>
      </c>
      <c r="Q397" s="121" t="str">
        <f>IF(CÁLCULO!I411="","",CÁLCULO!I411)</f>
        <v/>
      </c>
      <c r="R397" s="87"/>
      <c r="S397" s="121" t="str">
        <f t="shared" si="40"/>
        <v/>
      </c>
      <c r="T397" s="121" t="str">
        <f t="shared" si="41"/>
        <v/>
      </c>
      <c r="U397" s="89"/>
      <c r="V397" s="80" t="str">
        <f t="shared" si="38"/>
        <v/>
      </c>
      <c r="W397" s="77" t="str">
        <f>IF(K397="","",SUM($S$5:S396)*$E$11*V397)</f>
        <v/>
      </c>
      <c r="Y397" s="121" t="str">
        <f t="shared" si="42"/>
        <v/>
      </c>
    </row>
    <row r="398" spans="11:25" ht="17.100000000000001" customHeight="1" x14ac:dyDescent="0.25">
      <c r="K398" s="81" t="str">
        <f>IF(CÁLCULO!C412="","",CÁLCULO!C412)</f>
        <v/>
      </c>
      <c r="L398" s="81" t="str">
        <f t="shared" si="39"/>
        <v/>
      </c>
      <c r="M398" s="82" t="str">
        <f>IF(CÁLCULO!E412="","",CÁLCULO!E412)</f>
        <v/>
      </c>
      <c r="O398" s="81" t="str">
        <f>IF(CÁLCULO!G412="","",CÁLCULO!G412)</f>
        <v/>
      </c>
      <c r="P398" s="80" t="str">
        <f t="shared" si="37"/>
        <v/>
      </c>
      <c r="Q398" s="121" t="str">
        <f>IF(CÁLCULO!I412="","",CÁLCULO!I412)</f>
        <v/>
      </c>
      <c r="R398" s="87"/>
      <c r="S398" s="121" t="str">
        <f t="shared" si="40"/>
        <v/>
      </c>
      <c r="T398" s="121" t="str">
        <f t="shared" si="41"/>
        <v/>
      </c>
      <c r="U398" s="89"/>
      <c r="V398" s="80" t="str">
        <f t="shared" si="38"/>
        <v/>
      </c>
      <c r="W398" s="77" t="str">
        <f>IF(K398="","",SUM($S$5:S397)*$E$11*V398)</f>
        <v/>
      </c>
      <c r="Y398" s="121" t="str">
        <f t="shared" si="42"/>
        <v/>
      </c>
    </row>
    <row r="399" spans="11:25" ht="17.100000000000001" customHeight="1" x14ac:dyDescent="0.25">
      <c r="K399" s="81" t="str">
        <f>IF(CÁLCULO!C413="","",CÁLCULO!C413)</f>
        <v/>
      </c>
      <c r="L399" s="81" t="str">
        <f t="shared" si="39"/>
        <v/>
      </c>
      <c r="M399" s="82" t="str">
        <f>IF(CÁLCULO!E413="","",CÁLCULO!E413)</f>
        <v/>
      </c>
      <c r="O399" s="81" t="str">
        <f>IF(CÁLCULO!G413="","",CÁLCULO!G413)</f>
        <v/>
      </c>
      <c r="P399" s="80" t="str">
        <f t="shared" si="37"/>
        <v/>
      </c>
      <c r="Q399" s="121" t="str">
        <f>IF(CÁLCULO!I413="","",CÁLCULO!I413)</f>
        <v/>
      </c>
      <c r="R399" s="87"/>
      <c r="S399" s="121" t="str">
        <f t="shared" si="40"/>
        <v/>
      </c>
      <c r="T399" s="121" t="str">
        <f t="shared" si="41"/>
        <v/>
      </c>
      <c r="U399" s="89"/>
      <c r="V399" s="80" t="str">
        <f t="shared" si="38"/>
        <v/>
      </c>
      <c r="W399" s="77" t="str">
        <f>IF(K399="","",SUM($S$5:S398)*$E$11*V399)</f>
        <v/>
      </c>
      <c r="Y399" s="121" t="str">
        <f t="shared" si="42"/>
        <v/>
      </c>
    </row>
    <row r="400" spans="11:25" ht="17.100000000000001" customHeight="1" x14ac:dyDescent="0.25">
      <c r="K400" s="81" t="str">
        <f>IF(CÁLCULO!C414="","",CÁLCULO!C414)</f>
        <v/>
      </c>
      <c r="L400" s="81" t="str">
        <f t="shared" si="39"/>
        <v/>
      </c>
      <c r="M400" s="82" t="str">
        <f>IF(CÁLCULO!E414="","",CÁLCULO!E414)</f>
        <v/>
      </c>
      <c r="O400" s="81" t="str">
        <f>IF(CÁLCULO!G414="","",CÁLCULO!G414)</f>
        <v/>
      </c>
      <c r="P400" s="80" t="str">
        <f t="shared" si="37"/>
        <v/>
      </c>
      <c r="Q400" s="121" t="str">
        <f>IF(CÁLCULO!I414="","",CÁLCULO!I414)</f>
        <v/>
      </c>
      <c r="R400" s="87"/>
      <c r="S400" s="121" t="str">
        <f t="shared" si="40"/>
        <v/>
      </c>
      <c r="T400" s="121" t="str">
        <f t="shared" si="41"/>
        <v/>
      </c>
      <c r="U400" s="89"/>
      <c r="V400" s="80" t="str">
        <f t="shared" si="38"/>
        <v/>
      </c>
      <c r="W400" s="77" t="str">
        <f>IF(K400="","",SUM($S$5:S399)*$E$11*V400)</f>
        <v/>
      </c>
      <c r="Y400" s="121" t="str">
        <f t="shared" si="42"/>
        <v/>
      </c>
    </row>
    <row r="401" spans="11:25" ht="17.100000000000001" customHeight="1" x14ac:dyDescent="0.25">
      <c r="K401" s="81" t="str">
        <f>IF(CÁLCULO!C415="","",CÁLCULO!C415)</f>
        <v/>
      </c>
      <c r="L401" s="81" t="str">
        <f t="shared" si="39"/>
        <v/>
      </c>
      <c r="M401" s="82" t="str">
        <f>IF(CÁLCULO!E415="","",CÁLCULO!E415)</f>
        <v/>
      </c>
      <c r="O401" s="81" t="str">
        <f>IF(CÁLCULO!G415="","",CÁLCULO!G415)</f>
        <v/>
      </c>
      <c r="P401" s="80" t="str">
        <f t="shared" si="37"/>
        <v/>
      </c>
      <c r="Q401" s="121" t="str">
        <f>IF(CÁLCULO!I415="","",CÁLCULO!I415)</f>
        <v/>
      </c>
      <c r="R401" s="87"/>
      <c r="S401" s="121" t="str">
        <f t="shared" si="40"/>
        <v/>
      </c>
      <c r="T401" s="121" t="str">
        <f t="shared" si="41"/>
        <v/>
      </c>
      <c r="U401" s="89"/>
      <c r="V401" s="80" t="str">
        <f t="shared" si="38"/>
        <v/>
      </c>
      <c r="W401" s="77" t="str">
        <f>IF(K401="","",SUM($S$5:S400)*$E$11*V401)</f>
        <v/>
      </c>
      <c r="Y401" s="121" t="str">
        <f t="shared" si="42"/>
        <v/>
      </c>
    </row>
    <row r="402" spans="11:25" ht="17.100000000000001" customHeight="1" x14ac:dyDescent="0.25">
      <c r="K402" s="81" t="str">
        <f>IF(CÁLCULO!C416="","",CÁLCULO!C416)</f>
        <v/>
      </c>
      <c r="L402" s="81" t="str">
        <f t="shared" si="39"/>
        <v/>
      </c>
      <c r="M402" s="82" t="str">
        <f>IF(CÁLCULO!E416="","",CÁLCULO!E416)</f>
        <v/>
      </c>
      <c r="O402" s="81" t="str">
        <f>IF(CÁLCULO!G416="","",CÁLCULO!G416)</f>
        <v/>
      </c>
      <c r="P402" s="80" t="str">
        <f t="shared" ref="P402:P465" si="43">IF(O402="","",O402+P401)</f>
        <v/>
      </c>
      <c r="Q402" s="121" t="str">
        <f>IF(CÁLCULO!I416="","",CÁLCULO!I416)</f>
        <v/>
      </c>
      <c r="R402" s="87"/>
      <c r="S402" s="121" t="str">
        <f t="shared" si="40"/>
        <v/>
      </c>
      <c r="T402" s="121" t="str">
        <f t="shared" si="41"/>
        <v/>
      </c>
      <c r="U402" s="89"/>
      <c r="V402" s="80" t="str">
        <f t="shared" si="38"/>
        <v/>
      </c>
      <c r="W402" s="77" t="str">
        <f>IF(K402="","",SUM($S$5:S401)*$E$11*V402)</f>
        <v/>
      </c>
      <c r="Y402" s="121" t="str">
        <f t="shared" si="42"/>
        <v/>
      </c>
    </row>
    <row r="403" spans="11:25" ht="17.100000000000001" customHeight="1" x14ac:dyDescent="0.25">
      <c r="K403" s="81" t="str">
        <f>IF(CÁLCULO!C417="","",CÁLCULO!C417)</f>
        <v/>
      </c>
      <c r="L403" s="81" t="str">
        <f t="shared" si="39"/>
        <v/>
      </c>
      <c r="M403" s="82" t="str">
        <f>IF(CÁLCULO!E417="","",CÁLCULO!E417)</f>
        <v/>
      </c>
      <c r="O403" s="81" t="str">
        <f>IF(CÁLCULO!G417="","",CÁLCULO!G417)</f>
        <v/>
      </c>
      <c r="P403" s="80" t="str">
        <f t="shared" si="43"/>
        <v/>
      </c>
      <c r="Q403" s="121" t="str">
        <f>IF(CÁLCULO!I417="","",CÁLCULO!I417)</f>
        <v/>
      </c>
      <c r="R403" s="87"/>
      <c r="S403" s="121" t="str">
        <f t="shared" si="40"/>
        <v/>
      </c>
      <c r="T403" s="121" t="str">
        <f t="shared" si="41"/>
        <v/>
      </c>
      <c r="U403" s="89"/>
      <c r="V403" s="80" t="str">
        <f t="shared" si="38"/>
        <v/>
      </c>
      <c r="W403" s="77" t="str">
        <f>IF(K403="","",SUM($S$5:S402)*$E$11*V403)</f>
        <v/>
      </c>
      <c r="Y403" s="121" t="str">
        <f t="shared" si="42"/>
        <v/>
      </c>
    </row>
    <row r="404" spans="11:25" ht="17.100000000000001" customHeight="1" x14ac:dyDescent="0.25">
      <c r="K404" s="81" t="str">
        <f>IF(CÁLCULO!C418="","",CÁLCULO!C418)</f>
        <v/>
      </c>
      <c r="L404" s="81" t="str">
        <f t="shared" si="39"/>
        <v/>
      </c>
      <c r="M404" s="82" t="str">
        <f>IF(CÁLCULO!E418="","",CÁLCULO!E418)</f>
        <v/>
      </c>
      <c r="O404" s="81" t="str">
        <f>IF(CÁLCULO!G418="","",CÁLCULO!G418)</f>
        <v/>
      </c>
      <c r="P404" s="80" t="str">
        <f t="shared" si="43"/>
        <v/>
      </c>
      <c r="Q404" s="121" t="str">
        <f>IF(CÁLCULO!I418="","",CÁLCULO!I418)</f>
        <v/>
      </c>
      <c r="R404" s="87"/>
      <c r="S404" s="121" t="str">
        <f t="shared" si="40"/>
        <v/>
      </c>
      <c r="T404" s="121" t="str">
        <f t="shared" si="41"/>
        <v/>
      </c>
      <c r="U404" s="89"/>
      <c r="V404" s="80" t="str">
        <f t="shared" si="38"/>
        <v/>
      </c>
      <c r="W404" s="77" t="str">
        <f>IF(K404="","",SUM($S$5:S403)*$E$11*V404)</f>
        <v/>
      </c>
      <c r="Y404" s="121" t="str">
        <f t="shared" si="42"/>
        <v/>
      </c>
    </row>
    <row r="405" spans="11:25" ht="17.100000000000001" customHeight="1" x14ac:dyDescent="0.25">
      <c r="K405" s="81" t="str">
        <f>IF(CÁLCULO!C419="","",CÁLCULO!C419)</f>
        <v/>
      </c>
      <c r="L405" s="81" t="str">
        <f t="shared" si="39"/>
        <v/>
      </c>
      <c r="M405" s="82" t="str">
        <f>IF(CÁLCULO!E419="","",CÁLCULO!E419)</f>
        <v/>
      </c>
      <c r="O405" s="81" t="str">
        <f>IF(CÁLCULO!G419="","",CÁLCULO!G419)</f>
        <v/>
      </c>
      <c r="P405" s="80" t="str">
        <f t="shared" si="43"/>
        <v/>
      </c>
      <c r="Q405" s="121" t="str">
        <f>IF(CÁLCULO!I419="","",CÁLCULO!I419)</f>
        <v/>
      </c>
      <c r="R405" s="87"/>
      <c r="S405" s="121" t="str">
        <f t="shared" si="40"/>
        <v/>
      </c>
      <c r="T405" s="121" t="str">
        <f t="shared" si="41"/>
        <v/>
      </c>
      <c r="U405" s="89"/>
      <c r="V405" s="80" t="str">
        <f t="shared" si="38"/>
        <v/>
      </c>
      <c r="W405" s="77" t="str">
        <f>IF(K405="","",SUM($S$5:S404)*$E$11*V405)</f>
        <v/>
      </c>
      <c r="Y405" s="121" t="str">
        <f t="shared" si="42"/>
        <v/>
      </c>
    </row>
    <row r="406" spans="11:25" ht="17.100000000000001" customHeight="1" x14ac:dyDescent="0.25">
      <c r="K406" s="81" t="str">
        <f>IF(CÁLCULO!C420="","",CÁLCULO!C420)</f>
        <v/>
      </c>
      <c r="L406" s="81" t="str">
        <f t="shared" si="39"/>
        <v/>
      </c>
      <c r="M406" s="82" t="str">
        <f>IF(CÁLCULO!E420="","",CÁLCULO!E420)</f>
        <v/>
      </c>
      <c r="O406" s="81" t="str">
        <f>IF(CÁLCULO!G420="","",CÁLCULO!G420)</f>
        <v/>
      </c>
      <c r="P406" s="80" t="str">
        <f t="shared" si="43"/>
        <v/>
      </c>
      <c r="Q406" s="121" t="str">
        <f>IF(CÁLCULO!I420="","",CÁLCULO!I420)</f>
        <v/>
      </c>
      <c r="R406" s="87"/>
      <c r="S406" s="121" t="str">
        <f t="shared" si="40"/>
        <v/>
      </c>
      <c r="T406" s="121" t="str">
        <f t="shared" si="41"/>
        <v/>
      </c>
      <c r="U406" s="89"/>
      <c r="V406" s="80" t="str">
        <f t="shared" si="38"/>
        <v/>
      </c>
      <c r="W406" s="77" t="str">
        <f>IF(K406="","",SUM($S$5:S405)*$E$11*V406)</f>
        <v/>
      </c>
      <c r="Y406" s="121" t="str">
        <f t="shared" si="42"/>
        <v/>
      </c>
    </row>
    <row r="407" spans="11:25" ht="17.100000000000001" customHeight="1" x14ac:dyDescent="0.25">
      <c r="K407" s="81" t="str">
        <f>IF(CÁLCULO!C421="","",CÁLCULO!C421)</f>
        <v/>
      </c>
      <c r="L407" s="81" t="str">
        <f t="shared" si="39"/>
        <v/>
      </c>
      <c r="M407" s="82" t="str">
        <f>IF(CÁLCULO!E421="","",CÁLCULO!E421)</f>
        <v/>
      </c>
      <c r="O407" s="81" t="str">
        <f>IF(CÁLCULO!G421="","",CÁLCULO!G421)</f>
        <v/>
      </c>
      <c r="P407" s="80" t="str">
        <f t="shared" si="43"/>
        <v/>
      </c>
      <c r="Q407" s="121" t="str">
        <f>IF(CÁLCULO!I421="","",CÁLCULO!I421)</f>
        <v/>
      </c>
      <c r="R407" s="87"/>
      <c r="S407" s="121" t="str">
        <f t="shared" si="40"/>
        <v/>
      </c>
      <c r="T407" s="121" t="str">
        <f t="shared" si="41"/>
        <v/>
      </c>
      <c r="U407" s="89"/>
      <c r="V407" s="80" t="str">
        <f t="shared" si="38"/>
        <v/>
      </c>
      <c r="W407" s="77" t="str">
        <f>IF(K407="","",SUM($S$5:S406)*$E$11*V407)</f>
        <v/>
      </c>
      <c r="Y407" s="121" t="str">
        <f t="shared" si="42"/>
        <v/>
      </c>
    </row>
    <row r="408" spans="11:25" ht="17.100000000000001" customHeight="1" x14ac:dyDescent="0.25">
      <c r="K408" s="81" t="str">
        <f>IF(CÁLCULO!C422="","",CÁLCULO!C422)</f>
        <v/>
      </c>
      <c r="L408" s="81" t="str">
        <f t="shared" si="39"/>
        <v/>
      </c>
      <c r="M408" s="82" t="str">
        <f>IF(CÁLCULO!E422="","",CÁLCULO!E422)</f>
        <v/>
      </c>
      <c r="O408" s="81" t="str">
        <f>IF(CÁLCULO!G422="","",CÁLCULO!G422)</f>
        <v/>
      </c>
      <c r="P408" s="80" t="str">
        <f t="shared" si="43"/>
        <v/>
      </c>
      <c r="Q408" s="121" t="str">
        <f>IF(CÁLCULO!I422="","",CÁLCULO!I422)</f>
        <v/>
      </c>
      <c r="R408" s="87"/>
      <c r="S408" s="121" t="str">
        <f t="shared" si="40"/>
        <v/>
      </c>
      <c r="T408" s="121" t="str">
        <f t="shared" si="41"/>
        <v/>
      </c>
      <c r="U408" s="89"/>
      <c r="V408" s="80" t="str">
        <f t="shared" si="38"/>
        <v/>
      </c>
      <c r="W408" s="77" t="str">
        <f>IF(K408="","",SUM($S$5:S407)*$E$11*V408)</f>
        <v/>
      </c>
      <c r="Y408" s="121" t="str">
        <f t="shared" si="42"/>
        <v/>
      </c>
    </row>
    <row r="409" spans="11:25" ht="17.100000000000001" customHeight="1" x14ac:dyDescent="0.25">
      <c r="K409" s="81" t="str">
        <f>IF(CÁLCULO!C423="","",CÁLCULO!C423)</f>
        <v/>
      </c>
      <c r="L409" s="81" t="str">
        <f t="shared" si="39"/>
        <v/>
      </c>
      <c r="M409" s="82" t="str">
        <f>IF(CÁLCULO!E423="","",CÁLCULO!E423)</f>
        <v/>
      </c>
      <c r="O409" s="81" t="str">
        <f>IF(CÁLCULO!G423="","",CÁLCULO!G423)</f>
        <v/>
      </c>
      <c r="P409" s="80" t="str">
        <f t="shared" si="43"/>
        <v/>
      </c>
      <c r="Q409" s="121" t="str">
        <f>IF(CÁLCULO!I423="","",CÁLCULO!I423)</f>
        <v/>
      </c>
      <c r="R409" s="87"/>
      <c r="S409" s="121" t="str">
        <f t="shared" si="40"/>
        <v/>
      </c>
      <c r="T409" s="121" t="str">
        <f t="shared" si="41"/>
        <v/>
      </c>
      <c r="U409" s="89"/>
      <c r="V409" s="80" t="str">
        <f t="shared" si="38"/>
        <v/>
      </c>
      <c r="W409" s="77" t="str">
        <f>IF(K409="","",SUM($S$5:S408)*$E$11*V409)</f>
        <v/>
      </c>
      <c r="Y409" s="121" t="str">
        <f t="shared" si="42"/>
        <v/>
      </c>
    </row>
    <row r="410" spans="11:25" ht="17.100000000000001" customHeight="1" x14ac:dyDescent="0.25">
      <c r="K410" s="81" t="str">
        <f>IF(CÁLCULO!C424="","",CÁLCULO!C424)</f>
        <v/>
      </c>
      <c r="L410" s="81" t="str">
        <f t="shared" si="39"/>
        <v/>
      </c>
      <c r="M410" s="82" t="str">
        <f>IF(CÁLCULO!E424="","",CÁLCULO!E424)</f>
        <v/>
      </c>
      <c r="O410" s="81" t="str">
        <f>IF(CÁLCULO!G424="","",CÁLCULO!G424)</f>
        <v/>
      </c>
      <c r="P410" s="80" t="str">
        <f t="shared" si="43"/>
        <v/>
      </c>
      <c r="Q410" s="121" t="str">
        <f>IF(CÁLCULO!I424="","",CÁLCULO!I424)</f>
        <v/>
      </c>
      <c r="R410" s="87"/>
      <c r="S410" s="121" t="str">
        <f t="shared" si="40"/>
        <v/>
      </c>
      <c r="T410" s="121" t="str">
        <f t="shared" si="41"/>
        <v/>
      </c>
      <c r="U410" s="89"/>
      <c r="V410" s="80" t="str">
        <f t="shared" si="38"/>
        <v/>
      </c>
      <c r="W410" s="77" t="str">
        <f>IF(K410="","",SUM($S$5:S409)*$E$11*V410)</f>
        <v/>
      </c>
      <c r="Y410" s="121" t="str">
        <f t="shared" si="42"/>
        <v/>
      </c>
    </row>
    <row r="411" spans="11:25" ht="17.100000000000001" customHeight="1" x14ac:dyDescent="0.25">
      <c r="K411" s="81" t="str">
        <f>IF(CÁLCULO!C425="","",CÁLCULO!C425)</f>
        <v/>
      </c>
      <c r="L411" s="81" t="str">
        <f t="shared" si="39"/>
        <v/>
      </c>
      <c r="M411" s="82" t="str">
        <f>IF(CÁLCULO!E425="","",CÁLCULO!E425)</f>
        <v/>
      </c>
      <c r="O411" s="81" t="str">
        <f>IF(CÁLCULO!G425="","",CÁLCULO!G425)</f>
        <v/>
      </c>
      <c r="P411" s="80" t="str">
        <f t="shared" si="43"/>
        <v/>
      </c>
      <c r="Q411" s="121" t="str">
        <f>IF(CÁLCULO!I425="","",CÁLCULO!I425)</f>
        <v/>
      </c>
      <c r="R411" s="87"/>
      <c r="S411" s="121" t="str">
        <f t="shared" si="40"/>
        <v/>
      </c>
      <c r="T411" s="121" t="str">
        <f t="shared" si="41"/>
        <v/>
      </c>
      <c r="U411" s="89"/>
      <c r="V411" s="80" t="str">
        <f t="shared" si="38"/>
        <v/>
      </c>
      <c r="W411" s="77" t="str">
        <f>IF(K411="","",SUM($S$5:S410)*$E$11*V411)</f>
        <v/>
      </c>
      <c r="Y411" s="121" t="str">
        <f t="shared" si="42"/>
        <v/>
      </c>
    </row>
    <row r="412" spans="11:25" ht="17.100000000000001" customHeight="1" x14ac:dyDescent="0.25">
      <c r="K412" s="81" t="str">
        <f>IF(CÁLCULO!C426="","",CÁLCULO!C426)</f>
        <v/>
      </c>
      <c r="L412" s="81" t="str">
        <f t="shared" si="39"/>
        <v/>
      </c>
      <c r="M412" s="82" t="str">
        <f>IF(CÁLCULO!E426="","",CÁLCULO!E426)</f>
        <v/>
      </c>
      <c r="O412" s="81" t="str">
        <f>IF(CÁLCULO!G426="","",CÁLCULO!G426)</f>
        <v/>
      </c>
      <c r="P412" s="80" t="str">
        <f t="shared" si="43"/>
        <v/>
      </c>
      <c r="Q412" s="121" t="str">
        <f>IF(CÁLCULO!I426="","",CÁLCULO!I426)</f>
        <v/>
      </c>
      <c r="R412" s="87"/>
      <c r="S412" s="121" t="str">
        <f t="shared" si="40"/>
        <v/>
      </c>
      <c r="T412" s="121" t="str">
        <f t="shared" si="41"/>
        <v/>
      </c>
      <c r="U412" s="89"/>
      <c r="V412" s="80" t="str">
        <f t="shared" si="38"/>
        <v/>
      </c>
      <c r="W412" s="77" t="str">
        <f>IF(K412="","",SUM($S$5:S411)*$E$11*V412)</f>
        <v/>
      </c>
      <c r="Y412" s="121" t="str">
        <f t="shared" si="42"/>
        <v/>
      </c>
    </row>
    <row r="413" spans="11:25" ht="17.100000000000001" customHeight="1" x14ac:dyDescent="0.25">
      <c r="K413" s="81" t="str">
        <f>IF(CÁLCULO!C427="","",CÁLCULO!C427)</f>
        <v/>
      </c>
      <c r="L413" s="81" t="str">
        <f t="shared" si="39"/>
        <v/>
      </c>
      <c r="M413" s="82" t="str">
        <f>IF(CÁLCULO!E427="","",CÁLCULO!E427)</f>
        <v/>
      </c>
      <c r="O413" s="81" t="str">
        <f>IF(CÁLCULO!G427="","",CÁLCULO!G427)</f>
        <v/>
      </c>
      <c r="P413" s="80" t="str">
        <f t="shared" si="43"/>
        <v/>
      </c>
      <c r="Q413" s="121" t="str">
        <f>IF(CÁLCULO!I427="","",CÁLCULO!I427)</f>
        <v/>
      </c>
      <c r="R413" s="87"/>
      <c r="S413" s="121" t="str">
        <f t="shared" si="40"/>
        <v/>
      </c>
      <c r="T413" s="121" t="str">
        <f t="shared" si="41"/>
        <v/>
      </c>
      <c r="U413" s="89"/>
      <c r="V413" s="80" t="str">
        <f t="shared" si="38"/>
        <v/>
      </c>
      <c r="W413" s="77" t="str">
        <f>IF(K413="","",SUM($S$5:S412)*$E$11*V413)</f>
        <v/>
      </c>
      <c r="Y413" s="121" t="str">
        <f t="shared" si="42"/>
        <v/>
      </c>
    </row>
    <row r="414" spans="11:25" ht="17.100000000000001" customHeight="1" x14ac:dyDescent="0.25">
      <c r="K414" s="81" t="str">
        <f>IF(CÁLCULO!C428="","",CÁLCULO!C428)</f>
        <v/>
      </c>
      <c r="L414" s="81" t="str">
        <f t="shared" si="39"/>
        <v/>
      </c>
      <c r="M414" s="82" t="str">
        <f>IF(CÁLCULO!E428="","",CÁLCULO!E428)</f>
        <v/>
      </c>
      <c r="O414" s="81" t="str">
        <f>IF(CÁLCULO!G428="","",CÁLCULO!G428)</f>
        <v/>
      </c>
      <c r="P414" s="80" t="str">
        <f t="shared" si="43"/>
        <v/>
      </c>
      <c r="Q414" s="121" t="str">
        <f>IF(CÁLCULO!I428="","",CÁLCULO!I428)</f>
        <v/>
      </c>
      <c r="R414" s="87"/>
      <c r="S414" s="121" t="str">
        <f t="shared" si="40"/>
        <v/>
      </c>
      <c r="T414" s="121" t="str">
        <f t="shared" si="41"/>
        <v/>
      </c>
      <c r="U414" s="89"/>
      <c r="V414" s="80" t="str">
        <f t="shared" si="38"/>
        <v/>
      </c>
      <c r="W414" s="77" t="str">
        <f>IF(K414="","",SUM($S$5:S413)*$E$11*V414)</f>
        <v/>
      </c>
      <c r="Y414" s="121" t="str">
        <f t="shared" si="42"/>
        <v/>
      </c>
    </row>
    <row r="415" spans="11:25" ht="17.100000000000001" customHeight="1" x14ac:dyDescent="0.25">
      <c r="K415" s="81" t="str">
        <f>IF(CÁLCULO!C429="","",CÁLCULO!C429)</f>
        <v/>
      </c>
      <c r="L415" s="81" t="str">
        <f t="shared" si="39"/>
        <v/>
      </c>
      <c r="M415" s="82" t="str">
        <f>IF(CÁLCULO!E429="","",CÁLCULO!E429)</f>
        <v/>
      </c>
      <c r="O415" s="81" t="str">
        <f>IF(CÁLCULO!G429="","",CÁLCULO!G429)</f>
        <v/>
      </c>
      <c r="P415" s="80" t="str">
        <f t="shared" si="43"/>
        <v/>
      </c>
      <c r="Q415" s="121" t="str">
        <f>IF(CÁLCULO!I429="","",CÁLCULO!I429)</f>
        <v/>
      </c>
      <c r="R415" s="87"/>
      <c r="S415" s="121" t="str">
        <f t="shared" si="40"/>
        <v/>
      </c>
      <c r="T415" s="121" t="str">
        <f t="shared" si="41"/>
        <v/>
      </c>
      <c r="U415" s="89"/>
      <c r="V415" s="80" t="str">
        <f t="shared" si="38"/>
        <v/>
      </c>
      <c r="W415" s="77" t="str">
        <f>IF(K415="","",SUM($S$5:S414)*$E$11*V415)</f>
        <v/>
      </c>
      <c r="Y415" s="121" t="str">
        <f t="shared" si="42"/>
        <v/>
      </c>
    </row>
    <row r="416" spans="11:25" ht="17.100000000000001" customHeight="1" x14ac:dyDescent="0.25">
      <c r="K416" s="81" t="str">
        <f>IF(CÁLCULO!C430="","",CÁLCULO!C430)</f>
        <v/>
      </c>
      <c r="L416" s="81" t="str">
        <f t="shared" si="39"/>
        <v/>
      </c>
      <c r="M416" s="82" t="str">
        <f>IF(CÁLCULO!E430="","",CÁLCULO!E430)</f>
        <v/>
      </c>
      <c r="O416" s="81" t="str">
        <f>IF(CÁLCULO!G430="","",CÁLCULO!G430)</f>
        <v/>
      </c>
      <c r="P416" s="80" t="str">
        <f t="shared" si="43"/>
        <v/>
      </c>
      <c r="Q416" s="121" t="str">
        <f>IF(CÁLCULO!I430="","",CÁLCULO!I430)</f>
        <v/>
      </c>
      <c r="R416" s="87"/>
      <c r="S416" s="121" t="str">
        <f t="shared" si="40"/>
        <v/>
      </c>
      <c r="T416" s="121" t="str">
        <f t="shared" si="41"/>
        <v/>
      </c>
      <c r="U416" s="89"/>
      <c r="V416" s="80" t="str">
        <f t="shared" si="38"/>
        <v/>
      </c>
      <c r="W416" s="77" t="str">
        <f>IF(K416="","",SUM($S$5:S415)*$E$11*V416)</f>
        <v/>
      </c>
      <c r="Y416" s="121" t="str">
        <f t="shared" si="42"/>
        <v/>
      </c>
    </row>
    <row r="417" spans="11:25" ht="17.100000000000001" customHeight="1" x14ac:dyDescent="0.25">
      <c r="K417" s="81" t="str">
        <f>IF(CÁLCULO!C431="","",CÁLCULO!C431)</f>
        <v/>
      </c>
      <c r="L417" s="81" t="str">
        <f t="shared" si="39"/>
        <v/>
      </c>
      <c r="M417" s="82" t="str">
        <f>IF(CÁLCULO!E431="","",CÁLCULO!E431)</f>
        <v/>
      </c>
      <c r="O417" s="81" t="str">
        <f>IF(CÁLCULO!G431="","",CÁLCULO!G431)</f>
        <v/>
      </c>
      <c r="P417" s="80" t="str">
        <f t="shared" si="43"/>
        <v/>
      </c>
      <c r="Q417" s="121" t="str">
        <f>IF(CÁLCULO!I431="","",CÁLCULO!I431)</f>
        <v/>
      </c>
      <c r="R417" s="87"/>
      <c r="S417" s="121" t="str">
        <f t="shared" si="40"/>
        <v/>
      </c>
      <c r="T417" s="121" t="str">
        <f t="shared" si="41"/>
        <v/>
      </c>
      <c r="U417" s="89"/>
      <c r="V417" s="80" t="str">
        <f t="shared" si="38"/>
        <v/>
      </c>
      <c r="W417" s="77" t="str">
        <f>IF(K417="","",SUM($S$5:S416)*$E$11*V417)</f>
        <v/>
      </c>
      <c r="Y417" s="121" t="str">
        <f t="shared" si="42"/>
        <v/>
      </c>
    </row>
    <row r="418" spans="11:25" ht="17.100000000000001" customHeight="1" x14ac:dyDescent="0.25">
      <c r="K418" s="81" t="str">
        <f>IF(CÁLCULO!C432="","",CÁLCULO!C432)</f>
        <v/>
      </c>
      <c r="L418" s="81" t="str">
        <f t="shared" si="39"/>
        <v/>
      </c>
      <c r="M418" s="82" t="str">
        <f>IF(CÁLCULO!E432="","",CÁLCULO!E432)</f>
        <v/>
      </c>
      <c r="O418" s="81" t="str">
        <f>IF(CÁLCULO!G432="","",CÁLCULO!G432)</f>
        <v/>
      </c>
      <c r="P418" s="80" t="str">
        <f t="shared" si="43"/>
        <v/>
      </c>
      <c r="Q418" s="121" t="str">
        <f>IF(CÁLCULO!I432="","",CÁLCULO!I432)</f>
        <v/>
      </c>
      <c r="R418" s="87"/>
      <c r="S418" s="121" t="str">
        <f t="shared" si="40"/>
        <v/>
      </c>
      <c r="T418" s="121" t="str">
        <f t="shared" si="41"/>
        <v/>
      </c>
      <c r="U418" s="89"/>
      <c r="V418" s="80" t="str">
        <f t="shared" si="38"/>
        <v/>
      </c>
      <c r="W418" s="77" t="str">
        <f>IF(K418="","",SUM($S$5:S417)*$E$11*V418)</f>
        <v/>
      </c>
      <c r="Y418" s="121" t="str">
        <f t="shared" si="42"/>
        <v/>
      </c>
    </row>
    <row r="419" spans="11:25" ht="17.100000000000001" customHeight="1" x14ac:dyDescent="0.25">
      <c r="K419" s="81" t="str">
        <f>IF(CÁLCULO!C433="","",CÁLCULO!C433)</f>
        <v/>
      </c>
      <c r="L419" s="81" t="str">
        <f t="shared" si="39"/>
        <v/>
      </c>
      <c r="M419" s="82" t="str">
        <f>IF(CÁLCULO!E433="","",CÁLCULO!E433)</f>
        <v/>
      </c>
      <c r="O419" s="81" t="str">
        <f>IF(CÁLCULO!G433="","",CÁLCULO!G433)</f>
        <v/>
      </c>
      <c r="P419" s="80" t="str">
        <f t="shared" si="43"/>
        <v/>
      </c>
      <c r="Q419" s="121" t="str">
        <f>IF(CÁLCULO!I433="","",CÁLCULO!I433)</f>
        <v/>
      </c>
      <c r="R419" s="87"/>
      <c r="S419" s="121" t="str">
        <f t="shared" si="40"/>
        <v/>
      </c>
      <c r="T419" s="121" t="str">
        <f t="shared" si="41"/>
        <v/>
      </c>
      <c r="U419" s="89"/>
      <c r="V419" s="80" t="str">
        <f t="shared" si="38"/>
        <v/>
      </c>
      <c r="W419" s="77" t="str">
        <f>IF(K419="","",SUM($S$5:S418)*$E$11*V419)</f>
        <v/>
      </c>
      <c r="Y419" s="121" t="str">
        <f t="shared" si="42"/>
        <v/>
      </c>
    </row>
    <row r="420" spans="11:25" ht="17.100000000000001" customHeight="1" x14ac:dyDescent="0.25">
      <c r="K420" s="81" t="str">
        <f>IF(CÁLCULO!C434="","",CÁLCULO!C434)</f>
        <v/>
      </c>
      <c r="L420" s="81" t="str">
        <f t="shared" si="39"/>
        <v/>
      </c>
      <c r="M420" s="82" t="str">
        <f>IF(CÁLCULO!E434="","",CÁLCULO!E434)</f>
        <v/>
      </c>
      <c r="O420" s="81" t="str">
        <f>IF(CÁLCULO!G434="","",CÁLCULO!G434)</f>
        <v/>
      </c>
      <c r="P420" s="80" t="str">
        <f t="shared" si="43"/>
        <v/>
      </c>
      <c r="Q420" s="121" t="str">
        <f>IF(CÁLCULO!I434="","",CÁLCULO!I434)</f>
        <v/>
      </c>
      <c r="R420" s="87"/>
      <c r="S420" s="121" t="str">
        <f t="shared" si="40"/>
        <v/>
      </c>
      <c r="T420" s="121" t="str">
        <f t="shared" si="41"/>
        <v/>
      </c>
      <c r="U420" s="89"/>
      <c r="V420" s="80" t="str">
        <f t="shared" si="38"/>
        <v/>
      </c>
      <c r="W420" s="77" t="str">
        <f>IF(K420="","",SUM($S$5:S419)*$E$11*V420)</f>
        <v/>
      </c>
      <c r="Y420" s="121" t="str">
        <f t="shared" si="42"/>
        <v/>
      </c>
    </row>
    <row r="421" spans="11:25" ht="17.100000000000001" customHeight="1" x14ac:dyDescent="0.25">
      <c r="K421" s="81" t="str">
        <f>IF(CÁLCULO!C435="","",CÁLCULO!C435)</f>
        <v/>
      </c>
      <c r="L421" s="81" t="str">
        <f t="shared" si="39"/>
        <v/>
      </c>
      <c r="M421" s="82" t="str">
        <f>IF(CÁLCULO!E435="","",CÁLCULO!E435)</f>
        <v/>
      </c>
      <c r="O421" s="81" t="str">
        <f>IF(CÁLCULO!G435="","",CÁLCULO!G435)</f>
        <v/>
      </c>
      <c r="P421" s="80" t="str">
        <f t="shared" si="43"/>
        <v/>
      </c>
      <c r="Q421" s="121" t="str">
        <f>IF(CÁLCULO!I435="","",CÁLCULO!I435)</f>
        <v/>
      </c>
      <c r="R421" s="87"/>
      <c r="S421" s="121" t="str">
        <f t="shared" si="40"/>
        <v/>
      </c>
      <c r="T421" s="121" t="str">
        <f t="shared" si="41"/>
        <v/>
      </c>
      <c r="U421" s="89"/>
      <c r="V421" s="80" t="str">
        <f t="shared" si="38"/>
        <v/>
      </c>
      <c r="W421" s="77" t="str">
        <f>IF(K421="","",SUM($S$5:S420)*$E$11*V421)</f>
        <v/>
      </c>
      <c r="Y421" s="121" t="str">
        <f t="shared" si="42"/>
        <v/>
      </c>
    </row>
    <row r="422" spans="11:25" ht="17.100000000000001" customHeight="1" x14ac:dyDescent="0.25">
      <c r="K422" s="81" t="str">
        <f>IF(CÁLCULO!C436="","",CÁLCULO!C436)</f>
        <v/>
      </c>
      <c r="L422" s="81" t="str">
        <f t="shared" si="39"/>
        <v/>
      </c>
      <c r="M422" s="82" t="str">
        <f>IF(CÁLCULO!E436="","",CÁLCULO!E436)</f>
        <v/>
      </c>
      <c r="O422" s="81" t="str">
        <f>IF(CÁLCULO!G436="","",CÁLCULO!G436)</f>
        <v/>
      </c>
      <c r="P422" s="80" t="str">
        <f t="shared" si="43"/>
        <v/>
      </c>
      <c r="Q422" s="121" t="str">
        <f>IF(CÁLCULO!I436="","",CÁLCULO!I436)</f>
        <v/>
      </c>
      <c r="R422" s="87"/>
      <c r="S422" s="121" t="str">
        <f t="shared" si="40"/>
        <v/>
      </c>
      <c r="T422" s="121" t="str">
        <f t="shared" si="41"/>
        <v/>
      </c>
      <c r="U422" s="89"/>
      <c r="V422" s="80" t="str">
        <f t="shared" si="38"/>
        <v/>
      </c>
      <c r="W422" s="77" t="str">
        <f>IF(K422="","",SUM($S$5:S421)*$E$11*V422)</f>
        <v/>
      </c>
      <c r="Y422" s="121" t="str">
        <f t="shared" si="42"/>
        <v/>
      </c>
    </row>
    <row r="423" spans="11:25" ht="17.100000000000001" customHeight="1" x14ac:dyDescent="0.25">
      <c r="K423" s="81" t="str">
        <f>IF(CÁLCULO!C437="","",CÁLCULO!C437)</f>
        <v/>
      </c>
      <c r="L423" s="81" t="str">
        <f t="shared" si="39"/>
        <v/>
      </c>
      <c r="M423" s="82" t="str">
        <f>IF(CÁLCULO!E437="","",CÁLCULO!E437)</f>
        <v/>
      </c>
      <c r="O423" s="81" t="str">
        <f>IF(CÁLCULO!G437="","",CÁLCULO!G437)</f>
        <v/>
      </c>
      <c r="P423" s="80" t="str">
        <f t="shared" si="43"/>
        <v/>
      </c>
      <c r="Q423" s="121" t="str">
        <f>IF(CÁLCULO!I437="","",CÁLCULO!I437)</f>
        <v/>
      </c>
      <c r="R423" s="87"/>
      <c r="S423" s="121" t="str">
        <f t="shared" si="40"/>
        <v/>
      </c>
      <c r="T423" s="121" t="str">
        <f t="shared" si="41"/>
        <v/>
      </c>
      <c r="U423" s="89"/>
      <c r="V423" s="80" t="str">
        <f t="shared" si="38"/>
        <v/>
      </c>
      <c r="W423" s="77" t="str">
        <f>IF(K423="","",SUM($S$5:S422)*$E$11*V423)</f>
        <v/>
      </c>
      <c r="Y423" s="121" t="str">
        <f t="shared" si="42"/>
        <v/>
      </c>
    </row>
    <row r="424" spans="11:25" ht="17.100000000000001" customHeight="1" x14ac:dyDescent="0.25">
      <c r="K424" s="81" t="str">
        <f>IF(CÁLCULO!C438="","",CÁLCULO!C438)</f>
        <v/>
      </c>
      <c r="L424" s="81" t="str">
        <f t="shared" si="39"/>
        <v/>
      </c>
      <c r="M424" s="82" t="str">
        <f>IF(CÁLCULO!E438="","",CÁLCULO!E438)</f>
        <v/>
      </c>
      <c r="O424" s="81" t="str">
        <f>IF(CÁLCULO!G438="","",CÁLCULO!G438)</f>
        <v/>
      </c>
      <c r="P424" s="80" t="str">
        <f t="shared" si="43"/>
        <v/>
      </c>
      <c r="Q424" s="121" t="str">
        <f>IF(CÁLCULO!I438="","",CÁLCULO!I438)</f>
        <v/>
      </c>
      <c r="R424" s="87"/>
      <c r="S424" s="121" t="str">
        <f t="shared" si="40"/>
        <v/>
      </c>
      <c r="T424" s="121" t="str">
        <f t="shared" si="41"/>
        <v/>
      </c>
      <c r="U424" s="89"/>
      <c r="V424" s="80" t="str">
        <f t="shared" si="38"/>
        <v/>
      </c>
      <c r="W424" s="77" t="str">
        <f>IF(K424="","",SUM($S$5:S423)*$E$11*V424)</f>
        <v/>
      </c>
      <c r="Y424" s="121" t="str">
        <f t="shared" si="42"/>
        <v/>
      </c>
    </row>
    <row r="425" spans="11:25" ht="17.100000000000001" customHeight="1" x14ac:dyDescent="0.25">
      <c r="K425" s="81" t="str">
        <f>IF(CÁLCULO!C439="","",CÁLCULO!C439)</f>
        <v/>
      </c>
      <c r="L425" s="81" t="str">
        <f t="shared" si="39"/>
        <v/>
      </c>
      <c r="M425" s="82" t="str">
        <f>IF(CÁLCULO!E439="","",CÁLCULO!E439)</f>
        <v/>
      </c>
      <c r="O425" s="81" t="str">
        <f>IF(CÁLCULO!G439="","",CÁLCULO!G439)</f>
        <v/>
      </c>
      <c r="P425" s="80" t="str">
        <f t="shared" si="43"/>
        <v/>
      </c>
      <c r="Q425" s="121" t="str">
        <f>IF(CÁLCULO!I439="","",CÁLCULO!I439)</f>
        <v/>
      </c>
      <c r="R425" s="87"/>
      <c r="S425" s="121" t="str">
        <f t="shared" si="40"/>
        <v/>
      </c>
      <c r="T425" s="121" t="str">
        <f t="shared" si="41"/>
        <v/>
      </c>
      <c r="U425" s="89"/>
      <c r="V425" s="80" t="str">
        <f t="shared" si="38"/>
        <v/>
      </c>
      <c r="W425" s="77" t="str">
        <f>IF(K425="","",SUM($S$5:S424)*$E$11*V425)</f>
        <v/>
      </c>
      <c r="Y425" s="121" t="str">
        <f t="shared" si="42"/>
        <v/>
      </c>
    </row>
    <row r="426" spans="11:25" ht="17.100000000000001" customHeight="1" x14ac:dyDescent="0.25">
      <c r="K426" s="81" t="str">
        <f>IF(CÁLCULO!C440="","",CÁLCULO!C440)</f>
        <v/>
      </c>
      <c r="L426" s="81" t="str">
        <f t="shared" si="39"/>
        <v/>
      </c>
      <c r="M426" s="82" t="str">
        <f>IF(CÁLCULO!E440="","",CÁLCULO!E440)</f>
        <v/>
      </c>
      <c r="O426" s="81" t="str">
        <f>IF(CÁLCULO!G440="","",CÁLCULO!G440)</f>
        <v/>
      </c>
      <c r="P426" s="80" t="str">
        <f t="shared" si="43"/>
        <v/>
      </c>
      <c r="Q426" s="121" t="str">
        <f>IF(CÁLCULO!I440="","",CÁLCULO!I440)</f>
        <v/>
      </c>
      <c r="R426" s="87"/>
      <c r="S426" s="121" t="str">
        <f t="shared" si="40"/>
        <v/>
      </c>
      <c r="T426" s="121" t="str">
        <f t="shared" si="41"/>
        <v/>
      </c>
      <c r="U426" s="89"/>
      <c r="V426" s="80" t="str">
        <f t="shared" si="38"/>
        <v/>
      </c>
      <c r="W426" s="77" t="str">
        <f>IF(K426="","",SUM($S$5:S425)*$E$11*V426)</f>
        <v/>
      </c>
      <c r="Y426" s="121" t="str">
        <f t="shared" si="42"/>
        <v/>
      </c>
    </row>
    <row r="427" spans="11:25" ht="17.100000000000001" customHeight="1" x14ac:dyDescent="0.25">
      <c r="K427" s="81" t="str">
        <f>IF(CÁLCULO!C441="","",CÁLCULO!C441)</f>
        <v/>
      </c>
      <c r="L427" s="81" t="str">
        <f t="shared" si="39"/>
        <v/>
      </c>
      <c r="M427" s="82" t="str">
        <f>IF(CÁLCULO!E441="","",CÁLCULO!E441)</f>
        <v/>
      </c>
      <c r="O427" s="81" t="str">
        <f>IF(CÁLCULO!G441="","",CÁLCULO!G441)</f>
        <v/>
      </c>
      <c r="P427" s="80" t="str">
        <f t="shared" si="43"/>
        <v/>
      </c>
      <c r="Q427" s="121" t="str">
        <f>IF(CÁLCULO!I441="","",CÁLCULO!I441)</f>
        <v/>
      </c>
      <c r="R427" s="87"/>
      <c r="S427" s="121" t="str">
        <f t="shared" si="40"/>
        <v/>
      </c>
      <c r="T427" s="121" t="str">
        <f t="shared" si="41"/>
        <v/>
      </c>
      <c r="U427" s="89"/>
      <c r="V427" s="80" t="str">
        <f t="shared" si="38"/>
        <v/>
      </c>
      <c r="W427" s="77" t="str">
        <f>IF(K427="","",SUM($S$5:S426)*$E$11*V427)</f>
        <v/>
      </c>
      <c r="Y427" s="121" t="str">
        <f t="shared" si="42"/>
        <v/>
      </c>
    </row>
    <row r="428" spans="11:25" ht="17.100000000000001" customHeight="1" x14ac:dyDescent="0.25">
      <c r="K428" s="81" t="str">
        <f>IF(CÁLCULO!C442="","",CÁLCULO!C442)</f>
        <v/>
      </c>
      <c r="L428" s="81" t="str">
        <f t="shared" si="39"/>
        <v/>
      </c>
      <c r="M428" s="82" t="str">
        <f>IF(CÁLCULO!E442="","",CÁLCULO!E442)</f>
        <v/>
      </c>
      <c r="O428" s="81" t="str">
        <f>IF(CÁLCULO!G442="","",CÁLCULO!G442)</f>
        <v/>
      </c>
      <c r="P428" s="80" t="str">
        <f t="shared" si="43"/>
        <v/>
      </c>
      <c r="Q428" s="121" t="str">
        <f>IF(CÁLCULO!I442="","",CÁLCULO!I442)</f>
        <v/>
      </c>
      <c r="R428" s="87"/>
      <c r="S428" s="121" t="str">
        <f t="shared" si="40"/>
        <v/>
      </c>
      <c r="T428" s="121" t="str">
        <f t="shared" si="41"/>
        <v/>
      </c>
      <c r="U428" s="89"/>
      <c r="V428" s="80" t="str">
        <f t="shared" si="38"/>
        <v/>
      </c>
      <c r="W428" s="77" t="str">
        <f>IF(K428="","",SUM($S$5:S427)*$E$11*V428)</f>
        <v/>
      </c>
      <c r="Y428" s="121" t="str">
        <f t="shared" si="42"/>
        <v/>
      </c>
    </row>
    <row r="429" spans="11:25" ht="17.100000000000001" customHeight="1" x14ac:dyDescent="0.25">
      <c r="K429" s="81" t="str">
        <f>IF(CÁLCULO!C443="","",CÁLCULO!C443)</f>
        <v/>
      </c>
      <c r="L429" s="81" t="str">
        <f t="shared" si="39"/>
        <v/>
      </c>
      <c r="M429" s="82" t="str">
        <f>IF(CÁLCULO!E443="","",CÁLCULO!E443)</f>
        <v/>
      </c>
      <c r="O429" s="81" t="str">
        <f>IF(CÁLCULO!G443="","",CÁLCULO!G443)</f>
        <v/>
      </c>
      <c r="P429" s="80" t="str">
        <f t="shared" si="43"/>
        <v/>
      </c>
      <c r="Q429" s="121" t="str">
        <f>IF(CÁLCULO!I443="","",CÁLCULO!I443)</f>
        <v/>
      </c>
      <c r="R429" s="87"/>
      <c r="S429" s="121" t="str">
        <f t="shared" si="40"/>
        <v/>
      </c>
      <c r="T429" s="121" t="str">
        <f t="shared" si="41"/>
        <v/>
      </c>
      <c r="U429" s="89"/>
      <c r="V429" s="80" t="str">
        <f t="shared" si="38"/>
        <v/>
      </c>
      <c r="W429" s="77" t="str">
        <f>IF(K429="","",SUM($S$5:S428)*$E$11*V429)</f>
        <v/>
      </c>
      <c r="Y429" s="121" t="str">
        <f t="shared" si="42"/>
        <v/>
      </c>
    </row>
    <row r="430" spans="11:25" ht="17.100000000000001" customHeight="1" x14ac:dyDescent="0.25">
      <c r="K430" s="81" t="str">
        <f>IF(CÁLCULO!C444="","",CÁLCULO!C444)</f>
        <v/>
      </c>
      <c r="L430" s="81" t="str">
        <f t="shared" si="39"/>
        <v/>
      </c>
      <c r="M430" s="82" t="str">
        <f>IF(CÁLCULO!E444="","",CÁLCULO!E444)</f>
        <v/>
      </c>
      <c r="O430" s="81" t="str">
        <f>IF(CÁLCULO!G444="","",CÁLCULO!G444)</f>
        <v/>
      </c>
      <c r="P430" s="80" t="str">
        <f t="shared" si="43"/>
        <v/>
      </c>
      <c r="Q430" s="121" t="str">
        <f>IF(CÁLCULO!I444="","",CÁLCULO!I444)</f>
        <v/>
      </c>
      <c r="R430" s="87"/>
      <c r="S430" s="121" t="str">
        <f t="shared" si="40"/>
        <v/>
      </c>
      <c r="T430" s="121" t="str">
        <f t="shared" si="41"/>
        <v/>
      </c>
      <c r="U430" s="89"/>
      <c r="V430" s="80" t="str">
        <f t="shared" si="38"/>
        <v/>
      </c>
      <c r="W430" s="77" t="str">
        <f>IF(K430="","",SUM($S$5:S429)*$E$11*V430)</f>
        <v/>
      </c>
      <c r="Y430" s="121" t="str">
        <f t="shared" si="42"/>
        <v/>
      </c>
    </row>
    <row r="431" spans="11:25" ht="17.100000000000001" customHeight="1" x14ac:dyDescent="0.25">
      <c r="K431" s="81" t="str">
        <f>IF(CÁLCULO!C445="","",CÁLCULO!C445)</f>
        <v/>
      </c>
      <c r="L431" s="81" t="str">
        <f t="shared" si="39"/>
        <v/>
      </c>
      <c r="M431" s="82" t="str">
        <f>IF(CÁLCULO!E445="","",CÁLCULO!E445)</f>
        <v/>
      </c>
      <c r="O431" s="81" t="str">
        <f>IF(CÁLCULO!G445="","",CÁLCULO!G445)</f>
        <v/>
      </c>
      <c r="P431" s="80" t="str">
        <f t="shared" si="43"/>
        <v/>
      </c>
      <c r="Q431" s="121" t="str">
        <f>IF(CÁLCULO!I445="","",CÁLCULO!I445)</f>
        <v/>
      </c>
      <c r="R431" s="87"/>
      <c r="S431" s="121" t="str">
        <f t="shared" si="40"/>
        <v/>
      </c>
      <c r="T431" s="121" t="str">
        <f t="shared" si="41"/>
        <v/>
      </c>
      <c r="U431" s="89"/>
      <c r="V431" s="80" t="str">
        <f t="shared" si="38"/>
        <v/>
      </c>
      <c r="W431" s="77" t="str">
        <f>IF(K431="","",SUM($S$5:S430)*$E$11*V431)</f>
        <v/>
      </c>
      <c r="Y431" s="121" t="str">
        <f t="shared" si="42"/>
        <v/>
      </c>
    </row>
    <row r="432" spans="11:25" ht="17.100000000000001" customHeight="1" x14ac:dyDescent="0.25">
      <c r="K432" s="81" t="str">
        <f>IF(CÁLCULO!C446="","",CÁLCULO!C446)</f>
        <v/>
      </c>
      <c r="L432" s="81" t="str">
        <f t="shared" si="39"/>
        <v/>
      </c>
      <c r="M432" s="82" t="str">
        <f>IF(CÁLCULO!E446="","",CÁLCULO!E446)</f>
        <v/>
      </c>
      <c r="O432" s="81" t="str">
        <f>IF(CÁLCULO!G446="","",CÁLCULO!G446)</f>
        <v/>
      </c>
      <c r="P432" s="80" t="str">
        <f t="shared" si="43"/>
        <v/>
      </c>
      <c r="Q432" s="121" t="str">
        <f>IF(CÁLCULO!I446="","",CÁLCULO!I446)</f>
        <v/>
      </c>
      <c r="R432" s="87"/>
      <c r="S432" s="121" t="str">
        <f t="shared" si="40"/>
        <v/>
      </c>
      <c r="T432" s="121" t="str">
        <f t="shared" si="41"/>
        <v/>
      </c>
      <c r="U432" s="89"/>
      <c r="V432" s="80" t="str">
        <f t="shared" si="38"/>
        <v/>
      </c>
      <c r="W432" s="77" t="str">
        <f>IF(K432="","",SUM($S$5:S431)*$E$11*V432)</f>
        <v/>
      </c>
      <c r="Y432" s="121" t="str">
        <f t="shared" si="42"/>
        <v/>
      </c>
    </row>
    <row r="433" spans="11:25" ht="17.100000000000001" customHeight="1" x14ac:dyDescent="0.25">
      <c r="K433" s="81" t="str">
        <f>IF(CÁLCULO!C447="","",CÁLCULO!C447)</f>
        <v/>
      </c>
      <c r="L433" s="81" t="str">
        <f t="shared" si="39"/>
        <v/>
      </c>
      <c r="M433" s="82" t="str">
        <f>IF(CÁLCULO!E447="","",CÁLCULO!E447)</f>
        <v/>
      </c>
      <c r="O433" s="81" t="str">
        <f>IF(CÁLCULO!G447="","",CÁLCULO!G447)</f>
        <v/>
      </c>
      <c r="P433" s="80" t="str">
        <f t="shared" si="43"/>
        <v/>
      </c>
      <c r="Q433" s="121" t="str">
        <f>IF(CÁLCULO!I447="","",CÁLCULO!I447)</f>
        <v/>
      </c>
      <c r="R433" s="87"/>
      <c r="S433" s="121" t="str">
        <f t="shared" si="40"/>
        <v/>
      </c>
      <c r="T433" s="121" t="str">
        <f t="shared" si="41"/>
        <v/>
      </c>
      <c r="U433" s="89"/>
      <c r="V433" s="80" t="str">
        <f t="shared" si="38"/>
        <v/>
      </c>
      <c r="W433" s="77" t="str">
        <f>IF(K433="","",SUM($S$5:S432)*$E$11*V433)</f>
        <v/>
      </c>
      <c r="Y433" s="121" t="str">
        <f t="shared" si="42"/>
        <v/>
      </c>
    </row>
    <row r="434" spans="11:25" ht="17.100000000000001" customHeight="1" x14ac:dyDescent="0.25">
      <c r="K434" s="81" t="str">
        <f>IF(CÁLCULO!C448="","",CÁLCULO!C448)</f>
        <v/>
      </c>
      <c r="L434" s="81" t="str">
        <f t="shared" si="39"/>
        <v/>
      </c>
      <c r="M434" s="82" t="str">
        <f>IF(CÁLCULO!E448="","",CÁLCULO!E448)</f>
        <v/>
      </c>
      <c r="O434" s="81" t="str">
        <f>IF(CÁLCULO!G448="","",CÁLCULO!G448)</f>
        <v/>
      </c>
      <c r="P434" s="80" t="str">
        <f t="shared" si="43"/>
        <v/>
      </c>
      <c r="Q434" s="121" t="str">
        <f>IF(CÁLCULO!I448="","",CÁLCULO!I448)</f>
        <v/>
      </c>
      <c r="R434" s="87"/>
      <c r="S434" s="121" t="str">
        <f t="shared" si="40"/>
        <v/>
      </c>
      <c r="T434" s="121" t="str">
        <f t="shared" si="41"/>
        <v/>
      </c>
      <c r="U434" s="89"/>
      <c r="V434" s="80" t="str">
        <f t="shared" si="38"/>
        <v/>
      </c>
      <c r="W434" s="77" t="str">
        <f>IF(K434="","",SUM($S$5:S433)*$E$11*V434)</f>
        <v/>
      </c>
      <c r="Y434" s="121" t="str">
        <f t="shared" si="42"/>
        <v/>
      </c>
    </row>
    <row r="435" spans="11:25" ht="17.100000000000001" customHeight="1" x14ac:dyDescent="0.25">
      <c r="K435" s="81" t="str">
        <f>IF(CÁLCULO!C449="","",CÁLCULO!C449)</f>
        <v/>
      </c>
      <c r="L435" s="81" t="str">
        <f t="shared" si="39"/>
        <v/>
      </c>
      <c r="M435" s="82" t="str">
        <f>IF(CÁLCULO!E449="","",CÁLCULO!E449)</f>
        <v/>
      </c>
      <c r="O435" s="81" t="str">
        <f>IF(CÁLCULO!G449="","",CÁLCULO!G449)</f>
        <v/>
      </c>
      <c r="P435" s="80" t="str">
        <f t="shared" si="43"/>
        <v/>
      </c>
      <c r="Q435" s="121" t="str">
        <f>IF(CÁLCULO!I449="","",CÁLCULO!I449)</f>
        <v/>
      </c>
      <c r="R435" s="87"/>
      <c r="S435" s="121" t="str">
        <f t="shared" si="40"/>
        <v/>
      </c>
      <c r="T435" s="121" t="str">
        <f t="shared" si="41"/>
        <v/>
      </c>
      <c r="U435" s="89"/>
      <c r="V435" s="80" t="str">
        <f t="shared" si="38"/>
        <v/>
      </c>
      <c r="W435" s="77" t="str">
        <f>IF(K435="","",SUM($S$5:S434)*$E$11*V435)</f>
        <v/>
      </c>
      <c r="Y435" s="121" t="str">
        <f t="shared" si="42"/>
        <v/>
      </c>
    </row>
    <row r="436" spans="11:25" ht="17.100000000000001" customHeight="1" x14ac:dyDescent="0.25">
      <c r="K436" s="81" t="str">
        <f>IF(CÁLCULO!C450="","",CÁLCULO!C450)</f>
        <v/>
      </c>
      <c r="L436" s="81" t="str">
        <f t="shared" si="39"/>
        <v/>
      </c>
      <c r="M436" s="82" t="str">
        <f>IF(CÁLCULO!E450="","",CÁLCULO!E450)</f>
        <v/>
      </c>
      <c r="O436" s="81" t="str">
        <f>IF(CÁLCULO!G450="","",CÁLCULO!G450)</f>
        <v/>
      </c>
      <c r="P436" s="80" t="str">
        <f t="shared" si="43"/>
        <v/>
      </c>
      <c r="Q436" s="121" t="str">
        <f>IF(CÁLCULO!I450="","",CÁLCULO!I450)</f>
        <v/>
      </c>
      <c r="R436" s="87"/>
      <c r="S436" s="121" t="str">
        <f t="shared" si="40"/>
        <v/>
      </c>
      <c r="T436" s="121" t="str">
        <f t="shared" si="41"/>
        <v/>
      </c>
      <c r="U436" s="89"/>
      <c r="V436" s="80" t="str">
        <f t="shared" si="38"/>
        <v/>
      </c>
      <c r="W436" s="77" t="str">
        <f>IF(K436="","",SUM($S$5:S435)*$E$11*V436)</f>
        <v/>
      </c>
      <c r="Y436" s="121" t="str">
        <f t="shared" si="42"/>
        <v/>
      </c>
    </row>
    <row r="437" spans="11:25" ht="17.100000000000001" customHeight="1" x14ac:dyDescent="0.25">
      <c r="K437" s="81" t="str">
        <f>IF(CÁLCULO!C451="","",CÁLCULO!C451)</f>
        <v/>
      </c>
      <c r="L437" s="81" t="str">
        <f t="shared" si="39"/>
        <v/>
      </c>
      <c r="M437" s="82" t="str">
        <f>IF(CÁLCULO!E451="","",CÁLCULO!E451)</f>
        <v/>
      </c>
      <c r="O437" s="81" t="str">
        <f>IF(CÁLCULO!G451="","",CÁLCULO!G451)</f>
        <v/>
      </c>
      <c r="P437" s="80" t="str">
        <f t="shared" si="43"/>
        <v/>
      </c>
      <c r="Q437" s="121" t="str">
        <f>IF(CÁLCULO!I451="","",CÁLCULO!I451)</f>
        <v/>
      </c>
      <c r="R437" s="87"/>
      <c r="S437" s="121" t="str">
        <f t="shared" si="40"/>
        <v/>
      </c>
      <c r="T437" s="121" t="str">
        <f t="shared" si="41"/>
        <v/>
      </c>
      <c r="U437" s="89"/>
      <c r="V437" s="80" t="str">
        <f t="shared" si="38"/>
        <v/>
      </c>
      <c r="W437" s="77" t="str">
        <f>IF(K437="","",SUM($S$5:S436)*$E$11*V437)</f>
        <v/>
      </c>
      <c r="Y437" s="121" t="str">
        <f t="shared" si="42"/>
        <v/>
      </c>
    </row>
    <row r="438" spans="11:25" ht="17.100000000000001" customHeight="1" x14ac:dyDescent="0.25">
      <c r="K438" s="81" t="str">
        <f>IF(CÁLCULO!C452="","",CÁLCULO!C452)</f>
        <v/>
      </c>
      <c r="L438" s="81" t="str">
        <f t="shared" si="39"/>
        <v/>
      </c>
      <c r="M438" s="82" t="str">
        <f>IF(CÁLCULO!E452="","",CÁLCULO!E452)</f>
        <v/>
      </c>
      <c r="O438" s="81" t="str">
        <f>IF(CÁLCULO!G452="","",CÁLCULO!G452)</f>
        <v/>
      </c>
      <c r="P438" s="80" t="str">
        <f t="shared" si="43"/>
        <v/>
      </c>
      <c r="Q438" s="121" t="str">
        <f>IF(CÁLCULO!I452="","",CÁLCULO!I452)</f>
        <v/>
      </c>
      <c r="R438" s="87"/>
      <c r="S438" s="121" t="str">
        <f t="shared" si="40"/>
        <v/>
      </c>
      <c r="T438" s="121" t="str">
        <f t="shared" si="41"/>
        <v/>
      </c>
      <c r="U438" s="89"/>
      <c r="V438" s="80" t="str">
        <f t="shared" si="38"/>
        <v/>
      </c>
      <c r="W438" s="77" t="str">
        <f>IF(K438="","",SUM($S$5:S437)*$E$11*V438)</f>
        <v/>
      </c>
      <c r="Y438" s="121" t="str">
        <f t="shared" si="42"/>
        <v/>
      </c>
    </row>
    <row r="439" spans="11:25" ht="17.100000000000001" customHeight="1" x14ac:dyDescent="0.25">
      <c r="K439" s="81" t="str">
        <f>IF(CÁLCULO!C453="","",CÁLCULO!C453)</f>
        <v/>
      </c>
      <c r="L439" s="81" t="str">
        <f t="shared" si="39"/>
        <v/>
      </c>
      <c r="M439" s="82" t="str">
        <f>IF(CÁLCULO!E453="","",CÁLCULO!E453)</f>
        <v/>
      </c>
      <c r="O439" s="81" t="str">
        <f>IF(CÁLCULO!G453="","",CÁLCULO!G453)</f>
        <v/>
      </c>
      <c r="P439" s="80" t="str">
        <f t="shared" si="43"/>
        <v/>
      </c>
      <c r="Q439" s="121" t="str">
        <f>IF(CÁLCULO!I453="","",CÁLCULO!I453)</f>
        <v/>
      </c>
      <c r="R439" s="87"/>
      <c r="S439" s="121" t="str">
        <f t="shared" si="40"/>
        <v/>
      </c>
      <c r="T439" s="121" t="str">
        <f t="shared" si="41"/>
        <v/>
      </c>
      <c r="U439" s="89"/>
      <c r="V439" s="80" t="str">
        <f t="shared" si="38"/>
        <v/>
      </c>
      <c r="W439" s="77" t="str">
        <f>IF(K439="","",SUM($S$5:S438)*$E$11*V439)</f>
        <v/>
      </c>
      <c r="Y439" s="121" t="str">
        <f t="shared" si="42"/>
        <v/>
      </c>
    </row>
    <row r="440" spans="11:25" ht="17.100000000000001" customHeight="1" x14ac:dyDescent="0.25">
      <c r="K440" s="81" t="str">
        <f>IF(CÁLCULO!C454="","",CÁLCULO!C454)</f>
        <v/>
      </c>
      <c r="L440" s="81" t="str">
        <f t="shared" si="39"/>
        <v/>
      </c>
      <c r="M440" s="82" t="str">
        <f>IF(CÁLCULO!E454="","",CÁLCULO!E454)</f>
        <v/>
      </c>
      <c r="O440" s="81" t="str">
        <f>IF(CÁLCULO!G454="","",CÁLCULO!G454)</f>
        <v/>
      </c>
      <c r="P440" s="80" t="str">
        <f t="shared" si="43"/>
        <v/>
      </c>
      <c r="Q440" s="121" t="str">
        <f>IF(CÁLCULO!I454="","",CÁLCULO!I454)</f>
        <v/>
      </c>
      <c r="R440" s="87"/>
      <c r="S440" s="121" t="str">
        <f t="shared" si="40"/>
        <v/>
      </c>
      <c r="T440" s="121" t="str">
        <f t="shared" si="41"/>
        <v/>
      </c>
      <c r="U440" s="89"/>
      <c r="V440" s="80" t="str">
        <f t="shared" si="38"/>
        <v/>
      </c>
      <c r="W440" s="77" t="str">
        <f>IF(K440="","",SUM($S$5:S439)*$E$11*V440)</f>
        <v/>
      </c>
      <c r="Y440" s="121" t="str">
        <f t="shared" si="42"/>
        <v/>
      </c>
    </row>
    <row r="441" spans="11:25" ht="17.100000000000001" customHeight="1" x14ac:dyDescent="0.25">
      <c r="K441" s="81" t="str">
        <f>IF(CÁLCULO!C455="","",CÁLCULO!C455)</f>
        <v/>
      </c>
      <c r="L441" s="81" t="str">
        <f t="shared" si="39"/>
        <v/>
      </c>
      <c r="M441" s="82" t="str">
        <f>IF(CÁLCULO!E455="","",CÁLCULO!E455)</f>
        <v/>
      </c>
      <c r="O441" s="81" t="str">
        <f>IF(CÁLCULO!G455="","",CÁLCULO!G455)</f>
        <v/>
      </c>
      <c r="P441" s="80" t="str">
        <f t="shared" si="43"/>
        <v/>
      </c>
      <c r="Q441" s="121" t="str">
        <f>IF(CÁLCULO!I455="","",CÁLCULO!I455)</f>
        <v/>
      </c>
      <c r="R441" s="87"/>
      <c r="S441" s="121" t="str">
        <f t="shared" si="40"/>
        <v/>
      </c>
      <c r="T441" s="121" t="str">
        <f t="shared" si="41"/>
        <v/>
      </c>
      <c r="U441" s="89"/>
      <c r="V441" s="80" t="str">
        <f t="shared" si="38"/>
        <v/>
      </c>
      <c r="W441" s="77" t="str">
        <f>IF(K441="","",SUM($S$5:S440)*$E$11*V441)</f>
        <v/>
      </c>
      <c r="Y441" s="121" t="str">
        <f t="shared" si="42"/>
        <v/>
      </c>
    </row>
    <row r="442" spans="11:25" ht="17.100000000000001" customHeight="1" x14ac:dyDescent="0.25">
      <c r="K442" s="81" t="str">
        <f>IF(CÁLCULO!C456="","",CÁLCULO!C456)</f>
        <v/>
      </c>
      <c r="L442" s="81" t="str">
        <f t="shared" si="39"/>
        <v/>
      </c>
      <c r="M442" s="82" t="str">
        <f>IF(CÁLCULO!E456="","",CÁLCULO!E456)</f>
        <v/>
      </c>
      <c r="O442" s="81" t="str">
        <f>IF(CÁLCULO!G456="","",CÁLCULO!G456)</f>
        <v/>
      </c>
      <c r="P442" s="80" t="str">
        <f t="shared" si="43"/>
        <v/>
      </c>
      <c r="Q442" s="121" t="str">
        <f>IF(CÁLCULO!I456="","",CÁLCULO!I456)</f>
        <v/>
      </c>
      <c r="R442" s="87"/>
      <c r="S442" s="121" t="str">
        <f t="shared" si="40"/>
        <v/>
      </c>
      <c r="T442" s="121" t="str">
        <f t="shared" si="41"/>
        <v/>
      </c>
      <c r="U442" s="89"/>
      <c r="V442" s="80" t="str">
        <f t="shared" si="38"/>
        <v/>
      </c>
      <c r="W442" s="77" t="str">
        <f>IF(K442="","",SUM($S$5:S441)*$E$11*V442)</f>
        <v/>
      </c>
      <c r="Y442" s="121" t="str">
        <f t="shared" si="42"/>
        <v/>
      </c>
    </row>
    <row r="443" spans="11:25" ht="17.100000000000001" customHeight="1" x14ac:dyDescent="0.25">
      <c r="K443" s="81" t="str">
        <f>IF(CÁLCULO!C457="","",CÁLCULO!C457)</f>
        <v/>
      </c>
      <c r="L443" s="81" t="str">
        <f t="shared" si="39"/>
        <v/>
      </c>
      <c r="M443" s="82" t="str">
        <f>IF(CÁLCULO!E457="","",CÁLCULO!E457)</f>
        <v/>
      </c>
      <c r="O443" s="81" t="str">
        <f>IF(CÁLCULO!G457="","",CÁLCULO!G457)</f>
        <v/>
      </c>
      <c r="P443" s="80" t="str">
        <f t="shared" si="43"/>
        <v/>
      </c>
      <c r="Q443" s="121" t="str">
        <f>IF(CÁLCULO!I457="","",CÁLCULO!I457)</f>
        <v/>
      </c>
      <c r="R443" s="87"/>
      <c r="S443" s="121" t="str">
        <f t="shared" si="40"/>
        <v/>
      </c>
      <c r="T443" s="121" t="str">
        <f t="shared" si="41"/>
        <v/>
      </c>
      <c r="U443" s="89"/>
      <c r="V443" s="80" t="str">
        <f t="shared" si="38"/>
        <v/>
      </c>
      <c r="W443" s="77" t="str">
        <f>IF(K443="","",SUM($S$5:S442)*$E$11*V443)</f>
        <v/>
      </c>
      <c r="Y443" s="121" t="str">
        <f t="shared" si="42"/>
        <v/>
      </c>
    </row>
    <row r="444" spans="11:25" ht="17.100000000000001" customHeight="1" x14ac:dyDescent="0.25">
      <c r="K444" s="81" t="str">
        <f>IF(CÁLCULO!C458="","",CÁLCULO!C458)</f>
        <v/>
      </c>
      <c r="L444" s="81" t="str">
        <f t="shared" si="39"/>
        <v/>
      </c>
      <c r="M444" s="82" t="str">
        <f>IF(CÁLCULO!E458="","",CÁLCULO!E458)</f>
        <v/>
      </c>
      <c r="O444" s="81" t="str">
        <f>IF(CÁLCULO!G458="","",CÁLCULO!G458)</f>
        <v/>
      </c>
      <c r="P444" s="80" t="str">
        <f t="shared" si="43"/>
        <v/>
      </c>
      <c r="Q444" s="121" t="str">
        <f>IF(CÁLCULO!I458="","",CÁLCULO!I458)</f>
        <v/>
      </c>
      <c r="R444" s="87"/>
      <c r="S444" s="121" t="str">
        <f t="shared" si="40"/>
        <v/>
      </c>
      <c r="T444" s="121" t="str">
        <f t="shared" si="41"/>
        <v/>
      </c>
      <c r="U444" s="89"/>
      <c r="V444" s="80" t="str">
        <f t="shared" si="38"/>
        <v/>
      </c>
      <c r="W444" s="77" t="str">
        <f>IF(K444="","",SUM($S$5:S443)*$E$11*V444)</f>
        <v/>
      </c>
      <c r="Y444" s="121" t="str">
        <f t="shared" si="42"/>
        <v/>
      </c>
    </row>
    <row r="445" spans="11:25" ht="17.100000000000001" customHeight="1" x14ac:dyDescent="0.25">
      <c r="K445" s="81" t="str">
        <f>IF(CÁLCULO!C459="","",CÁLCULO!C459)</f>
        <v/>
      </c>
      <c r="L445" s="81" t="str">
        <f t="shared" si="39"/>
        <v/>
      </c>
      <c r="M445" s="82" t="str">
        <f>IF(CÁLCULO!E459="","",CÁLCULO!E459)</f>
        <v/>
      </c>
      <c r="O445" s="81" t="str">
        <f>IF(CÁLCULO!G459="","",CÁLCULO!G459)</f>
        <v/>
      </c>
      <c r="P445" s="80" t="str">
        <f t="shared" si="43"/>
        <v/>
      </c>
      <c r="Q445" s="121" t="str">
        <f>IF(CÁLCULO!I459="","",CÁLCULO!I459)</f>
        <v/>
      </c>
      <c r="R445" s="87"/>
      <c r="S445" s="121" t="str">
        <f t="shared" si="40"/>
        <v/>
      </c>
      <c r="T445" s="121" t="str">
        <f t="shared" si="41"/>
        <v/>
      </c>
      <c r="U445" s="89"/>
      <c r="V445" s="80" t="str">
        <f t="shared" si="38"/>
        <v/>
      </c>
      <c r="W445" s="77" t="str">
        <f>IF(K445="","",SUM($S$5:S444)*$E$11*V445)</f>
        <v/>
      </c>
      <c r="Y445" s="121" t="str">
        <f t="shared" si="42"/>
        <v/>
      </c>
    </row>
    <row r="446" spans="11:25" ht="17.100000000000001" customHeight="1" x14ac:dyDescent="0.25">
      <c r="K446" s="81" t="str">
        <f>IF(CÁLCULO!C460="","",CÁLCULO!C460)</f>
        <v/>
      </c>
      <c r="L446" s="81" t="str">
        <f t="shared" si="39"/>
        <v/>
      </c>
      <c r="M446" s="82" t="str">
        <f>IF(CÁLCULO!E460="","",CÁLCULO!E460)</f>
        <v/>
      </c>
      <c r="O446" s="81" t="str">
        <f>IF(CÁLCULO!G460="","",CÁLCULO!G460)</f>
        <v/>
      </c>
      <c r="P446" s="80" t="str">
        <f t="shared" si="43"/>
        <v/>
      </c>
      <c r="Q446" s="121" t="str">
        <f>IF(CÁLCULO!I460="","",CÁLCULO!I460)</f>
        <v/>
      </c>
      <c r="R446" s="87"/>
      <c r="S446" s="121" t="str">
        <f t="shared" si="40"/>
        <v/>
      </c>
      <c r="T446" s="121" t="str">
        <f t="shared" si="41"/>
        <v/>
      </c>
      <c r="U446" s="89"/>
      <c r="V446" s="80" t="str">
        <f t="shared" si="38"/>
        <v/>
      </c>
      <c r="W446" s="77" t="str">
        <f>IF(K446="","",SUM($S$5:S445)*$E$11*V446)</f>
        <v/>
      </c>
      <c r="Y446" s="121" t="str">
        <f t="shared" si="42"/>
        <v/>
      </c>
    </row>
    <row r="447" spans="11:25" ht="17.100000000000001" customHeight="1" x14ac:dyDescent="0.25">
      <c r="K447" s="81" t="str">
        <f>IF(CÁLCULO!C461="","",CÁLCULO!C461)</f>
        <v/>
      </c>
      <c r="L447" s="81" t="str">
        <f t="shared" si="39"/>
        <v/>
      </c>
      <c r="M447" s="82" t="str">
        <f>IF(CÁLCULO!E461="","",CÁLCULO!E461)</f>
        <v/>
      </c>
      <c r="O447" s="81" t="str">
        <f>IF(CÁLCULO!G461="","",CÁLCULO!G461)</f>
        <v/>
      </c>
      <c r="P447" s="80" t="str">
        <f t="shared" si="43"/>
        <v/>
      </c>
      <c r="Q447" s="121" t="str">
        <f>IF(CÁLCULO!I461="","",CÁLCULO!I461)</f>
        <v/>
      </c>
      <c r="R447" s="87"/>
      <c r="S447" s="121" t="str">
        <f t="shared" si="40"/>
        <v/>
      </c>
      <c r="T447" s="121" t="str">
        <f t="shared" si="41"/>
        <v/>
      </c>
      <c r="U447" s="89"/>
      <c r="V447" s="80" t="str">
        <f t="shared" si="38"/>
        <v/>
      </c>
      <c r="W447" s="77" t="str">
        <f>IF(K447="","",SUM($S$5:S446)*$E$11*V447)</f>
        <v/>
      </c>
      <c r="Y447" s="121" t="str">
        <f t="shared" si="42"/>
        <v/>
      </c>
    </row>
    <row r="448" spans="11:25" ht="17.100000000000001" customHeight="1" x14ac:dyDescent="0.25">
      <c r="K448" s="81" t="str">
        <f>IF(CÁLCULO!C462="","",CÁLCULO!C462)</f>
        <v/>
      </c>
      <c r="L448" s="81" t="str">
        <f t="shared" si="39"/>
        <v/>
      </c>
      <c r="M448" s="82" t="str">
        <f>IF(CÁLCULO!E462="","",CÁLCULO!E462)</f>
        <v/>
      </c>
      <c r="O448" s="81" t="str">
        <f>IF(CÁLCULO!G462="","",CÁLCULO!G462)</f>
        <v/>
      </c>
      <c r="P448" s="80" t="str">
        <f t="shared" si="43"/>
        <v/>
      </c>
      <c r="Q448" s="121" t="str">
        <f>IF(CÁLCULO!I462="","",CÁLCULO!I462)</f>
        <v/>
      </c>
      <c r="R448" s="87"/>
      <c r="S448" s="121" t="str">
        <f t="shared" si="40"/>
        <v/>
      </c>
      <c r="T448" s="121" t="str">
        <f t="shared" si="41"/>
        <v/>
      </c>
      <c r="U448" s="89"/>
      <c r="V448" s="80" t="str">
        <f t="shared" si="38"/>
        <v/>
      </c>
      <c r="W448" s="77" t="str">
        <f>IF(K448="","",SUM($S$5:S447)*$E$11*V448)</f>
        <v/>
      </c>
      <c r="Y448" s="121" t="str">
        <f t="shared" si="42"/>
        <v/>
      </c>
    </row>
    <row r="449" spans="11:25" ht="17.100000000000001" customHeight="1" x14ac:dyDescent="0.25">
      <c r="K449" s="81" t="str">
        <f>IF(CÁLCULO!C463="","",CÁLCULO!C463)</f>
        <v/>
      </c>
      <c r="L449" s="81" t="str">
        <f t="shared" si="39"/>
        <v/>
      </c>
      <c r="M449" s="82" t="str">
        <f>IF(CÁLCULO!E463="","",CÁLCULO!E463)</f>
        <v/>
      </c>
      <c r="O449" s="81" t="str">
        <f>IF(CÁLCULO!G463="","",CÁLCULO!G463)</f>
        <v/>
      </c>
      <c r="P449" s="80" t="str">
        <f t="shared" si="43"/>
        <v/>
      </c>
      <c r="Q449" s="121" t="str">
        <f>IF(CÁLCULO!I463="","",CÁLCULO!I463)</f>
        <v/>
      </c>
      <c r="R449" s="87"/>
      <c r="S449" s="121" t="str">
        <f t="shared" si="40"/>
        <v/>
      </c>
      <c r="T449" s="121" t="str">
        <f t="shared" si="41"/>
        <v/>
      </c>
      <c r="U449" s="89"/>
      <c r="V449" s="80" t="str">
        <f t="shared" si="38"/>
        <v/>
      </c>
      <c r="W449" s="77" t="str">
        <f>IF(K449="","",SUM($S$5:S448)*$E$11*V449)</f>
        <v/>
      </c>
      <c r="Y449" s="121" t="str">
        <f t="shared" si="42"/>
        <v/>
      </c>
    </row>
    <row r="450" spans="11:25" ht="17.100000000000001" customHeight="1" x14ac:dyDescent="0.25">
      <c r="K450" s="81" t="str">
        <f>IF(CÁLCULO!C464="","",CÁLCULO!C464)</f>
        <v/>
      </c>
      <c r="L450" s="81" t="str">
        <f t="shared" si="39"/>
        <v/>
      </c>
      <c r="M450" s="82" t="str">
        <f>IF(CÁLCULO!E464="","",CÁLCULO!E464)</f>
        <v/>
      </c>
      <c r="O450" s="81" t="str">
        <f>IF(CÁLCULO!G464="","",CÁLCULO!G464)</f>
        <v/>
      </c>
      <c r="P450" s="80" t="str">
        <f t="shared" si="43"/>
        <v/>
      </c>
      <c r="Q450" s="121" t="str">
        <f>IF(CÁLCULO!I464="","",CÁLCULO!I464)</f>
        <v/>
      </c>
      <c r="R450" s="87"/>
      <c r="S450" s="121" t="str">
        <f t="shared" si="40"/>
        <v/>
      </c>
      <c r="T450" s="121" t="str">
        <f t="shared" si="41"/>
        <v/>
      </c>
      <c r="U450" s="89"/>
      <c r="V450" s="80" t="str">
        <f t="shared" si="38"/>
        <v/>
      </c>
      <c r="W450" s="77" t="str">
        <f>IF(K450="","",SUM($S$5:S449)*$E$11*V450)</f>
        <v/>
      </c>
      <c r="Y450" s="121" t="str">
        <f t="shared" si="42"/>
        <v/>
      </c>
    </row>
    <row r="451" spans="11:25" ht="17.100000000000001" customHeight="1" x14ac:dyDescent="0.25">
      <c r="K451" s="81" t="str">
        <f>IF(CÁLCULO!C465="","",CÁLCULO!C465)</f>
        <v/>
      </c>
      <c r="L451" s="81" t="str">
        <f t="shared" si="39"/>
        <v/>
      </c>
      <c r="M451" s="82" t="str">
        <f>IF(CÁLCULO!E465="","",CÁLCULO!E465)</f>
        <v/>
      </c>
      <c r="O451" s="81" t="str">
        <f>IF(CÁLCULO!G465="","",CÁLCULO!G465)</f>
        <v/>
      </c>
      <c r="P451" s="80" t="str">
        <f t="shared" si="43"/>
        <v/>
      </c>
      <c r="Q451" s="121" t="str">
        <f>IF(CÁLCULO!I465="","",CÁLCULO!I465)</f>
        <v/>
      </c>
      <c r="R451" s="87"/>
      <c r="S451" s="121" t="str">
        <f t="shared" si="40"/>
        <v/>
      </c>
      <c r="T451" s="121" t="str">
        <f t="shared" si="41"/>
        <v/>
      </c>
      <c r="U451" s="89"/>
      <c r="V451" s="80" t="str">
        <f t="shared" si="38"/>
        <v/>
      </c>
      <c r="W451" s="77" t="str">
        <f>IF(K451="","",SUM($S$5:S450)*$E$11*V451)</f>
        <v/>
      </c>
      <c r="Y451" s="121" t="str">
        <f t="shared" si="42"/>
        <v/>
      </c>
    </row>
    <row r="452" spans="11:25" ht="17.100000000000001" customHeight="1" x14ac:dyDescent="0.25">
      <c r="K452" s="81" t="str">
        <f>IF(CÁLCULO!C466="","",CÁLCULO!C466)</f>
        <v/>
      </c>
      <c r="L452" s="81" t="str">
        <f t="shared" si="39"/>
        <v/>
      </c>
      <c r="M452" s="82" t="str">
        <f>IF(CÁLCULO!E466="","",CÁLCULO!E466)</f>
        <v/>
      </c>
      <c r="O452" s="81" t="str">
        <f>IF(CÁLCULO!G466="","",CÁLCULO!G466)</f>
        <v/>
      </c>
      <c r="P452" s="80" t="str">
        <f t="shared" si="43"/>
        <v/>
      </c>
      <c r="Q452" s="121" t="str">
        <f>IF(CÁLCULO!I466="","",CÁLCULO!I466)</f>
        <v/>
      </c>
      <c r="R452" s="87"/>
      <c r="S452" s="121" t="str">
        <f t="shared" si="40"/>
        <v/>
      </c>
      <c r="T452" s="121" t="str">
        <f t="shared" si="41"/>
        <v/>
      </c>
      <c r="U452" s="89"/>
      <c r="V452" s="80" t="str">
        <f t="shared" si="38"/>
        <v/>
      </c>
      <c r="W452" s="77" t="str">
        <f>IF(K452="","",SUM($S$5:S451)*$E$11*V452)</f>
        <v/>
      </c>
      <c r="Y452" s="121" t="str">
        <f t="shared" si="42"/>
        <v/>
      </c>
    </row>
    <row r="453" spans="11:25" ht="17.100000000000001" customHeight="1" x14ac:dyDescent="0.25">
      <c r="K453" s="81" t="str">
        <f>IF(CÁLCULO!C467="","",CÁLCULO!C467)</f>
        <v/>
      </c>
      <c r="L453" s="81" t="str">
        <f t="shared" si="39"/>
        <v/>
      </c>
      <c r="M453" s="82" t="str">
        <f>IF(CÁLCULO!E467="","",CÁLCULO!E467)</f>
        <v/>
      </c>
      <c r="O453" s="81" t="str">
        <f>IF(CÁLCULO!G467="","",CÁLCULO!G467)</f>
        <v/>
      </c>
      <c r="P453" s="80" t="str">
        <f t="shared" si="43"/>
        <v/>
      </c>
      <c r="Q453" s="121" t="str">
        <f>IF(CÁLCULO!I467="","",CÁLCULO!I467)</f>
        <v/>
      </c>
      <c r="R453" s="87"/>
      <c r="S453" s="121" t="str">
        <f t="shared" si="40"/>
        <v/>
      </c>
      <c r="T453" s="121" t="str">
        <f t="shared" si="41"/>
        <v/>
      </c>
      <c r="U453" s="89"/>
      <c r="V453" s="80" t="str">
        <f t="shared" ref="V453:V484" si="44">IF(K453="","",IF(O453-(P453-365)&lt;0,0,IF(P453&gt;365,O453-(P453-365),O453)))</f>
        <v/>
      </c>
      <c r="W453" s="77" t="str">
        <f>IF(K453="","",SUM($S$5:S452)*$E$11*V453)</f>
        <v/>
      </c>
      <c r="Y453" s="121" t="str">
        <f t="shared" si="42"/>
        <v/>
      </c>
    </row>
    <row r="454" spans="11:25" ht="17.100000000000001" customHeight="1" x14ac:dyDescent="0.25">
      <c r="K454" s="81" t="str">
        <f>IF(CÁLCULO!C468="","",CÁLCULO!C468)</f>
        <v/>
      </c>
      <c r="L454" s="81" t="str">
        <f t="shared" ref="L454:L502" si="45">IF(K454="","",IF(K454&lt;=TempoCarencia,"-",IF(K454=TempoCarencia+1,1,IF(L453&gt;0,L453+1,""))))</f>
        <v/>
      </c>
      <c r="M454" s="82" t="str">
        <f>IF(CÁLCULO!E468="","",CÁLCULO!E468)</f>
        <v/>
      </c>
      <c r="O454" s="81" t="str">
        <f>IF(CÁLCULO!G468="","",CÁLCULO!G468)</f>
        <v/>
      </c>
      <c r="P454" s="80" t="str">
        <f t="shared" si="43"/>
        <v/>
      </c>
      <c r="Q454" s="121" t="str">
        <f>IF(CÁLCULO!I468="","",CÁLCULO!I468)</f>
        <v/>
      </c>
      <c r="R454" s="87"/>
      <c r="S454" s="121" t="str">
        <f t="shared" ref="S454:S502" si="46">IF(K454="","",PV(TxJurosAoDia,P454,,-Q454))</f>
        <v/>
      </c>
      <c r="T454" s="121" t="str">
        <f t="shared" si="41"/>
        <v/>
      </c>
      <c r="U454" s="89"/>
      <c r="V454" s="80" t="str">
        <f t="shared" si="44"/>
        <v/>
      </c>
      <c r="W454" s="77" t="str">
        <f>IF(K454="","",SUM($S$5:S453)*$E$11*V454)</f>
        <v/>
      </c>
      <c r="Y454" s="121" t="str">
        <f t="shared" si="42"/>
        <v/>
      </c>
    </row>
    <row r="455" spans="11:25" ht="17.100000000000001" customHeight="1" x14ac:dyDescent="0.25">
      <c r="K455" s="81" t="str">
        <f>IF(CÁLCULO!C469="","",CÁLCULO!C469)</f>
        <v/>
      </c>
      <c r="L455" s="81" t="str">
        <f t="shared" si="45"/>
        <v/>
      </c>
      <c r="M455" s="82" t="str">
        <f>IF(CÁLCULO!E469="","",CÁLCULO!E469)</f>
        <v/>
      </c>
      <c r="O455" s="81" t="str">
        <f>IF(CÁLCULO!G469="","",CÁLCULO!G469)</f>
        <v/>
      </c>
      <c r="P455" s="80" t="str">
        <f t="shared" si="43"/>
        <v/>
      </c>
      <c r="Q455" s="121" t="str">
        <f>IF(CÁLCULO!I469="","",CÁLCULO!I469)</f>
        <v/>
      </c>
      <c r="R455" s="87"/>
      <c r="S455" s="121" t="str">
        <f t="shared" si="46"/>
        <v/>
      </c>
      <c r="T455" s="121" t="str">
        <f t="shared" ref="T455:T502" si="47">IF(K455="","",T454+S455)</f>
        <v/>
      </c>
      <c r="U455" s="89"/>
      <c r="V455" s="80" t="str">
        <f t="shared" si="44"/>
        <v/>
      </c>
      <c r="W455" s="77" t="str">
        <f>IF(K455="","",SUM($S$5:S454)*$E$11*V455)</f>
        <v/>
      </c>
      <c r="Y455" s="121" t="str">
        <f t="shared" ref="Y455:Y502" si="48">Q455</f>
        <v/>
      </c>
    </row>
    <row r="456" spans="11:25" ht="17.100000000000001" customHeight="1" x14ac:dyDescent="0.25">
      <c r="K456" s="81" t="str">
        <f>IF(CÁLCULO!C470="","",CÁLCULO!C470)</f>
        <v/>
      </c>
      <c r="L456" s="81" t="str">
        <f t="shared" si="45"/>
        <v/>
      </c>
      <c r="M456" s="82" t="str">
        <f>IF(CÁLCULO!E470="","",CÁLCULO!E470)</f>
        <v/>
      </c>
      <c r="O456" s="81" t="str">
        <f>IF(CÁLCULO!G470="","",CÁLCULO!G470)</f>
        <v/>
      </c>
      <c r="P456" s="80" t="str">
        <f t="shared" si="43"/>
        <v/>
      </c>
      <c r="Q456" s="121" t="str">
        <f>IF(CÁLCULO!I470="","",CÁLCULO!I470)</f>
        <v/>
      </c>
      <c r="R456" s="87"/>
      <c r="S456" s="121" t="str">
        <f t="shared" si="46"/>
        <v/>
      </c>
      <c r="T456" s="121" t="str">
        <f t="shared" si="47"/>
        <v/>
      </c>
      <c r="U456" s="89"/>
      <c r="V456" s="80" t="str">
        <f t="shared" si="44"/>
        <v/>
      </c>
      <c r="W456" s="77" t="str">
        <f>IF(K456="","",SUM($S$5:S455)*$E$11*V456)</f>
        <v/>
      </c>
      <c r="Y456" s="121" t="str">
        <f t="shared" si="48"/>
        <v/>
      </c>
    </row>
    <row r="457" spans="11:25" ht="17.100000000000001" customHeight="1" x14ac:dyDescent="0.25">
      <c r="K457" s="81" t="str">
        <f>IF(CÁLCULO!C471="","",CÁLCULO!C471)</f>
        <v/>
      </c>
      <c r="L457" s="81" t="str">
        <f t="shared" si="45"/>
        <v/>
      </c>
      <c r="M457" s="82" t="str">
        <f>IF(CÁLCULO!E471="","",CÁLCULO!E471)</f>
        <v/>
      </c>
      <c r="O457" s="81" t="str">
        <f>IF(CÁLCULO!G471="","",CÁLCULO!G471)</f>
        <v/>
      </c>
      <c r="P457" s="80" t="str">
        <f t="shared" si="43"/>
        <v/>
      </c>
      <c r="Q457" s="121" t="str">
        <f>IF(CÁLCULO!I471="","",CÁLCULO!I471)</f>
        <v/>
      </c>
      <c r="R457" s="87"/>
      <c r="S457" s="121" t="str">
        <f t="shared" si="46"/>
        <v/>
      </c>
      <c r="T457" s="121" t="str">
        <f t="shared" si="47"/>
        <v/>
      </c>
      <c r="U457" s="89"/>
      <c r="V457" s="80" t="str">
        <f t="shared" si="44"/>
        <v/>
      </c>
      <c r="W457" s="77" t="str">
        <f>IF(K457="","",SUM($S$5:S456)*$E$11*V457)</f>
        <v/>
      </c>
      <c r="Y457" s="121" t="str">
        <f t="shared" si="48"/>
        <v/>
      </c>
    </row>
    <row r="458" spans="11:25" ht="17.100000000000001" customHeight="1" x14ac:dyDescent="0.25">
      <c r="K458" s="81" t="str">
        <f>IF(CÁLCULO!C472="","",CÁLCULO!C472)</f>
        <v/>
      </c>
      <c r="L458" s="81" t="str">
        <f t="shared" si="45"/>
        <v/>
      </c>
      <c r="M458" s="82" t="str">
        <f>IF(CÁLCULO!E472="","",CÁLCULO!E472)</f>
        <v/>
      </c>
      <c r="O458" s="81" t="str">
        <f>IF(CÁLCULO!G472="","",CÁLCULO!G472)</f>
        <v/>
      </c>
      <c r="P458" s="80" t="str">
        <f t="shared" si="43"/>
        <v/>
      </c>
      <c r="Q458" s="121" t="str">
        <f>IF(CÁLCULO!I472="","",CÁLCULO!I472)</f>
        <v/>
      </c>
      <c r="R458" s="87"/>
      <c r="S458" s="121" t="str">
        <f t="shared" si="46"/>
        <v/>
      </c>
      <c r="T458" s="121" t="str">
        <f t="shared" si="47"/>
        <v/>
      </c>
      <c r="U458" s="89"/>
      <c r="V458" s="80" t="str">
        <f t="shared" si="44"/>
        <v/>
      </c>
      <c r="W458" s="77" t="str">
        <f>IF(K458="","",SUM($S$5:S457)*$E$11*V458)</f>
        <v/>
      </c>
      <c r="Y458" s="121" t="str">
        <f t="shared" si="48"/>
        <v/>
      </c>
    </row>
    <row r="459" spans="11:25" ht="17.100000000000001" customHeight="1" x14ac:dyDescent="0.25">
      <c r="K459" s="81" t="str">
        <f>IF(CÁLCULO!C473="","",CÁLCULO!C473)</f>
        <v/>
      </c>
      <c r="L459" s="81" t="str">
        <f t="shared" si="45"/>
        <v/>
      </c>
      <c r="M459" s="82" t="str">
        <f>IF(CÁLCULO!E473="","",CÁLCULO!E473)</f>
        <v/>
      </c>
      <c r="O459" s="81" t="str">
        <f>IF(CÁLCULO!G473="","",CÁLCULO!G473)</f>
        <v/>
      </c>
      <c r="P459" s="80" t="str">
        <f t="shared" si="43"/>
        <v/>
      </c>
      <c r="Q459" s="121" t="str">
        <f>IF(CÁLCULO!I473="","",CÁLCULO!I473)</f>
        <v/>
      </c>
      <c r="R459" s="87"/>
      <c r="S459" s="121" t="str">
        <f t="shared" si="46"/>
        <v/>
      </c>
      <c r="T459" s="121" t="str">
        <f t="shared" si="47"/>
        <v/>
      </c>
      <c r="U459" s="89"/>
      <c r="V459" s="80" t="str">
        <f t="shared" si="44"/>
        <v/>
      </c>
      <c r="W459" s="77" t="str">
        <f>IF(K459="","",SUM($S$5:S458)*$E$11*V459)</f>
        <v/>
      </c>
      <c r="Y459" s="121" t="str">
        <f t="shared" si="48"/>
        <v/>
      </c>
    </row>
    <row r="460" spans="11:25" ht="17.100000000000001" customHeight="1" x14ac:dyDescent="0.25">
      <c r="K460" s="81" t="str">
        <f>IF(CÁLCULO!C474="","",CÁLCULO!C474)</f>
        <v/>
      </c>
      <c r="L460" s="81" t="str">
        <f t="shared" si="45"/>
        <v/>
      </c>
      <c r="M460" s="82" t="str">
        <f>IF(CÁLCULO!E474="","",CÁLCULO!E474)</f>
        <v/>
      </c>
      <c r="O460" s="81" t="str">
        <f>IF(CÁLCULO!G474="","",CÁLCULO!G474)</f>
        <v/>
      </c>
      <c r="P460" s="80" t="str">
        <f t="shared" si="43"/>
        <v/>
      </c>
      <c r="Q460" s="121" t="str">
        <f>IF(CÁLCULO!I474="","",CÁLCULO!I474)</f>
        <v/>
      </c>
      <c r="R460" s="87"/>
      <c r="S460" s="121" t="str">
        <f t="shared" si="46"/>
        <v/>
      </c>
      <c r="T460" s="121" t="str">
        <f t="shared" si="47"/>
        <v/>
      </c>
      <c r="U460" s="89"/>
      <c r="V460" s="80" t="str">
        <f t="shared" si="44"/>
        <v/>
      </c>
      <c r="W460" s="77" t="str">
        <f>IF(K460="","",SUM($S$5:S459)*$E$11*V460)</f>
        <v/>
      </c>
      <c r="Y460" s="121" t="str">
        <f t="shared" si="48"/>
        <v/>
      </c>
    </row>
    <row r="461" spans="11:25" ht="17.100000000000001" customHeight="1" x14ac:dyDescent="0.25">
      <c r="K461" s="81" t="str">
        <f>IF(CÁLCULO!C475="","",CÁLCULO!C475)</f>
        <v/>
      </c>
      <c r="L461" s="81" t="str">
        <f t="shared" si="45"/>
        <v/>
      </c>
      <c r="M461" s="82" t="str">
        <f>IF(CÁLCULO!E475="","",CÁLCULO!E475)</f>
        <v/>
      </c>
      <c r="O461" s="81" t="str">
        <f>IF(CÁLCULO!G475="","",CÁLCULO!G475)</f>
        <v/>
      </c>
      <c r="P461" s="80" t="str">
        <f t="shared" si="43"/>
        <v/>
      </c>
      <c r="Q461" s="121" t="str">
        <f>IF(CÁLCULO!I475="","",CÁLCULO!I475)</f>
        <v/>
      </c>
      <c r="R461" s="87"/>
      <c r="S461" s="121" t="str">
        <f t="shared" si="46"/>
        <v/>
      </c>
      <c r="T461" s="121" t="str">
        <f t="shared" si="47"/>
        <v/>
      </c>
      <c r="U461" s="89"/>
      <c r="V461" s="80" t="str">
        <f t="shared" si="44"/>
        <v/>
      </c>
      <c r="W461" s="77" t="str">
        <f>IF(K461="","",SUM($S$5:S460)*$E$11*V461)</f>
        <v/>
      </c>
      <c r="Y461" s="121" t="str">
        <f t="shared" si="48"/>
        <v/>
      </c>
    </row>
    <row r="462" spans="11:25" ht="17.100000000000001" customHeight="1" x14ac:dyDescent="0.25">
      <c r="K462" s="81" t="str">
        <f>IF(CÁLCULO!C476="","",CÁLCULO!C476)</f>
        <v/>
      </c>
      <c r="L462" s="81" t="str">
        <f t="shared" si="45"/>
        <v/>
      </c>
      <c r="M462" s="82" t="str">
        <f>IF(CÁLCULO!E476="","",CÁLCULO!E476)</f>
        <v/>
      </c>
      <c r="O462" s="81" t="str">
        <f>IF(CÁLCULO!G476="","",CÁLCULO!G476)</f>
        <v/>
      </c>
      <c r="P462" s="80" t="str">
        <f t="shared" si="43"/>
        <v/>
      </c>
      <c r="Q462" s="121" t="str">
        <f>IF(CÁLCULO!I476="","",CÁLCULO!I476)</f>
        <v/>
      </c>
      <c r="R462" s="87"/>
      <c r="S462" s="121" t="str">
        <f t="shared" si="46"/>
        <v/>
      </c>
      <c r="T462" s="121" t="str">
        <f t="shared" si="47"/>
        <v/>
      </c>
      <c r="U462" s="89"/>
      <c r="V462" s="80" t="str">
        <f t="shared" si="44"/>
        <v/>
      </c>
      <c r="W462" s="77" t="str">
        <f>IF(K462="","",SUM($S$5:S461)*$E$11*V462)</f>
        <v/>
      </c>
      <c r="Y462" s="121" t="str">
        <f t="shared" si="48"/>
        <v/>
      </c>
    </row>
    <row r="463" spans="11:25" ht="17.100000000000001" customHeight="1" x14ac:dyDescent="0.25">
      <c r="K463" s="81" t="str">
        <f>IF(CÁLCULO!C477="","",CÁLCULO!C477)</f>
        <v/>
      </c>
      <c r="L463" s="81" t="str">
        <f t="shared" si="45"/>
        <v/>
      </c>
      <c r="M463" s="82" t="str">
        <f>IF(CÁLCULO!E477="","",CÁLCULO!E477)</f>
        <v/>
      </c>
      <c r="O463" s="81" t="str">
        <f>IF(CÁLCULO!G477="","",CÁLCULO!G477)</f>
        <v/>
      </c>
      <c r="P463" s="80" t="str">
        <f t="shared" si="43"/>
        <v/>
      </c>
      <c r="Q463" s="121" t="str">
        <f>IF(CÁLCULO!I477="","",CÁLCULO!I477)</f>
        <v/>
      </c>
      <c r="R463" s="87"/>
      <c r="S463" s="121" t="str">
        <f t="shared" si="46"/>
        <v/>
      </c>
      <c r="T463" s="121" t="str">
        <f t="shared" si="47"/>
        <v/>
      </c>
      <c r="U463" s="89"/>
      <c r="V463" s="80" t="str">
        <f t="shared" si="44"/>
        <v/>
      </c>
      <c r="W463" s="77" t="str">
        <f>IF(K463="","",SUM($S$5:S462)*$E$11*V463)</f>
        <v/>
      </c>
      <c r="Y463" s="121" t="str">
        <f t="shared" si="48"/>
        <v/>
      </c>
    </row>
    <row r="464" spans="11:25" ht="17.100000000000001" customHeight="1" x14ac:dyDescent="0.25">
      <c r="K464" s="81" t="str">
        <f>IF(CÁLCULO!C478="","",CÁLCULO!C478)</f>
        <v/>
      </c>
      <c r="L464" s="81" t="str">
        <f t="shared" si="45"/>
        <v/>
      </c>
      <c r="M464" s="82" t="str">
        <f>IF(CÁLCULO!E478="","",CÁLCULO!E478)</f>
        <v/>
      </c>
      <c r="O464" s="81" t="str">
        <f>IF(CÁLCULO!G478="","",CÁLCULO!G478)</f>
        <v/>
      </c>
      <c r="P464" s="80" t="str">
        <f t="shared" si="43"/>
        <v/>
      </c>
      <c r="Q464" s="121" t="str">
        <f>IF(CÁLCULO!I478="","",CÁLCULO!I478)</f>
        <v/>
      </c>
      <c r="R464" s="87"/>
      <c r="S464" s="121" t="str">
        <f t="shared" si="46"/>
        <v/>
      </c>
      <c r="T464" s="121" t="str">
        <f t="shared" si="47"/>
        <v/>
      </c>
      <c r="U464" s="89"/>
      <c r="V464" s="80" t="str">
        <f t="shared" si="44"/>
        <v/>
      </c>
      <c r="W464" s="77" t="str">
        <f>IF(K464="","",SUM($S$5:S463)*$E$11*V464)</f>
        <v/>
      </c>
      <c r="Y464" s="121" t="str">
        <f t="shared" si="48"/>
        <v/>
      </c>
    </row>
    <row r="465" spans="11:25" ht="17.100000000000001" customHeight="1" x14ac:dyDescent="0.25">
      <c r="K465" s="81" t="str">
        <f>IF(CÁLCULO!C479="","",CÁLCULO!C479)</f>
        <v/>
      </c>
      <c r="L465" s="81" t="str">
        <f t="shared" si="45"/>
        <v/>
      </c>
      <c r="M465" s="82" t="str">
        <f>IF(CÁLCULO!E479="","",CÁLCULO!E479)</f>
        <v/>
      </c>
      <c r="O465" s="81" t="str">
        <f>IF(CÁLCULO!G479="","",CÁLCULO!G479)</f>
        <v/>
      </c>
      <c r="P465" s="80" t="str">
        <f t="shared" si="43"/>
        <v/>
      </c>
      <c r="Q465" s="121" t="str">
        <f>IF(CÁLCULO!I479="","",CÁLCULO!I479)</f>
        <v/>
      </c>
      <c r="R465" s="87"/>
      <c r="S465" s="121" t="str">
        <f t="shared" si="46"/>
        <v/>
      </c>
      <c r="T465" s="121" t="str">
        <f t="shared" si="47"/>
        <v/>
      </c>
      <c r="U465" s="89"/>
      <c r="V465" s="80" t="str">
        <f t="shared" si="44"/>
        <v/>
      </c>
      <c r="W465" s="77" t="str">
        <f>IF(K465="","",SUM($S$5:S464)*$E$11*V465)</f>
        <v/>
      </c>
      <c r="Y465" s="121" t="str">
        <f t="shared" si="48"/>
        <v/>
      </c>
    </row>
    <row r="466" spans="11:25" ht="17.100000000000001" customHeight="1" x14ac:dyDescent="0.25">
      <c r="K466" s="81" t="str">
        <f>IF(CÁLCULO!C480="","",CÁLCULO!C480)</f>
        <v/>
      </c>
      <c r="L466" s="81" t="str">
        <f t="shared" si="45"/>
        <v/>
      </c>
      <c r="M466" s="82" t="str">
        <f>IF(CÁLCULO!E480="","",CÁLCULO!E480)</f>
        <v/>
      </c>
      <c r="O466" s="81" t="str">
        <f>IF(CÁLCULO!G480="","",CÁLCULO!G480)</f>
        <v/>
      </c>
      <c r="P466" s="80" t="str">
        <f t="shared" ref="P466:P502" si="49">IF(O466="","",O466+P465)</f>
        <v/>
      </c>
      <c r="Q466" s="121" t="str">
        <f>IF(CÁLCULO!I480="","",CÁLCULO!I480)</f>
        <v/>
      </c>
      <c r="R466" s="87"/>
      <c r="S466" s="121" t="str">
        <f t="shared" si="46"/>
        <v/>
      </c>
      <c r="T466" s="121" t="str">
        <f t="shared" si="47"/>
        <v/>
      </c>
      <c r="U466" s="89"/>
      <c r="V466" s="80" t="str">
        <f t="shared" si="44"/>
        <v/>
      </c>
      <c r="W466" s="77" t="str">
        <f>IF(K466="","",SUM($S$5:S465)*$E$11*V466)</f>
        <v/>
      </c>
      <c r="Y466" s="121" t="str">
        <f t="shared" si="48"/>
        <v/>
      </c>
    </row>
    <row r="467" spans="11:25" ht="17.100000000000001" customHeight="1" x14ac:dyDescent="0.25">
      <c r="K467" s="81" t="str">
        <f>IF(CÁLCULO!C481="","",CÁLCULO!C481)</f>
        <v/>
      </c>
      <c r="L467" s="81" t="str">
        <f t="shared" si="45"/>
        <v/>
      </c>
      <c r="M467" s="82" t="str">
        <f>IF(CÁLCULO!E481="","",CÁLCULO!E481)</f>
        <v/>
      </c>
      <c r="O467" s="81" t="str">
        <f>IF(CÁLCULO!G481="","",CÁLCULO!G481)</f>
        <v/>
      </c>
      <c r="P467" s="80" t="str">
        <f t="shared" si="49"/>
        <v/>
      </c>
      <c r="Q467" s="121" t="str">
        <f>IF(CÁLCULO!I481="","",CÁLCULO!I481)</f>
        <v/>
      </c>
      <c r="R467" s="87"/>
      <c r="S467" s="121" t="str">
        <f t="shared" si="46"/>
        <v/>
      </c>
      <c r="T467" s="121" t="str">
        <f t="shared" si="47"/>
        <v/>
      </c>
      <c r="U467" s="89"/>
      <c r="V467" s="80" t="str">
        <f t="shared" si="44"/>
        <v/>
      </c>
      <c r="W467" s="77" t="str">
        <f>IF(K467="","",SUM($S$5:S466)*$E$11*V467)</f>
        <v/>
      </c>
      <c r="Y467" s="121" t="str">
        <f t="shared" si="48"/>
        <v/>
      </c>
    </row>
    <row r="468" spans="11:25" ht="17.100000000000001" customHeight="1" x14ac:dyDescent="0.25">
      <c r="K468" s="81" t="str">
        <f>IF(CÁLCULO!C482="","",CÁLCULO!C482)</f>
        <v/>
      </c>
      <c r="L468" s="81" t="str">
        <f t="shared" si="45"/>
        <v/>
      </c>
      <c r="M468" s="82" t="str">
        <f>IF(CÁLCULO!E482="","",CÁLCULO!E482)</f>
        <v/>
      </c>
      <c r="O468" s="81" t="str">
        <f>IF(CÁLCULO!G482="","",CÁLCULO!G482)</f>
        <v/>
      </c>
      <c r="P468" s="80" t="str">
        <f t="shared" si="49"/>
        <v/>
      </c>
      <c r="Q468" s="121" t="str">
        <f>IF(CÁLCULO!I482="","",CÁLCULO!I482)</f>
        <v/>
      </c>
      <c r="R468" s="87"/>
      <c r="S468" s="121" t="str">
        <f t="shared" si="46"/>
        <v/>
      </c>
      <c r="T468" s="121" t="str">
        <f t="shared" si="47"/>
        <v/>
      </c>
      <c r="U468" s="89"/>
      <c r="V468" s="80" t="str">
        <f t="shared" si="44"/>
        <v/>
      </c>
      <c r="W468" s="77" t="str">
        <f>IF(K468="","",SUM($S$5:S467)*$E$11*V468)</f>
        <v/>
      </c>
      <c r="Y468" s="121" t="str">
        <f t="shared" si="48"/>
        <v/>
      </c>
    </row>
    <row r="469" spans="11:25" ht="17.100000000000001" customHeight="1" x14ac:dyDescent="0.25">
      <c r="K469" s="81" t="str">
        <f>IF(CÁLCULO!C483="","",CÁLCULO!C483)</f>
        <v/>
      </c>
      <c r="L469" s="81" t="str">
        <f t="shared" si="45"/>
        <v/>
      </c>
      <c r="M469" s="82" t="str">
        <f>IF(CÁLCULO!E483="","",CÁLCULO!E483)</f>
        <v/>
      </c>
      <c r="O469" s="81" t="str">
        <f>IF(CÁLCULO!G483="","",CÁLCULO!G483)</f>
        <v/>
      </c>
      <c r="P469" s="80" t="str">
        <f t="shared" si="49"/>
        <v/>
      </c>
      <c r="Q469" s="121" t="str">
        <f>IF(CÁLCULO!I483="","",CÁLCULO!I483)</f>
        <v/>
      </c>
      <c r="R469" s="87"/>
      <c r="S469" s="121" t="str">
        <f t="shared" si="46"/>
        <v/>
      </c>
      <c r="T469" s="121" t="str">
        <f t="shared" si="47"/>
        <v/>
      </c>
      <c r="U469" s="89"/>
      <c r="V469" s="80" t="str">
        <f t="shared" si="44"/>
        <v/>
      </c>
      <c r="W469" s="77" t="str">
        <f>IF(K469="","",SUM($S$5:S468)*$E$11*V469)</f>
        <v/>
      </c>
      <c r="Y469" s="121" t="str">
        <f t="shared" si="48"/>
        <v/>
      </c>
    </row>
    <row r="470" spans="11:25" ht="17.100000000000001" customHeight="1" x14ac:dyDescent="0.25">
      <c r="K470" s="81" t="str">
        <f>IF(CÁLCULO!C484="","",CÁLCULO!C484)</f>
        <v/>
      </c>
      <c r="L470" s="81" t="str">
        <f t="shared" si="45"/>
        <v/>
      </c>
      <c r="M470" s="82" t="str">
        <f>IF(CÁLCULO!E484="","",CÁLCULO!E484)</f>
        <v/>
      </c>
      <c r="O470" s="81" t="str">
        <f>IF(CÁLCULO!G484="","",CÁLCULO!G484)</f>
        <v/>
      </c>
      <c r="P470" s="80" t="str">
        <f t="shared" si="49"/>
        <v/>
      </c>
      <c r="Q470" s="121" t="str">
        <f>IF(CÁLCULO!I484="","",CÁLCULO!I484)</f>
        <v/>
      </c>
      <c r="R470" s="87"/>
      <c r="S470" s="121" t="str">
        <f t="shared" si="46"/>
        <v/>
      </c>
      <c r="T470" s="121" t="str">
        <f t="shared" si="47"/>
        <v/>
      </c>
      <c r="U470" s="89"/>
      <c r="V470" s="80" t="str">
        <f t="shared" si="44"/>
        <v/>
      </c>
      <c r="W470" s="77" t="str">
        <f>IF(K470="","",SUM($S$5:S469)*$E$11*V470)</f>
        <v/>
      </c>
      <c r="Y470" s="121" t="str">
        <f t="shared" si="48"/>
        <v/>
      </c>
    </row>
    <row r="471" spans="11:25" ht="17.100000000000001" customHeight="1" x14ac:dyDescent="0.25">
      <c r="K471" s="81" t="str">
        <f>IF(CÁLCULO!C485="","",CÁLCULO!C485)</f>
        <v/>
      </c>
      <c r="L471" s="81" t="str">
        <f t="shared" si="45"/>
        <v/>
      </c>
      <c r="M471" s="82" t="str">
        <f>IF(CÁLCULO!E485="","",CÁLCULO!E485)</f>
        <v/>
      </c>
      <c r="O471" s="81" t="str">
        <f>IF(CÁLCULO!G485="","",CÁLCULO!G485)</f>
        <v/>
      </c>
      <c r="P471" s="80" t="str">
        <f t="shared" si="49"/>
        <v/>
      </c>
      <c r="Q471" s="121" t="str">
        <f>IF(CÁLCULO!I485="","",CÁLCULO!I485)</f>
        <v/>
      </c>
      <c r="R471" s="87"/>
      <c r="S471" s="121" t="str">
        <f t="shared" si="46"/>
        <v/>
      </c>
      <c r="T471" s="121" t="str">
        <f t="shared" si="47"/>
        <v/>
      </c>
      <c r="U471" s="89"/>
      <c r="V471" s="80" t="str">
        <f t="shared" si="44"/>
        <v/>
      </c>
      <c r="W471" s="77" t="str">
        <f>IF(K471="","",SUM($S$5:S470)*$E$11*V471)</f>
        <v/>
      </c>
      <c r="Y471" s="121" t="str">
        <f t="shared" si="48"/>
        <v/>
      </c>
    </row>
    <row r="472" spans="11:25" ht="17.100000000000001" customHeight="1" x14ac:dyDescent="0.25">
      <c r="K472" s="81" t="str">
        <f>IF(CÁLCULO!C486="","",CÁLCULO!C486)</f>
        <v/>
      </c>
      <c r="L472" s="81" t="str">
        <f t="shared" si="45"/>
        <v/>
      </c>
      <c r="M472" s="82" t="str">
        <f>IF(CÁLCULO!E486="","",CÁLCULO!E486)</f>
        <v/>
      </c>
      <c r="O472" s="81" t="str">
        <f>IF(CÁLCULO!G486="","",CÁLCULO!G486)</f>
        <v/>
      </c>
      <c r="P472" s="80" t="str">
        <f t="shared" si="49"/>
        <v/>
      </c>
      <c r="Q472" s="121" t="str">
        <f>IF(CÁLCULO!I486="","",CÁLCULO!I486)</f>
        <v/>
      </c>
      <c r="R472" s="87"/>
      <c r="S472" s="121" t="str">
        <f t="shared" si="46"/>
        <v/>
      </c>
      <c r="T472" s="121" t="str">
        <f t="shared" si="47"/>
        <v/>
      </c>
      <c r="U472" s="89"/>
      <c r="V472" s="80" t="str">
        <f t="shared" si="44"/>
        <v/>
      </c>
      <c r="W472" s="77" t="str">
        <f>IF(K472="","",SUM($S$5:S471)*$E$11*V472)</f>
        <v/>
      </c>
      <c r="Y472" s="121" t="str">
        <f t="shared" si="48"/>
        <v/>
      </c>
    </row>
    <row r="473" spans="11:25" ht="17.100000000000001" customHeight="1" x14ac:dyDescent="0.25">
      <c r="K473" s="81" t="str">
        <f>IF(CÁLCULO!C487="","",CÁLCULO!C487)</f>
        <v/>
      </c>
      <c r="L473" s="81" t="str">
        <f t="shared" si="45"/>
        <v/>
      </c>
      <c r="M473" s="82" t="str">
        <f>IF(CÁLCULO!E487="","",CÁLCULO!E487)</f>
        <v/>
      </c>
      <c r="O473" s="81" t="str">
        <f>IF(CÁLCULO!G487="","",CÁLCULO!G487)</f>
        <v/>
      </c>
      <c r="P473" s="80" t="str">
        <f t="shared" si="49"/>
        <v/>
      </c>
      <c r="Q473" s="121" t="str">
        <f>IF(CÁLCULO!I487="","",CÁLCULO!I487)</f>
        <v/>
      </c>
      <c r="R473" s="87"/>
      <c r="S473" s="121" t="str">
        <f t="shared" si="46"/>
        <v/>
      </c>
      <c r="T473" s="121" t="str">
        <f t="shared" si="47"/>
        <v/>
      </c>
      <c r="U473" s="89"/>
      <c r="V473" s="80" t="str">
        <f t="shared" si="44"/>
        <v/>
      </c>
      <c r="W473" s="77" t="str">
        <f>IF(K473="","",SUM($S$5:S472)*$E$11*V473)</f>
        <v/>
      </c>
      <c r="Y473" s="121" t="str">
        <f t="shared" si="48"/>
        <v/>
      </c>
    </row>
    <row r="474" spans="11:25" ht="17.100000000000001" customHeight="1" x14ac:dyDescent="0.25">
      <c r="K474" s="81" t="str">
        <f>IF(CÁLCULO!C488="","",CÁLCULO!C488)</f>
        <v/>
      </c>
      <c r="L474" s="81" t="str">
        <f t="shared" si="45"/>
        <v/>
      </c>
      <c r="M474" s="82" t="str">
        <f>IF(CÁLCULO!E488="","",CÁLCULO!E488)</f>
        <v/>
      </c>
      <c r="O474" s="81" t="str">
        <f>IF(CÁLCULO!G488="","",CÁLCULO!G488)</f>
        <v/>
      </c>
      <c r="P474" s="80" t="str">
        <f t="shared" si="49"/>
        <v/>
      </c>
      <c r="Q474" s="121" t="str">
        <f>IF(CÁLCULO!I488="","",CÁLCULO!I488)</f>
        <v/>
      </c>
      <c r="R474" s="87"/>
      <c r="S474" s="121" t="str">
        <f t="shared" si="46"/>
        <v/>
      </c>
      <c r="T474" s="121" t="str">
        <f t="shared" si="47"/>
        <v/>
      </c>
      <c r="U474" s="89"/>
      <c r="V474" s="80" t="str">
        <f t="shared" si="44"/>
        <v/>
      </c>
      <c r="W474" s="77" t="str">
        <f>IF(K474="","",SUM($S$5:S473)*$E$11*V474)</f>
        <v/>
      </c>
      <c r="Y474" s="121" t="str">
        <f t="shared" si="48"/>
        <v/>
      </c>
    </row>
    <row r="475" spans="11:25" ht="17.100000000000001" customHeight="1" x14ac:dyDescent="0.25">
      <c r="K475" s="81" t="str">
        <f>IF(CÁLCULO!C489="","",CÁLCULO!C489)</f>
        <v/>
      </c>
      <c r="L475" s="81" t="str">
        <f t="shared" si="45"/>
        <v/>
      </c>
      <c r="M475" s="82" t="str">
        <f>IF(CÁLCULO!E489="","",CÁLCULO!E489)</f>
        <v/>
      </c>
      <c r="O475" s="81" t="str">
        <f>IF(CÁLCULO!G489="","",CÁLCULO!G489)</f>
        <v/>
      </c>
      <c r="P475" s="80" t="str">
        <f t="shared" si="49"/>
        <v/>
      </c>
      <c r="Q475" s="121" t="str">
        <f>IF(CÁLCULO!I489="","",CÁLCULO!I489)</f>
        <v/>
      </c>
      <c r="R475" s="87"/>
      <c r="S475" s="121" t="str">
        <f t="shared" si="46"/>
        <v/>
      </c>
      <c r="T475" s="121" t="str">
        <f t="shared" si="47"/>
        <v/>
      </c>
      <c r="U475" s="89"/>
      <c r="V475" s="80" t="str">
        <f t="shared" si="44"/>
        <v/>
      </c>
      <c r="W475" s="77" t="str">
        <f>IF(K475="","",SUM($S$5:S474)*$E$11*V475)</f>
        <v/>
      </c>
      <c r="Y475" s="121" t="str">
        <f t="shared" si="48"/>
        <v/>
      </c>
    </row>
    <row r="476" spans="11:25" ht="17.100000000000001" customHeight="1" x14ac:dyDescent="0.25">
      <c r="K476" s="81" t="str">
        <f>IF(CÁLCULO!C490="","",CÁLCULO!C490)</f>
        <v/>
      </c>
      <c r="L476" s="81" t="str">
        <f t="shared" si="45"/>
        <v/>
      </c>
      <c r="M476" s="82" t="str">
        <f>IF(CÁLCULO!E490="","",CÁLCULO!E490)</f>
        <v/>
      </c>
      <c r="O476" s="81" t="str">
        <f>IF(CÁLCULO!G490="","",CÁLCULO!G490)</f>
        <v/>
      </c>
      <c r="P476" s="80" t="str">
        <f t="shared" si="49"/>
        <v/>
      </c>
      <c r="Q476" s="121" t="str">
        <f>IF(CÁLCULO!I490="","",CÁLCULO!I490)</f>
        <v/>
      </c>
      <c r="R476" s="87"/>
      <c r="S476" s="121" t="str">
        <f t="shared" si="46"/>
        <v/>
      </c>
      <c r="T476" s="121" t="str">
        <f t="shared" si="47"/>
        <v/>
      </c>
      <c r="U476" s="89"/>
      <c r="V476" s="80" t="str">
        <f t="shared" si="44"/>
        <v/>
      </c>
      <c r="W476" s="77" t="str">
        <f>IF(K476="","",SUM($S$5:S475)*$E$11*V476)</f>
        <v/>
      </c>
      <c r="Y476" s="121" t="str">
        <f t="shared" si="48"/>
        <v/>
      </c>
    </row>
    <row r="477" spans="11:25" ht="17.100000000000001" customHeight="1" x14ac:dyDescent="0.25">
      <c r="K477" s="81" t="str">
        <f>IF(CÁLCULO!C491="","",CÁLCULO!C491)</f>
        <v/>
      </c>
      <c r="L477" s="81" t="str">
        <f t="shared" si="45"/>
        <v/>
      </c>
      <c r="M477" s="82" t="str">
        <f>IF(CÁLCULO!E491="","",CÁLCULO!E491)</f>
        <v/>
      </c>
      <c r="O477" s="81" t="str">
        <f>IF(CÁLCULO!G491="","",CÁLCULO!G491)</f>
        <v/>
      </c>
      <c r="P477" s="80" t="str">
        <f t="shared" si="49"/>
        <v/>
      </c>
      <c r="Q477" s="121" t="str">
        <f>IF(CÁLCULO!I491="","",CÁLCULO!I491)</f>
        <v/>
      </c>
      <c r="R477" s="87"/>
      <c r="S477" s="121" t="str">
        <f t="shared" si="46"/>
        <v/>
      </c>
      <c r="T477" s="121" t="str">
        <f t="shared" si="47"/>
        <v/>
      </c>
      <c r="U477" s="89"/>
      <c r="V477" s="80" t="str">
        <f t="shared" si="44"/>
        <v/>
      </c>
      <c r="W477" s="77" t="str">
        <f>IF(K477="","",SUM($S$5:S476)*$E$11*V477)</f>
        <v/>
      </c>
      <c r="Y477" s="121" t="str">
        <f t="shared" si="48"/>
        <v/>
      </c>
    </row>
    <row r="478" spans="11:25" ht="17.100000000000001" customHeight="1" x14ac:dyDescent="0.25">
      <c r="K478" s="81" t="str">
        <f>IF(CÁLCULO!C492="","",CÁLCULO!C492)</f>
        <v/>
      </c>
      <c r="L478" s="81" t="str">
        <f t="shared" si="45"/>
        <v/>
      </c>
      <c r="M478" s="82" t="str">
        <f>IF(CÁLCULO!E492="","",CÁLCULO!E492)</f>
        <v/>
      </c>
      <c r="O478" s="81" t="str">
        <f>IF(CÁLCULO!G492="","",CÁLCULO!G492)</f>
        <v/>
      </c>
      <c r="P478" s="80" t="str">
        <f t="shared" si="49"/>
        <v/>
      </c>
      <c r="Q478" s="121" t="str">
        <f>IF(CÁLCULO!I492="","",CÁLCULO!I492)</f>
        <v/>
      </c>
      <c r="R478" s="87"/>
      <c r="S478" s="121" t="str">
        <f t="shared" si="46"/>
        <v/>
      </c>
      <c r="T478" s="121" t="str">
        <f t="shared" si="47"/>
        <v/>
      </c>
      <c r="U478" s="89"/>
      <c r="V478" s="80" t="str">
        <f t="shared" si="44"/>
        <v/>
      </c>
      <c r="W478" s="77" t="str">
        <f>IF(K478="","",SUM($S$5:S477)*$E$11*V478)</f>
        <v/>
      </c>
      <c r="Y478" s="121" t="str">
        <f t="shared" si="48"/>
        <v/>
      </c>
    </row>
    <row r="479" spans="11:25" ht="17.100000000000001" customHeight="1" x14ac:dyDescent="0.25">
      <c r="K479" s="81" t="str">
        <f>IF(CÁLCULO!C493="","",CÁLCULO!C493)</f>
        <v/>
      </c>
      <c r="L479" s="81" t="str">
        <f t="shared" si="45"/>
        <v/>
      </c>
      <c r="M479" s="82" t="str">
        <f>IF(CÁLCULO!E493="","",CÁLCULO!E493)</f>
        <v/>
      </c>
      <c r="O479" s="81" t="str">
        <f>IF(CÁLCULO!G493="","",CÁLCULO!G493)</f>
        <v/>
      </c>
      <c r="P479" s="80" t="str">
        <f t="shared" si="49"/>
        <v/>
      </c>
      <c r="Q479" s="121" t="str">
        <f>IF(CÁLCULO!I493="","",CÁLCULO!I493)</f>
        <v/>
      </c>
      <c r="R479" s="87"/>
      <c r="S479" s="121" t="str">
        <f t="shared" si="46"/>
        <v/>
      </c>
      <c r="T479" s="121" t="str">
        <f t="shared" si="47"/>
        <v/>
      </c>
      <c r="U479" s="89"/>
      <c r="V479" s="80" t="str">
        <f t="shared" si="44"/>
        <v/>
      </c>
      <c r="W479" s="77" t="str">
        <f>IF(K479="","",SUM($S$5:S478)*$E$11*V479)</f>
        <v/>
      </c>
      <c r="Y479" s="121" t="str">
        <f t="shared" si="48"/>
        <v/>
      </c>
    </row>
    <row r="480" spans="11:25" ht="17.100000000000001" customHeight="1" x14ac:dyDescent="0.25">
      <c r="K480" s="81" t="str">
        <f>IF(CÁLCULO!C494="","",CÁLCULO!C494)</f>
        <v/>
      </c>
      <c r="L480" s="81" t="str">
        <f t="shared" si="45"/>
        <v/>
      </c>
      <c r="M480" s="82" t="str">
        <f>IF(CÁLCULO!E494="","",CÁLCULO!E494)</f>
        <v/>
      </c>
      <c r="O480" s="81" t="str">
        <f>IF(CÁLCULO!G494="","",CÁLCULO!G494)</f>
        <v/>
      </c>
      <c r="P480" s="80" t="str">
        <f t="shared" si="49"/>
        <v/>
      </c>
      <c r="Q480" s="121" t="str">
        <f>IF(CÁLCULO!I494="","",CÁLCULO!I494)</f>
        <v/>
      </c>
      <c r="R480" s="87"/>
      <c r="S480" s="121" t="str">
        <f t="shared" si="46"/>
        <v/>
      </c>
      <c r="T480" s="121" t="str">
        <f t="shared" si="47"/>
        <v/>
      </c>
      <c r="U480" s="89"/>
      <c r="V480" s="80" t="str">
        <f t="shared" si="44"/>
        <v/>
      </c>
      <c r="W480" s="77" t="str">
        <f>IF(K480="","",SUM($S$5:S479)*$E$11*V480)</f>
        <v/>
      </c>
      <c r="Y480" s="121" t="str">
        <f t="shared" si="48"/>
        <v/>
      </c>
    </row>
    <row r="481" spans="11:25" ht="17.100000000000001" customHeight="1" x14ac:dyDescent="0.25">
      <c r="K481" s="81" t="str">
        <f>IF(CÁLCULO!C495="","",CÁLCULO!C495)</f>
        <v/>
      </c>
      <c r="L481" s="81" t="str">
        <f t="shared" si="45"/>
        <v/>
      </c>
      <c r="M481" s="82" t="str">
        <f>IF(CÁLCULO!E495="","",CÁLCULO!E495)</f>
        <v/>
      </c>
      <c r="O481" s="81" t="str">
        <f>IF(CÁLCULO!G495="","",CÁLCULO!G495)</f>
        <v/>
      </c>
      <c r="P481" s="80" t="str">
        <f t="shared" si="49"/>
        <v/>
      </c>
      <c r="Q481" s="121" t="str">
        <f>IF(CÁLCULO!I495="","",CÁLCULO!I495)</f>
        <v/>
      </c>
      <c r="R481" s="87"/>
      <c r="S481" s="121" t="str">
        <f t="shared" si="46"/>
        <v/>
      </c>
      <c r="T481" s="121" t="str">
        <f t="shared" si="47"/>
        <v/>
      </c>
      <c r="U481" s="89"/>
      <c r="V481" s="80" t="str">
        <f t="shared" si="44"/>
        <v/>
      </c>
      <c r="W481" s="77" t="str">
        <f>IF(K481="","",SUM($S$5:S480)*$E$11*V481)</f>
        <v/>
      </c>
      <c r="Y481" s="121" t="str">
        <f t="shared" si="48"/>
        <v/>
      </c>
    </row>
    <row r="482" spans="11:25" ht="17.100000000000001" customHeight="1" x14ac:dyDescent="0.25">
      <c r="K482" s="81" t="str">
        <f>IF(CÁLCULO!C496="","",CÁLCULO!C496)</f>
        <v/>
      </c>
      <c r="L482" s="81" t="str">
        <f t="shared" si="45"/>
        <v/>
      </c>
      <c r="M482" s="82" t="str">
        <f>IF(CÁLCULO!E496="","",CÁLCULO!E496)</f>
        <v/>
      </c>
      <c r="O482" s="81" t="str">
        <f>IF(CÁLCULO!G496="","",CÁLCULO!G496)</f>
        <v/>
      </c>
      <c r="P482" s="80" t="str">
        <f t="shared" si="49"/>
        <v/>
      </c>
      <c r="Q482" s="121" t="str">
        <f>IF(CÁLCULO!I496="","",CÁLCULO!I496)</f>
        <v/>
      </c>
      <c r="R482" s="87"/>
      <c r="S482" s="121" t="str">
        <f t="shared" si="46"/>
        <v/>
      </c>
      <c r="T482" s="121" t="str">
        <f t="shared" si="47"/>
        <v/>
      </c>
      <c r="U482" s="89"/>
      <c r="V482" s="80" t="str">
        <f t="shared" si="44"/>
        <v/>
      </c>
      <c r="W482" s="77" t="str">
        <f>IF(K482="","",SUM($S$5:S481)*$E$11*V482)</f>
        <v/>
      </c>
      <c r="Y482" s="121" t="str">
        <f t="shared" si="48"/>
        <v/>
      </c>
    </row>
    <row r="483" spans="11:25" ht="17.100000000000001" customHeight="1" x14ac:dyDescent="0.25">
      <c r="K483" s="81" t="str">
        <f>IF(CÁLCULO!C497="","",CÁLCULO!C497)</f>
        <v/>
      </c>
      <c r="L483" s="81" t="str">
        <f t="shared" si="45"/>
        <v/>
      </c>
      <c r="M483" s="82" t="str">
        <f>IF(CÁLCULO!E497="","",CÁLCULO!E497)</f>
        <v/>
      </c>
      <c r="O483" s="81" t="str">
        <f>IF(CÁLCULO!G497="","",CÁLCULO!G497)</f>
        <v/>
      </c>
      <c r="P483" s="80" t="str">
        <f t="shared" si="49"/>
        <v/>
      </c>
      <c r="Q483" s="121" t="str">
        <f>IF(CÁLCULO!I497="","",CÁLCULO!I497)</f>
        <v/>
      </c>
      <c r="R483" s="87"/>
      <c r="S483" s="121" t="str">
        <f t="shared" si="46"/>
        <v/>
      </c>
      <c r="T483" s="121" t="str">
        <f t="shared" si="47"/>
        <v/>
      </c>
      <c r="U483" s="89"/>
      <c r="V483" s="80" t="str">
        <f t="shared" si="44"/>
        <v/>
      </c>
      <c r="W483" s="77" t="str">
        <f>IF(K483="","",SUM($S$5:S482)*$E$11*V483)</f>
        <v/>
      </c>
      <c r="Y483" s="121" t="str">
        <f t="shared" si="48"/>
        <v/>
      </c>
    </row>
    <row r="484" spans="11:25" ht="17.100000000000001" customHeight="1" x14ac:dyDescent="0.25">
      <c r="K484" s="81" t="str">
        <f>IF(CÁLCULO!C498="","",CÁLCULO!C498)</f>
        <v/>
      </c>
      <c r="L484" s="81" t="str">
        <f t="shared" si="45"/>
        <v/>
      </c>
      <c r="M484" s="82" t="str">
        <f>IF(CÁLCULO!E498="","",CÁLCULO!E498)</f>
        <v/>
      </c>
      <c r="O484" s="81" t="str">
        <f>IF(CÁLCULO!G498="","",CÁLCULO!G498)</f>
        <v/>
      </c>
      <c r="P484" s="80" t="str">
        <f t="shared" si="49"/>
        <v/>
      </c>
      <c r="Q484" s="121" t="str">
        <f>IF(CÁLCULO!I498="","",CÁLCULO!I498)</f>
        <v/>
      </c>
      <c r="R484" s="87"/>
      <c r="S484" s="121" t="str">
        <f t="shared" si="46"/>
        <v/>
      </c>
      <c r="T484" s="121" t="str">
        <f t="shared" si="47"/>
        <v/>
      </c>
      <c r="U484" s="89"/>
      <c r="V484" s="80" t="str">
        <f t="shared" si="44"/>
        <v/>
      </c>
      <c r="W484" s="77" t="str">
        <f>IF(K484="","",SUM($S$5:S483)*$E$11*V484)</f>
        <v/>
      </c>
      <c r="Y484" s="121" t="str">
        <f t="shared" si="48"/>
        <v/>
      </c>
    </row>
    <row r="485" spans="11:25" ht="17.100000000000001" customHeight="1" x14ac:dyDescent="0.25">
      <c r="K485" s="81" t="str">
        <f>IF(CÁLCULO!C499="","",CÁLCULO!C499)</f>
        <v/>
      </c>
      <c r="L485" s="81" t="str">
        <f t="shared" si="45"/>
        <v/>
      </c>
      <c r="M485" s="82" t="str">
        <f>IF(CÁLCULO!E499="","",CÁLCULO!E499)</f>
        <v/>
      </c>
      <c r="O485" s="81" t="str">
        <f>IF(CÁLCULO!G499="","",CÁLCULO!G499)</f>
        <v/>
      </c>
      <c r="P485" s="80" t="str">
        <f t="shared" si="49"/>
        <v/>
      </c>
      <c r="Q485" s="121" t="str">
        <f>IF(CÁLCULO!I499="","",CÁLCULO!I499)</f>
        <v/>
      </c>
      <c r="R485" s="87"/>
      <c r="S485" s="121" t="str">
        <f t="shared" si="46"/>
        <v/>
      </c>
      <c r="T485" s="121" t="str">
        <f t="shared" si="47"/>
        <v/>
      </c>
      <c r="U485" s="89"/>
      <c r="V485" s="80" t="str">
        <f t="shared" ref="V485:V502" si="50">IF(K485="","",IF(O485-(P485-365)&lt;0,0,IF(P485&gt;365,O485-(P485-365),O485)))</f>
        <v/>
      </c>
      <c r="W485" s="77" t="str">
        <f>IF(K485="","",SUM($S$5:S484)*$E$11*V485)</f>
        <v/>
      </c>
      <c r="Y485" s="121" t="str">
        <f t="shared" si="48"/>
        <v/>
      </c>
    </row>
    <row r="486" spans="11:25" ht="17.100000000000001" customHeight="1" x14ac:dyDescent="0.25">
      <c r="K486" s="81" t="str">
        <f>IF(CÁLCULO!C500="","",CÁLCULO!C500)</f>
        <v/>
      </c>
      <c r="L486" s="81" t="str">
        <f t="shared" si="45"/>
        <v/>
      </c>
      <c r="M486" s="82" t="str">
        <f>IF(CÁLCULO!E500="","",CÁLCULO!E500)</f>
        <v/>
      </c>
      <c r="O486" s="81" t="str">
        <f>IF(CÁLCULO!G500="","",CÁLCULO!G500)</f>
        <v/>
      </c>
      <c r="P486" s="80" t="str">
        <f t="shared" si="49"/>
        <v/>
      </c>
      <c r="Q486" s="121" t="str">
        <f>IF(CÁLCULO!I500="","",CÁLCULO!I500)</f>
        <v/>
      </c>
      <c r="R486" s="87"/>
      <c r="S486" s="121" t="str">
        <f t="shared" si="46"/>
        <v/>
      </c>
      <c r="T486" s="121" t="str">
        <f t="shared" si="47"/>
        <v/>
      </c>
      <c r="U486" s="89"/>
      <c r="V486" s="80" t="str">
        <f t="shared" si="50"/>
        <v/>
      </c>
      <c r="W486" s="77" t="str">
        <f>IF(K486="","",SUM($S$5:S485)*$E$11*V486)</f>
        <v/>
      </c>
      <c r="Y486" s="121" t="str">
        <f t="shared" si="48"/>
        <v/>
      </c>
    </row>
    <row r="487" spans="11:25" ht="17.100000000000001" customHeight="1" x14ac:dyDescent="0.25">
      <c r="K487" s="81" t="str">
        <f>IF(CÁLCULO!C501="","",CÁLCULO!C501)</f>
        <v/>
      </c>
      <c r="L487" s="81" t="str">
        <f t="shared" si="45"/>
        <v/>
      </c>
      <c r="M487" s="82" t="str">
        <f>IF(CÁLCULO!E501="","",CÁLCULO!E501)</f>
        <v/>
      </c>
      <c r="O487" s="81" t="str">
        <f>IF(CÁLCULO!G501="","",CÁLCULO!G501)</f>
        <v/>
      </c>
      <c r="P487" s="80" t="str">
        <f t="shared" si="49"/>
        <v/>
      </c>
      <c r="Q487" s="121" t="str">
        <f>IF(CÁLCULO!I501="","",CÁLCULO!I501)</f>
        <v/>
      </c>
      <c r="R487" s="87"/>
      <c r="S487" s="121" t="str">
        <f t="shared" si="46"/>
        <v/>
      </c>
      <c r="T487" s="121" t="str">
        <f t="shared" si="47"/>
        <v/>
      </c>
      <c r="U487" s="89"/>
      <c r="V487" s="80" t="str">
        <f t="shared" si="50"/>
        <v/>
      </c>
      <c r="W487" s="77" t="str">
        <f>IF(K487="","",SUM($S$5:S486)*$E$11*V487)</f>
        <v/>
      </c>
      <c r="Y487" s="121" t="str">
        <f t="shared" si="48"/>
        <v/>
      </c>
    </row>
    <row r="488" spans="11:25" ht="17.100000000000001" customHeight="1" x14ac:dyDescent="0.25">
      <c r="K488" s="81" t="str">
        <f>IF(CÁLCULO!C502="","",CÁLCULO!C502)</f>
        <v/>
      </c>
      <c r="L488" s="81" t="str">
        <f t="shared" si="45"/>
        <v/>
      </c>
      <c r="M488" s="82" t="str">
        <f>IF(CÁLCULO!E502="","",CÁLCULO!E502)</f>
        <v/>
      </c>
      <c r="O488" s="81" t="str">
        <f>IF(CÁLCULO!G502="","",CÁLCULO!G502)</f>
        <v/>
      </c>
      <c r="P488" s="80" t="str">
        <f t="shared" si="49"/>
        <v/>
      </c>
      <c r="Q488" s="121" t="str">
        <f>IF(CÁLCULO!I502="","",CÁLCULO!I502)</f>
        <v/>
      </c>
      <c r="R488" s="87"/>
      <c r="S488" s="121" t="str">
        <f t="shared" si="46"/>
        <v/>
      </c>
      <c r="T488" s="121" t="str">
        <f t="shared" si="47"/>
        <v/>
      </c>
      <c r="U488" s="89"/>
      <c r="V488" s="80" t="str">
        <f t="shared" si="50"/>
        <v/>
      </c>
      <c r="W488" s="77" t="str">
        <f>IF(K488="","",SUM($S$5:S487)*$E$11*V488)</f>
        <v/>
      </c>
      <c r="Y488" s="121" t="str">
        <f t="shared" si="48"/>
        <v/>
      </c>
    </row>
    <row r="489" spans="11:25" ht="17.100000000000001" customHeight="1" x14ac:dyDescent="0.25">
      <c r="K489" s="81" t="str">
        <f>IF(CÁLCULO!C503="","",CÁLCULO!C503)</f>
        <v/>
      </c>
      <c r="L489" s="81" t="str">
        <f t="shared" si="45"/>
        <v/>
      </c>
      <c r="M489" s="82" t="str">
        <f>IF(CÁLCULO!E503="","",CÁLCULO!E503)</f>
        <v/>
      </c>
      <c r="O489" s="81" t="str">
        <f>IF(CÁLCULO!G503="","",CÁLCULO!G503)</f>
        <v/>
      </c>
      <c r="P489" s="80" t="str">
        <f t="shared" si="49"/>
        <v/>
      </c>
      <c r="Q489" s="121" t="str">
        <f>IF(CÁLCULO!I503="","",CÁLCULO!I503)</f>
        <v/>
      </c>
      <c r="R489" s="87"/>
      <c r="S489" s="121" t="str">
        <f t="shared" si="46"/>
        <v/>
      </c>
      <c r="T489" s="121" t="str">
        <f t="shared" si="47"/>
        <v/>
      </c>
      <c r="U489" s="89"/>
      <c r="V489" s="80" t="str">
        <f t="shared" si="50"/>
        <v/>
      </c>
      <c r="W489" s="77" t="str">
        <f>IF(K489="","",SUM($S$5:S488)*$E$11*V489)</f>
        <v/>
      </c>
      <c r="Y489" s="121" t="str">
        <f t="shared" si="48"/>
        <v/>
      </c>
    </row>
    <row r="490" spans="11:25" ht="17.100000000000001" customHeight="1" x14ac:dyDescent="0.25">
      <c r="K490" s="81" t="str">
        <f>IF(CÁLCULO!C504="","",CÁLCULO!C504)</f>
        <v/>
      </c>
      <c r="L490" s="81" t="str">
        <f t="shared" si="45"/>
        <v/>
      </c>
      <c r="M490" s="82" t="str">
        <f>IF(CÁLCULO!E504="","",CÁLCULO!E504)</f>
        <v/>
      </c>
      <c r="O490" s="81" t="str">
        <f>IF(CÁLCULO!G504="","",CÁLCULO!G504)</f>
        <v/>
      </c>
      <c r="P490" s="80" t="str">
        <f t="shared" si="49"/>
        <v/>
      </c>
      <c r="Q490" s="121" t="str">
        <f>IF(CÁLCULO!I504="","",CÁLCULO!I504)</f>
        <v/>
      </c>
      <c r="R490" s="87"/>
      <c r="S490" s="121" t="str">
        <f t="shared" si="46"/>
        <v/>
      </c>
      <c r="T490" s="121" t="str">
        <f t="shared" si="47"/>
        <v/>
      </c>
      <c r="U490" s="89"/>
      <c r="V490" s="80" t="str">
        <f t="shared" si="50"/>
        <v/>
      </c>
      <c r="W490" s="77" t="str">
        <f>IF(K490="","",SUM($S$5:S489)*$E$11*V490)</f>
        <v/>
      </c>
      <c r="Y490" s="121" t="str">
        <f t="shared" si="48"/>
        <v/>
      </c>
    </row>
    <row r="491" spans="11:25" ht="17.100000000000001" customHeight="1" x14ac:dyDescent="0.25">
      <c r="K491" s="81" t="str">
        <f>IF(CÁLCULO!C505="","",CÁLCULO!C505)</f>
        <v/>
      </c>
      <c r="L491" s="81" t="str">
        <f t="shared" si="45"/>
        <v/>
      </c>
      <c r="M491" s="82" t="str">
        <f>IF(CÁLCULO!E505="","",CÁLCULO!E505)</f>
        <v/>
      </c>
      <c r="O491" s="81" t="str">
        <f>IF(CÁLCULO!G505="","",CÁLCULO!G505)</f>
        <v/>
      </c>
      <c r="P491" s="80" t="str">
        <f t="shared" si="49"/>
        <v/>
      </c>
      <c r="Q491" s="121" t="str">
        <f>IF(CÁLCULO!I505="","",CÁLCULO!I505)</f>
        <v/>
      </c>
      <c r="R491" s="87"/>
      <c r="S491" s="121" t="str">
        <f t="shared" si="46"/>
        <v/>
      </c>
      <c r="T491" s="121" t="str">
        <f t="shared" si="47"/>
        <v/>
      </c>
      <c r="U491" s="89"/>
      <c r="V491" s="80" t="str">
        <f t="shared" si="50"/>
        <v/>
      </c>
      <c r="W491" s="77" t="str">
        <f>IF(K491="","",SUM($S$5:S490)*$E$11*V491)</f>
        <v/>
      </c>
      <c r="Y491" s="121" t="str">
        <f t="shared" si="48"/>
        <v/>
      </c>
    </row>
    <row r="492" spans="11:25" ht="17.100000000000001" customHeight="1" x14ac:dyDescent="0.25">
      <c r="K492" s="81" t="str">
        <f>IF(CÁLCULO!C506="","",CÁLCULO!C506)</f>
        <v/>
      </c>
      <c r="L492" s="81" t="str">
        <f t="shared" si="45"/>
        <v/>
      </c>
      <c r="M492" s="82" t="str">
        <f>IF(CÁLCULO!E506="","",CÁLCULO!E506)</f>
        <v/>
      </c>
      <c r="O492" s="81" t="str">
        <f>IF(CÁLCULO!G506="","",CÁLCULO!G506)</f>
        <v/>
      </c>
      <c r="P492" s="80" t="str">
        <f t="shared" si="49"/>
        <v/>
      </c>
      <c r="Q492" s="121" t="str">
        <f>IF(CÁLCULO!I506="","",CÁLCULO!I506)</f>
        <v/>
      </c>
      <c r="R492" s="87"/>
      <c r="S492" s="121" t="str">
        <f t="shared" si="46"/>
        <v/>
      </c>
      <c r="T492" s="121" t="str">
        <f t="shared" si="47"/>
        <v/>
      </c>
      <c r="U492" s="89"/>
      <c r="V492" s="80" t="str">
        <f t="shared" si="50"/>
        <v/>
      </c>
      <c r="W492" s="77" t="str">
        <f>IF(K492="","",SUM($S$5:S491)*$E$11*V492)</f>
        <v/>
      </c>
      <c r="Y492" s="121" t="str">
        <f t="shared" si="48"/>
        <v/>
      </c>
    </row>
    <row r="493" spans="11:25" ht="17.100000000000001" customHeight="1" x14ac:dyDescent="0.25">
      <c r="K493" s="81" t="str">
        <f>IF(CÁLCULO!C507="","",CÁLCULO!C507)</f>
        <v/>
      </c>
      <c r="L493" s="81" t="str">
        <f t="shared" si="45"/>
        <v/>
      </c>
      <c r="M493" s="82" t="str">
        <f>IF(CÁLCULO!E507="","",CÁLCULO!E507)</f>
        <v/>
      </c>
      <c r="O493" s="81" t="str">
        <f>IF(CÁLCULO!G507="","",CÁLCULO!G507)</f>
        <v/>
      </c>
      <c r="P493" s="80" t="str">
        <f t="shared" si="49"/>
        <v/>
      </c>
      <c r="Q493" s="121" t="str">
        <f>IF(CÁLCULO!I507="","",CÁLCULO!I507)</f>
        <v/>
      </c>
      <c r="R493" s="87"/>
      <c r="S493" s="121" t="str">
        <f t="shared" si="46"/>
        <v/>
      </c>
      <c r="T493" s="121" t="str">
        <f t="shared" si="47"/>
        <v/>
      </c>
      <c r="U493" s="89"/>
      <c r="V493" s="80" t="str">
        <f t="shared" si="50"/>
        <v/>
      </c>
      <c r="W493" s="77" t="str">
        <f>IF(K493="","",SUM($S$5:S492)*$E$11*V493)</f>
        <v/>
      </c>
      <c r="Y493" s="121" t="str">
        <f t="shared" si="48"/>
        <v/>
      </c>
    </row>
    <row r="494" spans="11:25" ht="17.100000000000001" customHeight="1" x14ac:dyDescent="0.25">
      <c r="K494" s="81" t="str">
        <f>IF(CÁLCULO!C508="","",CÁLCULO!C508)</f>
        <v/>
      </c>
      <c r="L494" s="81" t="str">
        <f t="shared" si="45"/>
        <v/>
      </c>
      <c r="M494" s="82" t="str">
        <f>IF(CÁLCULO!E508="","",CÁLCULO!E508)</f>
        <v/>
      </c>
      <c r="O494" s="81" t="str">
        <f>IF(CÁLCULO!G508="","",CÁLCULO!G508)</f>
        <v/>
      </c>
      <c r="P494" s="80" t="str">
        <f t="shared" si="49"/>
        <v/>
      </c>
      <c r="Q494" s="121" t="str">
        <f>IF(CÁLCULO!I508="","",CÁLCULO!I508)</f>
        <v/>
      </c>
      <c r="R494" s="87"/>
      <c r="S494" s="121" t="str">
        <f t="shared" si="46"/>
        <v/>
      </c>
      <c r="T494" s="121" t="str">
        <f t="shared" si="47"/>
        <v/>
      </c>
      <c r="U494" s="89"/>
      <c r="V494" s="80" t="str">
        <f t="shared" si="50"/>
        <v/>
      </c>
      <c r="W494" s="77" t="str">
        <f>IF(K494="","",SUM($S$5:S493)*$E$11*V494)</f>
        <v/>
      </c>
      <c r="Y494" s="121" t="str">
        <f t="shared" si="48"/>
        <v/>
      </c>
    </row>
    <row r="495" spans="11:25" ht="17.100000000000001" customHeight="1" x14ac:dyDescent="0.25">
      <c r="K495" s="81" t="str">
        <f>IF(CÁLCULO!C509="","",CÁLCULO!C509)</f>
        <v/>
      </c>
      <c r="L495" s="81" t="str">
        <f t="shared" si="45"/>
        <v/>
      </c>
      <c r="M495" s="82" t="str">
        <f>IF(CÁLCULO!E509="","",CÁLCULO!E509)</f>
        <v/>
      </c>
      <c r="O495" s="81" t="str">
        <f>IF(CÁLCULO!G509="","",CÁLCULO!G509)</f>
        <v/>
      </c>
      <c r="P495" s="80" t="str">
        <f t="shared" si="49"/>
        <v/>
      </c>
      <c r="Q495" s="121" t="str">
        <f>IF(CÁLCULO!I509="","",CÁLCULO!I509)</f>
        <v/>
      </c>
      <c r="R495" s="87"/>
      <c r="S495" s="121" t="str">
        <f t="shared" si="46"/>
        <v/>
      </c>
      <c r="T495" s="121" t="str">
        <f t="shared" si="47"/>
        <v/>
      </c>
      <c r="U495" s="89"/>
      <c r="V495" s="80" t="str">
        <f t="shared" si="50"/>
        <v/>
      </c>
      <c r="W495" s="77" t="str">
        <f>IF(K495="","",SUM($S$5:S494)*$E$11*V495)</f>
        <v/>
      </c>
      <c r="Y495" s="121" t="str">
        <f t="shared" si="48"/>
        <v/>
      </c>
    </row>
    <row r="496" spans="11:25" ht="17.100000000000001" customHeight="1" x14ac:dyDescent="0.25">
      <c r="K496" s="81" t="str">
        <f>IF(CÁLCULO!C510="","",CÁLCULO!C510)</f>
        <v/>
      </c>
      <c r="L496" s="81" t="str">
        <f t="shared" si="45"/>
        <v/>
      </c>
      <c r="M496" s="82" t="str">
        <f>IF(CÁLCULO!E510="","",CÁLCULO!E510)</f>
        <v/>
      </c>
      <c r="O496" s="81" t="str">
        <f>IF(CÁLCULO!G510="","",CÁLCULO!G510)</f>
        <v/>
      </c>
      <c r="P496" s="80" t="str">
        <f t="shared" si="49"/>
        <v/>
      </c>
      <c r="Q496" s="121" t="str">
        <f>IF(CÁLCULO!I510="","",CÁLCULO!I510)</f>
        <v/>
      </c>
      <c r="R496" s="87"/>
      <c r="S496" s="121" t="str">
        <f t="shared" si="46"/>
        <v/>
      </c>
      <c r="T496" s="121" t="str">
        <f t="shared" si="47"/>
        <v/>
      </c>
      <c r="U496" s="89"/>
      <c r="V496" s="80" t="str">
        <f t="shared" si="50"/>
        <v/>
      </c>
      <c r="W496" s="77" t="str">
        <f>IF(K496="","",SUM($S$5:S495)*$E$11*V496)</f>
        <v/>
      </c>
      <c r="Y496" s="121" t="str">
        <f t="shared" si="48"/>
        <v/>
      </c>
    </row>
    <row r="497" spans="11:25" ht="17.100000000000001" customHeight="1" x14ac:dyDescent="0.25">
      <c r="K497" s="81" t="str">
        <f>IF(CÁLCULO!C511="","",CÁLCULO!C511)</f>
        <v/>
      </c>
      <c r="L497" s="81" t="str">
        <f t="shared" si="45"/>
        <v/>
      </c>
      <c r="M497" s="82" t="str">
        <f>IF(CÁLCULO!E511="","",CÁLCULO!E511)</f>
        <v/>
      </c>
      <c r="O497" s="81" t="str">
        <f>IF(CÁLCULO!G511="","",CÁLCULO!G511)</f>
        <v/>
      </c>
      <c r="P497" s="80" t="str">
        <f t="shared" si="49"/>
        <v/>
      </c>
      <c r="Q497" s="121" t="str">
        <f>IF(CÁLCULO!I511="","",CÁLCULO!I511)</f>
        <v/>
      </c>
      <c r="R497" s="87"/>
      <c r="S497" s="121" t="str">
        <f t="shared" si="46"/>
        <v/>
      </c>
      <c r="T497" s="121" t="str">
        <f t="shared" si="47"/>
        <v/>
      </c>
      <c r="U497" s="89"/>
      <c r="V497" s="80" t="str">
        <f t="shared" si="50"/>
        <v/>
      </c>
      <c r="W497" s="77" t="str">
        <f>IF(K497="","",SUM($S$5:S496)*$E$11*V497)</f>
        <v/>
      </c>
      <c r="Y497" s="121" t="str">
        <f t="shared" si="48"/>
        <v/>
      </c>
    </row>
    <row r="498" spans="11:25" ht="17.100000000000001" customHeight="1" x14ac:dyDescent="0.25">
      <c r="K498" s="81" t="str">
        <f>IF(CÁLCULO!C512="","",CÁLCULO!C512)</f>
        <v/>
      </c>
      <c r="L498" s="81" t="str">
        <f t="shared" si="45"/>
        <v/>
      </c>
      <c r="M498" s="82" t="str">
        <f>IF(CÁLCULO!E512="","",CÁLCULO!E512)</f>
        <v/>
      </c>
      <c r="O498" s="81" t="str">
        <f>IF(CÁLCULO!G512="","",CÁLCULO!G512)</f>
        <v/>
      </c>
      <c r="P498" s="80" t="str">
        <f t="shared" si="49"/>
        <v/>
      </c>
      <c r="Q498" s="121" t="str">
        <f>IF(CÁLCULO!I512="","",CÁLCULO!I512)</f>
        <v/>
      </c>
      <c r="R498" s="87"/>
      <c r="S498" s="121" t="str">
        <f t="shared" si="46"/>
        <v/>
      </c>
      <c r="T498" s="121" t="str">
        <f t="shared" si="47"/>
        <v/>
      </c>
      <c r="U498" s="89"/>
      <c r="V498" s="80" t="str">
        <f t="shared" si="50"/>
        <v/>
      </c>
      <c r="W498" s="77" t="str">
        <f>IF(K498="","",SUM($S$5:S497)*$E$11*V498)</f>
        <v/>
      </c>
      <c r="Y498" s="121" t="str">
        <f t="shared" si="48"/>
        <v/>
      </c>
    </row>
    <row r="499" spans="11:25" ht="17.100000000000001" customHeight="1" x14ac:dyDescent="0.25">
      <c r="K499" s="81" t="str">
        <f>IF(CÁLCULO!C513="","",CÁLCULO!C513)</f>
        <v/>
      </c>
      <c r="L499" s="81" t="str">
        <f t="shared" si="45"/>
        <v/>
      </c>
      <c r="M499" s="82" t="str">
        <f>IF(CÁLCULO!E513="","",CÁLCULO!E513)</f>
        <v/>
      </c>
      <c r="O499" s="81" t="str">
        <f>IF(CÁLCULO!G513="","",CÁLCULO!G513)</f>
        <v/>
      </c>
      <c r="P499" s="80" t="str">
        <f t="shared" si="49"/>
        <v/>
      </c>
      <c r="Q499" s="121" t="str">
        <f>IF(CÁLCULO!I513="","",CÁLCULO!I513)</f>
        <v/>
      </c>
      <c r="R499" s="87"/>
      <c r="S499" s="121" t="str">
        <f t="shared" si="46"/>
        <v/>
      </c>
      <c r="T499" s="121" t="str">
        <f t="shared" si="47"/>
        <v/>
      </c>
      <c r="U499" s="89"/>
      <c r="V499" s="80" t="str">
        <f t="shared" si="50"/>
        <v/>
      </c>
      <c r="W499" s="77" t="str">
        <f>IF(K499="","",SUM($S$5:S498)*$E$11*V499)</f>
        <v/>
      </c>
      <c r="Y499" s="121" t="str">
        <f t="shared" si="48"/>
        <v/>
      </c>
    </row>
    <row r="500" spans="11:25" ht="17.100000000000001" customHeight="1" x14ac:dyDescent="0.25">
      <c r="K500" s="81" t="str">
        <f>IF(CÁLCULO!C514="","",CÁLCULO!C514)</f>
        <v/>
      </c>
      <c r="L500" s="81" t="str">
        <f t="shared" si="45"/>
        <v/>
      </c>
      <c r="M500" s="82" t="str">
        <f>IF(CÁLCULO!E514="","",CÁLCULO!E514)</f>
        <v/>
      </c>
      <c r="O500" s="81" t="str">
        <f>IF(CÁLCULO!G514="","",CÁLCULO!G514)</f>
        <v/>
      </c>
      <c r="P500" s="80" t="str">
        <f t="shared" si="49"/>
        <v/>
      </c>
      <c r="Q500" s="121" t="str">
        <f>IF(CÁLCULO!I514="","",CÁLCULO!I514)</f>
        <v/>
      </c>
      <c r="R500" s="87"/>
      <c r="S500" s="121" t="str">
        <f t="shared" si="46"/>
        <v/>
      </c>
      <c r="T500" s="121" t="str">
        <f t="shared" si="47"/>
        <v/>
      </c>
      <c r="U500" s="89"/>
      <c r="V500" s="80" t="str">
        <f t="shared" si="50"/>
        <v/>
      </c>
      <c r="W500" s="77" t="str">
        <f>IF(K500="","",SUM($S$5:S499)*$E$11*V500)</f>
        <v/>
      </c>
      <c r="Y500" s="121" t="str">
        <f t="shared" si="48"/>
        <v/>
      </c>
    </row>
    <row r="501" spans="11:25" ht="17.100000000000001" customHeight="1" x14ac:dyDescent="0.25">
      <c r="K501" s="81" t="str">
        <f>IF(CÁLCULO!C515="","",CÁLCULO!C515)</f>
        <v/>
      </c>
      <c r="L501" s="81" t="str">
        <f t="shared" si="45"/>
        <v/>
      </c>
      <c r="M501" s="82" t="str">
        <f>IF(CÁLCULO!E515="","",CÁLCULO!E515)</f>
        <v/>
      </c>
      <c r="O501" s="81" t="str">
        <f>IF(CÁLCULO!G515="","",CÁLCULO!G515)</f>
        <v/>
      </c>
      <c r="P501" s="80" t="str">
        <f t="shared" si="49"/>
        <v/>
      </c>
      <c r="Q501" s="121" t="str">
        <f>IF(CÁLCULO!I515="","",CÁLCULO!I515)</f>
        <v/>
      </c>
      <c r="R501" s="87"/>
      <c r="S501" s="121" t="str">
        <f t="shared" si="46"/>
        <v/>
      </c>
      <c r="T501" s="121" t="str">
        <f t="shared" si="47"/>
        <v/>
      </c>
      <c r="U501" s="89"/>
      <c r="V501" s="80" t="str">
        <f t="shared" si="50"/>
        <v/>
      </c>
      <c r="W501" s="77" t="str">
        <f>IF(K501="","",SUM($S$5:S500)*$E$11*V501)</f>
        <v/>
      </c>
      <c r="Y501" s="121" t="str">
        <f t="shared" si="48"/>
        <v/>
      </c>
    </row>
    <row r="502" spans="11:25" ht="17.100000000000001" customHeight="1" x14ac:dyDescent="0.25">
      <c r="K502" s="81" t="str">
        <f>IF(CÁLCULO!C516="","",CÁLCULO!C516)</f>
        <v/>
      </c>
      <c r="L502" s="81" t="str">
        <f t="shared" si="45"/>
        <v/>
      </c>
      <c r="M502" s="82" t="str">
        <f>IF(CÁLCULO!E516="","",CÁLCULO!E516)</f>
        <v/>
      </c>
      <c r="O502" s="81" t="str">
        <f>IF(CÁLCULO!G516="","",CÁLCULO!G516)</f>
        <v/>
      </c>
      <c r="P502" s="80" t="str">
        <f t="shared" si="49"/>
        <v/>
      </c>
      <c r="Q502" s="121" t="str">
        <f>IF(CÁLCULO!I516="","",CÁLCULO!I516)</f>
        <v/>
      </c>
      <c r="R502" s="87"/>
      <c r="S502" s="121" t="str">
        <f t="shared" si="46"/>
        <v/>
      </c>
      <c r="T502" s="121" t="str">
        <f t="shared" si="47"/>
        <v/>
      </c>
      <c r="U502" s="89"/>
      <c r="V502" s="80" t="str">
        <f t="shared" si="50"/>
        <v/>
      </c>
      <c r="W502" s="77" t="str">
        <f>IF(K502="","",SUM($S$5:S501)*$E$11*V502)</f>
        <v/>
      </c>
      <c r="Y502" s="121" t="str">
        <f t="shared" si="48"/>
        <v/>
      </c>
    </row>
  </sheetData>
  <sheetProtection algorithmName="SHA-512" hashValue="KJrhjJBxDWtFivBdU2VRdLgG7KfEBCn557OHqDsoNQyCJrTs88UeGmYOcAhHIjOratp966MLJgZAtldmZs+/sQ==" saltValue="RODqvK/uLCNzj53E7747NQ==" spinCount="100000" sheet="1" objects="1" scenarios="1"/>
  <mergeCells count="36">
    <mergeCell ref="O3:Q3"/>
    <mergeCell ref="K3:M3"/>
    <mergeCell ref="V3:W3"/>
    <mergeCell ref="C4:E4"/>
    <mergeCell ref="S3:T3"/>
    <mergeCell ref="C3:H3"/>
    <mergeCell ref="C7:E7"/>
    <mergeCell ref="C5:E5"/>
    <mergeCell ref="C8:E8"/>
    <mergeCell ref="C6:E6"/>
    <mergeCell ref="C9:E9"/>
    <mergeCell ref="F8:G8"/>
    <mergeCell ref="F4:G4"/>
    <mergeCell ref="F7:G7"/>
    <mergeCell ref="F6:G6"/>
    <mergeCell ref="F5:G5"/>
    <mergeCell ref="C19:F19"/>
    <mergeCell ref="C18:F18"/>
    <mergeCell ref="C17:F17"/>
    <mergeCell ref="F10:G10"/>
    <mergeCell ref="F9:G9"/>
    <mergeCell ref="C13:E13"/>
    <mergeCell ref="C10:E10"/>
    <mergeCell ref="C11:C12"/>
    <mergeCell ref="C14:E14"/>
    <mergeCell ref="C15:E15"/>
    <mergeCell ref="F15:G15"/>
    <mergeCell ref="F14:G14"/>
    <mergeCell ref="F13:G13"/>
    <mergeCell ref="F12:G12"/>
    <mergeCell ref="F11:G11"/>
    <mergeCell ref="E24:F24"/>
    <mergeCell ref="C23:H23"/>
    <mergeCell ref="G24:H24"/>
    <mergeCell ref="C21:F21"/>
    <mergeCell ref="C20:F20"/>
  </mergeCells>
  <conditionalFormatting sqref="V5:W502 S5:T502 O5:Q502 K5:M502">
    <cfRule type="expression" dxfId="4" priority="4">
      <formula>$K5&lt;&gt;""</formula>
    </cfRule>
  </conditionalFormatting>
  <conditionalFormatting sqref="C21:H21">
    <cfRule type="expression" dxfId="3" priority="3">
      <formula>C21&lt;&gt;""</formula>
    </cfRule>
  </conditionalFormatting>
  <conditionalFormatting sqref="V5:W5">
    <cfRule type="expression" dxfId="2" priority="2">
      <formula>$K$5&lt;&gt;""</formula>
    </cfRule>
  </conditionalFormatting>
  <conditionalFormatting sqref="H21">
    <cfRule type="expression" dxfId="1" priority="1">
      <formula>H21&lt;&gt;""</formula>
    </cfRule>
  </conditionalFormatting>
  <dataValidations count="1">
    <dataValidation type="whole" allowBlank="1" showInputMessage="1" showErrorMessage="1" errorTitle="ERRO!" error="Lançar valores com sinal positivo." sqref="F5:F9" xr:uid="{4C596669-C9AD-4CDD-A190-2B9F8834C985}">
      <formula1>0</formula1>
      <formula2>9999999</formula2>
    </dataValidation>
  </dataValidations>
  <pageMargins left="0.15748031496062992" right="0.55118110236220474" top="0.39370078740157483" bottom="0.35433070866141736" header="0.11811023622047245" footer="0.11811023622047245"/>
  <pageSetup paperSize="9" scale="87" fitToHeight="12" orientation="landscape" horizontalDpi="300" verticalDpi="300" r:id="rId1"/>
  <headerFooter>
    <oddHeader>&amp;C&amp;"-,Negrito"&amp;14ANÁLISE DO CUSTO REAL DA OPERAÇÃO&amp;R&amp;P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Caixadeseleção13">
              <controlPr defaultSize="0" autoFill="0" autoLine="0" autoPict="0" macro="[0]!Caixadeseleção13_Clique">
                <anchor moveWithCells="1">
                  <from>
                    <xdr:col>2</xdr:col>
                    <xdr:colOff>38100</xdr:colOff>
                    <xdr:row>10</xdr:row>
                    <xdr:rowOff>9525</xdr:rowOff>
                  </from>
                  <to>
                    <xdr:col>3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Option Button 15">
              <controlPr defaultSize="0" autoFill="0" autoLine="0" autoPict="0">
                <anchor moveWithCells="1">
                  <from>
                    <xdr:col>2</xdr:col>
                    <xdr:colOff>190500</xdr:colOff>
                    <xdr:row>11</xdr:row>
                    <xdr:rowOff>0</xdr:rowOff>
                  </from>
                  <to>
                    <xdr:col>2</xdr:col>
                    <xdr:colOff>609600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Option Button 16">
              <controlPr defaultSize="0" autoFill="0" autoLine="0" autoPict="0">
                <anchor moveWithCells="1">
                  <from>
                    <xdr:col>2</xdr:col>
                    <xdr:colOff>638175</xdr:colOff>
                    <xdr:row>11</xdr:row>
                    <xdr:rowOff>0</xdr:rowOff>
                  </from>
                  <to>
                    <xdr:col>2</xdr:col>
                    <xdr:colOff>1057275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ERRO!" error="Parcela inexiste!" xr:uid="{FECCFD95-D95B-46A4-A929-BB033A331096}">
          <x14:formula1>
            <xm:f>1</xm:f>
          </x14:formula1>
          <x14:formula2>
            <xm:f>CÁLCULO!H12</xm:f>
          </x14:formula2>
          <xm:sqref>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Feriados"/>
  <dimension ref="A1:B89"/>
  <sheetViews>
    <sheetView topLeftCell="A2" workbookViewId="0">
      <pane ySplit="2" topLeftCell="A64" activePane="bottomLeft" state="frozen"/>
      <selection activeCell="A2" sqref="A2"/>
      <selection pane="bottomLeft" activeCell="D84" sqref="D84"/>
    </sheetView>
  </sheetViews>
  <sheetFormatPr defaultRowHeight="15" x14ac:dyDescent="0.25"/>
  <cols>
    <col min="1" max="1" width="12.28515625" style="2" customWidth="1"/>
    <col min="2" max="2" width="9.140625" style="1"/>
  </cols>
  <sheetData>
    <row r="1" spans="1:2" hidden="1" x14ac:dyDescent="0.25"/>
    <row r="2" spans="1:2" ht="4.5" customHeight="1" x14ac:dyDescent="0.25"/>
    <row r="3" spans="1:2" s="3" customFormat="1" ht="30" x14ac:dyDescent="0.25">
      <c r="A3" s="4" t="s">
        <v>20</v>
      </c>
      <c r="B3" s="5" t="s">
        <v>16</v>
      </c>
    </row>
    <row r="4" spans="1:2" x14ac:dyDescent="0.25">
      <c r="A4" s="2">
        <v>43143</v>
      </c>
      <c r="B4" s="1">
        <f>WEEKDAY(A4,1)</f>
        <v>2</v>
      </c>
    </row>
    <row r="5" spans="1:2" x14ac:dyDescent="0.25">
      <c r="A5" s="2">
        <v>43144</v>
      </c>
      <c r="B5" s="1">
        <f t="shared" ref="B5:B68" si="0">WEEKDAY(A5,1)</f>
        <v>3</v>
      </c>
    </row>
    <row r="6" spans="1:2" x14ac:dyDescent="0.25">
      <c r="A6" s="2">
        <v>43189</v>
      </c>
      <c r="B6" s="1">
        <f t="shared" si="0"/>
        <v>6</v>
      </c>
    </row>
    <row r="7" spans="1:2" x14ac:dyDescent="0.25">
      <c r="A7" s="2">
        <v>43221</v>
      </c>
      <c r="B7" s="1">
        <f t="shared" si="0"/>
        <v>3</v>
      </c>
    </row>
    <row r="8" spans="1:2" x14ac:dyDescent="0.25">
      <c r="A8" s="2">
        <v>43251</v>
      </c>
      <c r="B8" s="1">
        <f t="shared" si="0"/>
        <v>5</v>
      </c>
    </row>
    <row r="9" spans="1:2" x14ac:dyDescent="0.25">
      <c r="A9" s="2">
        <v>43350</v>
      </c>
      <c r="B9" s="1">
        <f t="shared" si="0"/>
        <v>6</v>
      </c>
    </row>
    <row r="10" spans="1:2" x14ac:dyDescent="0.25">
      <c r="A10" s="2">
        <v>43385</v>
      </c>
      <c r="B10" s="1">
        <f t="shared" si="0"/>
        <v>6</v>
      </c>
    </row>
    <row r="11" spans="1:2" x14ac:dyDescent="0.25">
      <c r="A11" s="2">
        <v>43406</v>
      </c>
      <c r="B11" s="1">
        <f t="shared" si="0"/>
        <v>6</v>
      </c>
    </row>
    <row r="12" spans="1:2" x14ac:dyDescent="0.25">
      <c r="A12" s="2">
        <v>43419</v>
      </c>
      <c r="B12" s="1">
        <f t="shared" si="0"/>
        <v>5</v>
      </c>
    </row>
    <row r="13" spans="1:2" x14ac:dyDescent="0.25">
      <c r="A13" s="2">
        <v>43459</v>
      </c>
      <c r="B13" s="1">
        <f t="shared" si="0"/>
        <v>3</v>
      </c>
    </row>
    <row r="14" spans="1:2" x14ac:dyDescent="0.25">
      <c r="A14" s="2">
        <v>43466</v>
      </c>
      <c r="B14" s="1">
        <f t="shared" si="0"/>
        <v>3</v>
      </c>
    </row>
    <row r="15" spans="1:2" x14ac:dyDescent="0.25">
      <c r="A15" s="2">
        <v>43528</v>
      </c>
      <c r="B15" s="1">
        <f t="shared" si="0"/>
        <v>2</v>
      </c>
    </row>
    <row r="16" spans="1:2" x14ac:dyDescent="0.25">
      <c r="A16" s="2">
        <v>43529</v>
      </c>
      <c r="B16" s="1">
        <f t="shared" si="0"/>
        <v>3</v>
      </c>
    </row>
    <row r="17" spans="1:2" x14ac:dyDescent="0.25">
      <c r="A17" s="2">
        <v>43574</v>
      </c>
      <c r="B17" s="1">
        <f t="shared" si="0"/>
        <v>6</v>
      </c>
    </row>
    <row r="18" spans="1:2" x14ac:dyDescent="0.25">
      <c r="A18" s="2">
        <v>43586</v>
      </c>
      <c r="B18" s="1">
        <f t="shared" si="0"/>
        <v>4</v>
      </c>
    </row>
    <row r="19" spans="1:2" x14ac:dyDescent="0.25">
      <c r="A19" s="2">
        <v>43636</v>
      </c>
      <c r="B19" s="1">
        <f t="shared" si="0"/>
        <v>5</v>
      </c>
    </row>
    <row r="20" spans="1:2" x14ac:dyDescent="0.25">
      <c r="A20" s="2">
        <v>43784</v>
      </c>
      <c r="B20" s="1">
        <f t="shared" si="0"/>
        <v>6</v>
      </c>
    </row>
    <row r="21" spans="1:2" x14ac:dyDescent="0.25">
      <c r="A21" s="2">
        <v>43824</v>
      </c>
      <c r="B21" s="1">
        <f t="shared" si="0"/>
        <v>4</v>
      </c>
    </row>
    <row r="22" spans="1:2" x14ac:dyDescent="0.25">
      <c r="A22" s="2">
        <v>43831</v>
      </c>
      <c r="B22" s="1">
        <f t="shared" si="0"/>
        <v>4</v>
      </c>
    </row>
    <row r="23" spans="1:2" x14ac:dyDescent="0.25">
      <c r="A23" s="2">
        <v>43885</v>
      </c>
      <c r="B23" s="1">
        <f t="shared" si="0"/>
        <v>2</v>
      </c>
    </row>
    <row r="24" spans="1:2" x14ac:dyDescent="0.25">
      <c r="A24" s="2">
        <v>43886</v>
      </c>
      <c r="B24" s="1">
        <f t="shared" si="0"/>
        <v>3</v>
      </c>
    </row>
    <row r="25" spans="1:2" x14ac:dyDescent="0.25">
      <c r="A25" s="2">
        <v>43931</v>
      </c>
      <c r="B25" s="1">
        <f t="shared" si="0"/>
        <v>6</v>
      </c>
    </row>
    <row r="26" spans="1:2" x14ac:dyDescent="0.25">
      <c r="A26" s="2">
        <v>43942</v>
      </c>
      <c r="B26" s="1">
        <f t="shared" si="0"/>
        <v>3</v>
      </c>
    </row>
    <row r="27" spans="1:2" x14ac:dyDescent="0.25">
      <c r="A27" s="2">
        <v>43952</v>
      </c>
      <c r="B27" s="1">
        <f t="shared" si="0"/>
        <v>6</v>
      </c>
    </row>
    <row r="28" spans="1:2" x14ac:dyDescent="0.25">
      <c r="A28" s="2">
        <v>43993</v>
      </c>
      <c r="B28" s="1">
        <f t="shared" si="0"/>
        <v>5</v>
      </c>
    </row>
    <row r="29" spans="1:2" x14ac:dyDescent="0.25">
      <c r="A29" s="2">
        <v>44081</v>
      </c>
      <c r="B29" s="1">
        <f t="shared" si="0"/>
        <v>2</v>
      </c>
    </row>
    <row r="30" spans="1:2" x14ac:dyDescent="0.25">
      <c r="A30" s="2">
        <v>44116</v>
      </c>
      <c r="B30" s="1">
        <f t="shared" si="0"/>
        <v>2</v>
      </c>
    </row>
    <row r="31" spans="1:2" x14ac:dyDescent="0.25">
      <c r="A31" s="2">
        <v>44137</v>
      </c>
      <c r="B31" s="1">
        <f t="shared" si="0"/>
        <v>2</v>
      </c>
    </row>
    <row r="32" spans="1:2" x14ac:dyDescent="0.25">
      <c r="A32" s="2">
        <v>44190</v>
      </c>
      <c r="B32" s="1">
        <f t="shared" si="0"/>
        <v>6</v>
      </c>
    </row>
    <row r="33" spans="1:2" x14ac:dyDescent="0.25">
      <c r="A33" s="2">
        <v>44197</v>
      </c>
      <c r="B33" s="1">
        <f t="shared" si="0"/>
        <v>6</v>
      </c>
    </row>
    <row r="34" spans="1:2" x14ac:dyDescent="0.25">
      <c r="A34" s="2">
        <v>44242</v>
      </c>
      <c r="B34" s="1">
        <f t="shared" si="0"/>
        <v>2</v>
      </c>
    </row>
    <row r="35" spans="1:2" x14ac:dyDescent="0.25">
      <c r="A35" s="2">
        <v>44243</v>
      </c>
      <c r="B35" s="1">
        <f t="shared" si="0"/>
        <v>3</v>
      </c>
    </row>
    <row r="36" spans="1:2" x14ac:dyDescent="0.25">
      <c r="A36" s="2">
        <v>44288</v>
      </c>
      <c r="B36" s="1">
        <f t="shared" si="0"/>
        <v>6</v>
      </c>
    </row>
    <row r="37" spans="1:2" x14ac:dyDescent="0.25">
      <c r="A37" s="2">
        <v>44307</v>
      </c>
      <c r="B37" s="1">
        <f t="shared" si="0"/>
        <v>4</v>
      </c>
    </row>
    <row r="38" spans="1:2" x14ac:dyDescent="0.25">
      <c r="A38" s="2">
        <v>44350</v>
      </c>
      <c r="B38" s="1">
        <f t="shared" si="0"/>
        <v>5</v>
      </c>
    </row>
    <row r="39" spans="1:2" x14ac:dyDescent="0.25">
      <c r="A39" s="2">
        <v>44446</v>
      </c>
      <c r="B39" s="1">
        <f t="shared" si="0"/>
        <v>3</v>
      </c>
    </row>
    <row r="40" spans="1:2" x14ac:dyDescent="0.25">
      <c r="A40" s="2">
        <v>44481</v>
      </c>
      <c r="B40" s="1">
        <f t="shared" si="0"/>
        <v>3</v>
      </c>
    </row>
    <row r="41" spans="1:2" x14ac:dyDescent="0.25">
      <c r="A41" s="2">
        <v>44502</v>
      </c>
      <c r="B41" s="1">
        <f t="shared" si="0"/>
        <v>3</v>
      </c>
    </row>
    <row r="42" spans="1:2" x14ac:dyDescent="0.25">
      <c r="A42" s="2">
        <v>44515</v>
      </c>
      <c r="B42" s="1">
        <f t="shared" si="0"/>
        <v>2</v>
      </c>
    </row>
    <row r="43" spans="1:2" x14ac:dyDescent="0.25">
      <c r="A43" s="2">
        <v>44620</v>
      </c>
      <c r="B43" s="1">
        <f t="shared" si="0"/>
        <v>2</v>
      </c>
    </row>
    <row r="44" spans="1:2" x14ac:dyDescent="0.25">
      <c r="A44" s="2">
        <v>44621</v>
      </c>
      <c r="B44" s="1">
        <f t="shared" si="0"/>
        <v>3</v>
      </c>
    </row>
    <row r="45" spans="1:2" x14ac:dyDescent="0.25">
      <c r="A45" s="2">
        <v>44666</v>
      </c>
      <c r="B45" s="1">
        <f t="shared" si="0"/>
        <v>6</v>
      </c>
    </row>
    <row r="46" spans="1:2" x14ac:dyDescent="0.25">
      <c r="A46" s="2">
        <v>44672</v>
      </c>
      <c r="B46" s="1">
        <f t="shared" si="0"/>
        <v>5</v>
      </c>
    </row>
    <row r="47" spans="1:2" x14ac:dyDescent="0.25">
      <c r="A47" s="2">
        <v>44728</v>
      </c>
      <c r="B47" s="1">
        <f t="shared" si="0"/>
        <v>5</v>
      </c>
    </row>
    <row r="48" spans="1:2" x14ac:dyDescent="0.25">
      <c r="A48" s="2">
        <v>44811</v>
      </c>
      <c r="B48" s="1">
        <f t="shared" si="0"/>
        <v>4</v>
      </c>
    </row>
    <row r="49" spans="1:2" x14ac:dyDescent="0.25">
      <c r="A49" s="2">
        <v>44846</v>
      </c>
      <c r="B49" s="1">
        <f t="shared" si="0"/>
        <v>4</v>
      </c>
    </row>
    <row r="50" spans="1:2" x14ac:dyDescent="0.25">
      <c r="A50" s="2">
        <v>44867</v>
      </c>
      <c r="B50" s="1">
        <f t="shared" si="0"/>
        <v>4</v>
      </c>
    </row>
    <row r="51" spans="1:2" x14ac:dyDescent="0.25">
      <c r="A51" s="2">
        <v>44880</v>
      </c>
      <c r="B51" s="1">
        <f t="shared" si="0"/>
        <v>3</v>
      </c>
    </row>
    <row r="52" spans="1:2" x14ac:dyDescent="0.25">
      <c r="A52" s="2">
        <v>44977</v>
      </c>
      <c r="B52" s="1">
        <f t="shared" si="0"/>
        <v>2</v>
      </c>
    </row>
    <row r="53" spans="1:2" x14ac:dyDescent="0.25">
      <c r="A53" s="2">
        <v>44978</v>
      </c>
      <c r="B53" s="1">
        <f t="shared" si="0"/>
        <v>3</v>
      </c>
    </row>
    <row r="54" spans="1:2" x14ac:dyDescent="0.25">
      <c r="A54" s="2">
        <v>45023</v>
      </c>
      <c r="B54" s="1">
        <f t="shared" si="0"/>
        <v>6</v>
      </c>
    </row>
    <row r="55" spans="1:2" x14ac:dyDescent="0.25">
      <c r="A55" s="2">
        <v>45037</v>
      </c>
      <c r="B55" s="1">
        <f t="shared" si="0"/>
        <v>6</v>
      </c>
    </row>
    <row r="56" spans="1:2" x14ac:dyDescent="0.25">
      <c r="A56" s="2">
        <v>45047</v>
      </c>
      <c r="B56" s="1">
        <f t="shared" si="0"/>
        <v>2</v>
      </c>
    </row>
    <row r="57" spans="1:2" x14ac:dyDescent="0.25">
      <c r="A57" s="2">
        <v>45085</v>
      </c>
      <c r="B57" s="1">
        <f t="shared" si="0"/>
        <v>5</v>
      </c>
    </row>
    <row r="58" spans="1:2" x14ac:dyDescent="0.25">
      <c r="A58" s="2">
        <v>45176</v>
      </c>
      <c r="B58" s="1">
        <f t="shared" si="0"/>
        <v>5</v>
      </c>
    </row>
    <row r="59" spans="1:2" x14ac:dyDescent="0.25">
      <c r="A59" s="2">
        <v>45211</v>
      </c>
      <c r="B59" s="1">
        <f t="shared" si="0"/>
        <v>5</v>
      </c>
    </row>
    <row r="60" spans="1:2" x14ac:dyDescent="0.25">
      <c r="A60" s="2">
        <v>45232</v>
      </c>
      <c r="B60" s="1">
        <f t="shared" si="0"/>
        <v>5</v>
      </c>
    </row>
    <row r="61" spans="1:2" x14ac:dyDescent="0.25">
      <c r="A61" s="2">
        <v>45245</v>
      </c>
      <c r="B61" s="1">
        <f t="shared" si="0"/>
        <v>4</v>
      </c>
    </row>
    <row r="62" spans="1:2" x14ac:dyDescent="0.25">
      <c r="A62" s="2">
        <v>45285</v>
      </c>
      <c r="B62" s="1">
        <f t="shared" si="0"/>
        <v>2</v>
      </c>
    </row>
    <row r="63" spans="1:2" x14ac:dyDescent="0.25">
      <c r="A63" s="2">
        <v>45292</v>
      </c>
      <c r="B63" s="1">
        <f t="shared" si="0"/>
        <v>2</v>
      </c>
    </row>
    <row r="64" spans="1:2" x14ac:dyDescent="0.25">
      <c r="A64" s="2">
        <v>45334</v>
      </c>
      <c r="B64" s="1">
        <f t="shared" si="0"/>
        <v>2</v>
      </c>
    </row>
    <row r="65" spans="1:2" x14ac:dyDescent="0.25">
      <c r="A65" s="2">
        <v>45335</v>
      </c>
      <c r="B65" s="1">
        <f t="shared" si="0"/>
        <v>3</v>
      </c>
    </row>
    <row r="66" spans="1:2" x14ac:dyDescent="0.25">
      <c r="A66" s="2">
        <v>45380</v>
      </c>
      <c r="B66" s="1">
        <f t="shared" si="0"/>
        <v>6</v>
      </c>
    </row>
    <row r="67" spans="1:2" x14ac:dyDescent="0.25">
      <c r="A67" s="2">
        <v>45413</v>
      </c>
      <c r="B67" s="1">
        <f t="shared" si="0"/>
        <v>4</v>
      </c>
    </row>
    <row r="68" spans="1:2" x14ac:dyDescent="0.25">
      <c r="A68" s="2">
        <v>45442</v>
      </c>
      <c r="B68" s="1">
        <f t="shared" si="0"/>
        <v>5</v>
      </c>
    </row>
    <row r="69" spans="1:2" x14ac:dyDescent="0.25">
      <c r="A69" s="2">
        <v>45611</v>
      </c>
      <c r="B69" s="1">
        <f t="shared" ref="B69:B89" si="1">WEEKDAY(A69,1)</f>
        <v>6</v>
      </c>
    </row>
    <row r="70" spans="1:2" x14ac:dyDescent="0.25">
      <c r="A70" s="2">
        <v>45651</v>
      </c>
      <c r="B70" s="1">
        <f t="shared" si="1"/>
        <v>4</v>
      </c>
    </row>
    <row r="71" spans="1:2" x14ac:dyDescent="0.25">
      <c r="A71" s="2">
        <v>45658</v>
      </c>
      <c r="B71" s="1">
        <f t="shared" si="1"/>
        <v>4</v>
      </c>
    </row>
    <row r="72" spans="1:2" x14ac:dyDescent="0.25">
      <c r="A72" s="2">
        <v>45719</v>
      </c>
      <c r="B72" s="1">
        <f t="shared" si="1"/>
        <v>2</v>
      </c>
    </row>
    <row r="73" spans="1:2" x14ac:dyDescent="0.25">
      <c r="A73" s="2">
        <v>45720</v>
      </c>
      <c r="B73" s="1">
        <f t="shared" si="1"/>
        <v>3</v>
      </c>
    </row>
    <row r="74" spans="1:2" x14ac:dyDescent="0.25">
      <c r="A74" s="2">
        <v>45765</v>
      </c>
      <c r="B74" s="1">
        <f t="shared" si="1"/>
        <v>6</v>
      </c>
    </row>
    <row r="75" spans="1:2" x14ac:dyDescent="0.25">
      <c r="A75" s="2">
        <v>45768</v>
      </c>
      <c r="B75" s="1">
        <f t="shared" si="1"/>
        <v>2</v>
      </c>
    </row>
    <row r="76" spans="1:2" x14ac:dyDescent="0.25">
      <c r="A76" s="2">
        <v>45778</v>
      </c>
      <c r="B76" s="1">
        <f t="shared" si="1"/>
        <v>5</v>
      </c>
    </row>
    <row r="77" spans="1:2" x14ac:dyDescent="0.25">
      <c r="A77" s="2">
        <v>45827</v>
      </c>
      <c r="B77" s="1">
        <f t="shared" si="1"/>
        <v>5</v>
      </c>
    </row>
    <row r="78" spans="1:2" x14ac:dyDescent="0.25">
      <c r="A78" s="2">
        <v>46016</v>
      </c>
      <c r="B78" s="1">
        <f t="shared" si="1"/>
        <v>5</v>
      </c>
    </row>
    <row r="79" spans="1:2" x14ac:dyDescent="0.25">
      <c r="A79" s="2">
        <v>46023</v>
      </c>
      <c r="B79" s="1">
        <f t="shared" si="1"/>
        <v>5</v>
      </c>
    </row>
    <row r="80" spans="1:2" x14ac:dyDescent="0.25">
      <c r="A80" s="2">
        <v>46069</v>
      </c>
      <c r="B80" s="1">
        <f t="shared" si="1"/>
        <v>2</v>
      </c>
    </row>
    <row r="81" spans="1:2" x14ac:dyDescent="0.25">
      <c r="A81" s="2">
        <v>46070</v>
      </c>
      <c r="B81" s="1">
        <f t="shared" si="1"/>
        <v>3</v>
      </c>
    </row>
    <row r="82" spans="1:2" x14ac:dyDescent="0.25">
      <c r="A82" s="2">
        <v>46115</v>
      </c>
      <c r="B82" s="1">
        <f t="shared" si="1"/>
        <v>6</v>
      </c>
    </row>
    <row r="83" spans="1:2" x14ac:dyDescent="0.25">
      <c r="A83" s="2">
        <v>46133</v>
      </c>
      <c r="B83" s="1">
        <f t="shared" si="1"/>
        <v>3</v>
      </c>
    </row>
    <row r="84" spans="1:2" x14ac:dyDescent="0.25">
      <c r="A84" s="2">
        <v>46143</v>
      </c>
      <c r="B84" s="1">
        <f t="shared" si="1"/>
        <v>6</v>
      </c>
    </row>
    <row r="85" spans="1:2" x14ac:dyDescent="0.25">
      <c r="A85" s="2">
        <v>46177</v>
      </c>
      <c r="B85" s="1">
        <f t="shared" si="1"/>
        <v>5</v>
      </c>
    </row>
    <row r="86" spans="1:2" x14ac:dyDescent="0.25">
      <c r="A86" s="2">
        <v>46272</v>
      </c>
      <c r="B86" s="1">
        <f t="shared" si="1"/>
        <v>2</v>
      </c>
    </row>
    <row r="87" spans="1:2" x14ac:dyDescent="0.25">
      <c r="A87" s="2">
        <v>46307</v>
      </c>
      <c r="B87" s="1">
        <f t="shared" si="1"/>
        <v>2</v>
      </c>
    </row>
    <row r="88" spans="1:2" x14ac:dyDescent="0.25">
      <c r="A88" s="2">
        <v>46328</v>
      </c>
      <c r="B88" s="1">
        <f t="shared" si="1"/>
        <v>2</v>
      </c>
    </row>
    <row r="89" spans="1:2" x14ac:dyDescent="0.25">
      <c r="A89" s="2">
        <v>46381</v>
      </c>
      <c r="B89" s="1">
        <f t="shared" si="1"/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</vt:i4>
      </vt:variant>
    </vt:vector>
  </HeadingPairs>
  <TitlesOfParts>
    <vt:vector size="22" baseType="lpstr">
      <vt:lpstr>Tutorial</vt:lpstr>
      <vt:lpstr>CÁLCULO</vt:lpstr>
      <vt:lpstr>CUSTO REAL DA OPERAÇÃO</vt:lpstr>
      <vt:lpstr>Feriados</vt:lpstr>
      <vt:lpstr>CÁLCULO!Area_de_impressao</vt:lpstr>
      <vt:lpstr>'CUSTO REAL DA OPERAÇÃO'!Area_de_impressao</vt:lpstr>
      <vt:lpstr>Tutorial!Area_de_impressao</vt:lpstr>
      <vt:lpstr>ContagemCalc</vt:lpstr>
      <vt:lpstr>MaximoCalc</vt:lpstr>
      <vt:lpstr>Metodo</vt:lpstr>
      <vt:lpstr>Parcela</vt:lpstr>
      <vt:lpstr>PrazoParc</vt:lpstr>
      <vt:lpstr>Principal</vt:lpstr>
      <vt:lpstr>rng_Contrato</vt:lpstr>
      <vt:lpstr>rng_ContratoRegistrado</vt:lpstr>
      <vt:lpstr>rng_UltimaLinhaCustoReal</vt:lpstr>
      <vt:lpstr>rng_UltimalinhaMontagemParc</vt:lpstr>
      <vt:lpstr>SaldoCalc</vt:lpstr>
      <vt:lpstr>Taxa</vt:lpstr>
      <vt:lpstr>TempoCarencia</vt:lpstr>
      <vt:lpstr>CÁLCULO!Titulos_de_impressao</vt:lpstr>
      <vt:lpstr>TxJurosAoDia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2018-11-27T12:44:02Z</cp:lastPrinted>
  <dcterms:created xsi:type="dcterms:W3CDTF">2015-05-12T21:19:48Z</dcterms:created>
  <dcterms:modified xsi:type="dcterms:W3CDTF">2018-11-27T12:52:49Z</dcterms:modified>
</cp:coreProperties>
</file>